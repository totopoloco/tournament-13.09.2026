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shortcut-targets-by-id\1u5fjUq_u-VndoZV7HVKgIwECBVCtXSxu\Nachwuchrangliste OST\"/>
    </mc:Choice>
  </mc:AlternateContent>
  <xr:revisionPtr revIDLastSave="0" documentId="13_ncr:1_{60C8FACF-EF07-47F3-BD3A-D22C1FC9A030}" xr6:coauthVersionLast="47" xr6:coauthVersionMax="47" xr10:uidLastSave="{00000000-0000-0000-0000-000000000000}"/>
  <bookViews>
    <workbookView xWindow="-110" yWindow="-110" windowWidth="19420" windowHeight="10300" xr2:uid="{00000000-000D-0000-FFFF-FFFF00000000}"/>
  </bookViews>
  <sheets>
    <sheet name="Rangliste" sheetId="1" r:id="rId1"/>
    <sheet name="TS_Formattierte_Rangliste" sheetId="25" r:id="rId2"/>
    <sheet name="Sheet2" sheetId="26" r:id="rId3"/>
    <sheet name="Sheet3" sheetId="27" r:id="rId4"/>
    <sheet name="WBV 1" sheetId="2" r:id="rId5"/>
    <sheet name="A Rangliste" sheetId="3" state="hidden" r:id="rId6"/>
    <sheet name="B Rangliste" sheetId="4" state="hidden" r:id="rId7"/>
    <sheet name="C Rangliste" sheetId="5" state="hidden" r:id="rId8"/>
    <sheet name="D Rangliste" sheetId="6" state="hidden" r:id="rId9"/>
    <sheet name="WBV 2" sheetId="7" r:id="rId10"/>
    <sheet name="WBV 3" sheetId="8" r:id="rId11"/>
    <sheet name="WBV 4" sheetId="9" r:id="rId12"/>
    <sheet name="NÖBV 1" sheetId="10" r:id="rId13"/>
    <sheet name="NÖBV 2" sheetId="11" r:id="rId14"/>
    <sheet name="NÖBV 3" sheetId="12" r:id="rId15"/>
    <sheet name="Regioturnier 1" sheetId="13" r:id="rId16"/>
    <sheet name="Regioturnier 2" sheetId="14" r:id="rId17"/>
    <sheet name="Regioturnier 3" sheetId="15" r:id="rId18"/>
    <sheet name="Agenda" sheetId="16" r:id="rId19"/>
    <sheet name="NeueNamen" sheetId="17" r:id="rId20"/>
    <sheet name="Punkte" sheetId="18" r:id="rId21"/>
    <sheet name="U9" sheetId="19" state="hidden" r:id="rId22"/>
    <sheet name="U11" sheetId="20" state="hidden" r:id="rId23"/>
    <sheet name="U13" sheetId="21" state="hidden" r:id="rId24"/>
    <sheet name="U15" sheetId="22" state="hidden" r:id="rId25"/>
    <sheet name="U17" sheetId="23" state="hidden" r:id="rId26"/>
    <sheet name="U19" sheetId="24" state="hidden" r:id="rId27"/>
  </sheets>
  <definedNames>
    <definedName name="_xlnm._FilterDatabase" localSheetId="0" hidden="1">Rangliste!$A$1:$T$333</definedName>
    <definedName name="Offset">Punkte!$B$10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8" roundtripDataChecksum="NI2Kr5VVa4WmmzCDSVMKcv75/Q5sEc8yH8RA3onf//8="/>
    </ext>
  </extLst>
</workbook>
</file>

<file path=xl/calcChain.xml><?xml version="1.0" encoding="utf-8"?>
<calcChain xmlns="http://schemas.openxmlformats.org/spreadsheetml/2006/main">
  <c r="F3" i="25" l="1"/>
  <c r="F4" i="25"/>
  <c r="F5" i="25"/>
  <c r="F6" i="25"/>
  <c r="F7" i="25"/>
  <c r="F8" i="25"/>
  <c r="F9" i="25"/>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2" i="25"/>
  <c r="F93" i="25"/>
  <c r="F94" i="25"/>
  <c r="F95" i="25"/>
  <c r="F96" i="25"/>
  <c r="F97" i="25"/>
  <c r="F98" i="25"/>
  <c r="F99" i="25"/>
  <c r="F100" i="25"/>
  <c r="F101" i="25"/>
  <c r="F102" i="25"/>
  <c r="F103" i="25"/>
  <c r="F104" i="25"/>
  <c r="F105" i="25"/>
  <c r="F106" i="25"/>
  <c r="F107" i="25"/>
  <c r="F108" i="25"/>
  <c r="F109" i="25"/>
  <c r="F110" i="25"/>
  <c r="F111" i="25"/>
  <c r="F112" i="25"/>
  <c r="F113" i="25"/>
  <c r="F114" i="25"/>
  <c r="F115" i="25"/>
  <c r="F116" i="25"/>
  <c r="F117" i="25"/>
  <c r="F118" i="25"/>
  <c r="F119" i="25"/>
  <c r="F120" i="25"/>
  <c r="F121" i="25"/>
  <c r="F122" i="25"/>
  <c r="F123" i="25"/>
  <c r="F124" i="25"/>
  <c r="F125" i="25"/>
  <c r="F126" i="25"/>
  <c r="F127" i="25"/>
  <c r="F128" i="25"/>
  <c r="F129" i="25"/>
  <c r="F130" i="25"/>
  <c r="F131" i="25"/>
  <c r="F132" i="25"/>
  <c r="F133" i="25"/>
  <c r="F134" i="25"/>
  <c r="F135" i="25"/>
  <c r="F136" i="25"/>
  <c r="F137" i="25"/>
  <c r="F138" i="25"/>
  <c r="F139" i="25"/>
  <c r="F140" i="25"/>
  <c r="F141" i="25"/>
  <c r="F142" i="25"/>
  <c r="F143" i="25"/>
  <c r="F144" i="25"/>
  <c r="F145" i="25"/>
  <c r="F146" i="25"/>
  <c r="F147" i="25"/>
  <c r="F148" i="25"/>
  <c r="F149" i="25"/>
  <c r="F150" i="25"/>
  <c r="F151" i="25"/>
  <c r="F152" i="25"/>
  <c r="F153" i="25"/>
  <c r="F154" i="25"/>
  <c r="F155" i="25"/>
  <c r="F156" i="25"/>
  <c r="F157" i="25"/>
  <c r="F158" i="25"/>
  <c r="F159" i="25"/>
  <c r="F160" i="25"/>
  <c r="F161" i="25"/>
  <c r="F162" i="25"/>
  <c r="F163" i="25"/>
  <c r="F164" i="25"/>
  <c r="F165" i="25"/>
  <c r="F166" i="25"/>
  <c r="F167" i="25"/>
  <c r="F168" i="25"/>
  <c r="F169" i="25"/>
  <c r="F170" i="25"/>
  <c r="F171" i="25"/>
  <c r="F172" i="25"/>
  <c r="F173" i="25"/>
  <c r="F174" i="25"/>
  <c r="F175" i="25"/>
  <c r="F176" i="25"/>
  <c r="F177" i="25"/>
  <c r="F178" i="25"/>
  <c r="F179" i="25"/>
  <c r="F180" i="25"/>
  <c r="F181" i="25"/>
  <c r="F182" i="25"/>
  <c r="F183" i="25"/>
  <c r="F184" i="25"/>
  <c r="F185" i="25"/>
  <c r="F186" i="25"/>
  <c r="F187" i="25"/>
  <c r="F188" i="25"/>
  <c r="F189" i="25"/>
  <c r="F190" i="25"/>
  <c r="F191" i="25"/>
  <c r="F192" i="25"/>
  <c r="F193" i="25"/>
  <c r="F194" i="25"/>
  <c r="F195" i="25"/>
  <c r="F196" i="25"/>
  <c r="F197" i="25"/>
  <c r="F198" i="25"/>
  <c r="F199" i="25"/>
  <c r="F200" i="25"/>
  <c r="F201" i="25"/>
  <c r="F202" i="25"/>
  <c r="F203" i="25"/>
  <c r="F204" i="25"/>
  <c r="F205" i="25"/>
  <c r="F206" i="25"/>
  <c r="F207" i="25"/>
  <c r="F208" i="25"/>
  <c r="F209" i="25"/>
  <c r="F210" i="25"/>
  <c r="F211" i="25"/>
  <c r="F212" i="25"/>
  <c r="F213" i="25"/>
  <c r="F214" i="25"/>
  <c r="F215" i="25"/>
  <c r="F216" i="25"/>
  <c r="F217" i="25"/>
  <c r="F218" i="25"/>
  <c r="F219" i="25"/>
  <c r="F220" i="25"/>
  <c r="F221" i="25"/>
  <c r="F222" i="25"/>
  <c r="F223" i="25"/>
  <c r="F224" i="25"/>
  <c r="F225" i="25"/>
  <c r="F226" i="25"/>
  <c r="F227" i="25"/>
  <c r="F228" i="25"/>
  <c r="F229" i="25"/>
  <c r="F230" i="25"/>
  <c r="F231" i="25"/>
  <c r="F232" i="25"/>
  <c r="F233" i="25"/>
  <c r="F234" i="25"/>
  <c r="F235" i="25"/>
  <c r="F236" i="25"/>
  <c r="F237" i="25"/>
  <c r="F238" i="25"/>
  <c r="F239" i="25"/>
  <c r="F240" i="25"/>
  <c r="F241" i="25"/>
  <c r="F242" i="25"/>
  <c r="F243" i="25"/>
  <c r="F244" i="25"/>
  <c r="F245" i="25"/>
  <c r="F246" i="25"/>
  <c r="F247" i="25"/>
  <c r="F248" i="25"/>
  <c r="F249" i="25"/>
  <c r="F250" i="25"/>
  <c r="F251" i="25"/>
  <c r="F252" i="25"/>
  <c r="F253" i="25"/>
  <c r="F254" i="25"/>
  <c r="F255" i="25"/>
  <c r="F256" i="25"/>
  <c r="F257" i="25"/>
  <c r="F258" i="25"/>
  <c r="F259" i="25"/>
  <c r="F260" i="25"/>
  <c r="F261" i="25"/>
  <c r="F262" i="25"/>
  <c r="F263" i="25"/>
  <c r="F264" i="25"/>
  <c r="F265" i="25"/>
  <c r="F266" i="25"/>
  <c r="F267" i="25"/>
  <c r="F268" i="25"/>
  <c r="F269" i="25"/>
  <c r="F270" i="25"/>
  <c r="F271" i="25"/>
  <c r="F272" i="25"/>
  <c r="F273" i="25"/>
  <c r="F274" i="25"/>
  <c r="F275" i="25"/>
  <c r="F276" i="25"/>
  <c r="F277" i="25"/>
  <c r="F278" i="25"/>
  <c r="F279" i="25"/>
  <c r="F280" i="25"/>
  <c r="F281" i="25"/>
  <c r="F282" i="25"/>
  <c r="F283" i="25"/>
  <c r="F284" i="25"/>
  <c r="F285" i="25"/>
  <c r="F286" i="25"/>
  <c r="F287" i="25"/>
  <c r="F288" i="25"/>
  <c r="F289" i="25"/>
  <c r="F290" i="25"/>
  <c r="F291" i="25"/>
  <c r="F292" i="25"/>
  <c r="F293" i="25"/>
  <c r="F294" i="25"/>
  <c r="F295" i="25"/>
  <c r="F296" i="25"/>
  <c r="F297" i="25"/>
  <c r="F298" i="25"/>
  <c r="F299" i="25"/>
  <c r="F300" i="25"/>
  <c r="F301" i="25"/>
  <c r="F302" i="25"/>
  <c r="F303" i="25"/>
  <c r="F304" i="25"/>
  <c r="F305" i="25"/>
  <c r="F306" i="25"/>
  <c r="F307" i="25"/>
  <c r="F308" i="25"/>
  <c r="F309" i="25"/>
  <c r="F310" i="25"/>
  <c r="F311" i="25"/>
  <c r="F312" i="25"/>
  <c r="F313" i="25"/>
  <c r="F314" i="25"/>
  <c r="F315" i="25"/>
  <c r="F316" i="25"/>
  <c r="F317" i="25"/>
  <c r="F318" i="25"/>
  <c r="F319" i="25"/>
  <c r="F320" i="25"/>
  <c r="F321" i="25"/>
  <c r="F322" i="25"/>
  <c r="F323" i="25"/>
  <c r="F324" i="25"/>
  <c r="F325" i="25"/>
  <c r="F326" i="25"/>
  <c r="F327" i="25"/>
  <c r="F328" i="25"/>
  <c r="F329" i="25"/>
  <c r="F330" i="25"/>
  <c r="F331" i="25"/>
  <c r="F332" i="25"/>
  <c r="F333" i="25"/>
  <c r="F334" i="25"/>
  <c r="F335" i="25"/>
  <c r="F336" i="25"/>
  <c r="F337" i="25"/>
  <c r="F338" i="25"/>
  <c r="F339" i="25"/>
  <c r="F340" i="25"/>
  <c r="F341" i="25"/>
  <c r="F342" i="25"/>
  <c r="F343" i="25"/>
  <c r="F344" i="25"/>
  <c r="F345" i="25"/>
  <c r="F346" i="25"/>
  <c r="F347" i="25"/>
  <c r="F348" i="25"/>
  <c r="F349" i="25"/>
  <c r="F350" i="25"/>
  <c r="F351" i="25"/>
  <c r="F352" i="25"/>
  <c r="F353" i="25"/>
  <c r="F354" i="25"/>
  <c r="F355" i="25"/>
  <c r="F356" i="25"/>
  <c r="F357" i="25"/>
  <c r="F358" i="25"/>
  <c r="F359" i="25"/>
  <c r="F360" i="25"/>
  <c r="F361" i="25"/>
  <c r="F362" i="25"/>
  <c r="F363" i="25"/>
  <c r="F364" i="25"/>
  <c r="F365" i="25"/>
  <c r="F366" i="25"/>
  <c r="F367" i="25"/>
  <c r="F368" i="25"/>
  <c r="F369" i="25"/>
  <c r="F370" i="25"/>
  <c r="F371" i="25"/>
  <c r="F372" i="25"/>
  <c r="F373" i="25"/>
  <c r="F374" i="25"/>
  <c r="F375" i="25"/>
  <c r="F376" i="25"/>
  <c r="F377" i="25"/>
  <c r="F378" i="25"/>
  <c r="F379" i="25"/>
  <c r="F380" i="25"/>
  <c r="F381" i="25"/>
  <c r="F382" i="25"/>
  <c r="F383" i="25"/>
  <c r="F384" i="25"/>
  <c r="F385" i="25"/>
  <c r="F386" i="25"/>
  <c r="F387" i="25"/>
  <c r="F388" i="25"/>
  <c r="F389" i="25"/>
  <c r="F390" i="25"/>
  <c r="F391" i="25"/>
  <c r="F392" i="25"/>
  <c r="F393" i="25"/>
  <c r="F394" i="25"/>
  <c r="F395" i="25"/>
  <c r="F396" i="25"/>
  <c r="F397" i="25"/>
  <c r="F398" i="25"/>
  <c r="F399" i="25"/>
  <c r="F400" i="25"/>
  <c r="F401" i="25"/>
  <c r="F402" i="25"/>
  <c r="F403" i="25"/>
  <c r="F404" i="25"/>
  <c r="F405" i="25"/>
  <c r="F406" i="25"/>
  <c r="F407" i="25"/>
  <c r="F408" i="25"/>
  <c r="F409" i="25"/>
  <c r="F410" i="25"/>
  <c r="F411" i="25"/>
  <c r="F412" i="25"/>
  <c r="F413" i="25"/>
  <c r="F414" i="25"/>
  <c r="F415" i="25"/>
  <c r="F416" i="25"/>
  <c r="F417" i="25"/>
  <c r="F418" i="25"/>
  <c r="F419" i="25"/>
  <c r="F420" i="25"/>
  <c r="F421" i="25"/>
  <c r="F422" i="25"/>
  <c r="F423" i="25"/>
  <c r="F424" i="25"/>
  <c r="F425" i="25"/>
  <c r="F426" i="25"/>
  <c r="F427" i="25"/>
  <c r="F428" i="25"/>
  <c r="F429" i="25"/>
  <c r="F430" i="25"/>
  <c r="F431" i="25"/>
  <c r="F432" i="25"/>
  <c r="F433" i="25"/>
  <c r="F434" i="25"/>
  <c r="F435" i="25"/>
  <c r="F436" i="25"/>
  <c r="F437" i="25"/>
  <c r="F438" i="25"/>
  <c r="F439" i="25"/>
  <c r="F440" i="25"/>
  <c r="F441" i="25"/>
  <c r="F442" i="25"/>
  <c r="F443" i="25"/>
  <c r="F444" i="25"/>
  <c r="F445" i="25"/>
  <c r="F446" i="25"/>
  <c r="F447" i="25"/>
  <c r="F448" i="25"/>
  <c r="F449" i="25"/>
  <c r="F450" i="25"/>
  <c r="F451" i="25"/>
  <c r="F452" i="25"/>
  <c r="F453" i="25"/>
  <c r="F454" i="25"/>
  <c r="F455" i="25"/>
  <c r="F456" i="25"/>
  <c r="F457" i="25"/>
  <c r="F458" i="25"/>
  <c r="F459" i="25"/>
  <c r="F460" i="25"/>
  <c r="F461" i="25"/>
  <c r="F462" i="25"/>
  <c r="F463" i="25"/>
  <c r="F464" i="25"/>
  <c r="F465" i="25"/>
  <c r="F466" i="25"/>
  <c r="F467" i="25"/>
  <c r="F468" i="25"/>
  <c r="F469" i="25"/>
  <c r="F470" i="25"/>
  <c r="F471" i="25"/>
  <c r="F472" i="25"/>
  <c r="F473" i="25"/>
  <c r="F474" i="25"/>
  <c r="F475" i="25"/>
  <c r="F476" i="25"/>
  <c r="F477" i="25"/>
  <c r="F478" i="25"/>
  <c r="F479" i="25"/>
  <c r="F480" i="25"/>
  <c r="F481" i="25"/>
  <c r="F482" i="25"/>
  <c r="F483" i="25"/>
  <c r="F484" i="25"/>
  <c r="F485" i="25"/>
  <c r="F486" i="25"/>
  <c r="F487" i="25"/>
  <c r="F488" i="25"/>
  <c r="F489" i="25"/>
  <c r="F490" i="25"/>
  <c r="F491" i="25"/>
  <c r="F492" i="25"/>
  <c r="F493" i="25"/>
  <c r="F494" i="25"/>
  <c r="F495" i="25"/>
  <c r="F496" i="25"/>
  <c r="F497" i="25"/>
  <c r="F498" i="25"/>
  <c r="F499" i="25"/>
  <c r="F500" i="25"/>
  <c r="F501" i="25"/>
  <c r="F502" i="25"/>
  <c r="F503" i="25"/>
  <c r="F504" i="25"/>
  <c r="F505" i="25"/>
  <c r="F506" i="25"/>
  <c r="F507" i="25"/>
  <c r="F508" i="25"/>
  <c r="F509" i="25"/>
  <c r="F510" i="25"/>
  <c r="F511" i="25"/>
  <c r="F512" i="25"/>
  <c r="F513" i="25"/>
  <c r="F514" i="25"/>
  <c r="F515" i="25"/>
  <c r="F516" i="25"/>
  <c r="F517" i="25"/>
  <c r="F518" i="25"/>
  <c r="F519" i="25"/>
  <c r="F520" i="25"/>
  <c r="F521" i="25"/>
  <c r="F522" i="25"/>
  <c r="F523" i="25"/>
  <c r="F524" i="25"/>
  <c r="F525" i="25"/>
  <c r="F526" i="25"/>
  <c r="F527" i="25"/>
  <c r="F528" i="25"/>
  <c r="F529" i="25"/>
  <c r="F530" i="25"/>
  <c r="F531" i="25"/>
  <c r="F532" i="25"/>
  <c r="F533" i="25"/>
  <c r="F534" i="25"/>
  <c r="F535" i="25"/>
  <c r="F536" i="25"/>
  <c r="F537" i="25"/>
  <c r="F538" i="25"/>
  <c r="F539" i="25"/>
  <c r="F540" i="25"/>
  <c r="F541" i="25"/>
  <c r="F542" i="25"/>
  <c r="F543" i="25"/>
  <c r="F544" i="25"/>
  <c r="F545" i="25"/>
  <c r="F546" i="25"/>
  <c r="F547" i="25"/>
  <c r="F548" i="25"/>
  <c r="F549" i="25"/>
  <c r="F550" i="25"/>
  <c r="F551" i="25"/>
  <c r="F552" i="25"/>
  <c r="F553" i="25"/>
  <c r="F554" i="25"/>
  <c r="F555" i="25"/>
  <c r="F556" i="25"/>
  <c r="F557" i="25"/>
  <c r="F558" i="25"/>
  <c r="F559" i="25"/>
  <c r="F560" i="25"/>
  <c r="F561" i="25"/>
  <c r="F562" i="25"/>
  <c r="F563" i="25"/>
  <c r="F564" i="25"/>
  <c r="F565" i="25"/>
  <c r="F566" i="25"/>
  <c r="F567" i="25"/>
  <c r="F568" i="25"/>
  <c r="F569" i="25"/>
  <c r="F570" i="25"/>
  <c r="F571" i="25"/>
  <c r="F572" i="25"/>
  <c r="F573" i="25"/>
  <c r="F574" i="25"/>
  <c r="F575" i="25"/>
  <c r="F576" i="25"/>
  <c r="F577" i="25"/>
  <c r="F578" i="25"/>
  <c r="F579" i="25"/>
  <c r="F580" i="25"/>
  <c r="F581" i="25"/>
  <c r="F582" i="25"/>
  <c r="F583" i="25"/>
  <c r="F584" i="25"/>
  <c r="F585" i="25"/>
  <c r="F586" i="25"/>
  <c r="F587" i="25"/>
  <c r="F588" i="25"/>
  <c r="F589" i="25"/>
  <c r="F590" i="25"/>
  <c r="F591" i="25"/>
  <c r="F592" i="25"/>
  <c r="F593" i="25"/>
  <c r="F594" i="25"/>
  <c r="F595" i="25"/>
  <c r="F596" i="25"/>
  <c r="F597" i="25"/>
  <c r="F598" i="25"/>
  <c r="F599" i="25"/>
  <c r="F600" i="25"/>
  <c r="F601" i="25"/>
  <c r="F602" i="25"/>
  <c r="F603" i="25"/>
  <c r="F604" i="25"/>
  <c r="F605" i="25"/>
  <c r="F606" i="25"/>
  <c r="F607" i="25"/>
  <c r="F608" i="25"/>
  <c r="F609" i="25"/>
  <c r="F610" i="25"/>
  <c r="F611" i="25"/>
  <c r="F612" i="25"/>
  <c r="F613" i="25"/>
  <c r="F614" i="25"/>
  <c r="F615" i="25"/>
  <c r="F616" i="25"/>
  <c r="F617" i="25"/>
  <c r="F618" i="25"/>
  <c r="F619" i="25"/>
  <c r="F620" i="25"/>
  <c r="F621" i="25"/>
  <c r="F622" i="25"/>
  <c r="F623" i="25"/>
  <c r="F624" i="25"/>
  <c r="F625" i="25"/>
  <c r="F626" i="25"/>
  <c r="F627" i="25"/>
  <c r="F628" i="25"/>
  <c r="F629" i="25"/>
  <c r="F630" i="25"/>
  <c r="F631" i="25"/>
  <c r="F632" i="25"/>
  <c r="F633" i="25"/>
  <c r="F634" i="25"/>
  <c r="F635" i="25"/>
  <c r="F636" i="25"/>
  <c r="F637" i="25"/>
  <c r="F638" i="25"/>
  <c r="F639" i="25"/>
  <c r="F640" i="25"/>
  <c r="F641" i="25"/>
  <c r="F642" i="25"/>
  <c r="F643" i="25"/>
  <c r="F644" i="25"/>
  <c r="F645" i="25"/>
  <c r="F646" i="25"/>
  <c r="F647" i="25"/>
  <c r="F648" i="25"/>
  <c r="F649" i="25"/>
  <c r="F650" i="25"/>
  <c r="F651" i="25"/>
  <c r="F652" i="25"/>
  <c r="F653" i="25"/>
  <c r="F654" i="25"/>
  <c r="F2" i="25"/>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192" i="25"/>
  <c r="E193" i="25"/>
  <c r="E194" i="25"/>
  <c r="E195" i="25"/>
  <c r="E196" i="25"/>
  <c r="E197" i="25"/>
  <c r="E198" i="25"/>
  <c r="E199" i="25"/>
  <c r="E200" i="25"/>
  <c r="E201" i="25"/>
  <c r="E202" i="25"/>
  <c r="E203" i="25"/>
  <c r="E204" i="25"/>
  <c r="E205" i="25"/>
  <c r="E206" i="25"/>
  <c r="E207" i="25"/>
  <c r="E208" i="25"/>
  <c r="E209" i="25"/>
  <c r="E210" i="25"/>
  <c r="E211" i="25"/>
  <c r="E212" i="25"/>
  <c r="E213" i="25"/>
  <c r="E214" i="25"/>
  <c r="E215" i="25"/>
  <c r="E216" i="25"/>
  <c r="E217" i="25"/>
  <c r="E218" i="25"/>
  <c r="E219" i="25"/>
  <c r="E220" i="25"/>
  <c r="E221" i="25"/>
  <c r="E222" i="25"/>
  <c r="E223" i="25"/>
  <c r="E224" i="25"/>
  <c r="E225" i="25"/>
  <c r="E226" i="25"/>
  <c r="E227" i="25"/>
  <c r="E228" i="25"/>
  <c r="E229" i="25"/>
  <c r="E230" i="25"/>
  <c r="E231" i="25"/>
  <c r="E232" i="25"/>
  <c r="E233" i="25"/>
  <c r="E234" i="25"/>
  <c r="E235" i="25"/>
  <c r="E236" i="25"/>
  <c r="E237" i="25"/>
  <c r="E238" i="25"/>
  <c r="E239" i="25"/>
  <c r="E240" i="25"/>
  <c r="E241" i="25"/>
  <c r="E242" i="25"/>
  <c r="E243" i="25"/>
  <c r="E244" i="25"/>
  <c r="E245" i="25"/>
  <c r="E246" i="25"/>
  <c r="E247" i="25"/>
  <c r="E248" i="25"/>
  <c r="E249" i="25"/>
  <c r="E250" i="25"/>
  <c r="E251" i="25"/>
  <c r="E252" i="25"/>
  <c r="E253" i="25"/>
  <c r="E254" i="25"/>
  <c r="E255" i="25"/>
  <c r="E256" i="25"/>
  <c r="E257" i="25"/>
  <c r="E258" i="25"/>
  <c r="E259" i="25"/>
  <c r="E260" i="25"/>
  <c r="E261" i="25"/>
  <c r="E262" i="25"/>
  <c r="E263" i="25"/>
  <c r="E264" i="25"/>
  <c r="E265" i="25"/>
  <c r="E266" i="25"/>
  <c r="E267" i="25"/>
  <c r="E268" i="25"/>
  <c r="E269" i="25"/>
  <c r="E270" i="25"/>
  <c r="E271" i="25"/>
  <c r="E272" i="25"/>
  <c r="E273" i="25"/>
  <c r="E274" i="25"/>
  <c r="E275" i="25"/>
  <c r="E276" i="25"/>
  <c r="E277" i="25"/>
  <c r="E278" i="25"/>
  <c r="E279" i="25"/>
  <c r="E280" i="25"/>
  <c r="E281" i="25"/>
  <c r="E282" i="25"/>
  <c r="E283" i="25"/>
  <c r="E284" i="25"/>
  <c r="E285" i="25"/>
  <c r="E286" i="25"/>
  <c r="E287" i="25"/>
  <c r="E288" i="25"/>
  <c r="E289" i="25"/>
  <c r="E290" i="25"/>
  <c r="E291" i="25"/>
  <c r="E292" i="25"/>
  <c r="E293" i="25"/>
  <c r="E294" i="25"/>
  <c r="E295" i="25"/>
  <c r="E296" i="25"/>
  <c r="E297" i="25"/>
  <c r="E298" i="25"/>
  <c r="E299" i="25"/>
  <c r="E300" i="25"/>
  <c r="E301" i="25"/>
  <c r="E302" i="25"/>
  <c r="E303" i="25"/>
  <c r="E304" i="25"/>
  <c r="E305" i="25"/>
  <c r="E306" i="25"/>
  <c r="E307" i="25"/>
  <c r="E308" i="25"/>
  <c r="E309" i="25"/>
  <c r="E310" i="25"/>
  <c r="E311" i="25"/>
  <c r="E312" i="25"/>
  <c r="E313" i="25"/>
  <c r="E314" i="25"/>
  <c r="E315" i="25"/>
  <c r="E316" i="25"/>
  <c r="E317" i="25"/>
  <c r="E318" i="25"/>
  <c r="E319" i="25"/>
  <c r="E320" i="25"/>
  <c r="E321" i="25"/>
  <c r="E322" i="25"/>
  <c r="E323" i="25"/>
  <c r="E324" i="25"/>
  <c r="E325" i="25"/>
  <c r="E326" i="25"/>
  <c r="E327" i="25"/>
  <c r="E328" i="25"/>
  <c r="E329" i="25"/>
  <c r="E330" i="25"/>
  <c r="E331" i="25"/>
  <c r="E332" i="25"/>
  <c r="E333" i="25"/>
  <c r="E334" i="25"/>
  <c r="E335" i="25"/>
  <c r="E336" i="25"/>
  <c r="E337" i="25"/>
  <c r="E338" i="25"/>
  <c r="E339" i="25"/>
  <c r="E340" i="25"/>
  <c r="E341" i="25"/>
  <c r="E342" i="25"/>
  <c r="E343" i="25"/>
  <c r="E344" i="25"/>
  <c r="E345" i="25"/>
  <c r="E346" i="25"/>
  <c r="E347" i="25"/>
  <c r="E348" i="25"/>
  <c r="E349" i="25"/>
  <c r="E350" i="25"/>
  <c r="E351" i="25"/>
  <c r="E352" i="25"/>
  <c r="E353" i="25"/>
  <c r="E354" i="25"/>
  <c r="E355" i="25"/>
  <c r="E356" i="25"/>
  <c r="E357" i="25"/>
  <c r="E358" i="25"/>
  <c r="E359" i="25"/>
  <c r="E360" i="25"/>
  <c r="E361" i="25"/>
  <c r="E362" i="25"/>
  <c r="E363" i="25"/>
  <c r="E364" i="25"/>
  <c r="E365" i="25"/>
  <c r="E366" i="25"/>
  <c r="E367" i="25"/>
  <c r="E368" i="25"/>
  <c r="E369" i="25"/>
  <c r="E370" i="25"/>
  <c r="E371" i="25"/>
  <c r="E372" i="25"/>
  <c r="E373" i="25"/>
  <c r="E374" i="25"/>
  <c r="E375" i="25"/>
  <c r="E376" i="25"/>
  <c r="E377" i="25"/>
  <c r="E378" i="25"/>
  <c r="E379" i="25"/>
  <c r="E380" i="25"/>
  <c r="E381" i="25"/>
  <c r="E382" i="25"/>
  <c r="E383" i="25"/>
  <c r="E384" i="25"/>
  <c r="E385" i="25"/>
  <c r="E386" i="25"/>
  <c r="E387" i="25"/>
  <c r="E388" i="25"/>
  <c r="E389" i="25"/>
  <c r="E390" i="25"/>
  <c r="E391" i="25"/>
  <c r="E392" i="25"/>
  <c r="E393" i="25"/>
  <c r="E394" i="25"/>
  <c r="E395" i="25"/>
  <c r="E396" i="25"/>
  <c r="E397" i="25"/>
  <c r="E398" i="25"/>
  <c r="E399" i="25"/>
  <c r="E400" i="25"/>
  <c r="E401" i="25"/>
  <c r="E402" i="25"/>
  <c r="E403" i="25"/>
  <c r="E404" i="25"/>
  <c r="E405" i="25"/>
  <c r="E406" i="25"/>
  <c r="E407" i="25"/>
  <c r="E408" i="25"/>
  <c r="E409" i="25"/>
  <c r="E410" i="25"/>
  <c r="E411" i="25"/>
  <c r="E412" i="25"/>
  <c r="E413" i="25"/>
  <c r="E414" i="25"/>
  <c r="E415" i="25"/>
  <c r="E416" i="25"/>
  <c r="E417" i="25"/>
  <c r="E418" i="25"/>
  <c r="E419" i="25"/>
  <c r="E420" i="25"/>
  <c r="E421" i="25"/>
  <c r="E422" i="25"/>
  <c r="E423" i="25"/>
  <c r="E424" i="25"/>
  <c r="E425" i="25"/>
  <c r="E426" i="25"/>
  <c r="E427" i="25"/>
  <c r="E428" i="25"/>
  <c r="E429" i="25"/>
  <c r="E430" i="25"/>
  <c r="E431" i="25"/>
  <c r="E432" i="25"/>
  <c r="E433" i="25"/>
  <c r="E434" i="25"/>
  <c r="E435" i="25"/>
  <c r="E436" i="25"/>
  <c r="E437" i="25"/>
  <c r="E438" i="25"/>
  <c r="E439" i="25"/>
  <c r="E440" i="25"/>
  <c r="E441" i="25"/>
  <c r="E442" i="25"/>
  <c r="E443" i="25"/>
  <c r="E444" i="25"/>
  <c r="E445" i="25"/>
  <c r="E446" i="25"/>
  <c r="E447" i="25"/>
  <c r="E448" i="25"/>
  <c r="E449" i="25"/>
  <c r="E450" i="25"/>
  <c r="E451" i="25"/>
  <c r="E452" i="25"/>
  <c r="E453" i="25"/>
  <c r="E454" i="25"/>
  <c r="E455" i="25"/>
  <c r="E456" i="25"/>
  <c r="E457" i="25"/>
  <c r="E458" i="25"/>
  <c r="E459" i="25"/>
  <c r="E460" i="25"/>
  <c r="E461" i="25"/>
  <c r="E462" i="25"/>
  <c r="E463" i="25"/>
  <c r="E464" i="25"/>
  <c r="E465" i="25"/>
  <c r="E466" i="25"/>
  <c r="E467" i="25"/>
  <c r="E468" i="25"/>
  <c r="E469" i="25"/>
  <c r="E470" i="25"/>
  <c r="E471" i="25"/>
  <c r="E472" i="25"/>
  <c r="E473" i="25"/>
  <c r="E474" i="25"/>
  <c r="E475" i="25"/>
  <c r="E476" i="25"/>
  <c r="E477" i="25"/>
  <c r="E478" i="25"/>
  <c r="E479" i="25"/>
  <c r="E480" i="25"/>
  <c r="E481" i="25"/>
  <c r="E482" i="25"/>
  <c r="E483" i="25"/>
  <c r="E484" i="25"/>
  <c r="E485" i="25"/>
  <c r="E486" i="25"/>
  <c r="E487" i="25"/>
  <c r="E488" i="25"/>
  <c r="E489" i="25"/>
  <c r="E490" i="25"/>
  <c r="E491" i="25"/>
  <c r="E492" i="25"/>
  <c r="E493" i="25"/>
  <c r="E494" i="25"/>
  <c r="E495" i="25"/>
  <c r="E496" i="25"/>
  <c r="E497" i="25"/>
  <c r="E498" i="25"/>
  <c r="E499" i="25"/>
  <c r="E500" i="25"/>
  <c r="E501" i="25"/>
  <c r="E502" i="25"/>
  <c r="E503" i="25"/>
  <c r="E504" i="25"/>
  <c r="E505" i="25"/>
  <c r="E506" i="25"/>
  <c r="E507" i="25"/>
  <c r="E508" i="25"/>
  <c r="E509" i="25"/>
  <c r="E510" i="25"/>
  <c r="E511" i="25"/>
  <c r="E512" i="25"/>
  <c r="E513" i="25"/>
  <c r="E514" i="25"/>
  <c r="E515" i="25"/>
  <c r="E516" i="25"/>
  <c r="E517" i="25"/>
  <c r="E518" i="25"/>
  <c r="E519" i="25"/>
  <c r="E520" i="25"/>
  <c r="E521" i="25"/>
  <c r="E522" i="25"/>
  <c r="E523" i="25"/>
  <c r="E524" i="25"/>
  <c r="E525" i="25"/>
  <c r="E526" i="25"/>
  <c r="E527" i="25"/>
  <c r="E528" i="25"/>
  <c r="E529" i="25"/>
  <c r="E530" i="25"/>
  <c r="E531" i="25"/>
  <c r="E532" i="25"/>
  <c r="E533" i="25"/>
  <c r="E534" i="25"/>
  <c r="E535" i="25"/>
  <c r="E536" i="25"/>
  <c r="E537" i="25"/>
  <c r="E538" i="25"/>
  <c r="E539" i="25"/>
  <c r="E540" i="25"/>
  <c r="E541" i="25"/>
  <c r="E542" i="25"/>
  <c r="E543" i="25"/>
  <c r="E544" i="25"/>
  <c r="E545" i="25"/>
  <c r="E546" i="25"/>
  <c r="E547" i="25"/>
  <c r="E548" i="25"/>
  <c r="E549" i="25"/>
  <c r="E550" i="25"/>
  <c r="E551" i="25"/>
  <c r="E552" i="25"/>
  <c r="E553" i="25"/>
  <c r="E554" i="25"/>
  <c r="E555" i="25"/>
  <c r="E556" i="25"/>
  <c r="E557" i="25"/>
  <c r="E558" i="25"/>
  <c r="E559" i="25"/>
  <c r="E560" i="25"/>
  <c r="E561" i="25"/>
  <c r="E562" i="25"/>
  <c r="E563" i="25"/>
  <c r="E564" i="25"/>
  <c r="E565" i="25"/>
  <c r="E566" i="25"/>
  <c r="E567" i="25"/>
  <c r="E568" i="25"/>
  <c r="E569" i="25"/>
  <c r="E570" i="25"/>
  <c r="E571" i="25"/>
  <c r="E572" i="25"/>
  <c r="E573" i="25"/>
  <c r="E574" i="25"/>
  <c r="E575" i="25"/>
  <c r="E576" i="25"/>
  <c r="E577" i="25"/>
  <c r="E578" i="25"/>
  <c r="E579" i="25"/>
  <c r="E580" i="25"/>
  <c r="E581" i="25"/>
  <c r="E582" i="25"/>
  <c r="E583" i="25"/>
  <c r="E584" i="25"/>
  <c r="E585" i="25"/>
  <c r="E586" i="25"/>
  <c r="E587" i="25"/>
  <c r="E588" i="25"/>
  <c r="E589" i="25"/>
  <c r="E590" i="25"/>
  <c r="E591" i="25"/>
  <c r="E592" i="25"/>
  <c r="E593" i="25"/>
  <c r="E594" i="25"/>
  <c r="E595" i="25"/>
  <c r="E596" i="25"/>
  <c r="E597" i="25"/>
  <c r="E598" i="25"/>
  <c r="E599" i="25"/>
  <c r="E600" i="25"/>
  <c r="E601" i="25"/>
  <c r="E602" i="25"/>
  <c r="E603" i="25"/>
  <c r="E604" i="25"/>
  <c r="E605" i="25"/>
  <c r="E606" i="25"/>
  <c r="E607" i="25"/>
  <c r="E608" i="25"/>
  <c r="E609" i="25"/>
  <c r="E610" i="25"/>
  <c r="E611" i="25"/>
  <c r="E612" i="25"/>
  <c r="E613" i="25"/>
  <c r="E614" i="25"/>
  <c r="E615" i="25"/>
  <c r="E616" i="25"/>
  <c r="E617" i="25"/>
  <c r="E618" i="25"/>
  <c r="E619" i="25"/>
  <c r="E620" i="25"/>
  <c r="E621" i="25"/>
  <c r="E622" i="25"/>
  <c r="E623" i="25"/>
  <c r="E624" i="25"/>
  <c r="E625" i="25"/>
  <c r="E626" i="25"/>
  <c r="E627" i="25"/>
  <c r="E628" i="25"/>
  <c r="E629" i="25"/>
  <c r="E630" i="25"/>
  <c r="E631" i="25"/>
  <c r="E632" i="25"/>
  <c r="E633" i="25"/>
  <c r="E634" i="25"/>
  <c r="E635" i="25"/>
  <c r="E636" i="25"/>
  <c r="E637" i="25"/>
  <c r="E638" i="25"/>
  <c r="E639" i="25"/>
  <c r="E640" i="25"/>
  <c r="E641" i="25"/>
  <c r="E642" i="25"/>
  <c r="E643" i="25"/>
  <c r="E644" i="25"/>
  <c r="E645" i="25"/>
  <c r="E646" i="25"/>
  <c r="E647" i="25"/>
  <c r="E648" i="25"/>
  <c r="E649" i="25"/>
  <c r="E650" i="25"/>
  <c r="E651" i="25"/>
  <c r="E652" i="25"/>
  <c r="E653" i="25"/>
  <c r="E654" i="25"/>
  <c r="E2" i="25"/>
  <c r="A3" i="26"/>
  <c r="A4"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2" i="26"/>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3" i="25"/>
  <c r="A394" i="25"/>
  <c r="A395" i="25"/>
  <c r="A396" i="25"/>
  <c r="A397"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A554" i="25"/>
  <c r="A555" i="25"/>
  <c r="A556" i="25"/>
  <c r="A557" i="25"/>
  <c r="A558" i="25"/>
  <c r="A559" i="25"/>
  <c r="A560" i="25"/>
  <c r="A561" i="25"/>
  <c r="A562" i="25"/>
  <c r="A563" i="25"/>
  <c r="A564" i="25"/>
  <c r="A565" i="25"/>
  <c r="A566" i="25"/>
  <c r="A567" i="25"/>
  <c r="A568" i="25"/>
  <c r="A569" i="25"/>
  <c r="A570" i="25"/>
  <c r="A571" i="25"/>
  <c r="A572" i="25"/>
  <c r="A573" i="25"/>
  <c r="A574" i="25"/>
  <c r="A575" i="25"/>
  <c r="A576" i="25"/>
  <c r="A577" i="25"/>
  <c r="A578" i="25"/>
  <c r="A579" i="25"/>
  <c r="A580" i="25"/>
  <c r="A581" i="25"/>
  <c r="A582" i="25"/>
  <c r="A583" i="25"/>
  <c r="A584" i="25"/>
  <c r="A585" i="25"/>
  <c r="A586" i="25"/>
  <c r="A587" i="25"/>
  <c r="A588" i="25"/>
  <c r="A589" i="25"/>
  <c r="A590" i="25"/>
  <c r="A591" i="25"/>
  <c r="A592" i="25"/>
  <c r="A593" i="25"/>
  <c r="A594" i="25"/>
  <c r="A595" i="25"/>
  <c r="A596" i="25"/>
  <c r="A597" i="25"/>
  <c r="A598" i="25"/>
  <c r="A599" i="25"/>
  <c r="A600" i="25"/>
  <c r="A601" i="25"/>
  <c r="A602" i="25"/>
  <c r="A603" i="25"/>
  <c r="A604" i="25"/>
  <c r="A605" i="25"/>
  <c r="A606" i="25"/>
  <c r="A607" i="25"/>
  <c r="A608" i="25"/>
  <c r="A609" i="25"/>
  <c r="A610" i="25"/>
  <c r="A611" i="25"/>
  <c r="A612" i="25"/>
  <c r="A613" i="25"/>
  <c r="A614" i="25"/>
  <c r="A615" i="25"/>
  <c r="A616" i="25"/>
  <c r="A617" i="25"/>
  <c r="A618" i="25"/>
  <c r="A619" i="25"/>
  <c r="A620" i="25"/>
  <c r="A621" i="25"/>
  <c r="A622" i="25"/>
  <c r="A623" i="25"/>
  <c r="A624" i="25"/>
  <c r="A625" i="25"/>
  <c r="A626" i="25"/>
  <c r="A627" i="25"/>
  <c r="A628" i="25"/>
  <c r="A629" i="25"/>
  <c r="A630" i="25"/>
  <c r="A631" i="25"/>
  <c r="A632" i="25"/>
  <c r="A633" i="25"/>
  <c r="A634" i="25"/>
  <c r="A635" i="25"/>
  <c r="A636" i="25"/>
  <c r="A637" i="25"/>
  <c r="A638" i="25"/>
  <c r="A639" i="25"/>
  <c r="A640" i="25"/>
  <c r="A641" i="25"/>
  <c r="A642" i="25"/>
  <c r="A643" i="25"/>
  <c r="A644" i="25"/>
  <c r="A645" i="25"/>
  <c r="A646" i="25"/>
  <c r="A647" i="25"/>
  <c r="A648" i="25"/>
  <c r="A649" i="25"/>
  <c r="A650" i="25"/>
  <c r="A651" i="25"/>
  <c r="A652" i="25"/>
  <c r="A653" i="25"/>
  <c r="A654" i="25"/>
  <c r="A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B412" i="25"/>
  <c r="B413" i="25"/>
  <c r="B414" i="25"/>
  <c r="B415" i="25"/>
  <c r="B416" i="25"/>
  <c r="B417" i="25"/>
  <c r="B418" i="25"/>
  <c r="B419" i="25"/>
  <c r="B420" i="25"/>
  <c r="B421" i="25"/>
  <c r="B422" i="25"/>
  <c r="B423" i="25"/>
  <c r="B424" i="25"/>
  <c r="B425" i="25"/>
  <c r="B426" i="25"/>
  <c r="B427" i="25"/>
  <c r="B428" i="25"/>
  <c r="B429" i="25"/>
  <c r="B430" i="25"/>
  <c r="B431" i="25"/>
  <c r="B432" i="25"/>
  <c r="B433" i="25"/>
  <c r="B434" i="25"/>
  <c r="B435" i="25"/>
  <c r="B436" i="25"/>
  <c r="B437" i="25"/>
  <c r="B438" i="25"/>
  <c r="B439" i="25"/>
  <c r="B440" i="25"/>
  <c r="B441" i="25"/>
  <c r="B442" i="25"/>
  <c r="B443" i="25"/>
  <c r="B444" i="25"/>
  <c r="B445" i="25"/>
  <c r="B446" i="25"/>
  <c r="B447" i="25"/>
  <c r="B448" i="25"/>
  <c r="B449" i="25"/>
  <c r="B450" i="25"/>
  <c r="B451" i="25"/>
  <c r="B452" i="25"/>
  <c r="B453" i="25"/>
  <c r="B454" i="25"/>
  <c r="B455" i="25"/>
  <c r="B456" i="25"/>
  <c r="B457" i="25"/>
  <c r="B458" i="25"/>
  <c r="B459" i="25"/>
  <c r="B460" i="25"/>
  <c r="B461" i="25"/>
  <c r="B462" i="25"/>
  <c r="B463" i="25"/>
  <c r="B464" i="25"/>
  <c r="B465" i="25"/>
  <c r="B466" i="25"/>
  <c r="B467" i="25"/>
  <c r="B468" i="25"/>
  <c r="B469" i="25"/>
  <c r="B470" i="25"/>
  <c r="B471" i="25"/>
  <c r="B472" i="25"/>
  <c r="B473" i="25"/>
  <c r="B474" i="25"/>
  <c r="B475" i="25"/>
  <c r="B476" i="25"/>
  <c r="B477" i="25"/>
  <c r="B478" i="25"/>
  <c r="B479" i="25"/>
  <c r="B480" i="25"/>
  <c r="B481" i="25"/>
  <c r="B482" i="25"/>
  <c r="B483" i="25"/>
  <c r="B484" i="25"/>
  <c r="B485" i="25"/>
  <c r="B486" i="25"/>
  <c r="B487" i="25"/>
  <c r="B488" i="25"/>
  <c r="B489" i="25"/>
  <c r="B490" i="25"/>
  <c r="B491" i="25"/>
  <c r="B492" i="25"/>
  <c r="B493" i="25"/>
  <c r="B494" i="25"/>
  <c r="B495" i="25"/>
  <c r="B496" i="25"/>
  <c r="B497" i="25"/>
  <c r="B498" i="25"/>
  <c r="B499" i="25"/>
  <c r="B500" i="25"/>
  <c r="B501" i="25"/>
  <c r="B502" i="25"/>
  <c r="B503" i="25"/>
  <c r="B504" i="25"/>
  <c r="B505" i="25"/>
  <c r="B506" i="25"/>
  <c r="B507" i="25"/>
  <c r="B508" i="25"/>
  <c r="B509" i="25"/>
  <c r="B510" i="25"/>
  <c r="B511" i="25"/>
  <c r="B512" i="25"/>
  <c r="B513" i="25"/>
  <c r="B514" i="25"/>
  <c r="B515" i="25"/>
  <c r="B516" i="25"/>
  <c r="B517" i="25"/>
  <c r="B518" i="25"/>
  <c r="B519" i="25"/>
  <c r="B520" i="25"/>
  <c r="B521" i="25"/>
  <c r="B522" i="25"/>
  <c r="B523" i="25"/>
  <c r="B524" i="25"/>
  <c r="B525" i="25"/>
  <c r="B526" i="25"/>
  <c r="B527" i="25"/>
  <c r="B528" i="25"/>
  <c r="B529" i="25"/>
  <c r="B530" i="25"/>
  <c r="B531" i="25"/>
  <c r="B532" i="25"/>
  <c r="B533" i="25"/>
  <c r="B534" i="25"/>
  <c r="B535" i="25"/>
  <c r="B536" i="25"/>
  <c r="B537" i="25"/>
  <c r="B538" i="25"/>
  <c r="B539" i="25"/>
  <c r="B540" i="25"/>
  <c r="B541" i="25"/>
  <c r="B542" i="25"/>
  <c r="B543" i="25"/>
  <c r="B544" i="25"/>
  <c r="B545" i="25"/>
  <c r="B546" i="25"/>
  <c r="B547" i="25"/>
  <c r="B548" i="25"/>
  <c r="B549" i="25"/>
  <c r="B550" i="25"/>
  <c r="B551" i="25"/>
  <c r="B552" i="25"/>
  <c r="B553" i="25"/>
  <c r="B554" i="25"/>
  <c r="B555" i="25"/>
  <c r="B556" i="25"/>
  <c r="B557" i="25"/>
  <c r="B558" i="25"/>
  <c r="B559" i="25"/>
  <c r="B560" i="25"/>
  <c r="B561" i="25"/>
  <c r="B562" i="25"/>
  <c r="B563" i="25"/>
  <c r="B564" i="25"/>
  <c r="B565" i="25"/>
  <c r="B566" i="25"/>
  <c r="B567" i="25"/>
  <c r="B568" i="25"/>
  <c r="B569" i="25"/>
  <c r="B570" i="25"/>
  <c r="B571" i="25"/>
  <c r="B572" i="25"/>
  <c r="B573" i="25"/>
  <c r="B574" i="25"/>
  <c r="B575" i="25"/>
  <c r="B576" i="25"/>
  <c r="B577" i="25"/>
  <c r="B578" i="25"/>
  <c r="B579" i="25"/>
  <c r="B580" i="25"/>
  <c r="B581" i="25"/>
  <c r="B582" i="25"/>
  <c r="B583" i="25"/>
  <c r="B584" i="25"/>
  <c r="B585" i="25"/>
  <c r="B586" i="25"/>
  <c r="B587" i="25"/>
  <c r="B588" i="25"/>
  <c r="B589" i="25"/>
  <c r="B590" i="25"/>
  <c r="B591" i="25"/>
  <c r="B592" i="25"/>
  <c r="B593" i="25"/>
  <c r="B594" i="25"/>
  <c r="B595" i="25"/>
  <c r="B596" i="25"/>
  <c r="B597" i="25"/>
  <c r="B598" i="25"/>
  <c r="B599" i="25"/>
  <c r="B600" i="25"/>
  <c r="B601" i="25"/>
  <c r="B602" i="25"/>
  <c r="B603" i="25"/>
  <c r="B604" i="25"/>
  <c r="B605" i="25"/>
  <c r="B606" i="25"/>
  <c r="B607" i="25"/>
  <c r="B608" i="25"/>
  <c r="B609" i="25"/>
  <c r="B610" i="25"/>
  <c r="B611" i="25"/>
  <c r="B612" i="25"/>
  <c r="B613" i="25"/>
  <c r="B614" i="25"/>
  <c r="B615" i="25"/>
  <c r="B616" i="25"/>
  <c r="B617" i="25"/>
  <c r="B618" i="25"/>
  <c r="B619" i="25"/>
  <c r="B620" i="25"/>
  <c r="B621" i="25"/>
  <c r="B622" i="25"/>
  <c r="B623" i="25"/>
  <c r="B624" i="25"/>
  <c r="B625" i="25"/>
  <c r="B626" i="25"/>
  <c r="B627" i="25"/>
  <c r="B628" i="25"/>
  <c r="B629" i="25"/>
  <c r="B630" i="25"/>
  <c r="B631" i="25"/>
  <c r="B632" i="25"/>
  <c r="B633" i="25"/>
  <c r="B634" i="25"/>
  <c r="B635" i="25"/>
  <c r="B636" i="25"/>
  <c r="B637" i="25"/>
  <c r="B638" i="25"/>
  <c r="B639" i="25"/>
  <c r="B640" i="25"/>
  <c r="B641" i="25"/>
  <c r="B642" i="25"/>
  <c r="B643" i="25"/>
  <c r="B644" i="25"/>
  <c r="B645" i="25"/>
  <c r="B646" i="25"/>
  <c r="B647" i="25"/>
  <c r="B648" i="25"/>
  <c r="B649" i="25"/>
  <c r="B650" i="25"/>
  <c r="B651" i="25"/>
  <c r="B652" i="25"/>
  <c r="B653" i="25"/>
  <c r="B654" i="25"/>
  <c r="B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D339" i="25"/>
  <c r="C340" i="25"/>
  <c r="D340" i="25"/>
  <c r="C341" i="25"/>
  <c r="D341" i="25"/>
  <c r="C342" i="25"/>
  <c r="D342" i="25"/>
  <c r="C343" i="25"/>
  <c r="D343" i="25"/>
  <c r="C344" i="25"/>
  <c r="D344" i="25"/>
  <c r="C345" i="25"/>
  <c r="D345" i="25"/>
  <c r="C346" i="25"/>
  <c r="D346" i="25"/>
  <c r="C347" i="25"/>
  <c r="D347" i="25"/>
  <c r="C348" i="25"/>
  <c r="D348" i="25"/>
  <c r="C349" i="25"/>
  <c r="D349" i="25"/>
  <c r="C350" i="25"/>
  <c r="D350" i="25"/>
  <c r="C351" i="25"/>
  <c r="D351" i="25"/>
  <c r="C352" i="25"/>
  <c r="D352" i="25"/>
  <c r="C353" i="25"/>
  <c r="D353" i="25"/>
  <c r="C354" i="25"/>
  <c r="D354" i="25"/>
  <c r="C355" i="25"/>
  <c r="D355" i="25"/>
  <c r="C356" i="25"/>
  <c r="D356" i="25"/>
  <c r="C357" i="25"/>
  <c r="D357" i="25"/>
  <c r="C358" i="25"/>
  <c r="D358" i="25"/>
  <c r="C359" i="25"/>
  <c r="D359" i="25"/>
  <c r="C360" i="25"/>
  <c r="D360" i="25"/>
  <c r="C361" i="25"/>
  <c r="D361" i="25"/>
  <c r="C362" i="25"/>
  <c r="D362" i="25"/>
  <c r="C363" i="25"/>
  <c r="D363" i="25"/>
  <c r="C364" i="25"/>
  <c r="D364" i="25"/>
  <c r="C365" i="25"/>
  <c r="D365" i="25"/>
  <c r="C366" i="25"/>
  <c r="D366" i="25"/>
  <c r="C367" i="25"/>
  <c r="D367" i="25"/>
  <c r="C368" i="25"/>
  <c r="D368" i="25"/>
  <c r="C369" i="25"/>
  <c r="D369" i="25"/>
  <c r="C370" i="25"/>
  <c r="D370" i="25"/>
  <c r="C371" i="25"/>
  <c r="D371" i="25"/>
  <c r="C372" i="25"/>
  <c r="D372" i="25"/>
  <c r="C373" i="25"/>
  <c r="D373" i="25"/>
  <c r="C374" i="25"/>
  <c r="D374" i="25"/>
  <c r="C375" i="25"/>
  <c r="D375" i="25"/>
  <c r="C376" i="25"/>
  <c r="D376" i="25"/>
  <c r="C377" i="25"/>
  <c r="D377" i="25"/>
  <c r="C378" i="25"/>
  <c r="D378" i="25"/>
  <c r="C379" i="25"/>
  <c r="D379" i="25"/>
  <c r="C380" i="25"/>
  <c r="D380" i="25"/>
  <c r="C381" i="25"/>
  <c r="D381" i="25"/>
  <c r="C382" i="25"/>
  <c r="D382" i="25"/>
  <c r="C383" i="25"/>
  <c r="D383" i="25"/>
  <c r="C384" i="25"/>
  <c r="D384" i="25"/>
  <c r="C385" i="25"/>
  <c r="D385" i="25"/>
  <c r="C386" i="25"/>
  <c r="D386" i="25"/>
  <c r="C387" i="25"/>
  <c r="D387" i="25"/>
  <c r="C388" i="25"/>
  <c r="D388" i="25"/>
  <c r="C389" i="25"/>
  <c r="D389" i="25"/>
  <c r="C390" i="25"/>
  <c r="D390" i="25"/>
  <c r="C391" i="25"/>
  <c r="D391" i="25"/>
  <c r="C392" i="25"/>
  <c r="D392" i="25"/>
  <c r="C393" i="25"/>
  <c r="D393" i="25"/>
  <c r="C394" i="25"/>
  <c r="D394" i="25"/>
  <c r="C395" i="25"/>
  <c r="D395" i="25"/>
  <c r="C396" i="25"/>
  <c r="D396" i="25"/>
  <c r="C397" i="25"/>
  <c r="D397" i="25"/>
  <c r="C398" i="25"/>
  <c r="D398" i="25"/>
  <c r="C399" i="25"/>
  <c r="D399" i="25"/>
  <c r="C400" i="25"/>
  <c r="D400" i="25"/>
  <c r="C401" i="25"/>
  <c r="D401" i="25"/>
  <c r="C402" i="25"/>
  <c r="D402" i="25"/>
  <c r="C403" i="25"/>
  <c r="D403" i="25"/>
  <c r="C404" i="25"/>
  <c r="D404" i="25"/>
  <c r="C405" i="25"/>
  <c r="D405" i="25"/>
  <c r="C406" i="25"/>
  <c r="D406" i="25"/>
  <c r="C407" i="25"/>
  <c r="D407" i="25"/>
  <c r="C408" i="25"/>
  <c r="D408" i="25"/>
  <c r="C409" i="25"/>
  <c r="D409" i="25"/>
  <c r="C410" i="25"/>
  <c r="D410" i="25"/>
  <c r="C411" i="25"/>
  <c r="D411" i="25"/>
  <c r="C412" i="25"/>
  <c r="D412" i="25"/>
  <c r="C413" i="25"/>
  <c r="D413" i="25"/>
  <c r="C414" i="25"/>
  <c r="D414" i="25"/>
  <c r="C415" i="25"/>
  <c r="D415" i="25"/>
  <c r="C416" i="25"/>
  <c r="D416" i="25"/>
  <c r="C417" i="25"/>
  <c r="D417" i="25"/>
  <c r="C418" i="25"/>
  <c r="D418" i="25"/>
  <c r="C419" i="25"/>
  <c r="D419" i="25"/>
  <c r="C420" i="25"/>
  <c r="D420" i="25"/>
  <c r="C421" i="25"/>
  <c r="D421" i="25"/>
  <c r="C422" i="25"/>
  <c r="D422" i="25"/>
  <c r="C423" i="25"/>
  <c r="D423" i="25"/>
  <c r="C424" i="25"/>
  <c r="D424" i="25"/>
  <c r="C425" i="25"/>
  <c r="D425" i="25"/>
  <c r="C426" i="25"/>
  <c r="D426" i="25"/>
  <c r="C427" i="25"/>
  <c r="D427" i="25"/>
  <c r="C428" i="25"/>
  <c r="D428" i="25"/>
  <c r="C429" i="25"/>
  <c r="D429" i="25"/>
  <c r="C430" i="25"/>
  <c r="D430" i="25"/>
  <c r="C431" i="25"/>
  <c r="D431" i="25"/>
  <c r="C432" i="25"/>
  <c r="D432" i="25"/>
  <c r="C433" i="25"/>
  <c r="D433" i="25"/>
  <c r="C434" i="25"/>
  <c r="D434" i="25"/>
  <c r="C435" i="25"/>
  <c r="D435" i="25"/>
  <c r="C436" i="25"/>
  <c r="D436" i="25"/>
  <c r="C437" i="25"/>
  <c r="D437" i="25"/>
  <c r="C438" i="25"/>
  <c r="D438" i="25"/>
  <c r="C439" i="25"/>
  <c r="D439" i="25"/>
  <c r="C440" i="25"/>
  <c r="D440" i="25"/>
  <c r="C441" i="25"/>
  <c r="D441" i="25"/>
  <c r="C442" i="25"/>
  <c r="D442" i="25"/>
  <c r="C443" i="25"/>
  <c r="D443" i="25"/>
  <c r="C444" i="25"/>
  <c r="D444" i="25"/>
  <c r="C445" i="25"/>
  <c r="D445" i="25"/>
  <c r="C446" i="25"/>
  <c r="D446" i="25"/>
  <c r="C447" i="25"/>
  <c r="D447" i="25"/>
  <c r="C448" i="25"/>
  <c r="D448" i="25"/>
  <c r="C449" i="25"/>
  <c r="D449" i="25"/>
  <c r="C450" i="25"/>
  <c r="D450" i="25"/>
  <c r="C451" i="25"/>
  <c r="D451" i="25"/>
  <c r="C452" i="25"/>
  <c r="D452" i="25"/>
  <c r="C453" i="25"/>
  <c r="D453" i="25"/>
  <c r="C454" i="25"/>
  <c r="D454" i="25"/>
  <c r="C455" i="25"/>
  <c r="D455" i="25"/>
  <c r="C456" i="25"/>
  <c r="D456" i="25"/>
  <c r="C457" i="25"/>
  <c r="D457" i="25"/>
  <c r="C458" i="25"/>
  <c r="D458" i="25"/>
  <c r="C459" i="25"/>
  <c r="D459" i="25"/>
  <c r="C460" i="25"/>
  <c r="D460" i="25"/>
  <c r="C461" i="25"/>
  <c r="D461" i="25"/>
  <c r="C462" i="25"/>
  <c r="D462" i="25"/>
  <c r="C463" i="25"/>
  <c r="D463" i="25"/>
  <c r="C464" i="25"/>
  <c r="D464" i="25"/>
  <c r="C465" i="25"/>
  <c r="D465" i="25"/>
  <c r="C466" i="25"/>
  <c r="D466" i="25"/>
  <c r="C467" i="25"/>
  <c r="D467" i="25"/>
  <c r="C468" i="25"/>
  <c r="D468" i="25"/>
  <c r="C469" i="25"/>
  <c r="D469" i="25"/>
  <c r="C470" i="25"/>
  <c r="D470" i="25"/>
  <c r="C471" i="25"/>
  <c r="D471" i="25"/>
  <c r="C472" i="25"/>
  <c r="D472" i="25"/>
  <c r="C473" i="25"/>
  <c r="D473" i="25"/>
  <c r="C474" i="25"/>
  <c r="D474" i="25"/>
  <c r="C475" i="25"/>
  <c r="D475" i="25"/>
  <c r="C476" i="25"/>
  <c r="D476" i="25"/>
  <c r="C477" i="25"/>
  <c r="D477" i="25"/>
  <c r="C478" i="25"/>
  <c r="D478" i="25"/>
  <c r="C479" i="25"/>
  <c r="D479" i="25"/>
  <c r="C480" i="25"/>
  <c r="D480" i="25"/>
  <c r="C481" i="25"/>
  <c r="D481" i="25"/>
  <c r="C482" i="25"/>
  <c r="D482" i="25"/>
  <c r="C483" i="25"/>
  <c r="D483" i="25"/>
  <c r="C484" i="25"/>
  <c r="D484" i="25"/>
  <c r="C485" i="25"/>
  <c r="D485" i="25"/>
  <c r="C486" i="25"/>
  <c r="D486" i="25"/>
  <c r="C487" i="25"/>
  <c r="D487" i="25"/>
  <c r="C488" i="25"/>
  <c r="D488" i="25"/>
  <c r="C489" i="25"/>
  <c r="D489" i="25"/>
  <c r="C490" i="25"/>
  <c r="D490" i="25"/>
  <c r="C491" i="25"/>
  <c r="D491" i="25"/>
  <c r="C492" i="25"/>
  <c r="D492" i="25"/>
  <c r="C493" i="25"/>
  <c r="D493" i="25"/>
  <c r="C494" i="25"/>
  <c r="D494" i="25"/>
  <c r="C495" i="25"/>
  <c r="D495" i="25"/>
  <c r="C496" i="25"/>
  <c r="D496" i="25"/>
  <c r="C497" i="25"/>
  <c r="D497" i="25"/>
  <c r="C498" i="25"/>
  <c r="D498" i="25"/>
  <c r="C499" i="25"/>
  <c r="D499" i="25"/>
  <c r="C500" i="25"/>
  <c r="D500" i="25"/>
  <c r="C501" i="25"/>
  <c r="D501" i="25"/>
  <c r="C502" i="25"/>
  <c r="D502" i="25"/>
  <c r="C503" i="25"/>
  <c r="D503" i="25"/>
  <c r="C504" i="25"/>
  <c r="D504" i="25"/>
  <c r="C505" i="25"/>
  <c r="D505" i="25"/>
  <c r="C506" i="25"/>
  <c r="D506" i="25"/>
  <c r="C507" i="25"/>
  <c r="D507" i="25"/>
  <c r="C508" i="25"/>
  <c r="D508" i="25"/>
  <c r="C509" i="25"/>
  <c r="D509" i="25"/>
  <c r="C510" i="25"/>
  <c r="D510" i="25"/>
  <c r="C511" i="25"/>
  <c r="D511" i="25"/>
  <c r="C512" i="25"/>
  <c r="D512" i="25"/>
  <c r="C513" i="25"/>
  <c r="D513" i="25"/>
  <c r="C514" i="25"/>
  <c r="D514" i="25"/>
  <c r="C515" i="25"/>
  <c r="D515" i="25"/>
  <c r="C516" i="25"/>
  <c r="D516" i="25"/>
  <c r="C517" i="25"/>
  <c r="D517" i="25"/>
  <c r="C518" i="25"/>
  <c r="D518" i="25"/>
  <c r="C519" i="25"/>
  <c r="D519" i="25"/>
  <c r="C520" i="25"/>
  <c r="D520" i="25"/>
  <c r="C521" i="25"/>
  <c r="D521" i="25"/>
  <c r="C522" i="25"/>
  <c r="D522" i="25"/>
  <c r="C523" i="25"/>
  <c r="D523" i="25"/>
  <c r="C524" i="25"/>
  <c r="D524" i="25"/>
  <c r="C525" i="25"/>
  <c r="D525" i="25"/>
  <c r="C526" i="25"/>
  <c r="D526" i="25"/>
  <c r="C527" i="25"/>
  <c r="D527" i="25"/>
  <c r="C528" i="25"/>
  <c r="D528" i="25"/>
  <c r="C529" i="25"/>
  <c r="D529" i="25"/>
  <c r="C530" i="25"/>
  <c r="D530" i="25"/>
  <c r="C531" i="25"/>
  <c r="D531" i="25"/>
  <c r="C532" i="25"/>
  <c r="D532" i="25"/>
  <c r="C533" i="25"/>
  <c r="D533" i="25"/>
  <c r="C534" i="25"/>
  <c r="D534" i="25"/>
  <c r="C535" i="25"/>
  <c r="D535" i="25"/>
  <c r="C536" i="25"/>
  <c r="D536" i="25"/>
  <c r="C537" i="25"/>
  <c r="D537" i="25"/>
  <c r="C538" i="25"/>
  <c r="D538" i="25"/>
  <c r="C539" i="25"/>
  <c r="D539" i="25"/>
  <c r="C540" i="25"/>
  <c r="D540" i="25"/>
  <c r="C541" i="25"/>
  <c r="D541" i="25"/>
  <c r="C542" i="25"/>
  <c r="D542" i="25"/>
  <c r="C543" i="25"/>
  <c r="D543" i="25"/>
  <c r="C544" i="25"/>
  <c r="D544" i="25"/>
  <c r="C545" i="25"/>
  <c r="D545" i="25"/>
  <c r="C546" i="25"/>
  <c r="D546" i="25"/>
  <c r="C547" i="25"/>
  <c r="D547" i="25"/>
  <c r="C548" i="25"/>
  <c r="D548" i="25"/>
  <c r="C549" i="25"/>
  <c r="D549" i="25"/>
  <c r="C550" i="25"/>
  <c r="D550" i="25"/>
  <c r="C551" i="25"/>
  <c r="D551" i="25"/>
  <c r="C552" i="25"/>
  <c r="D552" i="25"/>
  <c r="C553" i="25"/>
  <c r="D553" i="25"/>
  <c r="C554" i="25"/>
  <c r="D554" i="25"/>
  <c r="C555" i="25"/>
  <c r="D555" i="25"/>
  <c r="C556" i="25"/>
  <c r="D556" i="25"/>
  <c r="C557" i="25"/>
  <c r="D557" i="25"/>
  <c r="C558" i="25"/>
  <c r="D558" i="25"/>
  <c r="C559" i="25"/>
  <c r="D559" i="25"/>
  <c r="C560" i="25"/>
  <c r="D560" i="25"/>
  <c r="C561" i="25"/>
  <c r="D561" i="25"/>
  <c r="C562" i="25"/>
  <c r="D562" i="25"/>
  <c r="C563" i="25"/>
  <c r="D563" i="25"/>
  <c r="C564" i="25"/>
  <c r="D564" i="25"/>
  <c r="C565" i="25"/>
  <c r="D565" i="25"/>
  <c r="C566" i="25"/>
  <c r="D566" i="25"/>
  <c r="C567" i="25"/>
  <c r="D567" i="25"/>
  <c r="C568" i="25"/>
  <c r="D568" i="25"/>
  <c r="C569" i="25"/>
  <c r="D569" i="25"/>
  <c r="C570" i="25"/>
  <c r="D570" i="25"/>
  <c r="C571" i="25"/>
  <c r="D571" i="25"/>
  <c r="C572" i="25"/>
  <c r="D572" i="25"/>
  <c r="C573" i="25"/>
  <c r="D573" i="25"/>
  <c r="C574" i="25"/>
  <c r="D574" i="25"/>
  <c r="C575" i="25"/>
  <c r="D575" i="25"/>
  <c r="C576" i="25"/>
  <c r="D576" i="25"/>
  <c r="C577" i="25"/>
  <c r="D577" i="25"/>
  <c r="C578" i="25"/>
  <c r="D578" i="25"/>
  <c r="C579" i="25"/>
  <c r="D579" i="25"/>
  <c r="C580" i="25"/>
  <c r="D580" i="25"/>
  <c r="C581" i="25"/>
  <c r="D581" i="25"/>
  <c r="C582" i="25"/>
  <c r="D582" i="25"/>
  <c r="C583" i="25"/>
  <c r="D583" i="25"/>
  <c r="C584" i="25"/>
  <c r="D584" i="25"/>
  <c r="C585" i="25"/>
  <c r="D585" i="25"/>
  <c r="C586" i="25"/>
  <c r="D586" i="25"/>
  <c r="C587" i="25"/>
  <c r="D587" i="25"/>
  <c r="C588" i="25"/>
  <c r="D588" i="25"/>
  <c r="C589" i="25"/>
  <c r="D589" i="25"/>
  <c r="C590" i="25"/>
  <c r="D590" i="25"/>
  <c r="C591" i="25"/>
  <c r="D591" i="25"/>
  <c r="C592" i="25"/>
  <c r="D592" i="25"/>
  <c r="C593" i="25"/>
  <c r="D593" i="25"/>
  <c r="C594" i="25"/>
  <c r="D594" i="25"/>
  <c r="C595" i="25"/>
  <c r="D595" i="25"/>
  <c r="C596" i="25"/>
  <c r="D596" i="25"/>
  <c r="C597" i="25"/>
  <c r="D597" i="25"/>
  <c r="C598" i="25"/>
  <c r="D598" i="25"/>
  <c r="C599" i="25"/>
  <c r="D599" i="25"/>
  <c r="C600" i="25"/>
  <c r="D600" i="25"/>
  <c r="C601" i="25"/>
  <c r="D601" i="25"/>
  <c r="C602" i="25"/>
  <c r="D602" i="25"/>
  <c r="C603" i="25"/>
  <c r="D603" i="25"/>
  <c r="C604" i="25"/>
  <c r="D604" i="25"/>
  <c r="C605" i="25"/>
  <c r="D605" i="25"/>
  <c r="C606" i="25"/>
  <c r="D606" i="25"/>
  <c r="C607" i="25"/>
  <c r="D607" i="25"/>
  <c r="C608" i="25"/>
  <c r="D608" i="25"/>
  <c r="C609" i="25"/>
  <c r="D609" i="25"/>
  <c r="C610" i="25"/>
  <c r="D610" i="25"/>
  <c r="C611" i="25"/>
  <c r="D611" i="25"/>
  <c r="C612" i="25"/>
  <c r="D612" i="25"/>
  <c r="C613" i="25"/>
  <c r="D613" i="25"/>
  <c r="C614" i="25"/>
  <c r="D614" i="25"/>
  <c r="C615" i="25"/>
  <c r="D615" i="25"/>
  <c r="C616" i="25"/>
  <c r="D616" i="25"/>
  <c r="C617" i="25"/>
  <c r="D617" i="25"/>
  <c r="C618" i="25"/>
  <c r="D618" i="25"/>
  <c r="C619" i="25"/>
  <c r="D619" i="25"/>
  <c r="C620" i="25"/>
  <c r="D620" i="25"/>
  <c r="C621" i="25"/>
  <c r="D621" i="25"/>
  <c r="C622" i="25"/>
  <c r="D622" i="25"/>
  <c r="C623" i="25"/>
  <c r="D623" i="25"/>
  <c r="C624" i="25"/>
  <c r="D624" i="25"/>
  <c r="C625" i="25"/>
  <c r="D625" i="25"/>
  <c r="C626" i="25"/>
  <c r="D626" i="25"/>
  <c r="C627" i="25"/>
  <c r="D627" i="25"/>
  <c r="C628" i="25"/>
  <c r="D628" i="25"/>
  <c r="C629" i="25"/>
  <c r="D629" i="25"/>
  <c r="C630" i="25"/>
  <c r="D630" i="25"/>
  <c r="C631" i="25"/>
  <c r="D631" i="25"/>
  <c r="C632" i="25"/>
  <c r="D632" i="25"/>
  <c r="C633" i="25"/>
  <c r="D633" i="25"/>
  <c r="C634" i="25"/>
  <c r="D634" i="25"/>
  <c r="C635" i="25"/>
  <c r="D635" i="25"/>
  <c r="C636" i="25"/>
  <c r="D636" i="25"/>
  <c r="C637" i="25"/>
  <c r="D637" i="25"/>
  <c r="C638" i="25"/>
  <c r="D638" i="25"/>
  <c r="C639" i="25"/>
  <c r="D639" i="25"/>
  <c r="C640" i="25"/>
  <c r="D640" i="25"/>
  <c r="C641" i="25"/>
  <c r="D641" i="25"/>
  <c r="C642" i="25"/>
  <c r="D642" i="25"/>
  <c r="C643" i="25"/>
  <c r="D643" i="25"/>
  <c r="C644" i="25"/>
  <c r="D644" i="25"/>
  <c r="C645" i="25"/>
  <c r="D645" i="25"/>
  <c r="C646" i="25"/>
  <c r="D646" i="25"/>
  <c r="C647" i="25"/>
  <c r="D647" i="25"/>
  <c r="C648" i="25"/>
  <c r="D648" i="25"/>
  <c r="C649" i="25"/>
  <c r="D649" i="25"/>
  <c r="C650" i="25"/>
  <c r="D650" i="25"/>
  <c r="C651" i="25"/>
  <c r="D651" i="25"/>
  <c r="C652" i="25"/>
  <c r="D652" i="25"/>
  <c r="C653" i="25"/>
  <c r="D653" i="25"/>
  <c r="C654" i="25"/>
  <c r="D654" i="25"/>
  <c r="C2" i="25"/>
  <c r="H128" i="1"/>
  <c r="R128" i="1" s="1"/>
  <c r="I128" i="1"/>
  <c r="J128" i="1"/>
  <c r="K128" i="1"/>
  <c r="L128" i="1"/>
  <c r="M128" i="1"/>
  <c r="N128" i="1"/>
  <c r="O128" i="1"/>
  <c r="P128" i="1"/>
  <c r="Q128" i="1"/>
  <c r="H124" i="1"/>
  <c r="I124" i="1"/>
  <c r="J124" i="1"/>
  <c r="K124" i="1"/>
  <c r="L124" i="1"/>
  <c r="M124" i="1"/>
  <c r="N124" i="1"/>
  <c r="O124" i="1"/>
  <c r="P124" i="1"/>
  <c r="Q124" i="1"/>
  <c r="S124" i="1" s="1"/>
  <c r="H126" i="1"/>
  <c r="I126" i="1"/>
  <c r="J126" i="1"/>
  <c r="K126" i="1"/>
  <c r="L126" i="1"/>
  <c r="M126" i="1"/>
  <c r="N126" i="1"/>
  <c r="O126" i="1"/>
  <c r="P126" i="1"/>
  <c r="Q126" i="1"/>
  <c r="H131" i="1"/>
  <c r="I131" i="1"/>
  <c r="J131" i="1"/>
  <c r="K131" i="1"/>
  <c r="L131" i="1"/>
  <c r="M131" i="1"/>
  <c r="N131" i="1"/>
  <c r="O131" i="1"/>
  <c r="P131" i="1"/>
  <c r="Q131" i="1"/>
  <c r="Q110" i="1"/>
  <c r="P110" i="1"/>
  <c r="O110" i="1"/>
  <c r="N110" i="1"/>
  <c r="M110" i="1"/>
  <c r="L110" i="1"/>
  <c r="K110" i="1"/>
  <c r="J110" i="1"/>
  <c r="I110" i="1"/>
  <c r="H110" i="1"/>
  <c r="R110" i="1" s="1"/>
  <c r="H169" i="1"/>
  <c r="I169" i="1"/>
  <c r="J169" i="1"/>
  <c r="K169" i="1"/>
  <c r="L169" i="1"/>
  <c r="M169" i="1"/>
  <c r="N169" i="1"/>
  <c r="O169" i="1"/>
  <c r="P169" i="1"/>
  <c r="Q169" i="1"/>
  <c r="H171" i="1"/>
  <c r="I171" i="1"/>
  <c r="J171" i="1"/>
  <c r="K171" i="1"/>
  <c r="L171" i="1"/>
  <c r="M171" i="1"/>
  <c r="N171" i="1"/>
  <c r="O171" i="1"/>
  <c r="P171" i="1"/>
  <c r="Q171" i="1"/>
  <c r="H139" i="1"/>
  <c r="I139" i="1"/>
  <c r="J139" i="1"/>
  <c r="K139" i="1"/>
  <c r="L139" i="1"/>
  <c r="M139" i="1"/>
  <c r="N139" i="1"/>
  <c r="O139" i="1"/>
  <c r="P139" i="1"/>
  <c r="Q139" i="1"/>
  <c r="H156" i="1"/>
  <c r="I156" i="1"/>
  <c r="J156" i="1"/>
  <c r="K156" i="1"/>
  <c r="L156" i="1"/>
  <c r="M156" i="1"/>
  <c r="N156" i="1"/>
  <c r="O156" i="1"/>
  <c r="P156" i="1"/>
  <c r="Q156" i="1"/>
  <c r="H119" i="1"/>
  <c r="I119" i="1"/>
  <c r="J119" i="1"/>
  <c r="K119" i="1"/>
  <c r="L119" i="1"/>
  <c r="M119" i="1"/>
  <c r="N119" i="1"/>
  <c r="O119" i="1"/>
  <c r="P119" i="1"/>
  <c r="Q119" i="1"/>
  <c r="H111" i="1"/>
  <c r="I111" i="1"/>
  <c r="J111" i="1"/>
  <c r="K111" i="1"/>
  <c r="L111" i="1"/>
  <c r="M111" i="1"/>
  <c r="N111" i="1"/>
  <c r="O111" i="1"/>
  <c r="P111" i="1"/>
  <c r="Q111" i="1"/>
  <c r="H63" i="1"/>
  <c r="I63" i="1"/>
  <c r="J63" i="1"/>
  <c r="K63" i="1"/>
  <c r="L63" i="1"/>
  <c r="M63" i="1"/>
  <c r="N63" i="1"/>
  <c r="O63" i="1"/>
  <c r="P63" i="1"/>
  <c r="Q63" i="1"/>
  <c r="H132" i="1"/>
  <c r="I132" i="1"/>
  <c r="J132" i="1"/>
  <c r="K132" i="1"/>
  <c r="L132" i="1"/>
  <c r="M132" i="1"/>
  <c r="N132" i="1"/>
  <c r="O132" i="1"/>
  <c r="P132" i="1"/>
  <c r="Q132" i="1"/>
  <c r="H159" i="1"/>
  <c r="I159" i="1"/>
  <c r="J159" i="1"/>
  <c r="K159" i="1"/>
  <c r="L159" i="1"/>
  <c r="M159" i="1"/>
  <c r="N159" i="1"/>
  <c r="O159" i="1"/>
  <c r="P159" i="1"/>
  <c r="Q159" i="1"/>
  <c r="H160" i="1"/>
  <c r="I160" i="1"/>
  <c r="J160" i="1"/>
  <c r="K160" i="1"/>
  <c r="L160" i="1"/>
  <c r="M160" i="1"/>
  <c r="N160" i="1"/>
  <c r="O160" i="1"/>
  <c r="P160" i="1"/>
  <c r="Q160" i="1"/>
  <c r="H108" i="1"/>
  <c r="I108" i="1"/>
  <c r="J108" i="1"/>
  <c r="K108" i="1"/>
  <c r="L108" i="1"/>
  <c r="M108" i="1"/>
  <c r="N108" i="1"/>
  <c r="O108" i="1"/>
  <c r="P108" i="1"/>
  <c r="Q108" i="1"/>
  <c r="H167" i="1"/>
  <c r="I167" i="1"/>
  <c r="J167" i="1"/>
  <c r="K167" i="1"/>
  <c r="L167" i="1"/>
  <c r="M167" i="1"/>
  <c r="N167" i="1"/>
  <c r="O167" i="1"/>
  <c r="P167" i="1"/>
  <c r="Q167" i="1"/>
  <c r="H154" i="1"/>
  <c r="I154" i="1"/>
  <c r="J154" i="1"/>
  <c r="K154" i="1"/>
  <c r="L154" i="1"/>
  <c r="M154" i="1"/>
  <c r="N154" i="1"/>
  <c r="O154" i="1"/>
  <c r="P154" i="1"/>
  <c r="Q154" i="1"/>
  <c r="H134" i="1"/>
  <c r="I134" i="1"/>
  <c r="J134" i="1"/>
  <c r="K134" i="1"/>
  <c r="L134" i="1"/>
  <c r="M134" i="1"/>
  <c r="N134" i="1"/>
  <c r="O134" i="1"/>
  <c r="P134" i="1"/>
  <c r="Q134" i="1"/>
  <c r="H162" i="1"/>
  <c r="I162" i="1"/>
  <c r="J162" i="1"/>
  <c r="K162" i="1"/>
  <c r="L162" i="1"/>
  <c r="M162" i="1"/>
  <c r="N162" i="1"/>
  <c r="O162" i="1"/>
  <c r="P162" i="1"/>
  <c r="Q162" i="1"/>
  <c r="H53" i="1"/>
  <c r="I53" i="1"/>
  <c r="J53" i="1"/>
  <c r="K53" i="1"/>
  <c r="L53" i="1"/>
  <c r="M53" i="1"/>
  <c r="N53" i="1"/>
  <c r="O53" i="1"/>
  <c r="P53" i="1"/>
  <c r="Q53" i="1"/>
  <c r="H62" i="1"/>
  <c r="I62" i="1"/>
  <c r="J62" i="1"/>
  <c r="K62" i="1"/>
  <c r="L62" i="1"/>
  <c r="M62" i="1"/>
  <c r="N62" i="1"/>
  <c r="O62" i="1"/>
  <c r="P62" i="1"/>
  <c r="Q62" i="1"/>
  <c r="H75" i="1"/>
  <c r="I75" i="1"/>
  <c r="J75" i="1"/>
  <c r="K75" i="1"/>
  <c r="L75" i="1"/>
  <c r="M75" i="1"/>
  <c r="N75" i="1"/>
  <c r="O75" i="1"/>
  <c r="P75" i="1"/>
  <c r="Q75" i="1"/>
  <c r="H97" i="1"/>
  <c r="I97" i="1"/>
  <c r="J97" i="1"/>
  <c r="K97" i="1"/>
  <c r="L97" i="1"/>
  <c r="M97" i="1"/>
  <c r="N97" i="1"/>
  <c r="O97" i="1"/>
  <c r="P97" i="1"/>
  <c r="Q97" i="1"/>
  <c r="H117" i="1"/>
  <c r="I117" i="1"/>
  <c r="J117" i="1"/>
  <c r="K117" i="1"/>
  <c r="L117" i="1"/>
  <c r="M117" i="1"/>
  <c r="N117" i="1"/>
  <c r="O117" i="1"/>
  <c r="P117" i="1"/>
  <c r="Q117" i="1"/>
  <c r="H109" i="1"/>
  <c r="I109" i="1"/>
  <c r="J109" i="1"/>
  <c r="K109" i="1"/>
  <c r="L109" i="1"/>
  <c r="M109" i="1"/>
  <c r="N109" i="1"/>
  <c r="O109" i="1"/>
  <c r="P109" i="1"/>
  <c r="Q109" i="1"/>
  <c r="H115" i="1"/>
  <c r="I115" i="1"/>
  <c r="J115" i="1"/>
  <c r="K115" i="1"/>
  <c r="L115" i="1"/>
  <c r="M115" i="1"/>
  <c r="N115" i="1"/>
  <c r="O115" i="1"/>
  <c r="P115" i="1"/>
  <c r="Q115" i="1"/>
  <c r="H142" i="1"/>
  <c r="I142" i="1"/>
  <c r="J142" i="1"/>
  <c r="K142" i="1"/>
  <c r="L142" i="1"/>
  <c r="M142" i="1"/>
  <c r="N142" i="1"/>
  <c r="O142" i="1"/>
  <c r="P142" i="1"/>
  <c r="Q142" i="1"/>
  <c r="H92" i="1"/>
  <c r="I92" i="1"/>
  <c r="J92" i="1"/>
  <c r="K92" i="1"/>
  <c r="L92" i="1"/>
  <c r="M92" i="1"/>
  <c r="N92" i="1"/>
  <c r="O92" i="1"/>
  <c r="P92" i="1"/>
  <c r="Q92" i="1"/>
  <c r="H122" i="1"/>
  <c r="I122" i="1"/>
  <c r="J122" i="1"/>
  <c r="K122" i="1"/>
  <c r="L122" i="1"/>
  <c r="M122" i="1"/>
  <c r="N122" i="1"/>
  <c r="O122" i="1"/>
  <c r="P122" i="1"/>
  <c r="Q122" i="1"/>
  <c r="H45" i="1"/>
  <c r="I45" i="1"/>
  <c r="J45" i="1"/>
  <c r="K45" i="1"/>
  <c r="L45" i="1"/>
  <c r="M45" i="1"/>
  <c r="N45" i="1"/>
  <c r="O45" i="1"/>
  <c r="P45" i="1"/>
  <c r="Q45" i="1"/>
  <c r="H114" i="1"/>
  <c r="I114" i="1"/>
  <c r="J114" i="1"/>
  <c r="K114" i="1"/>
  <c r="L114" i="1"/>
  <c r="M114" i="1"/>
  <c r="N114" i="1"/>
  <c r="O114" i="1"/>
  <c r="P114" i="1"/>
  <c r="Q114" i="1"/>
  <c r="H164" i="1"/>
  <c r="I164" i="1"/>
  <c r="J164" i="1"/>
  <c r="K164" i="1"/>
  <c r="L164" i="1"/>
  <c r="M164" i="1"/>
  <c r="N164" i="1"/>
  <c r="O164" i="1"/>
  <c r="P164" i="1"/>
  <c r="Q164" i="1"/>
  <c r="H145" i="1"/>
  <c r="I145" i="1"/>
  <c r="J145" i="1"/>
  <c r="K145" i="1"/>
  <c r="L145" i="1"/>
  <c r="M145" i="1"/>
  <c r="N145" i="1"/>
  <c r="O145" i="1"/>
  <c r="P145" i="1"/>
  <c r="Q145" i="1"/>
  <c r="H127" i="1"/>
  <c r="I127" i="1"/>
  <c r="J127" i="1"/>
  <c r="K127" i="1"/>
  <c r="L127" i="1"/>
  <c r="M127" i="1"/>
  <c r="N127" i="1"/>
  <c r="O127" i="1"/>
  <c r="P127" i="1"/>
  <c r="Q127" i="1"/>
  <c r="H158" i="1"/>
  <c r="I158" i="1"/>
  <c r="J158" i="1"/>
  <c r="K158" i="1"/>
  <c r="L158" i="1"/>
  <c r="M158" i="1"/>
  <c r="N158" i="1"/>
  <c r="O158" i="1"/>
  <c r="P158" i="1"/>
  <c r="Q158" i="1"/>
  <c r="H42" i="1"/>
  <c r="I42" i="1"/>
  <c r="J42" i="1"/>
  <c r="K42" i="1"/>
  <c r="L42" i="1"/>
  <c r="M42" i="1"/>
  <c r="N42" i="1"/>
  <c r="O42" i="1"/>
  <c r="P42" i="1"/>
  <c r="Q42" i="1"/>
  <c r="H157" i="1"/>
  <c r="I157" i="1"/>
  <c r="J157" i="1"/>
  <c r="K157" i="1"/>
  <c r="L157" i="1"/>
  <c r="M157" i="1"/>
  <c r="N157" i="1"/>
  <c r="O157" i="1"/>
  <c r="P157" i="1"/>
  <c r="Q157" i="1"/>
  <c r="H130" i="1"/>
  <c r="I130" i="1"/>
  <c r="J130" i="1"/>
  <c r="K130" i="1"/>
  <c r="L130" i="1"/>
  <c r="M130" i="1"/>
  <c r="N130" i="1"/>
  <c r="O130" i="1"/>
  <c r="P130" i="1"/>
  <c r="Q130" i="1"/>
  <c r="H123" i="1"/>
  <c r="I123" i="1"/>
  <c r="J123" i="1"/>
  <c r="K123" i="1"/>
  <c r="L123" i="1"/>
  <c r="M123" i="1"/>
  <c r="N123" i="1"/>
  <c r="O123" i="1"/>
  <c r="P123" i="1"/>
  <c r="Q123" i="1"/>
  <c r="H83" i="1"/>
  <c r="I83" i="1"/>
  <c r="J83" i="1"/>
  <c r="K83" i="1"/>
  <c r="L83" i="1"/>
  <c r="M83" i="1"/>
  <c r="N83" i="1"/>
  <c r="O83" i="1"/>
  <c r="P83" i="1"/>
  <c r="Q83" i="1"/>
  <c r="H71" i="1"/>
  <c r="I71" i="1"/>
  <c r="J71" i="1"/>
  <c r="K71" i="1"/>
  <c r="L71" i="1"/>
  <c r="M71" i="1"/>
  <c r="N71" i="1"/>
  <c r="O71" i="1"/>
  <c r="P71" i="1"/>
  <c r="Q71" i="1"/>
  <c r="H172" i="1"/>
  <c r="I172" i="1"/>
  <c r="J172" i="1"/>
  <c r="K172" i="1"/>
  <c r="L172" i="1"/>
  <c r="M172" i="1"/>
  <c r="N172" i="1"/>
  <c r="O172" i="1"/>
  <c r="P172" i="1"/>
  <c r="Q172" i="1"/>
  <c r="H90" i="1"/>
  <c r="I90" i="1"/>
  <c r="J90" i="1"/>
  <c r="K90" i="1"/>
  <c r="L90" i="1"/>
  <c r="M90" i="1"/>
  <c r="N90" i="1"/>
  <c r="O90" i="1"/>
  <c r="P90" i="1"/>
  <c r="Q90" i="1"/>
  <c r="H72" i="1"/>
  <c r="I72" i="1"/>
  <c r="J72" i="1"/>
  <c r="K72" i="1"/>
  <c r="L72" i="1"/>
  <c r="M72" i="1"/>
  <c r="N72" i="1"/>
  <c r="O72" i="1"/>
  <c r="P72" i="1"/>
  <c r="Q72" i="1"/>
  <c r="H174" i="1"/>
  <c r="I174" i="1"/>
  <c r="J174" i="1"/>
  <c r="K174" i="1"/>
  <c r="L174" i="1"/>
  <c r="M174" i="1"/>
  <c r="N174" i="1"/>
  <c r="O174" i="1"/>
  <c r="P174" i="1"/>
  <c r="Q174" i="1"/>
  <c r="H95" i="1"/>
  <c r="I95" i="1"/>
  <c r="J95" i="1"/>
  <c r="K95" i="1"/>
  <c r="L95" i="1"/>
  <c r="M95" i="1"/>
  <c r="N95" i="1"/>
  <c r="O95" i="1"/>
  <c r="P95" i="1"/>
  <c r="Q95" i="1"/>
  <c r="H144" i="1"/>
  <c r="I144" i="1"/>
  <c r="J144" i="1"/>
  <c r="K144" i="1"/>
  <c r="L144" i="1"/>
  <c r="M144" i="1"/>
  <c r="N144" i="1"/>
  <c r="O144" i="1"/>
  <c r="P144" i="1"/>
  <c r="Q144" i="1"/>
  <c r="H165" i="1"/>
  <c r="I165" i="1"/>
  <c r="J165" i="1"/>
  <c r="K165" i="1"/>
  <c r="L165" i="1"/>
  <c r="M165" i="1"/>
  <c r="N165" i="1"/>
  <c r="O165" i="1"/>
  <c r="P165" i="1"/>
  <c r="Q165" i="1"/>
  <c r="H135" i="1"/>
  <c r="I135" i="1"/>
  <c r="J135" i="1"/>
  <c r="K135" i="1"/>
  <c r="L135" i="1"/>
  <c r="M135" i="1"/>
  <c r="N135" i="1"/>
  <c r="O135" i="1"/>
  <c r="P135" i="1"/>
  <c r="Q135" i="1"/>
  <c r="H48" i="1"/>
  <c r="I48" i="1"/>
  <c r="J48" i="1"/>
  <c r="K48" i="1"/>
  <c r="L48" i="1"/>
  <c r="M48" i="1"/>
  <c r="N48" i="1"/>
  <c r="O48" i="1"/>
  <c r="P48" i="1"/>
  <c r="Q48" i="1"/>
  <c r="H168" i="1"/>
  <c r="I168" i="1"/>
  <c r="J168" i="1"/>
  <c r="K168" i="1"/>
  <c r="L168" i="1"/>
  <c r="M168" i="1"/>
  <c r="N168" i="1"/>
  <c r="O168" i="1"/>
  <c r="P168" i="1"/>
  <c r="Q168" i="1"/>
  <c r="H153" i="1"/>
  <c r="I153" i="1"/>
  <c r="J153" i="1"/>
  <c r="K153" i="1"/>
  <c r="L153" i="1"/>
  <c r="M153" i="1"/>
  <c r="N153" i="1"/>
  <c r="O153" i="1"/>
  <c r="P153" i="1"/>
  <c r="Q153" i="1"/>
  <c r="H87" i="1"/>
  <c r="I87" i="1"/>
  <c r="J87" i="1"/>
  <c r="K87" i="1"/>
  <c r="L87" i="1"/>
  <c r="M87" i="1"/>
  <c r="N87" i="1"/>
  <c r="O87" i="1"/>
  <c r="P87" i="1"/>
  <c r="Q87" i="1"/>
  <c r="H141" i="1"/>
  <c r="I141" i="1"/>
  <c r="J141" i="1"/>
  <c r="K141" i="1"/>
  <c r="L141" i="1"/>
  <c r="M141" i="1"/>
  <c r="N141" i="1"/>
  <c r="O141" i="1"/>
  <c r="P141" i="1"/>
  <c r="Q141" i="1"/>
  <c r="H170" i="1"/>
  <c r="I170" i="1"/>
  <c r="J170" i="1"/>
  <c r="K170" i="1"/>
  <c r="L170" i="1"/>
  <c r="M170" i="1"/>
  <c r="N170" i="1"/>
  <c r="O170" i="1"/>
  <c r="P170" i="1"/>
  <c r="Q170" i="1"/>
  <c r="H146" i="1"/>
  <c r="I146" i="1"/>
  <c r="J146" i="1"/>
  <c r="K146" i="1"/>
  <c r="L146" i="1"/>
  <c r="M146" i="1"/>
  <c r="N146" i="1"/>
  <c r="O146" i="1"/>
  <c r="P146" i="1"/>
  <c r="Q146" i="1"/>
  <c r="H78" i="1"/>
  <c r="I78" i="1"/>
  <c r="J78" i="1"/>
  <c r="K78" i="1"/>
  <c r="L78" i="1"/>
  <c r="M78" i="1"/>
  <c r="N78" i="1"/>
  <c r="O78" i="1"/>
  <c r="P78" i="1"/>
  <c r="Q78" i="1"/>
  <c r="H173" i="1"/>
  <c r="I173" i="1"/>
  <c r="J173" i="1"/>
  <c r="K173" i="1"/>
  <c r="L173" i="1"/>
  <c r="M173" i="1"/>
  <c r="N173" i="1"/>
  <c r="O173" i="1"/>
  <c r="P173" i="1"/>
  <c r="Q173" i="1"/>
  <c r="H133" i="1"/>
  <c r="I133" i="1"/>
  <c r="J133" i="1"/>
  <c r="K133" i="1"/>
  <c r="L133" i="1"/>
  <c r="M133" i="1"/>
  <c r="N133" i="1"/>
  <c r="O133" i="1"/>
  <c r="P133" i="1"/>
  <c r="Q133" i="1"/>
  <c r="H77" i="1"/>
  <c r="I77" i="1"/>
  <c r="J77" i="1"/>
  <c r="K77" i="1"/>
  <c r="L77" i="1"/>
  <c r="M77" i="1"/>
  <c r="N77" i="1"/>
  <c r="O77" i="1"/>
  <c r="P77" i="1"/>
  <c r="Q77" i="1"/>
  <c r="H39" i="1"/>
  <c r="I39" i="1"/>
  <c r="J39" i="1"/>
  <c r="K39" i="1"/>
  <c r="L39" i="1"/>
  <c r="M39" i="1"/>
  <c r="N39" i="1"/>
  <c r="O39" i="1"/>
  <c r="P39" i="1"/>
  <c r="Q39" i="1"/>
  <c r="H67" i="1"/>
  <c r="I67" i="1"/>
  <c r="J67" i="1"/>
  <c r="K67" i="1"/>
  <c r="L67" i="1"/>
  <c r="M67" i="1"/>
  <c r="N67" i="1"/>
  <c r="O67" i="1"/>
  <c r="P67" i="1"/>
  <c r="Q67" i="1"/>
  <c r="H84" i="1"/>
  <c r="I84" i="1"/>
  <c r="J84" i="1"/>
  <c r="K84" i="1"/>
  <c r="L84" i="1"/>
  <c r="M84" i="1"/>
  <c r="N84" i="1"/>
  <c r="O84" i="1"/>
  <c r="P84" i="1"/>
  <c r="Q84" i="1"/>
  <c r="H89" i="1"/>
  <c r="I89" i="1"/>
  <c r="J89" i="1"/>
  <c r="K89" i="1"/>
  <c r="L89" i="1"/>
  <c r="M89" i="1"/>
  <c r="N89" i="1"/>
  <c r="O89" i="1"/>
  <c r="P89" i="1"/>
  <c r="Q89" i="1"/>
  <c r="H65" i="1"/>
  <c r="I65" i="1"/>
  <c r="J65" i="1"/>
  <c r="K65" i="1"/>
  <c r="L65" i="1"/>
  <c r="M65" i="1"/>
  <c r="N65" i="1"/>
  <c r="O65" i="1"/>
  <c r="P65" i="1"/>
  <c r="Q65" i="1"/>
  <c r="H155" i="1"/>
  <c r="I155" i="1"/>
  <c r="J155" i="1"/>
  <c r="K155" i="1"/>
  <c r="L155" i="1"/>
  <c r="M155" i="1"/>
  <c r="N155" i="1"/>
  <c r="O155" i="1"/>
  <c r="P155" i="1"/>
  <c r="Q155" i="1"/>
  <c r="H166" i="1"/>
  <c r="I166" i="1"/>
  <c r="J166" i="1"/>
  <c r="K166" i="1"/>
  <c r="L166" i="1"/>
  <c r="M166" i="1"/>
  <c r="N166" i="1"/>
  <c r="O166" i="1"/>
  <c r="P166" i="1"/>
  <c r="Q166" i="1"/>
  <c r="H161" i="1"/>
  <c r="I161" i="1"/>
  <c r="J161" i="1"/>
  <c r="K161" i="1"/>
  <c r="L161" i="1"/>
  <c r="M161" i="1"/>
  <c r="N161" i="1"/>
  <c r="O161" i="1"/>
  <c r="P161" i="1"/>
  <c r="Q161" i="1"/>
  <c r="H79" i="1"/>
  <c r="I79" i="1"/>
  <c r="J79" i="1"/>
  <c r="K79" i="1"/>
  <c r="L79" i="1"/>
  <c r="M79" i="1"/>
  <c r="N79" i="1"/>
  <c r="O79" i="1"/>
  <c r="P79" i="1"/>
  <c r="Q79" i="1"/>
  <c r="H96" i="1"/>
  <c r="I96" i="1"/>
  <c r="J96" i="1"/>
  <c r="K96" i="1"/>
  <c r="L96" i="1"/>
  <c r="M96" i="1"/>
  <c r="N96" i="1"/>
  <c r="O96" i="1"/>
  <c r="P96" i="1"/>
  <c r="Q96" i="1"/>
  <c r="D234" i="17"/>
  <c r="E234" i="17" s="1"/>
  <c r="D235" i="17"/>
  <c r="E235" i="17" s="1"/>
  <c r="D236" i="17"/>
  <c r="E236" i="17" s="1"/>
  <c r="D237" i="17"/>
  <c r="E237" i="17" s="1"/>
  <c r="D238" i="17"/>
  <c r="E238" i="17" s="1"/>
  <c r="D239" i="17"/>
  <c r="E239" i="17" s="1"/>
  <c r="D240" i="17"/>
  <c r="E240" i="17" s="1"/>
  <c r="D241" i="17"/>
  <c r="E241" i="17" s="1"/>
  <c r="D242" i="17"/>
  <c r="E242" i="17" s="1"/>
  <c r="D243" i="17"/>
  <c r="E243" i="17" s="1"/>
  <c r="D244" i="17"/>
  <c r="E244" i="17" s="1"/>
  <c r="D245" i="17"/>
  <c r="E245" i="17" s="1"/>
  <c r="D246" i="17"/>
  <c r="E246" i="17" s="1"/>
  <c r="D247" i="17"/>
  <c r="E247" i="17" s="1"/>
  <c r="D248" i="17"/>
  <c r="E248" i="17" s="1"/>
  <c r="D249" i="17"/>
  <c r="E249" i="17" s="1"/>
  <c r="D250" i="17"/>
  <c r="E250" i="17" s="1"/>
  <c r="D251" i="17"/>
  <c r="E251" i="17" s="1"/>
  <c r="D252" i="17"/>
  <c r="E252" i="17" s="1"/>
  <c r="D253" i="17"/>
  <c r="E253" i="17" s="1"/>
  <c r="D254" i="17"/>
  <c r="E254" i="17" s="1"/>
  <c r="D255" i="17"/>
  <c r="E255" i="17" s="1"/>
  <c r="D256" i="17"/>
  <c r="E256" i="17" s="1"/>
  <c r="D257" i="17"/>
  <c r="E257" i="17" s="1"/>
  <c r="D258" i="17"/>
  <c r="E258" i="17" s="1"/>
  <c r="D259" i="17"/>
  <c r="E259" i="17" s="1"/>
  <c r="D260" i="17"/>
  <c r="E260" i="17" s="1"/>
  <c r="D261" i="17"/>
  <c r="E261" i="17" s="1"/>
  <c r="D262" i="17"/>
  <c r="E262" i="17" s="1"/>
  <c r="D263" i="17"/>
  <c r="E263" i="17" s="1"/>
  <c r="D264" i="17"/>
  <c r="E264" i="17" s="1"/>
  <c r="D265" i="17"/>
  <c r="E265" i="17" s="1"/>
  <c r="D266" i="17"/>
  <c r="E266" i="17" s="1"/>
  <c r="D267" i="17"/>
  <c r="E267" i="17" s="1"/>
  <c r="D268" i="17"/>
  <c r="E268" i="17" s="1"/>
  <c r="D269" i="17"/>
  <c r="E269" i="17" s="1"/>
  <c r="D270" i="17"/>
  <c r="E270" i="17" s="1"/>
  <c r="D271" i="17"/>
  <c r="E271" i="17" s="1"/>
  <c r="D272" i="17"/>
  <c r="E272" i="17" s="1"/>
  <c r="D273" i="17"/>
  <c r="E273" i="17" s="1"/>
  <c r="D274" i="17"/>
  <c r="E274" i="17" s="1"/>
  <c r="D275" i="17"/>
  <c r="E275" i="17" s="1"/>
  <c r="D276" i="17"/>
  <c r="E276" i="17" s="1"/>
  <c r="D277" i="17"/>
  <c r="E277" i="17" s="1"/>
  <c r="D278" i="17"/>
  <c r="E278" i="17" s="1"/>
  <c r="D279" i="17"/>
  <c r="E279" i="17" s="1"/>
  <c r="D280" i="17"/>
  <c r="E280" i="17" s="1"/>
  <c r="D281" i="17"/>
  <c r="E281" i="17" s="1"/>
  <c r="D282" i="17"/>
  <c r="E282" i="17" s="1"/>
  <c r="D283" i="17"/>
  <c r="E283" i="17" s="1"/>
  <c r="D284" i="17"/>
  <c r="E284" i="17" s="1"/>
  <c r="D285" i="17"/>
  <c r="E285" i="17" s="1"/>
  <c r="D286" i="17"/>
  <c r="E286" i="17" s="1"/>
  <c r="D287" i="17"/>
  <c r="E287" i="17" s="1"/>
  <c r="D288" i="17"/>
  <c r="E288" i="17" s="1"/>
  <c r="D289" i="17"/>
  <c r="E289" i="17" s="1"/>
  <c r="D290" i="17"/>
  <c r="E290" i="17" s="1"/>
  <c r="D291" i="17"/>
  <c r="E291" i="17" s="1"/>
  <c r="D292" i="17"/>
  <c r="E292" i="17" s="1"/>
  <c r="D293" i="17"/>
  <c r="E293" i="17" s="1"/>
  <c r="D294" i="17"/>
  <c r="E294" i="17" s="1"/>
  <c r="D295" i="17"/>
  <c r="E295" i="17" s="1"/>
  <c r="D296" i="17"/>
  <c r="E296" i="17" s="1"/>
  <c r="D297" i="17"/>
  <c r="E297" i="17" s="1"/>
  <c r="D298" i="17"/>
  <c r="E298" i="17" s="1"/>
  <c r="D299" i="17"/>
  <c r="E299" i="17" s="1"/>
  <c r="D300" i="17"/>
  <c r="E300" i="17" s="1"/>
  <c r="D301" i="17"/>
  <c r="E301" i="17" s="1"/>
  <c r="D302" i="17"/>
  <c r="E302" i="17" s="1"/>
  <c r="D303" i="17"/>
  <c r="E303" i="17" s="1"/>
  <c r="D304" i="17"/>
  <c r="E304" i="17" s="1"/>
  <c r="D305" i="17"/>
  <c r="E305" i="17" s="1"/>
  <c r="D306" i="17"/>
  <c r="E306" i="17" s="1"/>
  <c r="D307" i="17"/>
  <c r="E307" i="17" s="1"/>
  <c r="D308" i="17"/>
  <c r="E308" i="17" s="1"/>
  <c r="D309" i="17"/>
  <c r="E309" i="17" s="1"/>
  <c r="D310" i="17"/>
  <c r="E310" i="17" s="1"/>
  <c r="D311" i="17"/>
  <c r="E311" i="17" s="1"/>
  <c r="D312" i="17"/>
  <c r="E312" i="17" s="1"/>
  <c r="D313" i="17"/>
  <c r="E313" i="17" s="1"/>
  <c r="D314" i="17"/>
  <c r="E314" i="17" s="1"/>
  <c r="D315" i="17"/>
  <c r="E315" i="17" s="1"/>
  <c r="D316" i="17"/>
  <c r="E316" i="17" s="1"/>
  <c r="D317" i="17"/>
  <c r="E317" i="17" s="1"/>
  <c r="D318" i="17"/>
  <c r="E318" i="17" s="1"/>
  <c r="D319" i="17"/>
  <c r="E319" i="17" s="1"/>
  <c r="D320" i="17"/>
  <c r="E320" i="17" s="1"/>
  <c r="D321" i="17"/>
  <c r="E321" i="17" s="1"/>
  <c r="D322" i="17"/>
  <c r="E322" i="17" s="1"/>
  <c r="D323" i="17"/>
  <c r="E323" i="17" s="1"/>
  <c r="D324" i="17"/>
  <c r="E324" i="17" s="1"/>
  <c r="D325" i="17"/>
  <c r="E325" i="17" s="1"/>
  <c r="D326" i="17"/>
  <c r="E326" i="17" s="1"/>
  <c r="D327" i="17"/>
  <c r="E327" i="17" s="1"/>
  <c r="D328" i="17"/>
  <c r="E328" i="17" s="1"/>
  <c r="D329" i="17"/>
  <c r="E329" i="17" s="1"/>
  <c r="D330" i="17"/>
  <c r="E330" i="17" s="1"/>
  <c r="D331" i="17"/>
  <c r="E331" i="17" s="1"/>
  <c r="D332" i="17"/>
  <c r="E332" i="17" s="1"/>
  <c r="D333" i="17"/>
  <c r="E333" i="17" s="1"/>
  <c r="D334" i="17"/>
  <c r="E334" i="17" s="1"/>
  <c r="D335" i="17"/>
  <c r="E335" i="17" s="1"/>
  <c r="D336" i="17"/>
  <c r="E336" i="17" s="1"/>
  <c r="D337" i="17"/>
  <c r="E337" i="17" s="1"/>
  <c r="D338" i="17"/>
  <c r="E338" i="17" s="1"/>
  <c r="D339" i="17"/>
  <c r="E339" i="17" s="1"/>
  <c r="D340" i="17"/>
  <c r="E340" i="17" s="1"/>
  <c r="D341" i="17"/>
  <c r="E341" i="17" s="1"/>
  <c r="D342" i="17"/>
  <c r="E342" i="17" s="1"/>
  <c r="D343" i="17"/>
  <c r="E343" i="17" s="1"/>
  <c r="D344" i="17"/>
  <c r="E344" i="17" s="1"/>
  <c r="D345" i="17"/>
  <c r="E345" i="17" s="1"/>
  <c r="D346" i="17"/>
  <c r="E346" i="17" s="1"/>
  <c r="D347" i="17"/>
  <c r="E347" i="17" s="1"/>
  <c r="D348" i="17"/>
  <c r="D349" i="17"/>
  <c r="E349" i="17" s="1"/>
  <c r="D350" i="17"/>
  <c r="E350" i="17" s="1"/>
  <c r="D351" i="17"/>
  <c r="E351" i="17" s="1"/>
  <c r="D352" i="17"/>
  <c r="E352" i="17" s="1"/>
  <c r="D353" i="17"/>
  <c r="E353" i="17" s="1"/>
  <c r="D354" i="17"/>
  <c r="E354" i="17" s="1"/>
  <c r="D355" i="17"/>
  <c r="E355" i="17" s="1"/>
  <c r="D356" i="17"/>
  <c r="E356" i="17" s="1"/>
  <c r="D357" i="17"/>
  <c r="E357" i="17" s="1"/>
  <c r="D358" i="17"/>
  <c r="E358" i="17" s="1"/>
  <c r="D359" i="17"/>
  <c r="E359" i="17" s="1"/>
  <c r="D360" i="17"/>
  <c r="E360" i="17" s="1"/>
  <c r="D361" i="17"/>
  <c r="E361" i="17" s="1"/>
  <c r="D362" i="17"/>
  <c r="E362" i="17" s="1"/>
  <c r="D363" i="17"/>
  <c r="E363" i="17" s="1"/>
  <c r="D364" i="17"/>
  <c r="E364" i="17" s="1"/>
  <c r="D365" i="17"/>
  <c r="E365" i="17" s="1"/>
  <c r="D366" i="17"/>
  <c r="E366" i="17" s="1"/>
  <c r="D367" i="17"/>
  <c r="E367" i="17" s="1"/>
  <c r="D368" i="17"/>
  <c r="E368" i="17" s="1"/>
  <c r="D369" i="17"/>
  <c r="E369" i="17" s="1"/>
  <c r="D370" i="17"/>
  <c r="E370" i="17" s="1"/>
  <c r="D371" i="17"/>
  <c r="E371" i="17" s="1"/>
  <c r="D372" i="17"/>
  <c r="E372" i="17" s="1"/>
  <c r="D373" i="17"/>
  <c r="E373" i="17" s="1"/>
  <c r="D374" i="17"/>
  <c r="E374" i="17" s="1"/>
  <c r="D375" i="17"/>
  <c r="E375" i="17" s="1"/>
  <c r="D376" i="17"/>
  <c r="E376" i="17" s="1"/>
  <c r="D377" i="17"/>
  <c r="E377" i="17" s="1"/>
  <c r="D378" i="17"/>
  <c r="E378" i="17" s="1"/>
  <c r="D379" i="17"/>
  <c r="E379" i="17" s="1"/>
  <c r="D380" i="17"/>
  <c r="E380" i="17" s="1"/>
  <c r="D381" i="17"/>
  <c r="E381" i="17" s="1"/>
  <c r="D382" i="17"/>
  <c r="E382" i="17" s="1"/>
  <c r="D383" i="17"/>
  <c r="E383" i="17" s="1"/>
  <c r="D384" i="17"/>
  <c r="E384" i="17" s="1"/>
  <c r="D385" i="17"/>
  <c r="E385" i="17" s="1"/>
  <c r="D386" i="17"/>
  <c r="E386" i="17" s="1"/>
  <c r="D387" i="17"/>
  <c r="E387" i="17" s="1"/>
  <c r="D388" i="17"/>
  <c r="E388" i="17" s="1"/>
  <c r="D389" i="17"/>
  <c r="E389" i="17" s="1"/>
  <c r="D390" i="17"/>
  <c r="E390" i="17" s="1"/>
  <c r="D391" i="17"/>
  <c r="E391" i="17" s="1"/>
  <c r="D392" i="17"/>
  <c r="E392" i="17" s="1"/>
  <c r="D393" i="17"/>
  <c r="E393" i="17" s="1"/>
  <c r="D394" i="17"/>
  <c r="E394" i="17" s="1"/>
  <c r="D395" i="17"/>
  <c r="E395" i="17" s="1"/>
  <c r="D396" i="17"/>
  <c r="D397" i="17"/>
  <c r="E397" i="17" s="1"/>
  <c r="D398" i="17"/>
  <c r="E398" i="17" s="1"/>
  <c r="D399" i="17"/>
  <c r="E399" i="17" s="1"/>
  <c r="D400" i="17"/>
  <c r="E400" i="17" s="1"/>
  <c r="D401" i="17"/>
  <c r="E401" i="17" s="1"/>
  <c r="D402" i="17"/>
  <c r="E402" i="17" s="1"/>
  <c r="D403" i="17"/>
  <c r="E403" i="17" s="1"/>
  <c r="D404" i="17"/>
  <c r="E404" i="17" s="1"/>
  <c r="D405" i="17"/>
  <c r="E405" i="17" s="1"/>
  <c r="D406" i="17"/>
  <c r="E406" i="17" s="1"/>
  <c r="D407" i="17"/>
  <c r="E407" i="17" s="1"/>
  <c r="D408" i="17"/>
  <c r="E408" i="17" s="1"/>
  <c r="D409" i="17"/>
  <c r="E409" i="17" s="1"/>
  <c r="D410" i="17"/>
  <c r="E410" i="17" s="1"/>
  <c r="D411" i="17"/>
  <c r="E411" i="17" s="1"/>
  <c r="D412" i="17"/>
  <c r="E412" i="17" s="1"/>
  <c r="D413" i="17"/>
  <c r="E413" i="17" s="1"/>
  <c r="D414" i="17"/>
  <c r="E414" i="17" s="1"/>
  <c r="D415" i="17"/>
  <c r="E415" i="17" s="1"/>
  <c r="D416" i="17"/>
  <c r="E416" i="17" s="1"/>
  <c r="D417" i="17"/>
  <c r="E417" i="17" s="1"/>
  <c r="D418" i="17"/>
  <c r="E418" i="17" s="1"/>
  <c r="D419" i="17"/>
  <c r="E419" i="17" s="1"/>
  <c r="D420" i="17"/>
  <c r="E420" i="17" s="1"/>
  <c r="D421" i="17"/>
  <c r="E421" i="17" s="1"/>
  <c r="D422" i="17"/>
  <c r="E422" i="17" s="1"/>
  <c r="D423" i="17"/>
  <c r="E423" i="17" s="1"/>
  <c r="D424" i="17"/>
  <c r="E424" i="17" s="1"/>
  <c r="D425" i="17"/>
  <c r="E425" i="17" s="1"/>
  <c r="D426" i="17"/>
  <c r="E426" i="17" s="1"/>
  <c r="D427" i="17"/>
  <c r="E427" i="17" s="1"/>
  <c r="D428" i="17"/>
  <c r="E428" i="17" s="1"/>
  <c r="D429" i="17"/>
  <c r="E429" i="17" s="1"/>
  <c r="D430" i="17"/>
  <c r="E430" i="17" s="1"/>
  <c r="D431" i="17"/>
  <c r="E431" i="17" s="1"/>
  <c r="D432" i="17"/>
  <c r="E432" i="17" s="1"/>
  <c r="D433" i="17"/>
  <c r="E433" i="17" s="1"/>
  <c r="D434" i="17"/>
  <c r="E434" i="17" s="1"/>
  <c r="D435" i="17"/>
  <c r="E435" i="17" s="1"/>
  <c r="D436" i="17"/>
  <c r="E436" i="17" s="1"/>
  <c r="D437" i="17"/>
  <c r="E437" i="17" s="1"/>
  <c r="D438" i="17"/>
  <c r="E438" i="17" s="1"/>
  <c r="D439" i="17"/>
  <c r="E439" i="17" s="1"/>
  <c r="D440" i="17"/>
  <c r="E440" i="17" s="1"/>
  <c r="D441" i="17"/>
  <c r="E441" i="17" s="1"/>
  <c r="D442" i="17"/>
  <c r="E442" i="17" s="1"/>
  <c r="D443" i="17"/>
  <c r="E443" i="17" s="1"/>
  <c r="D444" i="17"/>
  <c r="E444" i="17" s="1"/>
  <c r="D445" i="17"/>
  <c r="E445" i="17" s="1"/>
  <c r="D446" i="17"/>
  <c r="E446" i="17" s="1"/>
  <c r="D447" i="17"/>
  <c r="E447" i="17" s="1"/>
  <c r="D448" i="17"/>
  <c r="E448" i="17" s="1"/>
  <c r="D449" i="17"/>
  <c r="E449" i="17" s="1"/>
  <c r="D450" i="17"/>
  <c r="E450" i="17" s="1"/>
  <c r="D451" i="17"/>
  <c r="E451" i="17" s="1"/>
  <c r="D452" i="17"/>
  <c r="E452" i="17" s="1"/>
  <c r="D453" i="17"/>
  <c r="E453" i="17" s="1"/>
  <c r="D454" i="17"/>
  <c r="E454" i="17" s="1"/>
  <c r="D455" i="17"/>
  <c r="E455" i="17" s="1"/>
  <c r="D456" i="17"/>
  <c r="E456" i="17" s="1"/>
  <c r="D457" i="17"/>
  <c r="E457" i="17" s="1"/>
  <c r="D458" i="17"/>
  <c r="E458" i="17" s="1"/>
  <c r="D459" i="17"/>
  <c r="E459" i="17" s="1"/>
  <c r="D460" i="17"/>
  <c r="E460" i="17" s="1"/>
  <c r="D461" i="17"/>
  <c r="E461" i="17" s="1"/>
  <c r="D462" i="17"/>
  <c r="E462" i="17" s="1"/>
  <c r="D463" i="17"/>
  <c r="E463" i="17" s="1"/>
  <c r="D464" i="17"/>
  <c r="E464" i="17" s="1"/>
  <c r="D465" i="17"/>
  <c r="E465" i="17" s="1"/>
  <c r="D466" i="17"/>
  <c r="E466" i="17" s="1"/>
  <c r="D467" i="17"/>
  <c r="E467" i="17" s="1"/>
  <c r="D468" i="17"/>
  <c r="E468" i="17" s="1"/>
  <c r="D469" i="17"/>
  <c r="E469" i="17" s="1"/>
  <c r="D470" i="17"/>
  <c r="E470" i="17" s="1"/>
  <c r="D471" i="17"/>
  <c r="E471" i="17" s="1"/>
  <c r="D472" i="17"/>
  <c r="E472" i="17" s="1"/>
  <c r="D473" i="17"/>
  <c r="E473" i="17" s="1"/>
  <c r="D474" i="17"/>
  <c r="E474" i="17" s="1"/>
  <c r="D475" i="17"/>
  <c r="E475" i="17" s="1"/>
  <c r="D476" i="17"/>
  <c r="E476" i="17" s="1"/>
  <c r="D477" i="17"/>
  <c r="E477" i="17" s="1"/>
  <c r="D478" i="17"/>
  <c r="E478" i="17" s="1"/>
  <c r="D479" i="17"/>
  <c r="E479" i="17" s="1"/>
  <c r="D480" i="17"/>
  <c r="E480" i="17" s="1"/>
  <c r="D481" i="17"/>
  <c r="E481" i="17" s="1"/>
  <c r="D482" i="17"/>
  <c r="E482" i="17" s="1"/>
  <c r="D483" i="17"/>
  <c r="E483" i="17" s="1"/>
  <c r="D484" i="17"/>
  <c r="E484" i="17" s="1"/>
  <c r="D485" i="17"/>
  <c r="E485" i="17" s="1"/>
  <c r="D486" i="17"/>
  <c r="E486" i="17" s="1"/>
  <c r="D487" i="17"/>
  <c r="E487" i="17" s="1"/>
  <c r="D488" i="17"/>
  <c r="E488" i="17" s="1"/>
  <c r="D489" i="17"/>
  <c r="E489" i="17" s="1"/>
  <c r="D490" i="17"/>
  <c r="E490" i="17" s="1"/>
  <c r="D491" i="17"/>
  <c r="E491" i="17" s="1"/>
  <c r="D492" i="17"/>
  <c r="E492" i="17" s="1"/>
  <c r="D493" i="17"/>
  <c r="E493" i="17" s="1"/>
  <c r="D494" i="17"/>
  <c r="E494" i="17" s="1"/>
  <c r="D495" i="17"/>
  <c r="E495" i="17" s="1"/>
  <c r="D496" i="17"/>
  <c r="E496" i="17" s="1"/>
  <c r="D497" i="17"/>
  <c r="E497" i="17" s="1"/>
  <c r="D498" i="17"/>
  <c r="E498" i="17" s="1"/>
  <c r="D499" i="17"/>
  <c r="E499" i="17" s="1"/>
  <c r="D500" i="17"/>
  <c r="D501" i="17"/>
  <c r="E501" i="17" s="1"/>
  <c r="D502" i="17"/>
  <c r="E502" i="17" s="1"/>
  <c r="D503" i="17"/>
  <c r="E503" i="17" s="1"/>
  <c r="D504" i="17"/>
  <c r="E504" i="17" s="1"/>
  <c r="D505" i="17"/>
  <c r="E505" i="17" s="1"/>
  <c r="D506" i="17"/>
  <c r="E506" i="17" s="1"/>
  <c r="D507" i="17"/>
  <c r="E507" i="17" s="1"/>
  <c r="D508" i="17"/>
  <c r="E508" i="17" s="1"/>
  <c r="D509" i="17"/>
  <c r="E509" i="17" s="1"/>
  <c r="D510" i="17"/>
  <c r="E510" i="17" s="1"/>
  <c r="D511" i="17"/>
  <c r="E511" i="17" s="1"/>
  <c r="D512" i="17"/>
  <c r="E512" i="17" s="1"/>
  <c r="D513" i="17"/>
  <c r="E513" i="17" s="1"/>
  <c r="D514" i="17"/>
  <c r="E514" i="17" s="1"/>
  <c r="D515" i="17"/>
  <c r="E515" i="17" s="1"/>
  <c r="D516" i="17"/>
  <c r="E516" i="17" s="1"/>
  <c r="D517" i="17"/>
  <c r="E517" i="17" s="1"/>
  <c r="D518" i="17"/>
  <c r="E518" i="17" s="1"/>
  <c r="D519" i="17"/>
  <c r="E519" i="17" s="1"/>
  <c r="D520" i="17"/>
  <c r="E520" i="17" s="1"/>
  <c r="D521" i="17"/>
  <c r="E521" i="17" s="1"/>
  <c r="D522" i="17"/>
  <c r="E522" i="17" s="1"/>
  <c r="D523" i="17"/>
  <c r="E523" i="17" s="1"/>
  <c r="D524" i="17"/>
  <c r="E524" i="17" s="1"/>
  <c r="D525" i="17"/>
  <c r="E525" i="17" s="1"/>
  <c r="D526" i="17"/>
  <c r="E526" i="17" s="1"/>
  <c r="D527" i="17"/>
  <c r="E527" i="17" s="1"/>
  <c r="D528" i="17"/>
  <c r="E528" i="17" s="1"/>
  <c r="D529" i="17"/>
  <c r="E529" i="17" s="1"/>
  <c r="D530" i="17"/>
  <c r="E530" i="17" s="1"/>
  <c r="D531" i="17"/>
  <c r="E531" i="17" s="1"/>
  <c r="D532" i="17"/>
  <c r="E532" i="17" s="1"/>
  <c r="D533" i="17"/>
  <c r="E533" i="17" s="1"/>
  <c r="D534" i="17"/>
  <c r="E534" i="17" s="1"/>
  <c r="D535" i="17"/>
  <c r="E535" i="17" s="1"/>
  <c r="D536" i="17"/>
  <c r="E536" i="17" s="1"/>
  <c r="D537" i="17"/>
  <c r="E537" i="17" s="1"/>
  <c r="D538" i="17"/>
  <c r="E538" i="17" s="1"/>
  <c r="D539" i="17"/>
  <c r="E539" i="17" s="1"/>
  <c r="D540" i="17"/>
  <c r="E540" i="17" s="1"/>
  <c r="D541" i="17"/>
  <c r="E541" i="17" s="1"/>
  <c r="D542" i="17"/>
  <c r="E542" i="17" s="1"/>
  <c r="D543" i="17"/>
  <c r="E543" i="17" s="1"/>
  <c r="D544" i="17"/>
  <c r="E544" i="17" s="1"/>
  <c r="D545" i="17"/>
  <c r="E545" i="17" s="1"/>
  <c r="D546" i="17"/>
  <c r="E546" i="17" s="1"/>
  <c r="D547" i="17"/>
  <c r="E547" i="17" s="1"/>
  <c r="D548" i="17"/>
  <c r="E548" i="17" s="1"/>
  <c r="D549" i="17"/>
  <c r="E549" i="17" s="1"/>
  <c r="D550" i="17"/>
  <c r="E550" i="17" s="1"/>
  <c r="D551" i="17"/>
  <c r="D552" i="17"/>
  <c r="E552" i="17" s="1"/>
  <c r="D553" i="17"/>
  <c r="E553" i="17" s="1"/>
  <c r="D554" i="17"/>
  <c r="E554" i="17" s="1"/>
  <c r="D555" i="17"/>
  <c r="E555" i="17" s="1"/>
  <c r="D556" i="17"/>
  <c r="E556" i="17" s="1"/>
  <c r="D557" i="17"/>
  <c r="E557" i="17" s="1"/>
  <c r="D558" i="17"/>
  <c r="E558" i="17" s="1"/>
  <c r="D559" i="17"/>
  <c r="E559" i="17" s="1"/>
  <c r="D560" i="17"/>
  <c r="E560" i="17" s="1"/>
  <c r="D561" i="17"/>
  <c r="E561" i="17" s="1"/>
  <c r="D562" i="17"/>
  <c r="E562" i="17" s="1"/>
  <c r="D563" i="17"/>
  <c r="E563" i="17" s="1"/>
  <c r="D564" i="17"/>
  <c r="E564" i="17" s="1"/>
  <c r="D565" i="17"/>
  <c r="E565" i="17" s="1"/>
  <c r="D566" i="17"/>
  <c r="E566" i="17" s="1"/>
  <c r="D567" i="17"/>
  <c r="E567" i="17" s="1"/>
  <c r="D568" i="17"/>
  <c r="E568" i="17" s="1"/>
  <c r="D569" i="17"/>
  <c r="E569" i="17" s="1"/>
  <c r="D570" i="17"/>
  <c r="E570" i="17" s="1"/>
  <c r="D571" i="17"/>
  <c r="E571" i="17" s="1"/>
  <c r="D572" i="17"/>
  <c r="E572" i="17" s="1"/>
  <c r="D573" i="17"/>
  <c r="E573" i="17" s="1"/>
  <c r="D574" i="17"/>
  <c r="E574" i="17" s="1"/>
  <c r="D575" i="17"/>
  <c r="E575" i="17" s="1"/>
  <c r="D576" i="17"/>
  <c r="E576" i="17" s="1"/>
  <c r="D577" i="17"/>
  <c r="E577" i="17" s="1"/>
  <c r="D578" i="17"/>
  <c r="E578" i="17" s="1"/>
  <c r="D579" i="17"/>
  <c r="E579" i="17" s="1"/>
  <c r="D580" i="17"/>
  <c r="E580" i="17" s="1"/>
  <c r="D581" i="17"/>
  <c r="E581" i="17" s="1"/>
  <c r="D582" i="17"/>
  <c r="E582" i="17" s="1"/>
  <c r="D583" i="17"/>
  <c r="E583" i="17" s="1"/>
  <c r="D584" i="17"/>
  <c r="E584" i="17" s="1"/>
  <c r="D585" i="17"/>
  <c r="E585" i="17" s="1"/>
  <c r="D586" i="17"/>
  <c r="E586" i="17" s="1"/>
  <c r="D587" i="17"/>
  <c r="E587" i="17" s="1"/>
  <c r="D588" i="17"/>
  <c r="E588" i="17" s="1"/>
  <c r="D589" i="17"/>
  <c r="E589" i="17" s="1"/>
  <c r="D590" i="17"/>
  <c r="E590" i="17" s="1"/>
  <c r="D591" i="17"/>
  <c r="E591" i="17" s="1"/>
  <c r="D592" i="17"/>
  <c r="E592" i="17" s="1"/>
  <c r="D593" i="17"/>
  <c r="E593" i="17" s="1"/>
  <c r="D594" i="17"/>
  <c r="E594" i="17" s="1"/>
  <c r="D595" i="17"/>
  <c r="E595" i="17" s="1"/>
  <c r="D596" i="17"/>
  <c r="E596" i="17" s="1"/>
  <c r="D597" i="17"/>
  <c r="E597" i="17" s="1"/>
  <c r="D598" i="17"/>
  <c r="E598" i="17" s="1"/>
  <c r="D599" i="17"/>
  <c r="E599" i="17" s="1"/>
  <c r="D600" i="17"/>
  <c r="E600" i="17" s="1"/>
  <c r="D601" i="17"/>
  <c r="E601" i="17" s="1"/>
  <c r="D602" i="17"/>
  <c r="E602" i="17" s="1"/>
  <c r="D603" i="17"/>
  <c r="E603" i="17" s="1"/>
  <c r="D604" i="17"/>
  <c r="E604" i="17" s="1"/>
  <c r="D605" i="17"/>
  <c r="E605" i="17" s="1"/>
  <c r="D606" i="17"/>
  <c r="E606" i="17" s="1"/>
  <c r="D607" i="17"/>
  <c r="E607" i="17" s="1"/>
  <c r="D608" i="17"/>
  <c r="E608" i="17" s="1"/>
  <c r="D609" i="17"/>
  <c r="E609" i="17" s="1"/>
  <c r="D610" i="17"/>
  <c r="E610" i="17" s="1"/>
  <c r="D611" i="17"/>
  <c r="E611" i="17" s="1"/>
  <c r="D612" i="17"/>
  <c r="E612" i="17" s="1"/>
  <c r="D613" i="17"/>
  <c r="E613" i="17" s="1"/>
  <c r="D614" i="17"/>
  <c r="E614" i="17" s="1"/>
  <c r="D615" i="17"/>
  <c r="E615" i="17" s="1"/>
  <c r="D616" i="17"/>
  <c r="E616" i="17" s="1"/>
  <c r="D617" i="17"/>
  <c r="E617" i="17" s="1"/>
  <c r="D618" i="17"/>
  <c r="E618" i="17" s="1"/>
  <c r="D619" i="17"/>
  <c r="E619" i="17" s="1"/>
  <c r="D620" i="17"/>
  <c r="E620" i="17" s="1"/>
  <c r="D621" i="17"/>
  <c r="E621" i="17" s="1"/>
  <c r="D622" i="17"/>
  <c r="E622" i="17" s="1"/>
  <c r="D623" i="17"/>
  <c r="E623" i="17" s="1"/>
  <c r="D624" i="17"/>
  <c r="E624" i="17" s="1"/>
  <c r="D625" i="17"/>
  <c r="E625" i="17" s="1"/>
  <c r="D626" i="17"/>
  <c r="E626" i="17" s="1"/>
  <c r="D627" i="17"/>
  <c r="E627" i="17" s="1"/>
  <c r="D628" i="17"/>
  <c r="E628" i="17" s="1"/>
  <c r="D629" i="17"/>
  <c r="E629" i="17" s="1"/>
  <c r="D630" i="17"/>
  <c r="E630" i="17" s="1"/>
  <c r="D631" i="17"/>
  <c r="E631" i="17" s="1"/>
  <c r="D632" i="17"/>
  <c r="E632" i="17" s="1"/>
  <c r="D633" i="17"/>
  <c r="E633" i="17" s="1"/>
  <c r="D634" i="17"/>
  <c r="E634" i="17" s="1"/>
  <c r="D635" i="17"/>
  <c r="E635" i="17" s="1"/>
  <c r="D636" i="17"/>
  <c r="E636" i="17" s="1"/>
  <c r="D637" i="17"/>
  <c r="E637" i="17" s="1"/>
  <c r="D638" i="17"/>
  <c r="E638" i="17" s="1"/>
  <c r="D639" i="17"/>
  <c r="E639" i="17" s="1"/>
  <c r="D640" i="17"/>
  <c r="E640" i="17" s="1"/>
  <c r="D641" i="17"/>
  <c r="E641" i="17" s="1"/>
  <c r="D642" i="17"/>
  <c r="E642" i="17" s="1"/>
  <c r="D643" i="17"/>
  <c r="E643" i="17" s="1"/>
  <c r="D644" i="17"/>
  <c r="E644" i="17" s="1"/>
  <c r="D645" i="17"/>
  <c r="E645" i="17" s="1"/>
  <c r="D646" i="17"/>
  <c r="E646" i="17" s="1"/>
  <c r="D647" i="17"/>
  <c r="E647" i="17" s="1"/>
  <c r="D648" i="17"/>
  <c r="E648" i="17" s="1"/>
  <c r="D649" i="17"/>
  <c r="E649" i="17" s="1"/>
  <c r="D650" i="17"/>
  <c r="E650" i="17" s="1"/>
  <c r="D651" i="17"/>
  <c r="E651" i="17" s="1"/>
  <c r="D652" i="17"/>
  <c r="E652" i="17" s="1"/>
  <c r="D653" i="17"/>
  <c r="E653" i="17" s="1"/>
  <c r="D654" i="17"/>
  <c r="E654" i="17" s="1"/>
  <c r="D655" i="17"/>
  <c r="E655" i="17" s="1"/>
  <c r="D656" i="17"/>
  <c r="E656" i="17" s="1"/>
  <c r="D657" i="17"/>
  <c r="E657" i="17" s="1"/>
  <c r="D658" i="17"/>
  <c r="E658" i="17" s="1"/>
  <c r="D659" i="17"/>
  <c r="E659" i="17" s="1"/>
  <c r="D660" i="17"/>
  <c r="E660" i="17" s="1"/>
  <c r="D661" i="17"/>
  <c r="E661" i="17" s="1"/>
  <c r="D662" i="17"/>
  <c r="E662" i="17" s="1"/>
  <c r="D663" i="17"/>
  <c r="E663" i="17" s="1"/>
  <c r="D664" i="17"/>
  <c r="E664" i="17" s="1"/>
  <c r="D665" i="17"/>
  <c r="E665" i="17" s="1"/>
  <c r="D666" i="17"/>
  <c r="E666" i="17" s="1"/>
  <c r="D667" i="17"/>
  <c r="E667" i="17" s="1"/>
  <c r="D668" i="17"/>
  <c r="E668" i="17" s="1"/>
  <c r="D669" i="17"/>
  <c r="E669" i="17" s="1"/>
  <c r="D670" i="17"/>
  <c r="E670" i="17" s="1"/>
  <c r="D671" i="17"/>
  <c r="E671" i="17" s="1"/>
  <c r="D672" i="17"/>
  <c r="E672" i="17" s="1"/>
  <c r="D673" i="17"/>
  <c r="E673" i="17" s="1"/>
  <c r="D674" i="17"/>
  <c r="E674" i="17" s="1"/>
  <c r="D675" i="17"/>
  <c r="E675" i="17" s="1"/>
  <c r="D676" i="17"/>
  <c r="E676" i="17" s="1"/>
  <c r="D677" i="17"/>
  <c r="E677" i="17" s="1"/>
  <c r="D678" i="17"/>
  <c r="E678" i="17" s="1"/>
  <c r="D679" i="17"/>
  <c r="E679" i="17" s="1"/>
  <c r="D680" i="17"/>
  <c r="E680" i="17" s="1"/>
  <c r="D681" i="17"/>
  <c r="E681" i="17" s="1"/>
  <c r="D682" i="17"/>
  <c r="E682" i="17" s="1"/>
  <c r="D683" i="17"/>
  <c r="E683" i="17" s="1"/>
  <c r="D684" i="17"/>
  <c r="E684" i="17" s="1"/>
  <c r="D685" i="17"/>
  <c r="E685" i="17" s="1"/>
  <c r="D686" i="17"/>
  <c r="E686" i="17" s="1"/>
  <c r="D687" i="17"/>
  <c r="E687" i="17" s="1"/>
  <c r="D688" i="17"/>
  <c r="E688" i="17" s="1"/>
  <c r="D689" i="17"/>
  <c r="E689" i="17" s="1"/>
  <c r="D690" i="17"/>
  <c r="E690" i="17" s="1"/>
  <c r="D691" i="17"/>
  <c r="E691" i="17" s="1"/>
  <c r="D692" i="17"/>
  <c r="E692" i="17" s="1"/>
  <c r="D693" i="17"/>
  <c r="E693" i="17" s="1"/>
  <c r="D694" i="17"/>
  <c r="E694" i="17" s="1"/>
  <c r="D695" i="17"/>
  <c r="E695" i="17" s="1"/>
  <c r="D696" i="17"/>
  <c r="E696" i="17" s="1"/>
  <c r="D697" i="17"/>
  <c r="E697" i="17" s="1"/>
  <c r="D698" i="17"/>
  <c r="E698" i="17" s="1"/>
  <c r="D699" i="17"/>
  <c r="E699" i="17" s="1"/>
  <c r="D700" i="17"/>
  <c r="E700" i="17" s="1"/>
  <c r="D701" i="17"/>
  <c r="E701" i="17" s="1"/>
  <c r="D702" i="17"/>
  <c r="E702" i="17" s="1"/>
  <c r="D703" i="17"/>
  <c r="E703" i="17" s="1"/>
  <c r="D704" i="17"/>
  <c r="E704" i="17" s="1"/>
  <c r="D705" i="17"/>
  <c r="E705" i="17" s="1"/>
  <c r="D706" i="17"/>
  <c r="E706" i="17" s="1"/>
  <c r="D707" i="17"/>
  <c r="E707" i="17" s="1"/>
  <c r="D708" i="17"/>
  <c r="E708" i="17" s="1"/>
  <c r="D709" i="17"/>
  <c r="E709" i="17" s="1"/>
  <c r="D710" i="17"/>
  <c r="E710" i="17" s="1"/>
  <c r="D711" i="17"/>
  <c r="E711" i="17" s="1"/>
  <c r="D712" i="17"/>
  <c r="E712" i="17" s="1"/>
  <c r="D713" i="17"/>
  <c r="E713" i="17" s="1"/>
  <c r="D714" i="17"/>
  <c r="E714" i="17" s="1"/>
  <c r="D715" i="17"/>
  <c r="E715" i="17" s="1"/>
  <c r="D716" i="17"/>
  <c r="D717" i="17"/>
  <c r="E717" i="17" s="1"/>
  <c r="D718" i="17"/>
  <c r="E718" i="17" s="1"/>
  <c r="D719" i="17"/>
  <c r="E719" i="17" s="1"/>
  <c r="D720" i="17"/>
  <c r="E720" i="17" s="1"/>
  <c r="D721" i="17"/>
  <c r="E721" i="17" s="1"/>
  <c r="D722" i="17"/>
  <c r="E722" i="17" s="1"/>
  <c r="D723" i="17"/>
  <c r="E723" i="17" s="1"/>
  <c r="D724" i="17"/>
  <c r="E724" i="17" s="1"/>
  <c r="D725" i="17"/>
  <c r="E725" i="17" s="1"/>
  <c r="D726" i="17"/>
  <c r="E726" i="17" s="1"/>
  <c r="D727" i="17"/>
  <c r="E727" i="17" s="1"/>
  <c r="D728" i="17"/>
  <c r="E728" i="17" s="1"/>
  <c r="D729" i="17"/>
  <c r="E729" i="17" s="1"/>
  <c r="D730" i="17"/>
  <c r="E730" i="17" s="1"/>
  <c r="D731" i="17"/>
  <c r="E731" i="17" s="1"/>
  <c r="D732" i="17"/>
  <c r="E732" i="17" s="1"/>
  <c r="D733" i="17"/>
  <c r="E733" i="17" s="1"/>
  <c r="D734" i="17"/>
  <c r="E734" i="17" s="1"/>
  <c r="D735" i="17"/>
  <c r="E735" i="17" s="1"/>
  <c r="D736" i="17"/>
  <c r="E736" i="17" s="1"/>
  <c r="D737" i="17"/>
  <c r="E737" i="17" s="1"/>
  <c r="D738" i="17"/>
  <c r="E738" i="17" s="1"/>
  <c r="D739" i="17"/>
  <c r="E739" i="17" s="1"/>
  <c r="D740" i="17"/>
  <c r="E740" i="17" s="1"/>
  <c r="D741" i="17"/>
  <c r="E741" i="17" s="1"/>
  <c r="D742" i="17"/>
  <c r="E742" i="17" s="1"/>
  <c r="D743" i="17"/>
  <c r="E743" i="17" s="1"/>
  <c r="D744" i="17"/>
  <c r="E744" i="17" s="1"/>
  <c r="D745" i="17"/>
  <c r="E745" i="17" s="1"/>
  <c r="D746" i="17"/>
  <c r="E746" i="17" s="1"/>
  <c r="D747" i="17"/>
  <c r="E747" i="17" s="1"/>
  <c r="D748" i="17"/>
  <c r="E748" i="17" s="1"/>
  <c r="D749" i="17"/>
  <c r="E749" i="17" s="1"/>
  <c r="D750" i="17"/>
  <c r="E750" i="17" s="1"/>
  <c r="D751" i="17"/>
  <c r="E751" i="17" s="1"/>
  <c r="D752" i="17"/>
  <c r="E752" i="17" s="1"/>
  <c r="D753" i="17"/>
  <c r="E753" i="17" s="1"/>
  <c r="D754" i="17"/>
  <c r="E754" i="17" s="1"/>
  <c r="D755" i="17"/>
  <c r="E755" i="17" s="1"/>
  <c r="D756" i="17"/>
  <c r="E756" i="17" s="1"/>
  <c r="D757" i="17"/>
  <c r="E757" i="17" s="1"/>
  <c r="D758" i="17"/>
  <c r="E758" i="17" s="1"/>
  <c r="O19" i="7"/>
  <c r="O20" i="7"/>
  <c r="O21" i="7" s="1"/>
  <c r="H121" i="1"/>
  <c r="I121" i="1"/>
  <c r="J121" i="1"/>
  <c r="K121" i="1"/>
  <c r="L121" i="1"/>
  <c r="M121" i="1"/>
  <c r="N121" i="1"/>
  <c r="O121" i="1"/>
  <c r="P121" i="1"/>
  <c r="Q121" i="1"/>
  <c r="H69" i="1"/>
  <c r="I69" i="1"/>
  <c r="J69" i="1"/>
  <c r="K69" i="1"/>
  <c r="L69" i="1"/>
  <c r="M69" i="1"/>
  <c r="N69" i="1"/>
  <c r="O69" i="1"/>
  <c r="P69" i="1"/>
  <c r="Q69" i="1"/>
  <c r="H148" i="1"/>
  <c r="I148" i="1"/>
  <c r="J148" i="1"/>
  <c r="K148" i="1"/>
  <c r="L148" i="1"/>
  <c r="M148" i="1"/>
  <c r="N148" i="1"/>
  <c r="O148" i="1"/>
  <c r="P148" i="1"/>
  <c r="Q148" i="1"/>
  <c r="H125" i="1"/>
  <c r="I125" i="1"/>
  <c r="J125" i="1"/>
  <c r="K125" i="1"/>
  <c r="L125" i="1"/>
  <c r="M125" i="1"/>
  <c r="N125" i="1"/>
  <c r="O125" i="1"/>
  <c r="P125" i="1"/>
  <c r="Q125" i="1"/>
  <c r="H150" i="1"/>
  <c r="I150" i="1"/>
  <c r="J150" i="1"/>
  <c r="K150" i="1"/>
  <c r="L150" i="1"/>
  <c r="M150" i="1"/>
  <c r="N150" i="1"/>
  <c r="O150" i="1"/>
  <c r="P150" i="1"/>
  <c r="Q150" i="1"/>
  <c r="H19" i="1"/>
  <c r="I19" i="1"/>
  <c r="J19" i="1"/>
  <c r="K19" i="1"/>
  <c r="L19" i="1"/>
  <c r="M19" i="1"/>
  <c r="N19" i="1"/>
  <c r="O19" i="1"/>
  <c r="P19" i="1"/>
  <c r="Q19" i="1"/>
  <c r="H29" i="1"/>
  <c r="I29" i="1"/>
  <c r="J29" i="1"/>
  <c r="K29" i="1"/>
  <c r="L29" i="1"/>
  <c r="N29" i="1"/>
  <c r="O29" i="1"/>
  <c r="P29" i="1"/>
  <c r="Q29" i="1"/>
  <c r="H140" i="1"/>
  <c r="I140" i="1"/>
  <c r="J140" i="1"/>
  <c r="K140" i="1"/>
  <c r="L140" i="1"/>
  <c r="M140" i="1"/>
  <c r="N140" i="1"/>
  <c r="O140" i="1"/>
  <c r="P140" i="1"/>
  <c r="Q140" i="1"/>
  <c r="K19" i="10"/>
  <c r="K20" i="10"/>
  <c r="K21" i="10" s="1"/>
  <c r="J7" i="24"/>
  <c r="K7" i="24" s="1"/>
  <c r="H7" i="24"/>
  <c r="G7" i="24"/>
  <c r="F7" i="24"/>
  <c r="E7" i="24"/>
  <c r="D7" i="24"/>
  <c r="B7" i="24"/>
  <c r="J6" i="24"/>
  <c r="K6" i="24" s="1"/>
  <c r="H6" i="24"/>
  <c r="G6" i="24"/>
  <c r="F6" i="24"/>
  <c r="E6" i="24"/>
  <c r="D6" i="24"/>
  <c r="B6" i="24"/>
  <c r="J5" i="24"/>
  <c r="K5" i="24" s="1"/>
  <c r="H5" i="24"/>
  <c r="G5" i="24"/>
  <c r="F5" i="24"/>
  <c r="E5" i="24"/>
  <c r="D5" i="24"/>
  <c r="B5" i="24"/>
  <c r="H4" i="24"/>
  <c r="G4" i="24"/>
  <c r="F4" i="24"/>
  <c r="J4" i="24" s="1"/>
  <c r="K4" i="24" s="1"/>
  <c r="E4" i="24"/>
  <c r="D4" i="24"/>
  <c r="B4" i="24"/>
  <c r="H3" i="24"/>
  <c r="G3" i="24"/>
  <c r="F3" i="24"/>
  <c r="I2" i="24"/>
  <c r="J23" i="23"/>
  <c r="K23" i="23" s="1"/>
  <c r="H23" i="23"/>
  <c r="G23" i="23"/>
  <c r="F23" i="23"/>
  <c r="E23" i="23"/>
  <c r="D23" i="23"/>
  <c r="B23" i="23"/>
  <c r="J22" i="23"/>
  <c r="K22" i="23" s="1"/>
  <c r="H22" i="23"/>
  <c r="G22" i="23"/>
  <c r="F22" i="23"/>
  <c r="E22" i="23"/>
  <c r="D22" i="23"/>
  <c r="B22" i="23"/>
  <c r="J21" i="23"/>
  <c r="K21" i="23" s="1"/>
  <c r="H21" i="23"/>
  <c r="G21" i="23"/>
  <c r="F21" i="23"/>
  <c r="E21" i="23"/>
  <c r="D21" i="23"/>
  <c r="B21" i="23"/>
  <c r="J20" i="23"/>
  <c r="K20" i="23" s="1"/>
  <c r="H20" i="23"/>
  <c r="G20" i="23"/>
  <c r="F20" i="23"/>
  <c r="E20" i="23"/>
  <c r="D20" i="23"/>
  <c r="B20" i="23"/>
  <c r="J19" i="23"/>
  <c r="K19" i="23" s="1"/>
  <c r="H19" i="23"/>
  <c r="G19" i="23"/>
  <c r="F19" i="23"/>
  <c r="E19" i="23"/>
  <c r="D19" i="23"/>
  <c r="B19" i="23"/>
  <c r="J18" i="23"/>
  <c r="K18" i="23" s="1"/>
  <c r="H18" i="23"/>
  <c r="G18" i="23"/>
  <c r="F18" i="23"/>
  <c r="E18" i="23"/>
  <c r="D18" i="23"/>
  <c r="B18" i="23"/>
  <c r="J17" i="23"/>
  <c r="K17" i="23" s="1"/>
  <c r="H17" i="23"/>
  <c r="G17" i="23"/>
  <c r="F17" i="23"/>
  <c r="E17" i="23"/>
  <c r="D17" i="23"/>
  <c r="B17" i="23"/>
  <c r="J16" i="23"/>
  <c r="K16" i="23" s="1"/>
  <c r="H16" i="23"/>
  <c r="G16" i="23"/>
  <c r="F16" i="23"/>
  <c r="E16" i="23"/>
  <c r="D16" i="23"/>
  <c r="B16" i="23"/>
  <c r="J15" i="23"/>
  <c r="K15" i="23" s="1"/>
  <c r="H15" i="23"/>
  <c r="G15" i="23"/>
  <c r="F15" i="23"/>
  <c r="E15" i="23"/>
  <c r="D15" i="23"/>
  <c r="B15" i="23"/>
  <c r="J14" i="23"/>
  <c r="K14" i="23" s="1"/>
  <c r="H14" i="23"/>
  <c r="G14" i="23"/>
  <c r="F14" i="23"/>
  <c r="E14" i="23"/>
  <c r="D14" i="23"/>
  <c r="B14" i="23"/>
  <c r="J13" i="23"/>
  <c r="K13" i="23" s="1"/>
  <c r="H13" i="23"/>
  <c r="G13" i="23"/>
  <c r="F13" i="23"/>
  <c r="E13" i="23"/>
  <c r="D13" i="23"/>
  <c r="B13" i="23"/>
  <c r="J12" i="23"/>
  <c r="K12" i="23" s="1"/>
  <c r="H12" i="23"/>
  <c r="G12" i="23"/>
  <c r="F12" i="23"/>
  <c r="E12" i="23"/>
  <c r="D12" i="23"/>
  <c r="B12" i="23"/>
  <c r="J11" i="23"/>
  <c r="K11" i="23" s="1"/>
  <c r="H11" i="23"/>
  <c r="G11" i="23"/>
  <c r="F11" i="23"/>
  <c r="E11" i="23"/>
  <c r="D11" i="23"/>
  <c r="B11" i="23"/>
  <c r="J10" i="23"/>
  <c r="K10" i="23" s="1"/>
  <c r="H10" i="23"/>
  <c r="G10" i="23"/>
  <c r="F10" i="23"/>
  <c r="E10" i="23"/>
  <c r="D10" i="23"/>
  <c r="B10" i="23"/>
  <c r="H9" i="23"/>
  <c r="G9" i="23"/>
  <c r="F9" i="23"/>
  <c r="J9" i="23" s="1"/>
  <c r="K9" i="23" s="1"/>
  <c r="E9" i="23"/>
  <c r="D9" i="23"/>
  <c r="B9" i="23"/>
  <c r="H8" i="23"/>
  <c r="G8" i="23"/>
  <c r="F8" i="23"/>
  <c r="J8" i="23" s="1"/>
  <c r="K8" i="23" s="1"/>
  <c r="E8" i="23"/>
  <c r="D8" i="23"/>
  <c r="B8" i="23"/>
  <c r="H7" i="23"/>
  <c r="G7" i="23"/>
  <c r="F7" i="23"/>
  <c r="J7" i="23" s="1"/>
  <c r="K7" i="23" s="1"/>
  <c r="E7" i="23"/>
  <c r="D7" i="23"/>
  <c r="B7" i="23"/>
  <c r="H6" i="23"/>
  <c r="G6" i="23"/>
  <c r="F6" i="23"/>
  <c r="J6" i="23" s="1"/>
  <c r="K6" i="23" s="1"/>
  <c r="E6" i="23"/>
  <c r="D6" i="23"/>
  <c r="B6" i="23"/>
  <c r="H5" i="23"/>
  <c r="G5" i="23"/>
  <c r="F5" i="23"/>
  <c r="J5" i="23" s="1"/>
  <c r="K5" i="23" s="1"/>
  <c r="E5" i="23"/>
  <c r="D5" i="23"/>
  <c r="B5" i="23"/>
  <c r="H4" i="23"/>
  <c r="G4" i="23"/>
  <c r="F4" i="23"/>
  <c r="J4" i="23" s="1"/>
  <c r="K4" i="23" s="1"/>
  <c r="E4" i="23"/>
  <c r="D4" i="23"/>
  <c r="B4" i="23"/>
  <c r="H3" i="23"/>
  <c r="G3" i="23"/>
  <c r="F3" i="23"/>
  <c r="I2" i="23"/>
  <c r="J47" i="22"/>
  <c r="K47" i="22" s="1"/>
  <c r="H47" i="22"/>
  <c r="G47" i="22"/>
  <c r="F47" i="22"/>
  <c r="E47" i="22"/>
  <c r="D47" i="22"/>
  <c r="B47" i="22"/>
  <c r="J46" i="22"/>
  <c r="K46" i="22" s="1"/>
  <c r="H46" i="22"/>
  <c r="G46" i="22"/>
  <c r="F46" i="22"/>
  <c r="E46" i="22"/>
  <c r="D46" i="22"/>
  <c r="B46" i="22"/>
  <c r="J45" i="22"/>
  <c r="K45" i="22" s="1"/>
  <c r="H45" i="22"/>
  <c r="G45" i="22"/>
  <c r="F45" i="22"/>
  <c r="E45" i="22"/>
  <c r="D45" i="22"/>
  <c r="B45" i="22"/>
  <c r="J44" i="22"/>
  <c r="K44" i="22" s="1"/>
  <c r="H44" i="22"/>
  <c r="G44" i="22"/>
  <c r="F44" i="22"/>
  <c r="E44" i="22"/>
  <c r="D44" i="22"/>
  <c r="B44" i="22"/>
  <c r="J43" i="22"/>
  <c r="K43" i="22" s="1"/>
  <c r="H43" i="22"/>
  <c r="G43" i="22"/>
  <c r="F43" i="22"/>
  <c r="E43" i="22"/>
  <c r="D43" i="22"/>
  <c r="B43" i="22"/>
  <c r="J42" i="22"/>
  <c r="K42" i="22" s="1"/>
  <c r="H42" i="22"/>
  <c r="G42" i="22"/>
  <c r="F42" i="22"/>
  <c r="E42" i="22"/>
  <c r="D42" i="22"/>
  <c r="B42" i="22"/>
  <c r="J41" i="22"/>
  <c r="K41" i="22" s="1"/>
  <c r="H41" i="22"/>
  <c r="G41" i="22"/>
  <c r="F41" i="22"/>
  <c r="E41" i="22"/>
  <c r="D41" i="22"/>
  <c r="B41" i="22"/>
  <c r="J40" i="22"/>
  <c r="K40" i="22" s="1"/>
  <c r="H40" i="22"/>
  <c r="G40" i="22"/>
  <c r="F40" i="22"/>
  <c r="E40" i="22"/>
  <c r="D40" i="22"/>
  <c r="B40" i="22"/>
  <c r="J39" i="22"/>
  <c r="K39" i="22" s="1"/>
  <c r="H39" i="22"/>
  <c r="G39" i="22"/>
  <c r="F39" i="22"/>
  <c r="E39" i="22"/>
  <c r="D39" i="22"/>
  <c r="B39" i="22"/>
  <c r="J38" i="22"/>
  <c r="K38" i="22" s="1"/>
  <c r="H38" i="22"/>
  <c r="G38" i="22"/>
  <c r="F38" i="22"/>
  <c r="E38" i="22"/>
  <c r="D38" i="22"/>
  <c r="B38" i="22"/>
  <c r="J37" i="22"/>
  <c r="K37" i="22" s="1"/>
  <c r="H37" i="22"/>
  <c r="G37" i="22"/>
  <c r="F37" i="22"/>
  <c r="E37" i="22"/>
  <c r="D37" i="22"/>
  <c r="B37" i="22"/>
  <c r="J36" i="22"/>
  <c r="K36" i="22" s="1"/>
  <c r="H36" i="22"/>
  <c r="G36" i="22"/>
  <c r="F36" i="22"/>
  <c r="E36" i="22"/>
  <c r="D36" i="22"/>
  <c r="B36" i="22"/>
  <c r="J35" i="22"/>
  <c r="K35" i="22" s="1"/>
  <c r="H35" i="22"/>
  <c r="G35" i="22"/>
  <c r="F35" i="22"/>
  <c r="E35" i="22"/>
  <c r="D35" i="22"/>
  <c r="B35" i="22"/>
  <c r="J34" i="22"/>
  <c r="K34" i="22" s="1"/>
  <c r="H34" i="22"/>
  <c r="G34" i="22"/>
  <c r="F34" i="22"/>
  <c r="E34" i="22"/>
  <c r="D34" i="22"/>
  <c r="B34" i="22"/>
  <c r="H33" i="22"/>
  <c r="G33" i="22"/>
  <c r="F33" i="22"/>
  <c r="J33" i="22" s="1"/>
  <c r="K33" i="22" s="1"/>
  <c r="E33" i="22"/>
  <c r="D33" i="22"/>
  <c r="B33" i="22"/>
  <c r="H32" i="22"/>
  <c r="G32" i="22"/>
  <c r="F32" i="22"/>
  <c r="J32" i="22" s="1"/>
  <c r="K32" i="22" s="1"/>
  <c r="E32" i="22"/>
  <c r="D32" i="22"/>
  <c r="B32" i="22"/>
  <c r="H31" i="22"/>
  <c r="G31" i="22"/>
  <c r="F31" i="22"/>
  <c r="J31" i="22" s="1"/>
  <c r="K31" i="22" s="1"/>
  <c r="E31" i="22"/>
  <c r="D31" i="22"/>
  <c r="B31" i="22"/>
  <c r="H30" i="22"/>
  <c r="G30" i="22"/>
  <c r="F30" i="22"/>
  <c r="J30" i="22" s="1"/>
  <c r="K30" i="22" s="1"/>
  <c r="E30" i="22"/>
  <c r="D30" i="22"/>
  <c r="B30" i="22"/>
  <c r="H29" i="22"/>
  <c r="G29" i="22"/>
  <c r="F29" i="22"/>
  <c r="J29" i="22" s="1"/>
  <c r="K29" i="22" s="1"/>
  <c r="E29" i="22"/>
  <c r="D29" i="22"/>
  <c r="B29" i="22"/>
  <c r="H28" i="22"/>
  <c r="G28" i="22"/>
  <c r="F28" i="22"/>
  <c r="J28" i="22" s="1"/>
  <c r="K28" i="22" s="1"/>
  <c r="E28" i="22"/>
  <c r="D28" i="22"/>
  <c r="B28" i="22"/>
  <c r="H27" i="22"/>
  <c r="G27" i="22"/>
  <c r="F27" i="22"/>
  <c r="J27" i="22" s="1"/>
  <c r="K27" i="22" s="1"/>
  <c r="E27" i="22"/>
  <c r="D27" i="22"/>
  <c r="B27" i="22"/>
  <c r="H26" i="22"/>
  <c r="G26" i="22"/>
  <c r="F26" i="22"/>
  <c r="J26" i="22" s="1"/>
  <c r="K26" i="22" s="1"/>
  <c r="E26" i="22"/>
  <c r="D26" i="22"/>
  <c r="B26" i="22"/>
  <c r="H25" i="22"/>
  <c r="G25" i="22"/>
  <c r="F25" i="22"/>
  <c r="J25" i="22" s="1"/>
  <c r="K25" i="22" s="1"/>
  <c r="E25" i="22"/>
  <c r="D25" i="22"/>
  <c r="B25" i="22"/>
  <c r="H24" i="22"/>
  <c r="G24" i="22"/>
  <c r="F24" i="22"/>
  <c r="J24" i="22" s="1"/>
  <c r="K24" i="22" s="1"/>
  <c r="E24" i="22"/>
  <c r="D24" i="22"/>
  <c r="B24" i="22"/>
  <c r="H23" i="22"/>
  <c r="G23" i="22"/>
  <c r="F23" i="22"/>
  <c r="J23" i="22" s="1"/>
  <c r="K23" i="22" s="1"/>
  <c r="E23" i="22"/>
  <c r="D23" i="22"/>
  <c r="B23" i="22"/>
  <c r="H22" i="22"/>
  <c r="G22" i="22"/>
  <c r="F22" i="22"/>
  <c r="J22" i="22" s="1"/>
  <c r="K22" i="22" s="1"/>
  <c r="E22" i="22"/>
  <c r="D22" i="22"/>
  <c r="B22" i="22"/>
  <c r="H21" i="22"/>
  <c r="G21" i="22"/>
  <c r="F21" i="22"/>
  <c r="J21" i="22" s="1"/>
  <c r="K21" i="22" s="1"/>
  <c r="E21" i="22"/>
  <c r="D21" i="22"/>
  <c r="B21" i="22"/>
  <c r="H20" i="22"/>
  <c r="G20" i="22"/>
  <c r="F20" i="22"/>
  <c r="J20" i="22" s="1"/>
  <c r="K20" i="22" s="1"/>
  <c r="E20" i="22"/>
  <c r="D20" i="22"/>
  <c r="B20" i="22"/>
  <c r="H19" i="22"/>
  <c r="G19" i="22"/>
  <c r="F19" i="22"/>
  <c r="J19" i="22" s="1"/>
  <c r="K19" i="22" s="1"/>
  <c r="E19" i="22"/>
  <c r="D19" i="22"/>
  <c r="B19" i="22"/>
  <c r="H18" i="22"/>
  <c r="G18" i="22"/>
  <c r="F18" i="22"/>
  <c r="J18" i="22" s="1"/>
  <c r="K18" i="22" s="1"/>
  <c r="E18" i="22"/>
  <c r="D18" i="22"/>
  <c r="B18" i="22"/>
  <c r="H17" i="22"/>
  <c r="G17" i="22"/>
  <c r="F17" i="22"/>
  <c r="J17" i="22" s="1"/>
  <c r="K17" i="22" s="1"/>
  <c r="E17" i="22"/>
  <c r="D17" i="22"/>
  <c r="B17" i="22"/>
  <c r="H16" i="22"/>
  <c r="G16" i="22"/>
  <c r="F16" i="22"/>
  <c r="J16" i="22" s="1"/>
  <c r="K16" i="22" s="1"/>
  <c r="E16" i="22"/>
  <c r="D16" i="22"/>
  <c r="B16" i="22"/>
  <c r="H15" i="22"/>
  <c r="G15" i="22"/>
  <c r="F15" i="22"/>
  <c r="J15" i="22" s="1"/>
  <c r="K15" i="22" s="1"/>
  <c r="E15" i="22"/>
  <c r="D15" i="22"/>
  <c r="B15" i="22"/>
  <c r="H14" i="22"/>
  <c r="G14" i="22"/>
  <c r="F14" i="22"/>
  <c r="J14" i="22" s="1"/>
  <c r="K14" i="22" s="1"/>
  <c r="E14" i="22"/>
  <c r="D14" i="22"/>
  <c r="B14" i="22"/>
  <c r="H13" i="22"/>
  <c r="G13" i="22"/>
  <c r="F13" i="22"/>
  <c r="J13" i="22" s="1"/>
  <c r="K13" i="22" s="1"/>
  <c r="E13" i="22"/>
  <c r="D13" i="22"/>
  <c r="B13" i="22"/>
  <c r="H12" i="22"/>
  <c r="G12" i="22"/>
  <c r="F12" i="22"/>
  <c r="J12" i="22" s="1"/>
  <c r="K12" i="22" s="1"/>
  <c r="E12" i="22"/>
  <c r="D12" i="22"/>
  <c r="B12" i="22"/>
  <c r="H11" i="22"/>
  <c r="G11" i="22"/>
  <c r="F11" i="22"/>
  <c r="J11" i="22" s="1"/>
  <c r="K11" i="22" s="1"/>
  <c r="E11" i="22"/>
  <c r="D11" i="22"/>
  <c r="B11" i="22"/>
  <c r="H10" i="22"/>
  <c r="G10" i="22"/>
  <c r="F10" i="22"/>
  <c r="J10" i="22" s="1"/>
  <c r="K10" i="22" s="1"/>
  <c r="E10" i="22"/>
  <c r="D10" i="22"/>
  <c r="B10" i="22"/>
  <c r="H9" i="22"/>
  <c r="G9" i="22"/>
  <c r="F9" i="22"/>
  <c r="J9" i="22" s="1"/>
  <c r="K9" i="22" s="1"/>
  <c r="E9" i="22"/>
  <c r="D9" i="22"/>
  <c r="B9" i="22"/>
  <c r="H8" i="22"/>
  <c r="G8" i="22"/>
  <c r="F8" i="22"/>
  <c r="J8" i="22" s="1"/>
  <c r="K8" i="22" s="1"/>
  <c r="E8" i="22"/>
  <c r="D8" i="22"/>
  <c r="B8" i="22"/>
  <c r="H7" i="22"/>
  <c r="G7" i="22"/>
  <c r="F7" i="22"/>
  <c r="J7" i="22" s="1"/>
  <c r="K7" i="22" s="1"/>
  <c r="E7" i="22"/>
  <c r="D7" i="22"/>
  <c r="B7" i="22"/>
  <c r="H6" i="22"/>
  <c r="G6" i="22"/>
  <c r="F6" i="22"/>
  <c r="J6" i="22" s="1"/>
  <c r="K6" i="22" s="1"/>
  <c r="E6" i="22"/>
  <c r="D6" i="22"/>
  <c r="B6" i="22"/>
  <c r="H5" i="22"/>
  <c r="G5" i="22"/>
  <c r="F5" i="22"/>
  <c r="J5" i="22" s="1"/>
  <c r="K5" i="22" s="1"/>
  <c r="E5" i="22"/>
  <c r="D5" i="22"/>
  <c r="B5" i="22"/>
  <c r="H4" i="22"/>
  <c r="G4" i="22"/>
  <c r="F4" i="22"/>
  <c r="J4" i="22" s="1"/>
  <c r="K4" i="22" s="1"/>
  <c r="E4" i="22"/>
  <c r="D4" i="22"/>
  <c r="B4" i="22"/>
  <c r="H3" i="22"/>
  <c r="G3" i="22"/>
  <c r="F3" i="22"/>
  <c r="I2" i="22"/>
  <c r="K41" i="21"/>
  <c r="J41" i="21"/>
  <c r="H41" i="21"/>
  <c r="G41" i="21"/>
  <c r="F41" i="21"/>
  <c r="E41" i="21"/>
  <c r="D41" i="21"/>
  <c r="B41" i="21"/>
  <c r="K40" i="21"/>
  <c r="J40" i="21"/>
  <c r="H40" i="21"/>
  <c r="G40" i="21"/>
  <c r="F40" i="21"/>
  <c r="E40" i="21"/>
  <c r="D40" i="21"/>
  <c r="B40" i="21"/>
  <c r="K39" i="21"/>
  <c r="J39" i="21"/>
  <c r="H39" i="21"/>
  <c r="G39" i="21"/>
  <c r="F39" i="21"/>
  <c r="E39" i="21"/>
  <c r="D39" i="21"/>
  <c r="B39" i="21"/>
  <c r="K38" i="21"/>
  <c r="J38" i="21"/>
  <c r="H38" i="21"/>
  <c r="G38" i="21"/>
  <c r="F38" i="21"/>
  <c r="E38" i="21"/>
  <c r="D38" i="21"/>
  <c r="B38" i="21"/>
  <c r="K37" i="21"/>
  <c r="J37" i="21"/>
  <c r="H37" i="21"/>
  <c r="G37" i="21"/>
  <c r="F37" i="21"/>
  <c r="E37" i="21"/>
  <c r="D37" i="21"/>
  <c r="B37" i="21"/>
  <c r="K36" i="21"/>
  <c r="J36" i="21"/>
  <c r="H36" i="21"/>
  <c r="G36" i="21"/>
  <c r="F36" i="21"/>
  <c r="E36" i="21"/>
  <c r="D36" i="21"/>
  <c r="B36" i="21"/>
  <c r="K35" i="21"/>
  <c r="J35" i="21"/>
  <c r="H35" i="21"/>
  <c r="G35" i="21"/>
  <c r="F35" i="21"/>
  <c r="E35" i="21"/>
  <c r="D35" i="21"/>
  <c r="B35" i="21"/>
  <c r="K31" i="21"/>
  <c r="J31" i="21"/>
  <c r="H31" i="21"/>
  <c r="G31" i="21"/>
  <c r="F31" i="21"/>
  <c r="E31" i="21"/>
  <c r="D31" i="21"/>
  <c r="B31" i="21"/>
  <c r="K30" i="21"/>
  <c r="J30" i="21"/>
  <c r="H30" i="21"/>
  <c r="G30" i="21"/>
  <c r="F30" i="21"/>
  <c r="E30" i="21"/>
  <c r="D30" i="21"/>
  <c r="B30" i="21"/>
  <c r="K29" i="21"/>
  <c r="J29" i="21"/>
  <c r="H29" i="21"/>
  <c r="G29" i="21"/>
  <c r="F29" i="21"/>
  <c r="E29" i="21"/>
  <c r="D29" i="21"/>
  <c r="B29" i="21"/>
  <c r="K28" i="21"/>
  <c r="J28" i="21"/>
  <c r="H28" i="21"/>
  <c r="G28" i="21"/>
  <c r="F28" i="21"/>
  <c r="E28" i="21"/>
  <c r="D28" i="21"/>
  <c r="B28" i="21"/>
  <c r="K27" i="21"/>
  <c r="J27" i="21"/>
  <c r="H27" i="21"/>
  <c r="G27" i="21"/>
  <c r="F27" i="21"/>
  <c r="E27" i="21"/>
  <c r="D27" i="21"/>
  <c r="B27" i="21"/>
  <c r="K26" i="21"/>
  <c r="J26" i="21"/>
  <c r="H26" i="21"/>
  <c r="G26" i="21"/>
  <c r="F26" i="21"/>
  <c r="E26" i="21"/>
  <c r="D26" i="21"/>
  <c r="B26" i="21"/>
  <c r="K25" i="21"/>
  <c r="J25" i="21"/>
  <c r="H25" i="21"/>
  <c r="G25" i="21"/>
  <c r="F25" i="21"/>
  <c r="E25" i="21"/>
  <c r="D25" i="21"/>
  <c r="B25" i="21"/>
  <c r="K24" i="21"/>
  <c r="J24" i="21"/>
  <c r="H24" i="21"/>
  <c r="G24" i="21"/>
  <c r="F24" i="21"/>
  <c r="E24" i="21"/>
  <c r="D24" i="21"/>
  <c r="B24" i="21"/>
  <c r="K23" i="21"/>
  <c r="J23" i="21"/>
  <c r="H23" i="21"/>
  <c r="G23" i="21"/>
  <c r="F23" i="21"/>
  <c r="E23" i="21"/>
  <c r="D23" i="21"/>
  <c r="B23" i="21"/>
  <c r="K22" i="21"/>
  <c r="J22" i="21"/>
  <c r="H22" i="21"/>
  <c r="G22" i="21"/>
  <c r="F22" i="21"/>
  <c r="E22" i="21"/>
  <c r="D22" i="21"/>
  <c r="B22" i="21"/>
  <c r="K21" i="21"/>
  <c r="J21" i="21"/>
  <c r="H21" i="21"/>
  <c r="G21" i="21"/>
  <c r="F21" i="21"/>
  <c r="E21" i="21"/>
  <c r="D21" i="21"/>
  <c r="B21" i="21"/>
  <c r="K20" i="21"/>
  <c r="J20" i="21"/>
  <c r="H20" i="21"/>
  <c r="G20" i="21"/>
  <c r="F20" i="21"/>
  <c r="E20" i="21"/>
  <c r="D20" i="21"/>
  <c r="B20" i="21"/>
  <c r="K19" i="21"/>
  <c r="J19" i="21"/>
  <c r="H19" i="21"/>
  <c r="G19" i="21"/>
  <c r="F19" i="21"/>
  <c r="E19" i="21"/>
  <c r="D19" i="21"/>
  <c r="B19" i="21"/>
  <c r="K18" i="21"/>
  <c r="J18" i="21"/>
  <c r="H18" i="21"/>
  <c r="G18" i="21"/>
  <c r="F18" i="21"/>
  <c r="E18" i="21"/>
  <c r="D18" i="21"/>
  <c r="B18" i="21"/>
  <c r="K17" i="21"/>
  <c r="J17" i="21"/>
  <c r="H17" i="21"/>
  <c r="G17" i="21"/>
  <c r="F17" i="21"/>
  <c r="E17" i="21"/>
  <c r="D17" i="21"/>
  <c r="B17" i="21"/>
  <c r="K16" i="21"/>
  <c r="J16" i="21"/>
  <c r="H16" i="21"/>
  <c r="G16" i="21"/>
  <c r="F16" i="21"/>
  <c r="E16" i="21"/>
  <c r="D16" i="21"/>
  <c r="B16" i="21"/>
  <c r="K15" i="21"/>
  <c r="J15" i="21"/>
  <c r="H15" i="21"/>
  <c r="G15" i="21"/>
  <c r="F15" i="21"/>
  <c r="E15" i="21"/>
  <c r="D15" i="21"/>
  <c r="B15" i="21"/>
  <c r="K14" i="21"/>
  <c r="J14" i="21"/>
  <c r="H14" i="21"/>
  <c r="G14" i="21"/>
  <c r="F14" i="21"/>
  <c r="E14" i="21"/>
  <c r="D14" i="21"/>
  <c r="B14" i="21"/>
  <c r="K13" i="21"/>
  <c r="J13" i="21"/>
  <c r="H13" i="21"/>
  <c r="G13" i="21"/>
  <c r="F13" i="21"/>
  <c r="E13" i="21"/>
  <c r="D13" i="21"/>
  <c r="B13" i="21"/>
  <c r="K12" i="21"/>
  <c r="J12" i="21"/>
  <c r="H12" i="21"/>
  <c r="G12" i="21"/>
  <c r="F12" i="21"/>
  <c r="E12" i="21"/>
  <c r="D12" i="21"/>
  <c r="B12" i="21"/>
  <c r="K11" i="21"/>
  <c r="J11" i="21"/>
  <c r="H11" i="21"/>
  <c r="G11" i="21"/>
  <c r="F11" i="21"/>
  <c r="E11" i="21"/>
  <c r="D11" i="21"/>
  <c r="B11" i="21"/>
  <c r="K10" i="21"/>
  <c r="J10" i="21"/>
  <c r="H10" i="21"/>
  <c r="G10" i="21"/>
  <c r="F10" i="21"/>
  <c r="E10" i="21"/>
  <c r="D10" i="21"/>
  <c r="B10" i="21"/>
  <c r="K9" i="21"/>
  <c r="J9" i="21"/>
  <c r="H9" i="21"/>
  <c r="G9" i="21"/>
  <c r="F9" i="21"/>
  <c r="E9" i="21"/>
  <c r="D9" i="21"/>
  <c r="B9" i="21"/>
  <c r="K8" i="21"/>
  <c r="J8" i="21"/>
  <c r="H8" i="21"/>
  <c r="G8" i="21"/>
  <c r="F8" i="21"/>
  <c r="E8" i="21"/>
  <c r="D8" i="21"/>
  <c r="B8" i="21"/>
  <c r="K7" i="21"/>
  <c r="J7" i="21"/>
  <c r="H7" i="21"/>
  <c r="G7" i="21"/>
  <c r="F7" i="21"/>
  <c r="E7" i="21"/>
  <c r="D7" i="21"/>
  <c r="B7" i="21"/>
  <c r="K6" i="21"/>
  <c r="J6" i="21"/>
  <c r="H6" i="21"/>
  <c r="G6" i="21"/>
  <c r="F6" i="21"/>
  <c r="E6" i="21"/>
  <c r="D6" i="21"/>
  <c r="B6" i="21"/>
  <c r="K5" i="21"/>
  <c r="J5" i="21"/>
  <c r="H5" i="21"/>
  <c r="G5" i="21"/>
  <c r="F5" i="21"/>
  <c r="E5" i="21"/>
  <c r="D5" i="21"/>
  <c r="B5" i="21"/>
  <c r="K4" i="21"/>
  <c r="J4" i="21"/>
  <c r="H4" i="21"/>
  <c r="G4" i="21"/>
  <c r="F4" i="21"/>
  <c r="E4" i="21"/>
  <c r="D4" i="21"/>
  <c r="B4" i="21"/>
  <c r="H3" i="21"/>
  <c r="G3" i="21"/>
  <c r="F3" i="21"/>
  <c r="I2" i="21"/>
  <c r="H13" i="20"/>
  <c r="G13" i="20"/>
  <c r="F13" i="20"/>
  <c r="J13" i="20" s="1"/>
  <c r="K13" i="20" s="1"/>
  <c r="E13" i="20"/>
  <c r="D13" i="20"/>
  <c r="B13" i="20"/>
  <c r="J12" i="20"/>
  <c r="K12" i="20" s="1"/>
  <c r="H12" i="20"/>
  <c r="G12" i="20"/>
  <c r="F12" i="20"/>
  <c r="E12" i="20"/>
  <c r="D12" i="20"/>
  <c r="B12" i="20"/>
  <c r="J11" i="20"/>
  <c r="K11" i="20" s="1"/>
  <c r="H11" i="20"/>
  <c r="G11" i="20"/>
  <c r="F11" i="20"/>
  <c r="E11" i="20"/>
  <c r="D11" i="20"/>
  <c r="B11" i="20"/>
  <c r="J10" i="20"/>
  <c r="K10" i="20" s="1"/>
  <c r="H10" i="20"/>
  <c r="G10" i="20"/>
  <c r="F10" i="20"/>
  <c r="E10" i="20"/>
  <c r="D10" i="20"/>
  <c r="B10" i="20"/>
  <c r="H9" i="20"/>
  <c r="G9" i="20"/>
  <c r="F9" i="20"/>
  <c r="J9" i="20" s="1"/>
  <c r="K9" i="20" s="1"/>
  <c r="E9" i="20"/>
  <c r="D9" i="20"/>
  <c r="B9" i="20"/>
  <c r="H8" i="20"/>
  <c r="G8" i="20"/>
  <c r="F8" i="20"/>
  <c r="J8" i="20" s="1"/>
  <c r="K8" i="20" s="1"/>
  <c r="E8" i="20"/>
  <c r="D8" i="20"/>
  <c r="B8" i="20"/>
  <c r="H7" i="20"/>
  <c r="G7" i="20"/>
  <c r="F7" i="20"/>
  <c r="J7" i="20" s="1"/>
  <c r="K7" i="20" s="1"/>
  <c r="E7" i="20"/>
  <c r="D7" i="20"/>
  <c r="B7" i="20"/>
  <c r="H6" i="20"/>
  <c r="G6" i="20"/>
  <c r="F6" i="20"/>
  <c r="J6" i="20" s="1"/>
  <c r="K6" i="20" s="1"/>
  <c r="E6" i="20"/>
  <c r="D6" i="20"/>
  <c r="B6" i="20"/>
  <c r="H5" i="20"/>
  <c r="G5" i="20"/>
  <c r="F5" i="20"/>
  <c r="J5" i="20" s="1"/>
  <c r="K5" i="20" s="1"/>
  <c r="E5" i="20"/>
  <c r="D5" i="20"/>
  <c r="B5" i="20"/>
  <c r="H4" i="20"/>
  <c r="G4" i="20"/>
  <c r="F4" i="20"/>
  <c r="J4" i="20" s="1"/>
  <c r="K4" i="20" s="1"/>
  <c r="E4" i="20"/>
  <c r="D4" i="20"/>
  <c r="B4" i="20"/>
  <c r="H3" i="20"/>
  <c r="G3" i="20"/>
  <c r="F3" i="20"/>
  <c r="I2" i="20"/>
  <c r="K7" i="19"/>
  <c r="H7" i="19"/>
  <c r="G7" i="19"/>
  <c r="F7" i="19"/>
  <c r="J7" i="19" s="1"/>
  <c r="E7" i="19"/>
  <c r="D7" i="19"/>
  <c r="B7" i="19"/>
  <c r="K6" i="19"/>
  <c r="H6" i="19"/>
  <c r="G6" i="19"/>
  <c r="F6" i="19"/>
  <c r="J6" i="19" s="1"/>
  <c r="E6" i="19"/>
  <c r="D6" i="19"/>
  <c r="B6" i="19"/>
  <c r="H5" i="19"/>
  <c r="G5" i="19"/>
  <c r="F5" i="19"/>
  <c r="J5" i="19" s="1"/>
  <c r="K5" i="19" s="1"/>
  <c r="E5" i="19"/>
  <c r="D5" i="19"/>
  <c r="B5" i="19"/>
  <c r="H4" i="19"/>
  <c r="G4" i="19"/>
  <c r="F4" i="19"/>
  <c r="J4" i="19" s="1"/>
  <c r="K4" i="19" s="1"/>
  <c r="E4" i="19"/>
  <c r="D4" i="19"/>
  <c r="B4" i="19"/>
  <c r="H3" i="19"/>
  <c r="G3" i="19"/>
  <c r="F3" i="19"/>
  <c r="I2" i="19"/>
  <c r="B1571" i="17"/>
  <c r="B1570" i="17"/>
  <c r="B1561" i="17"/>
  <c r="B1560" i="17"/>
  <c r="B1559" i="17"/>
  <c r="B1544" i="17"/>
  <c r="B1540" i="17" a="1"/>
  <c r="B1538" i="17"/>
  <c r="B1531" i="17"/>
  <c r="B1522" i="17"/>
  <c r="B1513" i="17"/>
  <c r="B1512" i="17"/>
  <c r="B1509" i="17"/>
  <c r="B1508" i="17" a="1"/>
  <c r="B1497" i="17"/>
  <c r="B1493" i="17"/>
  <c r="B1490" i="17"/>
  <c r="B1483" i="17"/>
  <c r="B1482" i="17"/>
  <c r="B1476" i="17" a="1"/>
  <c r="B1498" i="17" s="1"/>
  <c r="B1474" i="17"/>
  <c r="B1471" i="17"/>
  <c r="B1470" i="17"/>
  <c r="B1467" i="17"/>
  <c r="B1466" i="17"/>
  <c r="B1462" i="17"/>
  <c r="B1461" i="17"/>
  <c r="B1460" i="17"/>
  <c r="B1459" i="17"/>
  <c r="B1454" i="17"/>
  <c r="B1452" i="17"/>
  <c r="B1451" i="17"/>
  <c r="B1450" i="17"/>
  <c r="B1447" i="17"/>
  <c r="B1446" i="17"/>
  <c r="B1444" i="17" a="1"/>
  <c r="B1443" i="17"/>
  <c r="B1440" i="17"/>
  <c r="B1439" i="17"/>
  <c r="B1438" i="17"/>
  <c r="B1437" i="17"/>
  <c r="B1436" i="17"/>
  <c r="B1435" i="17"/>
  <c r="B1431" i="17"/>
  <c r="B1430" i="17"/>
  <c r="B1429" i="17"/>
  <c r="B1428" i="17"/>
  <c r="B1427" i="17"/>
  <c r="B1424" i="17"/>
  <c r="B1423" i="17"/>
  <c r="B1421" i="17"/>
  <c r="B1420" i="17"/>
  <c r="B1419" i="17"/>
  <c r="B1416" i="17"/>
  <c r="B1415" i="17"/>
  <c r="B1414" i="17"/>
  <c r="B1413" i="17"/>
  <c r="B1412" i="17" a="1"/>
  <c r="B1412" i="17"/>
  <c r="B1409" i="17"/>
  <c r="B1405" i="17"/>
  <c r="B1404" i="17"/>
  <c r="B1400" i="17"/>
  <c r="B1398" i="17"/>
  <c r="B1397" i="17"/>
  <c r="B1390" i="17"/>
  <c r="B1389" i="17"/>
  <c r="B1385" i="17"/>
  <c r="B1384" i="17"/>
  <c r="B1383" i="17"/>
  <c r="B1380" i="17" a="1"/>
  <c r="B1406" i="17" s="1"/>
  <c r="B1378" i="17"/>
  <c r="B1377" i="17"/>
  <c r="B1376" i="17"/>
  <c r="B1375" i="17"/>
  <c r="B1374" i="17"/>
  <c r="B1373" i="17"/>
  <c r="B1371" i="17"/>
  <c r="B1370" i="17"/>
  <c r="B1369" i="17"/>
  <c r="B1368" i="17"/>
  <c r="B1367" i="17"/>
  <c r="B1366" i="17"/>
  <c r="B1365" i="17"/>
  <c r="B1363" i="17"/>
  <c r="B1362" i="17"/>
  <c r="B1361" i="17"/>
  <c r="B1360" i="17"/>
  <c r="B1359" i="17"/>
  <c r="B1358" i="17"/>
  <c r="B1357" i="17"/>
  <c r="B1355" i="17"/>
  <c r="B1354" i="17"/>
  <c r="B1353" i="17"/>
  <c r="B1352" i="17"/>
  <c r="B1351" i="17"/>
  <c r="B1350" i="17"/>
  <c r="B1349" i="17"/>
  <c r="B1348" i="17" a="1"/>
  <c r="B1372" i="17" s="1"/>
  <c r="B1348" i="17"/>
  <c r="B1347" i="17"/>
  <c r="B1346" i="17"/>
  <c r="B1345" i="17"/>
  <c r="B1344" i="17"/>
  <c r="B1343" i="17"/>
  <c r="B1342" i="17"/>
  <c r="B1339" i="17"/>
  <c r="B1338" i="17"/>
  <c r="B1337" i="17"/>
  <c r="B1336" i="17"/>
  <c r="B1335" i="17"/>
  <c r="B1334" i="17"/>
  <c r="B1331" i="17"/>
  <c r="B1330" i="17"/>
  <c r="B1329" i="17"/>
  <c r="B1328" i="17"/>
  <c r="B1327" i="17"/>
  <c r="B1326" i="17"/>
  <c r="B1323" i="17"/>
  <c r="B1322" i="17"/>
  <c r="B1321" i="17"/>
  <c r="B1320" i="17"/>
  <c r="B1319" i="17"/>
  <c r="B1318" i="17"/>
  <c r="B1316" i="17" a="1"/>
  <c r="B1341" i="17" s="1"/>
  <c r="B1316" i="17"/>
  <c r="B1313" i="17"/>
  <c r="B1311" i="17"/>
  <c r="B1309" i="17"/>
  <c r="B1299" i="17"/>
  <c r="B1297" i="17"/>
  <c r="B1296" i="17"/>
  <c r="B1295" i="17"/>
  <c r="B1288" i="17"/>
  <c r="B1284" i="17" a="1"/>
  <c r="B1284" i="17"/>
  <c r="B1277" i="17"/>
  <c r="B1276" i="17"/>
  <c r="B1275" i="17"/>
  <c r="B1274" i="17"/>
  <c r="B1265" i="17"/>
  <c r="B1263" i="17"/>
  <c r="B1261" i="17"/>
  <c r="B1257" i="17"/>
  <c r="B1255" i="17"/>
  <c r="B1252" i="17" a="1"/>
  <c r="B1266" i="17" s="1"/>
  <c r="B1250" i="17"/>
  <c r="B1248" i="17"/>
  <c r="B1247" i="17"/>
  <c r="B1246" i="17"/>
  <c r="B1244" i="17"/>
  <c r="B1243" i="17"/>
  <c r="B1242" i="17"/>
  <c r="B1239" i="17"/>
  <c r="B1238" i="17"/>
  <c r="B1237" i="17"/>
  <c r="B1235" i="17"/>
  <c r="B1234" i="17"/>
  <c r="B1232" i="17"/>
  <c r="B1231" i="17"/>
  <c r="B1229" i="17"/>
  <c r="B1228" i="17"/>
  <c r="B1226" i="17"/>
  <c r="B1224" i="17"/>
  <c r="B1223" i="17"/>
  <c r="B1222" i="17"/>
  <c r="B1221" i="17"/>
  <c r="B1220" i="17" a="1"/>
  <c r="B1220" i="17"/>
  <c r="B1216" i="17"/>
  <c r="B1215" i="17"/>
  <c r="B1214" i="17"/>
  <c r="B1213" i="17"/>
  <c r="B1212" i="17"/>
  <c r="B1206" i="17"/>
  <c r="B1205" i="17"/>
  <c r="B1204" i="17"/>
  <c r="B1203" i="17"/>
  <c r="B1201" i="17"/>
  <c r="B1196" i="17"/>
  <c r="B1195" i="17"/>
  <c r="B1193" i="17"/>
  <c r="B1192" i="17"/>
  <c r="B1190" i="17"/>
  <c r="B1188" i="17" a="1"/>
  <c r="B1217" i="17" s="1"/>
  <c r="B1186" i="17"/>
  <c r="B1185" i="17"/>
  <c r="B1184" i="17"/>
  <c r="B1182" i="17"/>
  <c r="B1181" i="17"/>
  <c r="B1180" i="17"/>
  <c r="B1178" i="17"/>
  <c r="B1177" i="17"/>
  <c r="B1176" i="17"/>
  <c r="B1175" i="17"/>
  <c r="B1173" i="17"/>
  <c r="B1172" i="17"/>
  <c r="B1170" i="17"/>
  <c r="B1169" i="17"/>
  <c r="B1168" i="17"/>
  <c r="B1167" i="17"/>
  <c r="B1166" i="17"/>
  <c r="B1164" i="17"/>
  <c r="B1162" i="17"/>
  <c r="B1161" i="17"/>
  <c r="B1160" i="17"/>
  <c r="B1159" i="17"/>
  <c r="B1158" i="17"/>
  <c r="B1157" i="17"/>
  <c r="B1156" i="17" a="1"/>
  <c r="B1155" i="17"/>
  <c r="B1154" i="17"/>
  <c r="B1153" i="17"/>
  <c r="B1152" i="17"/>
  <c r="B1151" i="17"/>
  <c r="B1150" i="17"/>
  <c r="B1149" i="17"/>
  <c r="B1147" i="17"/>
  <c r="B1146" i="17"/>
  <c r="B1145" i="17"/>
  <c r="B1144" i="17"/>
  <c r="B1143" i="17"/>
  <c r="B1142" i="17"/>
  <c r="B1141" i="17"/>
  <c r="B1139" i="17"/>
  <c r="B1138" i="17"/>
  <c r="B1137" i="17"/>
  <c r="B1136" i="17"/>
  <c r="B1135" i="17"/>
  <c r="B1134" i="17"/>
  <c r="B1133" i="17"/>
  <c r="B1131" i="17"/>
  <c r="B1130" i="17"/>
  <c r="B1129" i="17"/>
  <c r="B1128" i="17"/>
  <c r="B1127" i="17"/>
  <c r="B1126" i="17"/>
  <c r="B1125" i="17"/>
  <c r="B1124" i="17" a="1"/>
  <c r="B1148" i="17" s="1"/>
  <c r="B1124" i="17"/>
  <c r="B1121" i="17"/>
  <c r="B1120" i="17"/>
  <c r="B1119" i="17"/>
  <c r="B1118" i="17"/>
  <c r="B1116" i="17"/>
  <c r="B1111" i="17"/>
  <c r="B1110" i="17"/>
  <c r="B1108" i="17"/>
  <c r="B1107" i="17"/>
  <c r="B1106" i="17"/>
  <c r="B1100" i="17"/>
  <c r="B1099" i="17"/>
  <c r="B1098" i="17"/>
  <c r="B1097" i="17"/>
  <c r="B1096" i="17"/>
  <c r="B1092" i="17" a="1"/>
  <c r="B1123" i="17" s="1"/>
  <c r="B1091" i="17"/>
  <c r="B1090" i="17"/>
  <c r="B1089" i="17"/>
  <c r="B1088" i="17"/>
  <c r="B1085" i="17"/>
  <c r="B1081" i="17"/>
  <c r="B1080" i="17"/>
  <c r="B1076" i="17"/>
  <c r="B1075" i="17"/>
  <c r="B1071" i="17"/>
  <c r="B1069" i="17"/>
  <c r="B1067" i="17"/>
  <c r="B1066" i="17"/>
  <c r="B1065" i="17"/>
  <c r="B1060" i="17" a="1"/>
  <c r="B1059" i="17"/>
  <c r="B1058" i="17"/>
  <c r="B1057" i="17"/>
  <c r="B1056" i="17"/>
  <c r="B1050" i="17"/>
  <c r="B1049" i="17"/>
  <c r="B1048" i="17"/>
  <c r="B1045" i="17"/>
  <c r="B1040" i="17"/>
  <c r="B1038" i="17"/>
  <c r="B1037" i="17"/>
  <c r="B1036" i="17"/>
  <c r="B1035" i="17"/>
  <c r="B1029" i="17"/>
  <c r="B1028" i="17" a="1"/>
  <c r="B1028" i="17"/>
  <c r="B1027" i="17"/>
  <c r="B1026" i="17"/>
  <c r="B1020" i="17"/>
  <c r="B1019" i="17"/>
  <c r="B1018" i="17"/>
  <c r="B1017" i="17"/>
  <c r="B1010" i="17"/>
  <c r="B1009" i="17"/>
  <c r="B1007" i="17"/>
  <c r="B1005" i="17"/>
  <c r="B1004" i="17"/>
  <c r="B999" i="17"/>
  <c r="B998" i="17"/>
  <c r="B996" i="17" a="1"/>
  <c r="B996" i="17"/>
  <c r="B990" i="17"/>
  <c r="B988" i="17"/>
  <c r="B987" i="17"/>
  <c r="B986" i="17"/>
  <c r="B984" i="17"/>
  <c r="B975" i="17"/>
  <c r="B974" i="17"/>
  <c r="B968" i="17"/>
  <c r="B967" i="17"/>
  <c r="B966" i="17"/>
  <c r="B964" i="17" a="1"/>
  <c r="B995" i="17" s="1"/>
  <c r="B961" i="17"/>
  <c r="B960" i="17"/>
  <c r="B959" i="17"/>
  <c r="B958" i="17"/>
  <c r="B957" i="17"/>
  <c r="B956" i="17"/>
  <c r="B955" i="17"/>
  <c r="B951" i="17"/>
  <c r="B950" i="17"/>
  <c r="B949" i="17"/>
  <c r="B948" i="17"/>
  <c r="B947" i="17"/>
  <c r="B945" i="17"/>
  <c r="B943" i="17"/>
  <c r="B941" i="17"/>
  <c r="B940" i="17"/>
  <c r="B939" i="17"/>
  <c r="B937" i="17"/>
  <c r="B936" i="17"/>
  <c r="B934" i="17"/>
  <c r="B933" i="17"/>
  <c r="B932" i="17" a="1"/>
  <c r="B932" i="17"/>
  <c r="B930" i="17"/>
  <c r="B929" i="17"/>
  <c r="B928" i="17"/>
  <c r="B926" i="17"/>
  <c r="B925" i="17"/>
  <c r="B924" i="17"/>
  <c r="B922" i="17"/>
  <c r="B921" i="17"/>
  <c r="B920" i="17"/>
  <c r="B919" i="17"/>
  <c r="B917" i="17"/>
  <c r="B916" i="17"/>
  <c r="B914" i="17"/>
  <c r="B913" i="17"/>
  <c r="B912" i="17"/>
  <c r="B911" i="17"/>
  <c r="B910" i="17"/>
  <c r="B908" i="17"/>
  <c r="B906" i="17"/>
  <c r="B905" i="17"/>
  <c r="B904" i="17"/>
  <c r="B903" i="17"/>
  <c r="B902" i="17"/>
  <c r="B901" i="17"/>
  <c r="B900" i="17" a="1"/>
  <c r="B899" i="17"/>
  <c r="B898" i="17"/>
  <c r="B897" i="17"/>
  <c r="B896" i="17"/>
  <c r="B895" i="17"/>
  <c r="B894" i="17"/>
  <c r="B893" i="17"/>
  <c r="B891" i="17"/>
  <c r="B890" i="17"/>
  <c r="B889" i="17"/>
  <c r="B888" i="17"/>
  <c r="B887" i="17"/>
  <c r="B886" i="17"/>
  <c r="B885" i="17"/>
  <c r="B883" i="17"/>
  <c r="B882" i="17"/>
  <c r="B881" i="17"/>
  <c r="B880" i="17"/>
  <c r="B879" i="17"/>
  <c r="B878" i="17"/>
  <c r="B877" i="17"/>
  <c r="B875" i="17"/>
  <c r="B874" i="17"/>
  <c r="B873" i="17"/>
  <c r="B872" i="17"/>
  <c r="B871" i="17"/>
  <c r="B870" i="17"/>
  <c r="B869" i="17"/>
  <c r="B868" i="17" a="1"/>
  <c r="B892" i="17" s="1"/>
  <c r="B868" i="17"/>
  <c r="B854" i="17"/>
  <c r="B853" i="17"/>
  <c r="B852" i="17"/>
  <c r="B844" i="17"/>
  <c r="B836" i="17" a="1"/>
  <c r="B835" i="17"/>
  <c r="B833" i="17"/>
  <c r="B832" i="17"/>
  <c r="B830" i="17"/>
  <c r="B829" i="17"/>
  <c r="B828" i="17"/>
  <c r="B827" i="17"/>
  <c r="B825" i="17"/>
  <c r="B824" i="17"/>
  <c r="B823" i="17"/>
  <c r="B821" i="17"/>
  <c r="B820" i="17"/>
  <c r="B819" i="17"/>
  <c r="B817" i="17"/>
  <c r="B816" i="17"/>
  <c r="B815" i="17"/>
  <c r="B814" i="17"/>
  <c r="B812" i="17"/>
  <c r="B811" i="17"/>
  <c r="B809" i="17"/>
  <c r="B808" i="17"/>
  <c r="B807" i="17"/>
  <c r="B806" i="17"/>
  <c r="B805" i="17"/>
  <c r="B804" i="17" a="1"/>
  <c r="B804" i="17"/>
  <c r="B801" i="17"/>
  <c r="B800" i="17"/>
  <c r="B797" i="17"/>
  <c r="B789" i="17"/>
  <c r="B788" i="17"/>
  <c r="B783" i="17"/>
  <c r="B782" i="17"/>
  <c r="B781" i="17"/>
  <c r="B772" i="17" a="1"/>
  <c r="A787" i="17"/>
  <c r="A786" i="17"/>
  <c r="A785" i="17"/>
  <c r="A784" i="17"/>
  <c r="A783" i="17"/>
  <c r="A782" i="17"/>
  <c r="A781" i="17"/>
  <c r="A779" i="17"/>
  <c r="A778" i="17"/>
  <c r="A777" i="17"/>
  <c r="A776" i="17"/>
  <c r="A775" i="17"/>
  <c r="A774" i="17"/>
  <c r="A773" i="17"/>
  <c r="A772" i="17" a="1"/>
  <c r="A780" i="17" s="1"/>
  <c r="A772" i="17"/>
  <c r="A768" i="17"/>
  <c r="A767" i="17"/>
  <c r="A756" i="17" a="1"/>
  <c r="B771" i="17"/>
  <c r="B770" i="17"/>
  <c r="B769" i="17"/>
  <c r="B768" i="17"/>
  <c r="B767" i="17"/>
  <c r="B766" i="17"/>
  <c r="B765" i="17"/>
  <c r="B763" i="17"/>
  <c r="B762" i="17"/>
  <c r="B761" i="17"/>
  <c r="B760" i="17"/>
  <c r="B759" i="17"/>
  <c r="B758" i="17"/>
  <c r="B757" i="17"/>
  <c r="B755" i="17"/>
  <c r="B754" i="17"/>
  <c r="B753" i="17"/>
  <c r="B752" i="17"/>
  <c r="B751" i="17"/>
  <c r="B750" i="17"/>
  <c r="B749" i="17"/>
  <c r="B747" i="17"/>
  <c r="B746" i="17"/>
  <c r="B745" i="17"/>
  <c r="B744" i="17"/>
  <c r="B743" i="17"/>
  <c r="B742" i="17"/>
  <c r="B741" i="17"/>
  <c r="B740" i="17" a="1"/>
  <c r="B764" i="17" s="1"/>
  <c r="B740" i="17"/>
  <c r="A754" i="17"/>
  <c r="A752" i="17"/>
  <c r="A747" i="17"/>
  <c r="A740" i="17" a="1"/>
  <c r="A739" i="17"/>
  <c r="A735" i="17"/>
  <c r="A733" i="17"/>
  <c r="A732" i="17"/>
  <c r="A731" i="17"/>
  <c r="A730" i="17"/>
  <c r="A725" i="17"/>
  <c r="A724" i="17" a="1"/>
  <c r="A724" i="17"/>
  <c r="B738" i="17"/>
  <c r="B737" i="17"/>
  <c r="B736" i="17"/>
  <c r="B729" i="17"/>
  <c r="B728" i="17"/>
  <c r="B726" i="17"/>
  <c r="B725" i="17"/>
  <c r="B724" i="17"/>
  <c r="B717" i="17"/>
  <c r="B716" i="17"/>
  <c r="B715" i="17"/>
  <c r="B713" i="17"/>
  <c r="B710" i="17"/>
  <c r="B708" i="17" a="1"/>
  <c r="B731" i="17" s="1"/>
  <c r="A716" i="17"/>
  <c r="A709" i="17"/>
  <c r="A708" i="17" a="1"/>
  <c r="A708" i="17" s="1"/>
  <c r="A706" i="17"/>
  <c r="A701" i="17"/>
  <c r="A699" i="17"/>
  <c r="A696" i="17"/>
  <c r="A695" i="17"/>
  <c r="A694" i="17"/>
  <c r="A692" i="17" a="1"/>
  <c r="A702" i="17" s="1"/>
  <c r="B676" i="17" a="1"/>
  <c r="A685" i="17"/>
  <c r="A684" i="17"/>
  <c r="A682" i="17"/>
  <c r="A681" i="17"/>
  <c r="A680" i="17"/>
  <c r="A676" i="17" a="1"/>
  <c r="A687" i="17" s="1"/>
  <c r="A675" i="17"/>
  <c r="A674" i="17"/>
  <c r="A673" i="17"/>
  <c r="A672" i="17"/>
  <c r="A671" i="17"/>
  <c r="A670" i="17"/>
  <c r="A669" i="17"/>
  <c r="A667" i="17"/>
  <c r="A666" i="17"/>
  <c r="A665" i="17"/>
  <c r="A664" i="17"/>
  <c r="A663" i="17"/>
  <c r="A662" i="17"/>
  <c r="A661" i="17"/>
  <c r="A660" i="17" a="1"/>
  <c r="A668" i="17" s="1"/>
  <c r="A660" i="17"/>
  <c r="B670" i="17"/>
  <c r="B668" i="17"/>
  <c r="B665" i="17"/>
  <c r="B663" i="17"/>
  <c r="B658" i="17"/>
  <c r="B656" i="17"/>
  <c r="B654" i="17"/>
  <c r="B652" i="17"/>
  <c r="B651" i="17"/>
  <c r="B644" i="17" a="1"/>
  <c r="B644" i="17"/>
  <c r="A659" i="17"/>
  <c r="A658" i="17"/>
  <c r="A657" i="17"/>
  <c r="A655" i="17"/>
  <c r="A652" i="17"/>
  <c r="A651" i="17"/>
  <c r="A650" i="17"/>
  <c r="A649" i="17"/>
  <c r="A648" i="17"/>
  <c r="A645" i="17"/>
  <c r="A644" i="17" a="1"/>
  <c r="A644" i="17"/>
  <c r="A628" i="17" a="1"/>
  <c r="A628" i="17"/>
  <c r="B643" i="17"/>
  <c r="B641" i="17"/>
  <c r="B638" i="17"/>
  <c r="B637" i="17"/>
  <c r="B636" i="17"/>
  <c r="B635" i="17"/>
  <c r="B634" i="17"/>
  <c r="B631" i="17"/>
  <c r="B629" i="17"/>
  <c r="B628" i="17"/>
  <c r="B627" i="17"/>
  <c r="B626" i="17"/>
  <c r="B625" i="17"/>
  <c r="B622" i="17"/>
  <c r="B620" i="17"/>
  <c r="B619" i="17"/>
  <c r="B618" i="17"/>
  <c r="B617" i="17"/>
  <c r="B615" i="17"/>
  <c r="B613" i="17"/>
  <c r="B612" i="17" a="1"/>
  <c r="B612" i="17"/>
  <c r="A612" i="17" a="1"/>
  <c r="A611" i="17"/>
  <c r="A609" i="17"/>
  <c r="A608" i="17"/>
  <c r="A607" i="17"/>
  <c r="A606" i="17"/>
  <c r="A604" i="17"/>
  <c r="A603" i="17"/>
  <c r="A601" i="17"/>
  <c r="A600" i="17"/>
  <c r="A599" i="17"/>
  <c r="A598" i="17"/>
  <c r="A597" i="17"/>
  <c r="A596" i="17" a="1"/>
  <c r="A596" i="17"/>
  <c r="B610" i="17"/>
  <c r="B605" i="17"/>
  <c r="B594" i="17"/>
  <c r="B593" i="17"/>
  <c r="B592" i="17"/>
  <c r="B591" i="17"/>
  <c r="B580" i="17" a="1"/>
  <c r="A595" i="17"/>
  <c r="A594" i="17"/>
  <c r="A593" i="17"/>
  <c r="A592" i="17"/>
  <c r="A591" i="17"/>
  <c r="A590" i="17"/>
  <c r="A589" i="17"/>
  <c r="A587" i="17"/>
  <c r="A586" i="17"/>
  <c r="A585" i="17"/>
  <c r="A584" i="17"/>
  <c r="A583" i="17"/>
  <c r="A582" i="17"/>
  <c r="A581" i="17"/>
  <c r="A580" i="17" a="1"/>
  <c r="A588" i="17" s="1"/>
  <c r="A580" i="17"/>
  <c r="A578" i="17"/>
  <c r="A576" i="17"/>
  <c r="A575" i="17"/>
  <c r="A564" i="17" a="1"/>
  <c r="A564" i="17"/>
  <c r="B579" i="17"/>
  <c r="B578" i="17"/>
  <c r="B577" i="17"/>
  <c r="B575" i="17"/>
  <c r="B573" i="17"/>
  <c r="B572" i="17"/>
  <c r="B571" i="17"/>
  <c r="B570" i="17"/>
  <c r="B569" i="17"/>
  <c r="B568" i="17"/>
  <c r="B565" i="17"/>
  <c r="B564" i="17"/>
  <c r="B563" i="17"/>
  <c r="B562" i="17"/>
  <c r="B561" i="17"/>
  <c r="B560" i="17"/>
  <c r="B559" i="17"/>
  <c r="B556" i="17"/>
  <c r="B555" i="17"/>
  <c r="B554" i="17"/>
  <c r="B553" i="17"/>
  <c r="B552" i="17"/>
  <c r="B551" i="17"/>
  <c r="B549" i="17"/>
  <c r="B548" i="17" a="1"/>
  <c r="B548" i="17"/>
  <c r="A555" i="17"/>
  <c r="A550" i="17"/>
  <c r="A549" i="17"/>
  <c r="A548" i="17" a="1"/>
  <c r="A547" i="17"/>
  <c r="A546" i="17"/>
  <c r="A543" i="17"/>
  <c r="A541" i="17"/>
  <c r="A540" i="17"/>
  <c r="A538" i="17"/>
  <c r="A537" i="17"/>
  <c r="A535" i="17"/>
  <c r="A533" i="17"/>
  <c r="A532" i="17" a="1"/>
  <c r="A532" i="17"/>
  <c r="B547" i="17"/>
  <c r="B518" i="17"/>
  <c r="B517" i="17"/>
  <c r="B516" i="17" a="1"/>
  <c r="A531" i="17"/>
  <c r="A516" i="17" a="1"/>
  <c r="A516" i="17"/>
  <c r="A514" i="17"/>
  <c r="A512" i="17"/>
  <c r="A509" i="17"/>
  <c r="A508" i="17"/>
  <c r="A506" i="17"/>
  <c r="A505" i="17"/>
  <c r="A504" i="17"/>
  <c r="A502" i="17"/>
  <c r="A500" i="17" a="1"/>
  <c r="A500" i="17"/>
  <c r="B515" i="17"/>
  <c r="B514" i="17"/>
  <c r="B513" i="17"/>
  <c r="B512" i="17"/>
  <c r="B509" i="17"/>
  <c r="B507" i="17"/>
  <c r="B506" i="17"/>
  <c r="B505" i="17"/>
  <c r="B504" i="17"/>
  <c r="B503" i="17"/>
  <c r="B501" i="17"/>
  <c r="B499" i="17"/>
  <c r="B498" i="17"/>
  <c r="B497" i="17"/>
  <c r="B496" i="17"/>
  <c r="B495" i="17"/>
  <c r="B493" i="17"/>
  <c r="B491" i="17"/>
  <c r="B490" i="17"/>
  <c r="B489" i="17"/>
  <c r="B488" i="17"/>
  <c r="B487" i="17"/>
  <c r="B485" i="17"/>
  <c r="B484" i="17" a="1"/>
  <c r="B510" i="17" s="1"/>
  <c r="B484" i="17"/>
  <c r="A488" i="17"/>
  <c r="A484" i="17" a="1"/>
  <c r="A483" i="17"/>
  <c r="A481" i="17"/>
  <c r="A477" i="17"/>
  <c r="A476" i="17"/>
  <c r="A475" i="17"/>
  <c r="A474" i="17"/>
  <c r="A473" i="17"/>
  <c r="A469" i="17"/>
  <c r="A468" i="17" a="1"/>
  <c r="A468" i="17"/>
  <c r="B482" i="17"/>
  <c r="B478" i="17"/>
  <c r="B477" i="17"/>
  <c r="B476" i="17"/>
  <c r="B466" i="17"/>
  <c r="B462" i="17"/>
  <c r="B461" i="17"/>
  <c r="B454" i="17"/>
  <c r="B453" i="17"/>
  <c r="B452" i="17" a="1"/>
  <c r="B468" i="17" s="1"/>
  <c r="A467" i="17"/>
  <c r="A461" i="17"/>
  <c r="A460" i="17"/>
  <c r="A459" i="17"/>
  <c r="A455" i="17"/>
  <c r="A454" i="17"/>
  <c r="A453" i="17"/>
  <c r="A452" i="17" a="1"/>
  <c r="A462" i="17" s="1"/>
  <c r="A444" i="17"/>
  <c r="A440" i="17"/>
  <c r="A436" i="17" a="1"/>
  <c r="B451" i="17"/>
  <c r="B450" i="17"/>
  <c r="B449" i="17"/>
  <c r="B448" i="17"/>
  <c r="B447" i="17"/>
  <c r="B446" i="17"/>
  <c r="B445" i="17"/>
  <c r="B443" i="17"/>
  <c r="B442" i="17"/>
  <c r="B441" i="17"/>
  <c r="B440" i="17"/>
  <c r="B439" i="17"/>
  <c r="B438" i="17"/>
  <c r="B437" i="17"/>
  <c r="B435" i="17"/>
  <c r="B434" i="17"/>
  <c r="B433" i="17"/>
  <c r="B432" i="17"/>
  <c r="B431" i="17"/>
  <c r="B430" i="17"/>
  <c r="B429" i="17"/>
  <c r="B427" i="17"/>
  <c r="B426" i="17"/>
  <c r="B425" i="17"/>
  <c r="B424" i="17"/>
  <c r="B423" i="17"/>
  <c r="B422" i="17"/>
  <c r="B421" i="17"/>
  <c r="B420" i="17" a="1"/>
  <c r="B444" i="17" s="1"/>
  <c r="B420" i="17"/>
  <c r="A434" i="17"/>
  <c r="A433" i="17"/>
  <c r="A432" i="17"/>
  <c r="A431" i="17"/>
  <c r="A430" i="17"/>
  <c r="A426" i="17"/>
  <c r="A425" i="17"/>
  <c r="A424" i="17"/>
  <c r="A423" i="17"/>
  <c r="A422" i="17"/>
  <c r="A420" i="17" a="1"/>
  <c r="A429" i="17" s="1"/>
  <c r="A419" i="17"/>
  <c r="A418" i="17"/>
  <c r="A417" i="17"/>
  <c r="A416" i="17"/>
  <c r="A415" i="17"/>
  <c r="A413" i="17"/>
  <c r="A411" i="17"/>
  <c r="A410" i="17"/>
  <c r="A409" i="17"/>
  <c r="A408" i="17"/>
  <c r="A407" i="17"/>
  <c r="A405" i="17"/>
  <c r="A404" i="17" a="1"/>
  <c r="A414" i="17" s="1"/>
  <c r="A404" i="17"/>
  <c r="B419" i="17"/>
  <c r="B418" i="17"/>
  <c r="B417" i="17"/>
  <c r="B416" i="17"/>
  <c r="B412" i="17"/>
  <c r="B402" i="17"/>
  <c r="B401" i="17"/>
  <c r="B394" i="17"/>
  <c r="B393" i="17"/>
  <c r="B392" i="17"/>
  <c r="B388" i="17" a="1"/>
  <c r="B404" i="17" s="1"/>
  <c r="A401" i="17"/>
  <c r="A397" i="17"/>
  <c r="A396" i="17"/>
  <c r="A395" i="17"/>
  <c r="A394" i="17"/>
  <c r="A393" i="17"/>
  <c r="A388" i="17" a="1"/>
  <c r="A388" i="17"/>
  <c r="A380" i="17"/>
  <c r="A373" i="17"/>
  <c r="A372" i="17" a="1"/>
  <c r="A372" i="17"/>
  <c r="B387" i="17"/>
  <c r="B383" i="17"/>
  <c r="B380" i="17"/>
  <c r="B379" i="17"/>
  <c r="B375" i="17"/>
  <c r="B374" i="17"/>
  <c r="B373" i="17"/>
  <c r="B372" i="17"/>
  <c r="B366" i="17"/>
  <c r="B365" i="17"/>
  <c r="B364" i="17"/>
  <c r="B363" i="17"/>
  <c r="B359" i="17"/>
  <c r="B358" i="17"/>
  <c r="B356" i="17" a="1"/>
  <c r="B356" i="17"/>
  <c r="A368" i="17"/>
  <c r="A367" i="17"/>
  <c r="A366" i="17"/>
  <c r="A365" i="17"/>
  <c r="A364" i="17"/>
  <c r="A356" i="17" a="1"/>
  <c r="A355" i="17"/>
  <c r="A354" i="17"/>
  <c r="A353" i="17"/>
  <c r="A352" i="17"/>
  <c r="A351" i="17"/>
  <c r="A350" i="17"/>
  <c r="A349" i="17"/>
  <c r="A347" i="17"/>
  <c r="A346" i="17"/>
  <c r="A345" i="17"/>
  <c r="A344" i="17"/>
  <c r="A343" i="17"/>
  <c r="A342" i="17"/>
  <c r="A341" i="17"/>
  <c r="A340" i="17" a="1"/>
  <c r="A348" i="17" s="1"/>
  <c r="A340" i="17"/>
  <c r="B354" i="17"/>
  <c r="B353" i="17"/>
  <c r="B352" i="17"/>
  <c r="B351" i="17"/>
  <c r="B350" i="17"/>
  <c r="B346" i="17"/>
  <c r="B345" i="17"/>
  <c r="B344" i="17"/>
  <c r="B343" i="17"/>
  <c r="B342" i="17"/>
  <c r="B338" i="17"/>
  <c r="B337" i="17"/>
  <c r="B336" i="17"/>
  <c r="B335" i="17"/>
  <c r="B334" i="17"/>
  <c r="B330" i="17"/>
  <c r="B329" i="17"/>
  <c r="B328" i="17"/>
  <c r="B327" i="17"/>
  <c r="B326" i="17"/>
  <c r="B324" i="17" a="1"/>
  <c r="B349" i="17" s="1"/>
  <c r="A339" i="17"/>
  <c r="A338" i="17"/>
  <c r="A337" i="17"/>
  <c r="A336" i="17"/>
  <c r="A335" i="17"/>
  <c r="A333" i="17"/>
  <c r="A331" i="17"/>
  <c r="A330" i="17"/>
  <c r="A329" i="17"/>
  <c r="A328" i="17"/>
  <c r="A327" i="17"/>
  <c r="A325" i="17"/>
  <c r="A324" i="17" a="1"/>
  <c r="A334" i="17" s="1"/>
  <c r="A324" i="17"/>
  <c r="A320" i="17"/>
  <c r="A316" i="17"/>
  <c r="A315" i="17"/>
  <c r="A314" i="17"/>
  <c r="A313" i="17"/>
  <c r="A308" i="17" a="1"/>
  <c r="A321" i="17" s="1"/>
  <c r="B317" i="17"/>
  <c r="B316" i="17"/>
  <c r="B309" i="17"/>
  <c r="B308" i="17"/>
  <c r="B307" i="17"/>
  <c r="B292" i="17" a="1"/>
  <c r="B292" i="17"/>
  <c r="A301" i="17"/>
  <c r="A300" i="17"/>
  <c r="A299" i="17"/>
  <c r="A298" i="17"/>
  <c r="A294" i="17"/>
  <c r="A292" i="17" a="1"/>
  <c r="A302" i="17" s="1"/>
  <c r="A287" i="17"/>
  <c r="A286" i="17"/>
  <c r="A276" i="17" a="1"/>
  <c r="A276" i="17"/>
  <c r="B288" i="17"/>
  <c r="B287" i="17"/>
  <c r="B280" i="17"/>
  <c r="B279" i="17"/>
  <c r="B278" i="17"/>
  <c r="B277" i="17"/>
  <c r="B276" i="17"/>
  <c r="B269" i="17"/>
  <c r="B268" i="17"/>
  <c r="B264" i="17"/>
  <c r="B263" i="17"/>
  <c r="B262" i="17"/>
  <c r="B260" i="17" a="1"/>
  <c r="B284" i="17" s="1"/>
  <c r="A275" i="17"/>
  <c r="A274" i="17"/>
  <c r="A273" i="17"/>
  <c r="A272" i="17"/>
  <c r="A271" i="17"/>
  <c r="A270" i="17"/>
  <c r="A269" i="17"/>
  <c r="A267" i="17"/>
  <c r="A266" i="17"/>
  <c r="A265" i="17"/>
  <c r="A264" i="17"/>
  <c r="A263" i="17"/>
  <c r="A262" i="17"/>
  <c r="A261" i="17"/>
  <c r="A260" i="17" a="1"/>
  <c r="A268" i="17" s="1"/>
  <c r="A260" i="17"/>
  <c r="A257" i="17"/>
  <c r="A256" i="17"/>
  <c r="A246" i="17"/>
  <c r="A244" i="17" a="1"/>
  <c r="B259" i="17"/>
  <c r="B258" i="17"/>
  <c r="B257" i="17"/>
  <c r="B256" i="17"/>
  <c r="B255" i="17"/>
  <c r="B253" i="17"/>
  <c r="B251" i="17"/>
  <c r="B250" i="17"/>
  <c r="B249" i="17"/>
  <c r="B248" i="17"/>
  <c r="B247" i="17"/>
  <c r="B245" i="17"/>
  <c r="B243" i="17"/>
  <c r="B242" i="17"/>
  <c r="B241" i="17"/>
  <c r="B240" i="17"/>
  <c r="B239" i="17"/>
  <c r="B237" i="17"/>
  <c r="B235" i="17"/>
  <c r="B234" i="17"/>
  <c r="B233" i="17"/>
  <c r="B232" i="17"/>
  <c r="B231" i="17"/>
  <c r="B229" i="17"/>
  <c r="B228" i="17" a="1"/>
  <c r="B254" i="17" s="1"/>
  <c r="B228" i="17"/>
  <c r="A235" i="17"/>
  <c r="A228" i="17" a="1"/>
  <c r="A227" i="17"/>
  <c r="A226" i="17"/>
  <c r="A221" i="17"/>
  <c r="A220" i="17"/>
  <c r="A212" i="17" a="1"/>
  <c r="A212" i="17" s="1"/>
  <c r="B224" i="17"/>
  <c r="B223" i="17"/>
  <c r="B214" i="17"/>
  <c r="B213" i="17"/>
  <c r="B212" i="17"/>
  <c r="B211" i="17"/>
  <c r="B206" i="17"/>
  <c r="B202" i="17"/>
  <c r="B197" i="17"/>
  <c r="B196" i="17" a="1"/>
  <c r="B196" i="17"/>
  <c r="A196" i="17" a="1"/>
  <c r="A192" i="17"/>
  <c r="A191" i="17"/>
  <c r="A190" i="17"/>
  <c r="A180" i="17" a="1"/>
  <c r="B195" i="17"/>
  <c r="B194" i="17"/>
  <c r="B193" i="17"/>
  <c r="B192" i="17"/>
  <c r="B191" i="17"/>
  <c r="B190" i="17"/>
  <c r="B189" i="17"/>
  <c r="B187" i="17"/>
  <c r="B186" i="17"/>
  <c r="B185" i="17"/>
  <c r="B184" i="17"/>
  <c r="B183" i="17"/>
  <c r="B182" i="17"/>
  <c r="B181" i="17"/>
  <c r="B179" i="17"/>
  <c r="B178" i="17"/>
  <c r="B177" i="17"/>
  <c r="B176" i="17"/>
  <c r="B175" i="17"/>
  <c r="B174" i="17"/>
  <c r="B173" i="17"/>
  <c r="B171" i="17"/>
  <c r="B170" i="17"/>
  <c r="B169" i="17"/>
  <c r="B168" i="17"/>
  <c r="B167" i="17"/>
  <c r="B166" i="17"/>
  <c r="B165" i="17"/>
  <c r="B164" i="17" a="1"/>
  <c r="B188" i="17" s="1"/>
  <c r="B164" i="17"/>
  <c r="A179" i="17"/>
  <c r="A178" i="17"/>
  <c r="A177" i="17"/>
  <c r="A176" i="17"/>
  <c r="A175" i="17"/>
  <c r="A174" i="17"/>
  <c r="A173" i="17"/>
  <c r="A171" i="17"/>
  <c r="A170" i="17"/>
  <c r="A169" i="17"/>
  <c r="A168" i="17"/>
  <c r="A167" i="17"/>
  <c r="A166" i="17"/>
  <c r="A165" i="17"/>
  <c r="A164" i="17" a="1"/>
  <c r="A172" i="17" s="1"/>
  <c r="A164" i="17"/>
  <c r="A162" i="17"/>
  <c r="A161" i="17"/>
  <c r="A160" i="17"/>
  <c r="A159" i="17"/>
  <c r="A158" i="17"/>
  <c r="A154" i="17"/>
  <c r="A153" i="17"/>
  <c r="A152" i="17"/>
  <c r="A151" i="17"/>
  <c r="A150" i="17"/>
  <c r="A148" i="17" a="1"/>
  <c r="A157" i="17" s="1"/>
  <c r="B163" i="17"/>
  <c r="B162" i="17"/>
  <c r="B161" i="17"/>
  <c r="B160" i="17"/>
  <c r="B159" i="17"/>
  <c r="B157" i="17"/>
  <c r="B155" i="17"/>
  <c r="B154" i="17"/>
  <c r="B153" i="17"/>
  <c r="B152" i="17"/>
  <c r="B151" i="17"/>
  <c r="B149" i="17"/>
  <c r="B147" i="17"/>
  <c r="B146" i="17"/>
  <c r="B145" i="17"/>
  <c r="B144" i="17"/>
  <c r="B143" i="17"/>
  <c r="B141" i="17"/>
  <c r="B139" i="17"/>
  <c r="B138" i="17"/>
  <c r="B137" i="17"/>
  <c r="B136" i="17"/>
  <c r="B135" i="17"/>
  <c r="B133" i="17"/>
  <c r="B132" i="17" a="1"/>
  <c r="B158" i="17" s="1"/>
  <c r="B132" i="17"/>
  <c r="A147" i="17"/>
  <c r="A140" i="17"/>
  <c r="A139" i="17"/>
  <c r="A138" i="17"/>
  <c r="A137" i="17"/>
  <c r="A136" i="17"/>
  <c r="A132" i="17" a="1"/>
  <c r="A145" i="17" s="1"/>
  <c r="A123" i="17"/>
  <c r="A116" i="17" a="1"/>
  <c r="B131" i="17"/>
  <c r="B130" i="17"/>
  <c r="B126" i="17"/>
  <c r="B122" i="17"/>
  <c r="B118" i="17"/>
  <c r="B117" i="17"/>
  <c r="B116" i="17"/>
  <c r="B115" i="17"/>
  <c r="B108" i="17"/>
  <c r="B107" i="17"/>
  <c r="B106" i="17"/>
  <c r="B102" i="17"/>
  <c r="B101" i="17"/>
  <c r="B100" i="17" a="1"/>
  <c r="B124" i="17" s="1"/>
  <c r="A110" i="17"/>
  <c r="A100" i="17" a="1"/>
  <c r="A100" i="17"/>
  <c r="A94" i="17"/>
  <c r="A93" i="17"/>
  <c r="A92" i="17"/>
  <c r="A88" i="17"/>
  <c r="A87" i="17"/>
  <c r="A86" i="17"/>
  <c r="A84" i="17" a="1"/>
  <c r="B99" i="17"/>
  <c r="B98" i="17"/>
  <c r="B97" i="17"/>
  <c r="B96" i="17"/>
  <c r="B95" i="17"/>
  <c r="B94" i="17"/>
  <c r="B93" i="17"/>
  <c r="B91" i="17"/>
  <c r="B90" i="17"/>
  <c r="B89" i="17"/>
  <c r="B88" i="17"/>
  <c r="B87" i="17"/>
  <c r="B86" i="17"/>
  <c r="B85" i="17"/>
  <c r="B83" i="17"/>
  <c r="B82" i="17"/>
  <c r="B81" i="17"/>
  <c r="B80" i="17"/>
  <c r="B79" i="17"/>
  <c r="B78" i="17"/>
  <c r="B77" i="17"/>
  <c r="B75" i="17"/>
  <c r="B74" i="17"/>
  <c r="B73" i="17"/>
  <c r="B72" i="17"/>
  <c r="B71" i="17"/>
  <c r="B70" i="17"/>
  <c r="B69" i="17"/>
  <c r="B68" i="17" a="1"/>
  <c r="B92" i="17" s="1"/>
  <c r="B68" i="17"/>
  <c r="A82" i="17"/>
  <c r="A81" i="17"/>
  <c r="A80" i="17"/>
  <c r="A79" i="17"/>
  <c r="A78" i="17"/>
  <c r="A74" i="17"/>
  <c r="A73" i="17"/>
  <c r="A72" i="17"/>
  <c r="A71" i="17"/>
  <c r="A70" i="17"/>
  <c r="A68" i="17" a="1"/>
  <c r="A77" i="17" s="1"/>
  <c r="A67" i="17"/>
  <c r="A66" i="17"/>
  <c r="A65" i="17"/>
  <c r="A64" i="17"/>
  <c r="A63" i="17"/>
  <c r="A61" i="17"/>
  <c r="A59" i="17"/>
  <c r="A58" i="17"/>
  <c r="A57" i="17"/>
  <c r="A56" i="17"/>
  <c r="A55" i="17"/>
  <c r="A53" i="17"/>
  <c r="A52" i="17" a="1"/>
  <c r="A62" i="17" s="1"/>
  <c r="A52" i="17"/>
  <c r="B67" i="17"/>
  <c r="B66" i="17"/>
  <c r="B65" i="17"/>
  <c r="B60" i="17"/>
  <c r="B59" i="17"/>
  <c r="B58" i="17"/>
  <c r="B57" i="17"/>
  <c r="B56" i="17"/>
  <c r="B52" i="17"/>
  <c r="B51" i="17"/>
  <c r="B49" i="17"/>
  <c r="B48" i="17"/>
  <c r="B44" i="17"/>
  <c r="B43" i="17"/>
  <c r="B42" i="17"/>
  <c r="B41" i="17"/>
  <c r="B40" i="17"/>
  <c r="B36" i="17" a="1"/>
  <c r="B36" i="17"/>
  <c r="A36" i="17" a="1"/>
  <c r="A34" i="17"/>
  <c r="A30" i="17"/>
  <c r="A29" i="17"/>
  <c r="A20" i="17" a="1"/>
  <c r="A20" i="17"/>
  <c r="B28" i="17"/>
  <c r="B27" i="17"/>
  <c r="B19" i="17"/>
  <c r="B15" i="17"/>
  <c r="B6" i="17"/>
  <c r="B5" i="17"/>
  <c r="B4" i="17" a="1"/>
  <c r="B4" i="17"/>
  <c r="A18" i="17"/>
  <c r="A16" i="17"/>
  <c r="A13" i="17"/>
  <c r="A12" i="17"/>
  <c r="A10" i="17"/>
  <c r="A8" i="17"/>
  <c r="A7" i="17"/>
  <c r="A6" i="17"/>
  <c r="A4" i="17" a="1"/>
  <c r="G2" i="17" a="1"/>
  <c r="G3" i="17" s="1"/>
  <c r="S4" i="15"/>
  <c r="S5" i="15" s="1"/>
  <c r="S6" i="15" s="1"/>
  <c r="S7" i="15" s="1"/>
  <c r="S3" i="15"/>
  <c r="O3" i="15"/>
  <c r="O4" i="15" s="1"/>
  <c r="O5" i="15" s="1"/>
  <c r="O6" i="15" s="1"/>
  <c r="O7" i="15" s="1"/>
  <c r="O8" i="15" s="1"/>
  <c r="O9" i="15" s="1"/>
  <c r="O10" i="15" s="1"/>
  <c r="O11" i="15" s="1"/>
  <c r="O12" i="15" s="1"/>
  <c r="O13" i="15" s="1"/>
  <c r="O14" i="15" s="1"/>
  <c r="O15" i="15" s="1"/>
  <c r="O16" i="15" s="1"/>
  <c r="O17" i="15" s="1"/>
  <c r="O18" i="15" s="1"/>
  <c r="C3" i="15"/>
  <c r="C4" i="15" s="1"/>
  <c r="C5" i="15" s="1"/>
  <c r="C6" i="15" s="1"/>
  <c r="C7" i="15" s="1"/>
  <c r="C8" i="15" s="1"/>
  <c r="C9" i="15" s="1"/>
  <c r="C10" i="15" s="1"/>
  <c r="C11" i="15" s="1"/>
  <c r="C12" i="15" s="1"/>
  <c r="C13" i="15" s="1"/>
  <c r="C14" i="15" s="1"/>
  <c r="C9" i="14"/>
  <c r="C10" i="14" s="1"/>
  <c r="C11" i="14" s="1"/>
  <c r="C8" i="14"/>
  <c r="S5" i="14"/>
  <c r="S6" i="14" s="1"/>
  <c r="S7" i="14" s="1"/>
  <c r="S8" i="14" s="1"/>
  <c r="S9" i="14" s="1"/>
  <c r="S10" i="14" s="1"/>
  <c r="S11" i="14" s="1"/>
  <c r="S12" i="14" s="1"/>
  <c r="S13" i="14" s="1"/>
  <c r="S14" i="14" s="1"/>
  <c r="S15" i="14" s="1"/>
  <c r="S16" i="14" s="1"/>
  <c r="S17" i="14" s="1"/>
  <c r="S18" i="14" s="1"/>
  <c r="S4" i="14"/>
  <c r="W3" i="14" s="1"/>
  <c r="W4" i="14" s="1"/>
  <c r="W5" i="14" s="1"/>
  <c r="S3" i="14"/>
  <c r="C3" i="14"/>
  <c r="C4" i="14" s="1"/>
  <c r="C5" i="14" s="1"/>
  <c r="C6" i="14" s="1"/>
  <c r="C7" i="14" s="1"/>
  <c r="S5" i="13"/>
  <c r="S6" i="13" s="1"/>
  <c r="S7" i="13" s="1"/>
  <c r="S8" i="13" s="1"/>
  <c r="S9" i="13" s="1"/>
  <c r="S10" i="13" s="1"/>
  <c r="S11" i="13" s="1"/>
  <c r="S12" i="13" s="1"/>
  <c r="S13" i="13" s="1"/>
  <c r="S14" i="13" s="1"/>
  <c r="S15" i="13" s="1"/>
  <c r="S16" i="13" s="1"/>
  <c r="S17" i="13" s="1"/>
  <c r="S18" i="13" s="1"/>
  <c r="S4" i="13"/>
  <c r="W3" i="13" s="1"/>
  <c r="W4" i="13" s="1"/>
  <c r="W5" i="13" s="1"/>
  <c r="AA3" i="13"/>
  <c r="AA4" i="13" s="1"/>
  <c r="AA5" i="13" s="1"/>
  <c r="AA6" i="13" s="1"/>
  <c r="AA7" i="13" s="1"/>
  <c r="AA8" i="13" s="1"/>
  <c r="AA9" i="13" s="1"/>
  <c r="AA10" i="13" s="1"/>
  <c r="AA11" i="13" s="1"/>
  <c r="AA12" i="13" s="1"/>
  <c r="AA13" i="13" s="1"/>
  <c r="AA14" i="13" s="1"/>
  <c r="AA15" i="13" s="1"/>
  <c r="AA16" i="13" s="1"/>
  <c r="AA17" i="13" s="1"/>
  <c r="AA18" i="13" s="1"/>
  <c r="S3" i="13"/>
  <c r="O3" i="13"/>
  <c r="O4" i="13" s="1"/>
  <c r="O5" i="13" s="1"/>
  <c r="O6" i="13" s="1"/>
  <c r="O7" i="13" s="1"/>
  <c r="O8" i="13" s="1"/>
  <c r="O9" i="13" s="1"/>
  <c r="O10" i="13" s="1"/>
  <c r="O11" i="13" s="1"/>
  <c r="O12" i="13" s="1"/>
  <c r="O13" i="13" s="1"/>
  <c r="O14" i="13" s="1"/>
  <c r="O15" i="13" s="1"/>
  <c r="O16" i="13" s="1"/>
  <c r="O17" i="13" s="1"/>
  <c r="O18" i="13" s="1"/>
  <c r="C3" i="13"/>
  <c r="C4" i="13" s="1"/>
  <c r="C5" i="13" s="1"/>
  <c r="C6" i="13" s="1"/>
  <c r="C7" i="13" s="1"/>
  <c r="C8" i="13" s="1"/>
  <c r="C9" i="13" s="1"/>
  <c r="C10" i="13" s="1"/>
  <c r="C11" i="13" s="1"/>
  <c r="C3" i="12"/>
  <c r="C4" i="12" s="1"/>
  <c r="C5" i="12" s="1"/>
  <c r="C6" i="12" s="1"/>
  <c r="G3" i="12" s="1"/>
  <c r="G4" i="12" s="1"/>
  <c r="C5" i="11"/>
  <c r="C6" i="11" s="1"/>
  <c r="C7" i="11" s="1"/>
  <c r="G3" i="11" s="1"/>
  <c r="G4" i="11" s="1"/>
  <c r="G5" i="11" s="1"/>
  <c r="G6" i="11" s="1"/>
  <c r="G7" i="11" s="1"/>
  <c r="G8" i="11" s="1"/>
  <c r="G9" i="11" s="1"/>
  <c r="G10" i="11" s="1"/>
  <c r="C3" i="11"/>
  <c r="C4" i="11" s="1"/>
  <c r="C3" i="10"/>
  <c r="C4" i="10" s="1"/>
  <c r="C5" i="10" s="1"/>
  <c r="C6" i="10" s="1"/>
  <c r="C7" i="10" s="1"/>
  <c r="C8" i="10" s="1"/>
  <c r="C9" i="10" s="1"/>
  <c r="C4" i="9"/>
  <c r="C5" i="9" s="1"/>
  <c r="C6" i="9" s="1"/>
  <c r="C7" i="9" s="1"/>
  <c r="C8" i="9" s="1"/>
  <c r="C9" i="9" s="1"/>
  <c r="C10" i="9" s="1"/>
  <c r="C3" i="9"/>
  <c r="C6" i="8"/>
  <c r="C7" i="8" s="1"/>
  <c r="C8" i="8" s="1"/>
  <c r="C4" i="8"/>
  <c r="C5" i="8" s="1"/>
  <c r="C3" i="8"/>
  <c r="C5" i="7"/>
  <c r="C6" i="7" s="1"/>
  <c r="G3" i="7" s="1"/>
  <c r="G4" i="7" s="1"/>
  <c r="G5" i="7" s="1"/>
  <c r="G6" i="7" s="1"/>
  <c r="G7" i="7" s="1"/>
  <c r="G8" i="7" s="1"/>
  <c r="G9" i="7" s="1"/>
  <c r="G10" i="7" s="1"/>
  <c r="G11" i="7" s="1"/>
  <c r="G12" i="7" s="1"/>
  <c r="G13" i="7" s="1"/>
  <c r="G14" i="7" s="1"/>
  <c r="G15" i="7" s="1"/>
  <c r="G16" i="7" s="1"/>
  <c r="G17" i="7" s="1"/>
  <c r="G18" i="7" s="1"/>
  <c r="G19" i="7" s="1"/>
  <c r="G20" i="7" s="1"/>
  <c r="C3" i="7"/>
  <c r="C4" i="7" s="1"/>
  <c r="M27" i="6"/>
  <c r="J27" i="6"/>
  <c r="H27" i="6"/>
  <c r="G27" i="6"/>
  <c r="K27" i="6" s="1"/>
  <c r="F27" i="6"/>
  <c r="L27" i="6" s="1"/>
  <c r="D27" i="6"/>
  <c r="C27" i="6"/>
  <c r="E27" i="6" s="1"/>
  <c r="B27" i="6"/>
  <c r="M26" i="6"/>
  <c r="J26" i="6"/>
  <c r="E26" i="6"/>
  <c r="D26" i="6"/>
  <c r="C26" i="6"/>
  <c r="H26" i="6" s="1"/>
  <c r="B26" i="6"/>
  <c r="M25" i="6"/>
  <c r="J25" i="6"/>
  <c r="H25" i="6"/>
  <c r="G25" i="6"/>
  <c r="F25" i="6"/>
  <c r="L25" i="6" s="1"/>
  <c r="E25" i="6"/>
  <c r="D25" i="6"/>
  <c r="C25" i="6"/>
  <c r="B25" i="6"/>
  <c r="J24" i="6"/>
  <c r="H24" i="6"/>
  <c r="G24" i="6"/>
  <c r="C24" i="6"/>
  <c r="B24" i="6" s="1"/>
  <c r="J23" i="6"/>
  <c r="F23" i="6"/>
  <c r="E23" i="6"/>
  <c r="C23" i="6"/>
  <c r="B23" i="6" s="1"/>
  <c r="J22" i="6"/>
  <c r="H22" i="6"/>
  <c r="G22" i="6"/>
  <c r="F22" i="6"/>
  <c r="E22" i="6"/>
  <c r="C22" i="6"/>
  <c r="M22" i="6" s="1"/>
  <c r="J21" i="6"/>
  <c r="H21" i="6"/>
  <c r="G21" i="6"/>
  <c r="C21" i="6"/>
  <c r="B21" i="6"/>
  <c r="J20" i="6"/>
  <c r="E20" i="6"/>
  <c r="D20" i="6"/>
  <c r="C20" i="6"/>
  <c r="H20" i="6" s="1"/>
  <c r="B20" i="6"/>
  <c r="C19" i="6"/>
  <c r="F19" i="6" s="1"/>
  <c r="L19" i="6" s="1"/>
  <c r="M18" i="6"/>
  <c r="L18" i="6"/>
  <c r="K18" i="6"/>
  <c r="J18" i="6"/>
  <c r="H18" i="6"/>
  <c r="G18" i="6"/>
  <c r="F18" i="6"/>
  <c r="E18" i="6"/>
  <c r="D18" i="6"/>
  <c r="B18" i="6"/>
  <c r="M17" i="6"/>
  <c r="L17" i="6"/>
  <c r="K17" i="6"/>
  <c r="J17" i="6"/>
  <c r="H17" i="6"/>
  <c r="G17" i="6"/>
  <c r="F17" i="6"/>
  <c r="E17" i="6"/>
  <c r="D17" i="6"/>
  <c r="B17" i="6"/>
  <c r="M16" i="6"/>
  <c r="H16" i="6"/>
  <c r="G16" i="6"/>
  <c r="F16" i="6"/>
  <c r="E16" i="6"/>
  <c r="D16" i="6"/>
  <c r="B16" i="6"/>
  <c r="H15" i="6"/>
  <c r="G15" i="6"/>
  <c r="F15" i="6"/>
  <c r="E15" i="6"/>
  <c r="D15" i="6"/>
  <c r="B15" i="6"/>
  <c r="M14" i="6"/>
  <c r="L14" i="6"/>
  <c r="J14" i="6"/>
  <c r="H14" i="6"/>
  <c r="G14" i="6"/>
  <c r="K14" i="6" s="1"/>
  <c r="F14" i="6"/>
  <c r="E14" i="6"/>
  <c r="D14" i="6"/>
  <c r="B14" i="6"/>
  <c r="M13" i="6"/>
  <c r="L13" i="6"/>
  <c r="K13" i="6"/>
  <c r="J13" i="6"/>
  <c r="H13" i="6"/>
  <c r="G13" i="6"/>
  <c r="F13" i="6"/>
  <c r="E13" i="6"/>
  <c r="D13" i="6"/>
  <c r="B13" i="6"/>
  <c r="M12" i="6"/>
  <c r="H12" i="6"/>
  <c r="G12" i="6"/>
  <c r="F12" i="6"/>
  <c r="L12" i="6" s="1"/>
  <c r="E12" i="6"/>
  <c r="D12" i="6"/>
  <c r="B12" i="6"/>
  <c r="M11" i="6"/>
  <c r="H11" i="6"/>
  <c r="G11" i="6"/>
  <c r="F11" i="6"/>
  <c r="J11" i="6" s="1"/>
  <c r="E11" i="6"/>
  <c r="D11" i="6"/>
  <c r="B11" i="6"/>
  <c r="M10" i="6"/>
  <c r="L10" i="6"/>
  <c r="K10" i="6"/>
  <c r="J10" i="6"/>
  <c r="H10" i="6"/>
  <c r="G10" i="6"/>
  <c r="F10" i="6"/>
  <c r="E10" i="6"/>
  <c r="D10" i="6"/>
  <c r="B10" i="6"/>
  <c r="M9" i="6"/>
  <c r="L9" i="6"/>
  <c r="K9" i="6"/>
  <c r="J9" i="6"/>
  <c r="H9" i="6"/>
  <c r="G9" i="6"/>
  <c r="F9" i="6"/>
  <c r="E9" i="6"/>
  <c r="D9" i="6"/>
  <c r="B9" i="6"/>
  <c r="M8" i="6"/>
  <c r="H8" i="6"/>
  <c r="G8" i="6"/>
  <c r="F8" i="6"/>
  <c r="E8" i="6"/>
  <c r="D8" i="6"/>
  <c r="B8" i="6"/>
  <c r="M7" i="6"/>
  <c r="H7" i="6"/>
  <c r="G7" i="6"/>
  <c r="F7" i="6"/>
  <c r="E7" i="6"/>
  <c r="D7" i="6"/>
  <c r="B7" i="6"/>
  <c r="M6" i="6"/>
  <c r="L6" i="6"/>
  <c r="J6" i="6"/>
  <c r="H6" i="6"/>
  <c r="G6" i="6"/>
  <c r="K6" i="6" s="1"/>
  <c r="F6" i="6"/>
  <c r="E6" i="6"/>
  <c r="D6" i="6"/>
  <c r="B6" i="6"/>
  <c r="M5" i="6"/>
  <c r="L5" i="6"/>
  <c r="J5" i="6"/>
  <c r="K5" i="6" s="1"/>
  <c r="H5" i="6"/>
  <c r="G5" i="6"/>
  <c r="F5" i="6"/>
  <c r="E5" i="6"/>
  <c r="D5" i="6"/>
  <c r="B5" i="6"/>
  <c r="M4" i="6"/>
  <c r="L4" i="6"/>
  <c r="H4" i="6"/>
  <c r="G4" i="6"/>
  <c r="F4" i="6"/>
  <c r="E4" i="6"/>
  <c r="D4" i="6"/>
  <c r="B4" i="6"/>
  <c r="H3" i="6"/>
  <c r="G3" i="6"/>
  <c r="F3" i="6"/>
  <c r="J2" i="6"/>
  <c r="C27" i="5"/>
  <c r="B27" i="5" s="1"/>
  <c r="C26" i="5"/>
  <c r="H26" i="5" s="1"/>
  <c r="C25" i="5"/>
  <c r="E25" i="5" s="1"/>
  <c r="C24" i="5"/>
  <c r="B24" i="5" s="1"/>
  <c r="C23" i="5"/>
  <c r="D23" i="5" s="1"/>
  <c r="C22" i="5"/>
  <c r="G22" i="5" s="1"/>
  <c r="C21" i="5"/>
  <c r="E21" i="5" s="1"/>
  <c r="C20" i="5"/>
  <c r="B20" i="5" s="1"/>
  <c r="C19" i="5"/>
  <c r="B19" i="5" s="1"/>
  <c r="H18" i="5"/>
  <c r="G18" i="5"/>
  <c r="F18" i="5"/>
  <c r="E18" i="5"/>
  <c r="D18" i="5"/>
  <c r="B18" i="5"/>
  <c r="L17" i="5"/>
  <c r="J17" i="5"/>
  <c r="H17" i="5"/>
  <c r="G17" i="5"/>
  <c r="F17" i="5"/>
  <c r="E17" i="5"/>
  <c r="D17" i="5"/>
  <c r="B17" i="5"/>
  <c r="J16" i="5"/>
  <c r="K16" i="5" s="1"/>
  <c r="H16" i="5"/>
  <c r="G16" i="5"/>
  <c r="F16" i="5"/>
  <c r="L16" i="5" s="1"/>
  <c r="E16" i="5"/>
  <c r="D16" i="5"/>
  <c r="B16" i="5"/>
  <c r="L15" i="5"/>
  <c r="K15" i="5"/>
  <c r="H15" i="5"/>
  <c r="G15" i="5"/>
  <c r="F15" i="5"/>
  <c r="J15" i="5" s="1"/>
  <c r="E15" i="5"/>
  <c r="D15" i="5"/>
  <c r="B15" i="5"/>
  <c r="H14" i="5"/>
  <c r="G14" i="5"/>
  <c r="F14" i="5"/>
  <c r="E14" i="5"/>
  <c r="D14" i="5"/>
  <c r="B14" i="5"/>
  <c r="H13" i="5"/>
  <c r="G13" i="5"/>
  <c r="F13" i="5"/>
  <c r="E13" i="5"/>
  <c r="D13" i="5"/>
  <c r="B13" i="5"/>
  <c r="J12" i="5"/>
  <c r="H12" i="5"/>
  <c r="G12" i="5"/>
  <c r="F12" i="5"/>
  <c r="E12" i="5"/>
  <c r="D12" i="5"/>
  <c r="B12" i="5"/>
  <c r="J11" i="5"/>
  <c r="H11" i="5"/>
  <c r="G11" i="5"/>
  <c r="F11" i="5"/>
  <c r="L11" i="5" s="1"/>
  <c r="E11" i="5"/>
  <c r="D11" i="5"/>
  <c r="B11" i="5"/>
  <c r="B27" i="4" s="1"/>
  <c r="L10" i="5"/>
  <c r="J10" i="5"/>
  <c r="K10" i="5" s="1"/>
  <c r="H10" i="5"/>
  <c r="G10" i="5"/>
  <c r="F10" i="5"/>
  <c r="E10" i="5"/>
  <c r="D10" i="5"/>
  <c r="B10" i="5"/>
  <c r="B26" i="4" s="1"/>
  <c r="L9" i="5"/>
  <c r="K9" i="5"/>
  <c r="J9" i="5"/>
  <c r="H9" i="5"/>
  <c r="G9" i="5"/>
  <c r="F9" i="5"/>
  <c r="E9" i="5"/>
  <c r="D9" i="5"/>
  <c r="B9" i="5"/>
  <c r="B25" i="4" s="1"/>
  <c r="L8" i="5"/>
  <c r="K8" i="5"/>
  <c r="J8" i="5"/>
  <c r="H8" i="5"/>
  <c r="G8" i="5"/>
  <c r="F8" i="5"/>
  <c r="E8" i="5"/>
  <c r="D8" i="5"/>
  <c r="B8" i="5"/>
  <c r="B24" i="4" s="1"/>
  <c r="H7" i="5"/>
  <c r="G7" i="5"/>
  <c r="F7" i="5"/>
  <c r="J7" i="5" s="1"/>
  <c r="E7" i="5"/>
  <c r="D7" i="5"/>
  <c r="B7" i="5"/>
  <c r="B23" i="4" s="1"/>
  <c r="H6" i="5"/>
  <c r="G6" i="5"/>
  <c r="F6" i="5"/>
  <c r="E6" i="5"/>
  <c r="D6" i="5"/>
  <c r="B6" i="5"/>
  <c r="B22" i="4" s="1"/>
  <c r="H5" i="5"/>
  <c r="G5" i="5"/>
  <c r="F5" i="5"/>
  <c r="E5" i="5"/>
  <c r="D5" i="5"/>
  <c r="B5" i="5"/>
  <c r="B21" i="4" s="1"/>
  <c r="H4" i="5"/>
  <c r="G4" i="5"/>
  <c r="F4" i="5"/>
  <c r="J4" i="5" s="1"/>
  <c r="E4" i="5"/>
  <c r="D4" i="5"/>
  <c r="B4" i="5"/>
  <c r="B20" i="4" s="1"/>
  <c r="H3" i="5"/>
  <c r="G3" i="5"/>
  <c r="F3" i="5"/>
  <c r="J2" i="5"/>
  <c r="C27" i="4"/>
  <c r="E27" i="4" s="1"/>
  <c r="C26" i="4"/>
  <c r="E26" i="4" s="1"/>
  <c r="C25" i="4"/>
  <c r="D25" i="4" s="1"/>
  <c r="C24" i="4"/>
  <c r="C23" i="4"/>
  <c r="F23" i="4" s="1"/>
  <c r="C22" i="4"/>
  <c r="E22" i="4" s="1"/>
  <c r="C21" i="4"/>
  <c r="D21" i="4" s="1"/>
  <c r="C20" i="4"/>
  <c r="C19" i="4"/>
  <c r="B19" i="4" s="1"/>
  <c r="K18" i="4"/>
  <c r="J18" i="4"/>
  <c r="H18" i="4"/>
  <c r="G18" i="4"/>
  <c r="F18" i="4"/>
  <c r="L18" i="4" s="1"/>
  <c r="E18" i="4"/>
  <c r="D18" i="4"/>
  <c r="B18" i="4"/>
  <c r="L17" i="4"/>
  <c r="K17" i="4"/>
  <c r="J17" i="4"/>
  <c r="H17" i="4"/>
  <c r="G17" i="4"/>
  <c r="F17" i="4"/>
  <c r="E17" i="4"/>
  <c r="D17" i="4"/>
  <c r="B17" i="4"/>
  <c r="L16" i="4"/>
  <c r="K16" i="4"/>
  <c r="J16" i="4"/>
  <c r="H16" i="4"/>
  <c r="G16" i="4"/>
  <c r="F16" i="4"/>
  <c r="E16" i="4"/>
  <c r="D16" i="4"/>
  <c r="B16" i="4"/>
  <c r="L15" i="4"/>
  <c r="K15" i="4"/>
  <c r="J15" i="4"/>
  <c r="H15" i="4"/>
  <c r="G15" i="4"/>
  <c r="F15" i="4"/>
  <c r="E15" i="4"/>
  <c r="D15" i="4"/>
  <c r="B15" i="4"/>
  <c r="L14" i="4"/>
  <c r="K14" i="4"/>
  <c r="H14" i="4"/>
  <c r="G14" i="4"/>
  <c r="F14" i="4"/>
  <c r="J14" i="4" s="1"/>
  <c r="E14" i="4"/>
  <c r="D14" i="4"/>
  <c r="B14" i="4"/>
  <c r="H13" i="4"/>
  <c r="G13" i="4"/>
  <c r="F13" i="4"/>
  <c r="E13" i="4"/>
  <c r="D13" i="4"/>
  <c r="B13" i="4"/>
  <c r="H12" i="4"/>
  <c r="G12" i="4"/>
  <c r="F12" i="4"/>
  <c r="E12" i="4"/>
  <c r="D12" i="4"/>
  <c r="B12" i="4"/>
  <c r="J11" i="4"/>
  <c r="H11" i="4"/>
  <c r="G11" i="4"/>
  <c r="F11" i="4"/>
  <c r="E11" i="4"/>
  <c r="D11" i="4"/>
  <c r="D27" i="3" s="1"/>
  <c r="B11" i="4"/>
  <c r="B27" i="3" s="1"/>
  <c r="J10" i="4"/>
  <c r="H10" i="4"/>
  <c r="G10" i="4"/>
  <c r="F10" i="4"/>
  <c r="L10" i="4" s="1"/>
  <c r="E10" i="4"/>
  <c r="D10" i="4"/>
  <c r="D26" i="3" s="1"/>
  <c r="B10" i="4"/>
  <c r="B26" i="3" s="1"/>
  <c r="L9" i="4"/>
  <c r="K9" i="4"/>
  <c r="J9" i="4"/>
  <c r="H9" i="4"/>
  <c r="G9" i="4"/>
  <c r="F9" i="4"/>
  <c r="E9" i="4"/>
  <c r="D9" i="4"/>
  <c r="D25" i="3" s="1"/>
  <c r="B9" i="4"/>
  <c r="B25" i="3" s="1"/>
  <c r="L8" i="4"/>
  <c r="K8" i="4"/>
  <c r="J8" i="4"/>
  <c r="H8" i="4"/>
  <c r="G8" i="4"/>
  <c r="F8" i="4"/>
  <c r="E8" i="4"/>
  <c r="D8" i="4"/>
  <c r="D24" i="3" s="1"/>
  <c r="B8" i="4"/>
  <c r="B24" i="3" s="1"/>
  <c r="L7" i="4"/>
  <c r="K7" i="4"/>
  <c r="J7" i="4"/>
  <c r="H7" i="4"/>
  <c r="G7" i="4"/>
  <c r="F7" i="4"/>
  <c r="E7" i="4"/>
  <c r="D7" i="4"/>
  <c r="D23" i="3" s="1"/>
  <c r="B7" i="4"/>
  <c r="B23" i="3" s="1"/>
  <c r="H6" i="4"/>
  <c r="G6" i="4"/>
  <c r="F6" i="4"/>
  <c r="J6" i="4" s="1"/>
  <c r="E6" i="4"/>
  <c r="D6" i="4"/>
  <c r="D22" i="3" s="1"/>
  <c r="B6" i="4"/>
  <c r="B22" i="3" s="1"/>
  <c r="H5" i="4"/>
  <c r="G5" i="4"/>
  <c r="F5" i="4"/>
  <c r="E5" i="4"/>
  <c r="D5" i="4"/>
  <c r="D21" i="3" s="1"/>
  <c r="B5" i="4"/>
  <c r="H4" i="4"/>
  <c r="G4" i="4"/>
  <c r="F4" i="4"/>
  <c r="E4" i="4"/>
  <c r="D4" i="4"/>
  <c r="D20" i="3" s="1"/>
  <c r="B4" i="4"/>
  <c r="B20" i="3" s="1"/>
  <c r="H3" i="4"/>
  <c r="G3" i="4"/>
  <c r="F3" i="4"/>
  <c r="J2" i="4"/>
  <c r="C27" i="3"/>
  <c r="C26" i="3"/>
  <c r="H26" i="3" s="1"/>
  <c r="C25" i="3"/>
  <c r="F25" i="3" s="1"/>
  <c r="C24" i="3"/>
  <c r="G24" i="3" s="1"/>
  <c r="C23" i="3"/>
  <c r="E23" i="3" s="1"/>
  <c r="C22" i="3"/>
  <c r="H22" i="3" s="1"/>
  <c r="C21" i="3"/>
  <c r="C20" i="3"/>
  <c r="E20" i="3" s="1"/>
  <c r="C19" i="3"/>
  <c r="D19" i="3" s="1"/>
  <c r="H18" i="3"/>
  <c r="G18" i="3"/>
  <c r="F18" i="3"/>
  <c r="E18" i="3"/>
  <c r="D18" i="3"/>
  <c r="B18" i="3"/>
  <c r="J17" i="3"/>
  <c r="H17" i="3"/>
  <c r="G17" i="3"/>
  <c r="F17" i="3"/>
  <c r="E17" i="3"/>
  <c r="D17" i="3"/>
  <c r="B17" i="3"/>
  <c r="K16" i="3"/>
  <c r="J16" i="3"/>
  <c r="H16" i="3"/>
  <c r="G16" i="3"/>
  <c r="F16" i="3"/>
  <c r="L16" i="3" s="1"/>
  <c r="E16" i="3"/>
  <c r="D16" i="3"/>
  <c r="B16" i="3"/>
  <c r="L15" i="3"/>
  <c r="K15" i="3"/>
  <c r="J15" i="3"/>
  <c r="H15" i="3"/>
  <c r="G15" i="3"/>
  <c r="F15" i="3"/>
  <c r="E15" i="3"/>
  <c r="D15" i="3"/>
  <c r="B15" i="3"/>
  <c r="L14" i="3"/>
  <c r="K14" i="3"/>
  <c r="J14" i="3"/>
  <c r="H14" i="3"/>
  <c r="G14" i="3"/>
  <c r="F14" i="3"/>
  <c r="E14" i="3"/>
  <c r="D14" i="3"/>
  <c r="B14" i="3"/>
  <c r="L13" i="3"/>
  <c r="K13" i="3"/>
  <c r="J13" i="3"/>
  <c r="H13" i="3"/>
  <c r="G13" i="3"/>
  <c r="F13" i="3"/>
  <c r="E13" i="3"/>
  <c r="D13" i="3"/>
  <c r="B13" i="3"/>
  <c r="H12" i="3"/>
  <c r="G12" i="3"/>
  <c r="F12" i="3"/>
  <c r="J12" i="3" s="1"/>
  <c r="E12" i="3"/>
  <c r="D12" i="3"/>
  <c r="B12" i="3"/>
  <c r="H11" i="3"/>
  <c r="G11" i="3"/>
  <c r="F11" i="3"/>
  <c r="E11" i="3"/>
  <c r="D11" i="3"/>
  <c r="B11" i="3"/>
  <c r="H10" i="3"/>
  <c r="G10" i="3"/>
  <c r="F10" i="3"/>
  <c r="E10" i="3"/>
  <c r="D10" i="3"/>
  <c r="B10" i="3"/>
  <c r="J9" i="3"/>
  <c r="H9" i="3"/>
  <c r="G9" i="3"/>
  <c r="F9" i="3"/>
  <c r="E9" i="3"/>
  <c r="D9" i="3"/>
  <c r="B9" i="3"/>
  <c r="J8" i="3"/>
  <c r="H8" i="3"/>
  <c r="G8" i="3"/>
  <c r="K8" i="3" s="1"/>
  <c r="F8" i="3"/>
  <c r="L8" i="3" s="1"/>
  <c r="E8" i="3"/>
  <c r="D8" i="3"/>
  <c r="B8" i="3"/>
  <c r="L7" i="3"/>
  <c r="K7" i="3"/>
  <c r="J7" i="3"/>
  <c r="H7" i="3"/>
  <c r="G7" i="3"/>
  <c r="F7" i="3"/>
  <c r="E7" i="3"/>
  <c r="D7" i="3"/>
  <c r="B7" i="3"/>
  <c r="L6" i="3"/>
  <c r="K6" i="3"/>
  <c r="J6" i="3"/>
  <c r="H6" i="3"/>
  <c r="G6" i="3"/>
  <c r="F6" i="3"/>
  <c r="E6" i="3"/>
  <c r="D6" i="3"/>
  <c r="B6" i="3"/>
  <c r="L5" i="3"/>
  <c r="K5" i="3"/>
  <c r="J5" i="3"/>
  <c r="H5" i="3"/>
  <c r="G5" i="3"/>
  <c r="F5" i="3"/>
  <c r="E5" i="3"/>
  <c r="D5" i="3"/>
  <c r="B5" i="3"/>
  <c r="H4" i="3"/>
  <c r="G4" i="3"/>
  <c r="F4" i="3"/>
  <c r="J4" i="3" s="1"/>
  <c r="E4" i="3"/>
  <c r="D4" i="3"/>
  <c r="B4" i="3"/>
  <c r="H3" i="3"/>
  <c r="G3" i="3"/>
  <c r="F3" i="3"/>
  <c r="J2" i="3"/>
  <c r="C5" i="2"/>
  <c r="G3" i="2" s="1"/>
  <c r="G4" i="2"/>
  <c r="G5" i="2" s="1"/>
  <c r="H5" i="1" s="1"/>
  <c r="C4" i="2"/>
  <c r="C3" i="2"/>
  <c r="Q338" i="1"/>
  <c r="P338" i="1"/>
  <c r="O338" i="1"/>
  <c r="N338" i="1"/>
  <c r="M338" i="1"/>
  <c r="L338" i="1"/>
  <c r="K338" i="1"/>
  <c r="J338" i="1"/>
  <c r="I338" i="1"/>
  <c r="H338" i="1"/>
  <c r="Q337" i="1"/>
  <c r="P337" i="1"/>
  <c r="O337" i="1"/>
  <c r="N337" i="1"/>
  <c r="M337" i="1"/>
  <c r="L337" i="1"/>
  <c r="K337" i="1"/>
  <c r="J337" i="1"/>
  <c r="I337" i="1"/>
  <c r="H337" i="1"/>
  <c r="Q336" i="1"/>
  <c r="P336" i="1"/>
  <c r="O336" i="1"/>
  <c r="N336" i="1"/>
  <c r="M336" i="1"/>
  <c r="L336" i="1"/>
  <c r="K336" i="1"/>
  <c r="J336" i="1"/>
  <c r="I336" i="1"/>
  <c r="H336" i="1"/>
  <c r="Q335" i="1"/>
  <c r="P335" i="1"/>
  <c r="O335" i="1"/>
  <c r="N335" i="1"/>
  <c r="M335" i="1"/>
  <c r="L335" i="1"/>
  <c r="K335" i="1"/>
  <c r="J335" i="1"/>
  <c r="I335" i="1"/>
  <c r="H335" i="1"/>
  <c r="Q334" i="1"/>
  <c r="P334" i="1"/>
  <c r="O334" i="1"/>
  <c r="N334" i="1"/>
  <c r="M334" i="1"/>
  <c r="L334" i="1"/>
  <c r="K334" i="1"/>
  <c r="J334" i="1"/>
  <c r="I334" i="1"/>
  <c r="H334" i="1"/>
  <c r="Q333" i="1"/>
  <c r="P333" i="1"/>
  <c r="O333" i="1"/>
  <c r="N333" i="1"/>
  <c r="M333" i="1"/>
  <c r="L333" i="1"/>
  <c r="K333" i="1"/>
  <c r="J333" i="1"/>
  <c r="I333" i="1"/>
  <c r="H333" i="1"/>
  <c r="Q332" i="1"/>
  <c r="P332" i="1"/>
  <c r="O332" i="1"/>
  <c r="N332" i="1"/>
  <c r="M332" i="1"/>
  <c r="L332" i="1"/>
  <c r="K332" i="1"/>
  <c r="J332" i="1"/>
  <c r="I332" i="1"/>
  <c r="H332" i="1"/>
  <c r="Q331" i="1"/>
  <c r="P331" i="1"/>
  <c r="O331" i="1"/>
  <c r="N331" i="1"/>
  <c r="M331" i="1"/>
  <c r="L331" i="1"/>
  <c r="K331" i="1"/>
  <c r="J331" i="1"/>
  <c r="I331" i="1"/>
  <c r="H331" i="1"/>
  <c r="Q330" i="1"/>
  <c r="P330" i="1"/>
  <c r="O330" i="1"/>
  <c r="N330" i="1"/>
  <c r="M330" i="1"/>
  <c r="L330" i="1"/>
  <c r="K330" i="1"/>
  <c r="J330" i="1"/>
  <c r="I330" i="1"/>
  <c r="H330" i="1"/>
  <c r="Q329" i="1"/>
  <c r="P329" i="1"/>
  <c r="O329" i="1"/>
  <c r="N329" i="1"/>
  <c r="M329" i="1"/>
  <c r="L329" i="1"/>
  <c r="K329" i="1"/>
  <c r="J329" i="1"/>
  <c r="I329" i="1"/>
  <c r="H329" i="1"/>
  <c r="Q328" i="1"/>
  <c r="P328" i="1"/>
  <c r="O328" i="1"/>
  <c r="N328" i="1"/>
  <c r="M328" i="1"/>
  <c r="L328" i="1"/>
  <c r="K328" i="1"/>
  <c r="J328" i="1"/>
  <c r="I328" i="1"/>
  <c r="H328" i="1"/>
  <c r="Q327" i="1"/>
  <c r="P327" i="1"/>
  <c r="O327" i="1"/>
  <c r="N327" i="1"/>
  <c r="M327" i="1"/>
  <c r="L327" i="1"/>
  <c r="K327" i="1"/>
  <c r="J327" i="1"/>
  <c r="I327" i="1"/>
  <c r="H327" i="1"/>
  <c r="Q326" i="1"/>
  <c r="P326" i="1"/>
  <c r="O326" i="1"/>
  <c r="N326" i="1"/>
  <c r="M326" i="1"/>
  <c r="L326" i="1"/>
  <c r="K326" i="1"/>
  <c r="J326" i="1"/>
  <c r="I326" i="1"/>
  <c r="H326" i="1"/>
  <c r="Q325" i="1"/>
  <c r="P325" i="1"/>
  <c r="O325" i="1"/>
  <c r="N325" i="1"/>
  <c r="M325" i="1"/>
  <c r="L325" i="1"/>
  <c r="K325" i="1"/>
  <c r="J325" i="1"/>
  <c r="I325" i="1"/>
  <c r="H325" i="1"/>
  <c r="Q324" i="1"/>
  <c r="P324" i="1"/>
  <c r="O324" i="1"/>
  <c r="N324" i="1"/>
  <c r="M324" i="1"/>
  <c r="L324" i="1"/>
  <c r="K324" i="1"/>
  <c r="J324" i="1"/>
  <c r="I324" i="1"/>
  <c r="H324" i="1"/>
  <c r="Q323" i="1"/>
  <c r="P323" i="1"/>
  <c r="O323" i="1"/>
  <c r="N323" i="1"/>
  <c r="M323" i="1"/>
  <c r="L323" i="1"/>
  <c r="K323" i="1"/>
  <c r="J323" i="1"/>
  <c r="I323" i="1"/>
  <c r="H323" i="1"/>
  <c r="Q322" i="1"/>
  <c r="P322" i="1"/>
  <c r="O322" i="1"/>
  <c r="N322" i="1"/>
  <c r="M322" i="1"/>
  <c r="L322" i="1"/>
  <c r="K322" i="1"/>
  <c r="J322" i="1"/>
  <c r="I322" i="1"/>
  <c r="H322" i="1"/>
  <c r="Q321" i="1"/>
  <c r="P321" i="1"/>
  <c r="O321" i="1"/>
  <c r="N321" i="1"/>
  <c r="M321" i="1"/>
  <c r="L321" i="1"/>
  <c r="K321" i="1"/>
  <c r="J321" i="1"/>
  <c r="I321" i="1"/>
  <c r="H321" i="1"/>
  <c r="Q320" i="1"/>
  <c r="P320" i="1"/>
  <c r="O320" i="1"/>
  <c r="N320" i="1"/>
  <c r="M320" i="1"/>
  <c r="L320" i="1"/>
  <c r="K320" i="1"/>
  <c r="J320" i="1"/>
  <c r="I320" i="1"/>
  <c r="H320" i="1"/>
  <c r="Q319" i="1"/>
  <c r="P319" i="1"/>
  <c r="O319" i="1"/>
  <c r="N319" i="1"/>
  <c r="M319" i="1"/>
  <c r="L319" i="1"/>
  <c r="K319" i="1"/>
  <c r="J319" i="1"/>
  <c r="I319" i="1"/>
  <c r="H319" i="1"/>
  <c r="Q112" i="1"/>
  <c r="P112" i="1"/>
  <c r="O112" i="1"/>
  <c r="N112" i="1"/>
  <c r="M112" i="1"/>
  <c r="L112" i="1"/>
  <c r="K112" i="1"/>
  <c r="J112" i="1"/>
  <c r="I112" i="1"/>
  <c r="H112" i="1"/>
  <c r="Q318" i="1"/>
  <c r="P318" i="1"/>
  <c r="O318" i="1"/>
  <c r="N318" i="1"/>
  <c r="M318" i="1"/>
  <c r="L318" i="1"/>
  <c r="K318" i="1"/>
  <c r="J318" i="1"/>
  <c r="I318" i="1"/>
  <c r="H318" i="1"/>
  <c r="Q317" i="1"/>
  <c r="P317" i="1"/>
  <c r="O317" i="1"/>
  <c r="N317" i="1"/>
  <c r="M317" i="1"/>
  <c r="L317" i="1"/>
  <c r="K317" i="1"/>
  <c r="J317" i="1"/>
  <c r="I317" i="1"/>
  <c r="H317" i="1"/>
  <c r="Q316" i="1"/>
  <c r="P316" i="1"/>
  <c r="O316" i="1"/>
  <c r="N316" i="1"/>
  <c r="M316" i="1"/>
  <c r="L316" i="1"/>
  <c r="K316" i="1"/>
  <c r="J316" i="1"/>
  <c r="I316" i="1"/>
  <c r="H316" i="1"/>
  <c r="Q102" i="1"/>
  <c r="P102" i="1"/>
  <c r="O102" i="1"/>
  <c r="N102" i="1"/>
  <c r="M102" i="1"/>
  <c r="L102" i="1"/>
  <c r="K102" i="1"/>
  <c r="J102" i="1"/>
  <c r="I102" i="1"/>
  <c r="H102" i="1"/>
  <c r="Q315" i="1"/>
  <c r="P315" i="1"/>
  <c r="O315" i="1"/>
  <c r="N315" i="1"/>
  <c r="M315" i="1"/>
  <c r="L315" i="1"/>
  <c r="K315" i="1"/>
  <c r="J315" i="1"/>
  <c r="I315" i="1"/>
  <c r="H315" i="1"/>
  <c r="Q314" i="1"/>
  <c r="P314" i="1"/>
  <c r="O314" i="1"/>
  <c r="N314" i="1"/>
  <c r="M314" i="1"/>
  <c r="L314" i="1"/>
  <c r="K314" i="1"/>
  <c r="J314" i="1"/>
  <c r="I314" i="1"/>
  <c r="H314" i="1"/>
  <c r="Q313" i="1"/>
  <c r="P313" i="1"/>
  <c r="O313" i="1"/>
  <c r="N313" i="1"/>
  <c r="M313" i="1"/>
  <c r="L313" i="1"/>
  <c r="K313" i="1"/>
  <c r="J313" i="1"/>
  <c r="I313" i="1"/>
  <c r="H313" i="1"/>
  <c r="Q85" i="1"/>
  <c r="P85" i="1"/>
  <c r="O85" i="1"/>
  <c r="N85" i="1"/>
  <c r="M85" i="1"/>
  <c r="L85" i="1"/>
  <c r="K85" i="1"/>
  <c r="J85" i="1"/>
  <c r="I85" i="1"/>
  <c r="Q151" i="1"/>
  <c r="P151" i="1"/>
  <c r="O151" i="1"/>
  <c r="N151" i="1"/>
  <c r="M151" i="1"/>
  <c r="L151" i="1"/>
  <c r="K151" i="1"/>
  <c r="J151" i="1"/>
  <c r="I151" i="1"/>
  <c r="Q74" i="1"/>
  <c r="P74" i="1"/>
  <c r="O74" i="1"/>
  <c r="N74" i="1"/>
  <c r="M74" i="1"/>
  <c r="L74" i="1"/>
  <c r="K74" i="1"/>
  <c r="J74" i="1"/>
  <c r="I74" i="1"/>
  <c r="Q81" i="1"/>
  <c r="P81" i="1"/>
  <c r="O81" i="1"/>
  <c r="N81" i="1"/>
  <c r="M81" i="1"/>
  <c r="L81" i="1"/>
  <c r="K81" i="1"/>
  <c r="J81" i="1"/>
  <c r="Q50" i="1"/>
  <c r="P50" i="1"/>
  <c r="O50" i="1"/>
  <c r="N50" i="1"/>
  <c r="M50" i="1"/>
  <c r="L50" i="1"/>
  <c r="K50" i="1"/>
  <c r="J50" i="1"/>
  <c r="I50" i="1"/>
  <c r="Q30" i="1"/>
  <c r="P30" i="1"/>
  <c r="O30" i="1"/>
  <c r="N30" i="1"/>
  <c r="M30" i="1"/>
  <c r="L30" i="1"/>
  <c r="K30" i="1"/>
  <c r="J30" i="1"/>
  <c r="I30" i="1"/>
  <c r="Q137" i="1"/>
  <c r="P137" i="1"/>
  <c r="O137" i="1"/>
  <c r="N137" i="1"/>
  <c r="M137" i="1"/>
  <c r="L137" i="1"/>
  <c r="K137" i="1"/>
  <c r="J137" i="1"/>
  <c r="I137" i="1"/>
  <c r="Q88" i="1"/>
  <c r="P88" i="1"/>
  <c r="O88" i="1"/>
  <c r="N88" i="1"/>
  <c r="M88" i="1"/>
  <c r="L88" i="1"/>
  <c r="K88" i="1"/>
  <c r="J88" i="1"/>
  <c r="I88" i="1"/>
  <c r="Q60" i="1"/>
  <c r="P60" i="1"/>
  <c r="O60" i="1"/>
  <c r="N60" i="1"/>
  <c r="M60" i="1"/>
  <c r="L60" i="1"/>
  <c r="K60" i="1"/>
  <c r="J60" i="1"/>
  <c r="I60" i="1"/>
  <c r="Q28" i="1"/>
  <c r="P28" i="1"/>
  <c r="O28" i="1"/>
  <c r="N28" i="1"/>
  <c r="M28" i="1"/>
  <c r="L28" i="1"/>
  <c r="K28" i="1"/>
  <c r="J28" i="1"/>
  <c r="I28" i="1"/>
  <c r="Q116" i="1"/>
  <c r="P116" i="1"/>
  <c r="O116" i="1"/>
  <c r="N116" i="1"/>
  <c r="M116" i="1"/>
  <c r="L116" i="1"/>
  <c r="K116" i="1"/>
  <c r="J116" i="1"/>
  <c r="I116" i="1"/>
  <c r="Q18" i="1"/>
  <c r="P18" i="1"/>
  <c r="O18" i="1"/>
  <c r="N18" i="1"/>
  <c r="M18" i="1"/>
  <c r="L18" i="1"/>
  <c r="K18" i="1"/>
  <c r="J18" i="1"/>
  <c r="I18" i="1"/>
  <c r="Q37" i="1"/>
  <c r="P37" i="1"/>
  <c r="O37" i="1"/>
  <c r="N37" i="1"/>
  <c r="M37" i="1"/>
  <c r="L37" i="1"/>
  <c r="K37" i="1"/>
  <c r="I37" i="1"/>
  <c r="Q14" i="1"/>
  <c r="P14" i="1"/>
  <c r="O14" i="1"/>
  <c r="N14" i="1"/>
  <c r="M14" i="1"/>
  <c r="L14" i="1"/>
  <c r="K14" i="1"/>
  <c r="J14" i="1"/>
  <c r="I14" i="1"/>
  <c r="Q312" i="1"/>
  <c r="P312" i="1"/>
  <c r="O312" i="1"/>
  <c r="N312" i="1"/>
  <c r="M312" i="1"/>
  <c r="L312" i="1"/>
  <c r="K312" i="1"/>
  <c r="J312" i="1"/>
  <c r="I312" i="1"/>
  <c r="H312" i="1"/>
  <c r="Q311" i="1"/>
  <c r="P311" i="1"/>
  <c r="O311" i="1"/>
  <c r="N311" i="1"/>
  <c r="M311" i="1"/>
  <c r="L311" i="1"/>
  <c r="K311" i="1"/>
  <c r="J311" i="1"/>
  <c r="I311" i="1"/>
  <c r="H311" i="1"/>
  <c r="Q310" i="1"/>
  <c r="P310" i="1"/>
  <c r="O310" i="1"/>
  <c r="N310" i="1"/>
  <c r="M310" i="1"/>
  <c r="L310" i="1"/>
  <c r="K310" i="1"/>
  <c r="J310" i="1"/>
  <c r="I310" i="1"/>
  <c r="H310" i="1"/>
  <c r="Q309" i="1"/>
  <c r="P309" i="1"/>
  <c r="O309" i="1"/>
  <c r="N309" i="1"/>
  <c r="M309" i="1"/>
  <c r="L309" i="1"/>
  <c r="K309" i="1"/>
  <c r="J309" i="1"/>
  <c r="I309" i="1"/>
  <c r="H309" i="1"/>
  <c r="Q308" i="1"/>
  <c r="P308" i="1"/>
  <c r="O308" i="1"/>
  <c r="N308" i="1"/>
  <c r="M308" i="1"/>
  <c r="L308" i="1"/>
  <c r="K308" i="1"/>
  <c r="J308" i="1"/>
  <c r="I308" i="1"/>
  <c r="H308" i="1"/>
  <c r="Q307" i="1"/>
  <c r="P307" i="1"/>
  <c r="O307" i="1"/>
  <c r="N307" i="1"/>
  <c r="M307" i="1"/>
  <c r="L307" i="1"/>
  <c r="K307" i="1"/>
  <c r="J307" i="1"/>
  <c r="I307" i="1"/>
  <c r="H307" i="1"/>
  <c r="Q306" i="1"/>
  <c r="P306" i="1"/>
  <c r="O306" i="1"/>
  <c r="N306" i="1"/>
  <c r="M306" i="1"/>
  <c r="L306" i="1"/>
  <c r="K306" i="1"/>
  <c r="J306" i="1"/>
  <c r="I306" i="1"/>
  <c r="H306" i="1"/>
  <c r="Q305" i="1"/>
  <c r="P305" i="1"/>
  <c r="O305" i="1"/>
  <c r="N305" i="1"/>
  <c r="M305" i="1"/>
  <c r="L305" i="1"/>
  <c r="K305" i="1"/>
  <c r="J305" i="1"/>
  <c r="I305" i="1"/>
  <c r="H305" i="1"/>
  <c r="Q304" i="1"/>
  <c r="P304" i="1"/>
  <c r="O304" i="1"/>
  <c r="N304" i="1"/>
  <c r="M304" i="1"/>
  <c r="L304" i="1"/>
  <c r="K304" i="1"/>
  <c r="J304" i="1"/>
  <c r="I304" i="1"/>
  <c r="H304" i="1"/>
  <c r="Q303" i="1"/>
  <c r="P303" i="1"/>
  <c r="O303" i="1"/>
  <c r="N303" i="1"/>
  <c r="M303" i="1"/>
  <c r="L303" i="1"/>
  <c r="K303" i="1"/>
  <c r="J303" i="1"/>
  <c r="I303" i="1"/>
  <c r="H303" i="1"/>
  <c r="Q302" i="1"/>
  <c r="P302" i="1"/>
  <c r="O302" i="1"/>
  <c r="N302" i="1"/>
  <c r="M302" i="1"/>
  <c r="L302" i="1"/>
  <c r="K302" i="1"/>
  <c r="J302" i="1"/>
  <c r="I302" i="1"/>
  <c r="H302" i="1"/>
  <c r="Q301" i="1"/>
  <c r="P301" i="1"/>
  <c r="O301" i="1"/>
  <c r="N301" i="1"/>
  <c r="M301" i="1"/>
  <c r="L301" i="1"/>
  <c r="K301" i="1"/>
  <c r="J301" i="1"/>
  <c r="I301" i="1"/>
  <c r="H301" i="1"/>
  <c r="Q300" i="1"/>
  <c r="P300" i="1"/>
  <c r="O300" i="1"/>
  <c r="N300" i="1"/>
  <c r="M300" i="1"/>
  <c r="L300" i="1"/>
  <c r="K300" i="1"/>
  <c r="J300" i="1"/>
  <c r="I300" i="1"/>
  <c r="H300" i="1"/>
  <c r="Q299" i="1"/>
  <c r="P299" i="1"/>
  <c r="O299" i="1"/>
  <c r="N299" i="1"/>
  <c r="M299" i="1"/>
  <c r="L299" i="1"/>
  <c r="K299" i="1"/>
  <c r="J299" i="1"/>
  <c r="I299" i="1"/>
  <c r="H299" i="1"/>
  <c r="Q298" i="1"/>
  <c r="P298" i="1"/>
  <c r="O298" i="1"/>
  <c r="N298" i="1"/>
  <c r="M298" i="1"/>
  <c r="L298" i="1"/>
  <c r="K298" i="1"/>
  <c r="J298" i="1"/>
  <c r="I298" i="1"/>
  <c r="H298" i="1"/>
  <c r="Q297" i="1"/>
  <c r="P297" i="1"/>
  <c r="O297" i="1"/>
  <c r="N297" i="1"/>
  <c r="M297" i="1"/>
  <c r="L297" i="1"/>
  <c r="K297" i="1"/>
  <c r="J297" i="1"/>
  <c r="I297" i="1"/>
  <c r="H297" i="1"/>
  <c r="Q296" i="1"/>
  <c r="P296" i="1"/>
  <c r="O296" i="1"/>
  <c r="N296" i="1"/>
  <c r="M296" i="1"/>
  <c r="L296" i="1"/>
  <c r="K296" i="1"/>
  <c r="J296" i="1"/>
  <c r="I296" i="1"/>
  <c r="H296" i="1"/>
  <c r="Q295" i="1"/>
  <c r="P295" i="1"/>
  <c r="O295" i="1"/>
  <c r="N295" i="1"/>
  <c r="M295" i="1"/>
  <c r="L295" i="1"/>
  <c r="K295" i="1"/>
  <c r="J295" i="1"/>
  <c r="I295" i="1"/>
  <c r="H295" i="1"/>
  <c r="Q294" i="1"/>
  <c r="P294" i="1"/>
  <c r="O294" i="1"/>
  <c r="N294" i="1"/>
  <c r="M294" i="1"/>
  <c r="L294" i="1"/>
  <c r="K294" i="1"/>
  <c r="J294" i="1"/>
  <c r="I294" i="1"/>
  <c r="H294" i="1"/>
  <c r="Q293" i="1"/>
  <c r="P293" i="1"/>
  <c r="O293" i="1"/>
  <c r="N293" i="1"/>
  <c r="M293" i="1"/>
  <c r="L293" i="1"/>
  <c r="K293" i="1"/>
  <c r="J293" i="1"/>
  <c r="I293" i="1"/>
  <c r="H293" i="1"/>
  <c r="Q292" i="1"/>
  <c r="P292" i="1"/>
  <c r="O292" i="1"/>
  <c r="N292" i="1"/>
  <c r="M292" i="1"/>
  <c r="L292" i="1"/>
  <c r="K292" i="1"/>
  <c r="J292" i="1"/>
  <c r="I292" i="1"/>
  <c r="H292" i="1"/>
  <c r="Q291" i="1"/>
  <c r="P291" i="1"/>
  <c r="O291" i="1"/>
  <c r="N291" i="1"/>
  <c r="M291" i="1"/>
  <c r="L291" i="1"/>
  <c r="K291" i="1"/>
  <c r="J291" i="1"/>
  <c r="I291" i="1"/>
  <c r="H291" i="1"/>
  <c r="Q290" i="1"/>
  <c r="P290" i="1"/>
  <c r="O290" i="1"/>
  <c r="N290" i="1"/>
  <c r="M290" i="1"/>
  <c r="L290" i="1"/>
  <c r="K290" i="1"/>
  <c r="J290" i="1"/>
  <c r="I290" i="1"/>
  <c r="H290" i="1"/>
  <c r="Q289" i="1"/>
  <c r="P289" i="1"/>
  <c r="O289" i="1"/>
  <c r="N289" i="1"/>
  <c r="M289" i="1"/>
  <c r="L289" i="1"/>
  <c r="K289" i="1"/>
  <c r="J289" i="1"/>
  <c r="I289" i="1"/>
  <c r="H289" i="1"/>
  <c r="Q288" i="1"/>
  <c r="P288" i="1"/>
  <c r="O288" i="1"/>
  <c r="N288" i="1"/>
  <c r="M288" i="1"/>
  <c r="L288" i="1"/>
  <c r="K288" i="1"/>
  <c r="J288" i="1"/>
  <c r="I288" i="1"/>
  <c r="H288" i="1"/>
  <c r="Q287" i="1"/>
  <c r="P287" i="1"/>
  <c r="O287" i="1"/>
  <c r="N287" i="1"/>
  <c r="M287" i="1"/>
  <c r="L287" i="1"/>
  <c r="K287" i="1"/>
  <c r="J287" i="1"/>
  <c r="I287" i="1"/>
  <c r="H287" i="1"/>
  <c r="Q286" i="1"/>
  <c r="P286" i="1"/>
  <c r="O286" i="1"/>
  <c r="N286" i="1"/>
  <c r="M286" i="1"/>
  <c r="L286" i="1"/>
  <c r="K286" i="1"/>
  <c r="J286" i="1"/>
  <c r="I286" i="1"/>
  <c r="H286" i="1"/>
  <c r="Q285" i="1"/>
  <c r="P285" i="1"/>
  <c r="O285" i="1"/>
  <c r="N285" i="1"/>
  <c r="M285" i="1"/>
  <c r="L285" i="1"/>
  <c r="K285" i="1"/>
  <c r="J285" i="1"/>
  <c r="I285" i="1"/>
  <c r="H285" i="1"/>
  <c r="Q284" i="1"/>
  <c r="P284" i="1"/>
  <c r="O284" i="1"/>
  <c r="N284" i="1"/>
  <c r="M284" i="1"/>
  <c r="L284" i="1"/>
  <c r="K284" i="1"/>
  <c r="J284" i="1"/>
  <c r="I284" i="1"/>
  <c r="H284" i="1"/>
  <c r="Q283" i="1"/>
  <c r="P283" i="1"/>
  <c r="O283" i="1"/>
  <c r="N283" i="1"/>
  <c r="M283" i="1"/>
  <c r="L283" i="1"/>
  <c r="K283" i="1"/>
  <c r="J283" i="1"/>
  <c r="I283" i="1"/>
  <c r="H283" i="1"/>
  <c r="Q282" i="1"/>
  <c r="P282" i="1"/>
  <c r="O282" i="1"/>
  <c r="N282" i="1"/>
  <c r="M282" i="1"/>
  <c r="L282" i="1"/>
  <c r="K282" i="1"/>
  <c r="J282" i="1"/>
  <c r="I282" i="1"/>
  <c r="H282" i="1"/>
  <c r="Q281" i="1"/>
  <c r="P281" i="1"/>
  <c r="O281" i="1"/>
  <c r="N281" i="1"/>
  <c r="M281" i="1"/>
  <c r="L281" i="1"/>
  <c r="K281" i="1"/>
  <c r="J281" i="1"/>
  <c r="I281" i="1"/>
  <c r="H281" i="1"/>
  <c r="Q280" i="1"/>
  <c r="P280" i="1"/>
  <c r="O280" i="1"/>
  <c r="N280" i="1"/>
  <c r="M280" i="1"/>
  <c r="L280" i="1"/>
  <c r="K280" i="1"/>
  <c r="J280" i="1"/>
  <c r="I280" i="1"/>
  <c r="H280" i="1"/>
  <c r="Q279" i="1"/>
  <c r="P279" i="1"/>
  <c r="O279" i="1"/>
  <c r="N279" i="1"/>
  <c r="M279" i="1"/>
  <c r="L279" i="1"/>
  <c r="K279" i="1"/>
  <c r="J279" i="1"/>
  <c r="I279" i="1"/>
  <c r="H279" i="1"/>
  <c r="Q278" i="1"/>
  <c r="P278" i="1"/>
  <c r="O278" i="1"/>
  <c r="N278" i="1"/>
  <c r="M278" i="1"/>
  <c r="L278" i="1"/>
  <c r="K278" i="1"/>
  <c r="J278" i="1"/>
  <c r="I278" i="1"/>
  <c r="H278" i="1"/>
  <c r="Q277" i="1"/>
  <c r="P277" i="1"/>
  <c r="O277" i="1"/>
  <c r="N277" i="1"/>
  <c r="M277" i="1"/>
  <c r="L277" i="1"/>
  <c r="K277" i="1"/>
  <c r="J277" i="1"/>
  <c r="I277" i="1"/>
  <c r="H277" i="1"/>
  <c r="Q276" i="1"/>
  <c r="P276" i="1"/>
  <c r="O276" i="1"/>
  <c r="N276" i="1"/>
  <c r="M276" i="1"/>
  <c r="L276" i="1"/>
  <c r="K276" i="1"/>
  <c r="J276" i="1"/>
  <c r="I276" i="1"/>
  <c r="H276" i="1"/>
  <c r="Q275" i="1"/>
  <c r="P275" i="1"/>
  <c r="O275" i="1"/>
  <c r="N275" i="1"/>
  <c r="M275" i="1"/>
  <c r="L275" i="1"/>
  <c r="K275" i="1"/>
  <c r="J275" i="1"/>
  <c r="I275" i="1"/>
  <c r="H275" i="1"/>
  <c r="Q232" i="1"/>
  <c r="P232" i="1"/>
  <c r="O232" i="1"/>
  <c r="N232" i="1"/>
  <c r="M232" i="1"/>
  <c r="L232" i="1"/>
  <c r="K232" i="1"/>
  <c r="I232" i="1"/>
  <c r="H232" i="1"/>
  <c r="Q231" i="1"/>
  <c r="P231" i="1"/>
  <c r="O231" i="1"/>
  <c r="N231" i="1"/>
  <c r="M231" i="1"/>
  <c r="L231" i="1"/>
  <c r="K231" i="1"/>
  <c r="I231" i="1"/>
  <c r="H231" i="1"/>
  <c r="Q23" i="1"/>
  <c r="P23" i="1"/>
  <c r="O23" i="1"/>
  <c r="N23" i="1"/>
  <c r="M23" i="1"/>
  <c r="L23" i="1"/>
  <c r="K23" i="1"/>
  <c r="I23" i="1"/>
  <c r="Q230" i="1"/>
  <c r="P230" i="1"/>
  <c r="O230" i="1"/>
  <c r="N230" i="1"/>
  <c r="M230" i="1"/>
  <c r="L230" i="1"/>
  <c r="J230" i="1"/>
  <c r="I230" i="1"/>
  <c r="H230" i="1"/>
  <c r="Q229" i="1"/>
  <c r="P229" i="1"/>
  <c r="O229" i="1"/>
  <c r="N229" i="1"/>
  <c r="M229" i="1"/>
  <c r="L229" i="1"/>
  <c r="J229" i="1"/>
  <c r="I229" i="1"/>
  <c r="H229" i="1"/>
  <c r="Q35" i="1"/>
  <c r="P35" i="1"/>
  <c r="O35" i="1"/>
  <c r="N35" i="1"/>
  <c r="M35" i="1"/>
  <c r="L35" i="1"/>
  <c r="K35" i="1"/>
  <c r="I35" i="1"/>
  <c r="Q20" i="1"/>
  <c r="P20" i="1"/>
  <c r="O20" i="1"/>
  <c r="N20" i="1"/>
  <c r="M20" i="1"/>
  <c r="L20" i="1"/>
  <c r="K20" i="1"/>
  <c r="I20" i="1"/>
  <c r="Q228" i="1"/>
  <c r="P228" i="1"/>
  <c r="O228" i="1"/>
  <c r="N228" i="1"/>
  <c r="M228" i="1"/>
  <c r="L228" i="1"/>
  <c r="J228" i="1"/>
  <c r="I228" i="1"/>
  <c r="H228" i="1"/>
  <c r="Q56" i="1"/>
  <c r="P56" i="1"/>
  <c r="O56" i="1"/>
  <c r="N56" i="1"/>
  <c r="M56" i="1"/>
  <c r="L56" i="1"/>
  <c r="K56" i="1"/>
  <c r="I56" i="1"/>
  <c r="H56" i="1"/>
  <c r="Q68" i="1"/>
  <c r="P68" i="1"/>
  <c r="N68" i="1"/>
  <c r="M68" i="1"/>
  <c r="L68" i="1"/>
  <c r="K68" i="1"/>
  <c r="I68" i="1"/>
  <c r="Q66" i="1"/>
  <c r="P66" i="1"/>
  <c r="O66" i="1"/>
  <c r="N66" i="1"/>
  <c r="L66" i="1"/>
  <c r="K66" i="1"/>
  <c r="J66" i="1"/>
  <c r="I66" i="1"/>
  <c r="H66" i="1"/>
  <c r="Q225" i="1"/>
  <c r="P225" i="1"/>
  <c r="O225" i="1"/>
  <c r="N225" i="1"/>
  <c r="M225" i="1"/>
  <c r="L225" i="1"/>
  <c r="K225" i="1"/>
  <c r="I225" i="1"/>
  <c r="H225" i="1"/>
  <c r="Q256" i="1"/>
  <c r="P256" i="1"/>
  <c r="O256" i="1"/>
  <c r="N256" i="1"/>
  <c r="L256" i="1"/>
  <c r="K256" i="1"/>
  <c r="J256" i="1"/>
  <c r="I256" i="1"/>
  <c r="H256" i="1"/>
  <c r="Q188" i="1"/>
  <c r="P188" i="1"/>
  <c r="O188" i="1"/>
  <c r="M188" i="1"/>
  <c r="L188" i="1"/>
  <c r="K188" i="1"/>
  <c r="J188" i="1"/>
  <c r="I188" i="1"/>
  <c r="H188" i="1"/>
  <c r="Q261" i="1"/>
  <c r="P261" i="1"/>
  <c r="O261" i="1"/>
  <c r="N261" i="1"/>
  <c r="M261" i="1"/>
  <c r="L261" i="1"/>
  <c r="K261" i="1"/>
  <c r="J261" i="1"/>
  <c r="H261" i="1"/>
  <c r="Q223" i="1"/>
  <c r="P223" i="1"/>
  <c r="O223" i="1"/>
  <c r="N223" i="1"/>
  <c r="M223" i="1"/>
  <c r="L223" i="1"/>
  <c r="J223" i="1"/>
  <c r="I223" i="1"/>
  <c r="H223" i="1"/>
  <c r="Q260" i="1"/>
  <c r="P260" i="1"/>
  <c r="O260" i="1"/>
  <c r="N260" i="1"/>
  <c r="M260" i="1"/>
  <c r="L260" i="1"/>
  <c r="K260" i="1"/>
  <c r="J260" i="1"/>
  <c r="H260" i="1"/>
  <c r="Q222" i="1"/>
  <c r="P222" i="1"/>
  <c r="O222" i="1"/>
  <c r="N222" i="1"/>
  <c r="M222" i="1"/>
  <c r="L222" i="1"/>
  <c r="K222" i="1"/>
  <c r="I222" i="1"/>
  <c r="H222" i="1"/>
  <c r="Q186" i="1"/>
  <c r="P186" i="1"/>
  <c r="O186" i="1"/>
  <c r="M186" i="1"/>
  <c r="L186" i="1"/>
  <c r="K186" i="1"/>
  <c r="J186" i="1"/>
  <c r="I186" i="1"/>
  <c r="H186" i="1"/>
  <c r="Q138" i="1"/>
  <c r="P138" i="1"/>
  <c r="O138" i="1"/>
  <c r="L138" i="1"/>
  <c r="K138" i="1"/>
  <c r="J138" i="1"/>
  <c r="I138" i="1"/>
  <c r="H138" i="1"/>
  <c r="Q47" i="1"/>
  <c r="P47" i="1"/>
  <c r="O47" i="1"/>
  <c r="N47" i="1"/>
  <c r="L47" i="1"/>
  <c r="K47" i="1"/>
  <c r="J47" i="1"/>
  <c r="I47" i="1"/>
  <c r="H47" i="1"/>
  <c r="Q220" i="1"/>
  <c r="P220" i="1"/>
  <c r="O220" i="1"/>
  <c r="N220" i="1"/>
  <c r="M220" i="1"/>
  <c r="L220" i="1"/>
  <c r="J220" i="1"/>
  <c r="I220" i="1"/>
  <c r="H220" i="1"/>
  <c r="Q185" i="1"/>
  <c r="P185" i="1"/>
  <c r="O185" i="1"/>
  <c r="M185" i="1"/>
  <c r="L185" i="1"/>
  <c r="K185" i="1"/>
  <c r="J185" i="1"/>
  <c r="I185" i="1"/>
  <c r="H185" i="1"/>
  <c r="Q184" i="1"/>
  <c r="P184" i="1"/>
  <c r="O184" i="1"/>
  <c r="M184" i="1"/>
  <c r="L184" i="1"/>
  <c r="K184" i="1"/>
  <c r="J184" i="1"/>
  <c r="I184" i="1"/>
  <c r="H184" i="1"/>
  <c r="Q27" i="1"/>
  <c r="P27" i="1"/>
  <c r="O27" i="1"/>
  <c r="N27" i="1"/>
  <c r="L27" i="1"/>
  <c r="K27" i="1"/>
  <c r="J27" i="1"/>
  <c r="I27" i="1"/>
  <c r="H27" i="1"/>
  <c r="Q219" i="1"/>
  <c r="P219" i="1"/>
  <c r="O219" i="1"/>
  <c r="N219" i="1"/>
  <c r="M219" i="1"/>
  <c r="L219" i="1"/>
  <c r="K219" i="1"/>
  <c r="I219" i="1"/>
  <c r="H219" i="1"/>
  <c r="Q152" i="1"/>
  <c r="P152" i="1"/>
  <c r="O152" i="1"/>
  <c r="L152" i="1"/>
  <c r="K152" i="1"/>
  <c r="J152" i="1"/>
  <c r="I152" i="1"/>
  <c r="H152" i="1"/>
  <c r="Q24" i="1"/>
  <c r="P24" i="1"/>
  <c r="O24" i="1"/>
  <c r="N24" i="1"/>
  <c r="L24" i="1"/>
  <c r="K24" i="1"/>
  <c r="J24" i="1"/>
  <c r="I24" i="1"/>
  <c r="H24" i="1"/>
  <c r="Q182" i="1"/>
  <c r="P182" i="1"/>
  <c r="O182" i="1"/>
  <c r="M182" i="1"/>
  <c r="L182" i="1"/>
  <c r="K182" i="1"/>
  <c r="J182" i="1"/>
  <c r="I182" i="1"/>
  <c r="H182" i="1"/>
  <c r="Q118" i="1"/>
  <c r="P118" i="1"/>
  <c r="O118" i="1"/>
  <c r="N118" i="1"/>
  <c r="L118" i="1"/>
  <c r="K118" i="1"/>
  <c r="J118" i="1"/>
  <c r="I118" i="1"/>
  <c r="H118" i="1"/>
  <c r="Q274" i="1"/>
  <c r="P274" i="1"/>
  <c r="O274" i="1"/>
  <c r="N274" i="1"/>
  <c r="M274" i="1"/>
  <c r="L274" i="1"/>
  <c r="K274" i="1"/>
  <c r="J274" i="1"/>
  <c r="I274" i="1"/>
  <c r="H274" i="1"/>
  <c r="Q273" i="1"/>
  <c r="P273" i="1"/>
  <c r="O273" i="1"/>
  <c r="N273" i="1"/>
  <c r="M273" i="1"/>
  <c r="L273" i="1"/>
  <c r="K273" i="1"/>
  <c r="J273" i="1"/>
  <c r="I273" i="1"/>
  <c r="H273" i="1"/>
  <c r="Q180" i="1"/>
  <c r="P180" i="1"/>
  <c r="O180" i="1"/>
  <c r="M180" i="1"/>
  <c r="L180" i="1"/>
  <c r="K180" i="1"/>
  <c r="J180" i="1"/>
  <c r="I180" i="1"/>
  <c r="H180" i="1"/>
  <c r="Q212" i="1"/>
  <c r="P212" i="1"/>
  <c r="O212" i="1"/>
  <c r="N212" i="1"/>
  <c r="M212" i="1"/>
  <c r="L212" i="1"/>
  <c r="J212" i="1"/>
  <c r="I212" i="1"/>
  <c r="H212" i="1"/>
  <c r="Q49" i="1"/>
  <c r="P49" i="1"/>
  <c r="O49" i="1"/>
  <c r="L49" i="1"/>
  <c r="K49" i="1"/>
  <c r="J49" i="1"/>
  <c r="I49" i="1"/>
  <c r="H49" i="1"/>
  <c r="Q211" i="1"/>
  <c r="P211" i="1"/>
  <c r="O211" i="1"/>
  <c r="N211" i="1"/>
  <c r="M211" i="1"/>
  <c r="L211" i="1"/>
  <c r="K211" i="1"/>
  <c r="I211" i="1"/>
  <c r="H211" i="1"/>
  <c r="Q5" i="1"/>
  <c r="P5" i="1"/>
  <c r="N5" i="1"/>
  <c r="M5" i="1"/>
  <c r="L5" i="1"/>
  <c r="K5" i="1"/>
  <c r="I5" i="1"/>
  <c r="Q147" i="1"/>
  <c r="P147" i="1"/>
  <c r="O147" i="1"/>
  <c r="L147" i="1"/>
  <c r="K147" i="1"/>
  <c r="J147" i="1"/>
  <c r="I147" i="1"/>
  <c r="H147" i="1"/>
  <c r="Q254" i="1"/>
  <c r="P254" i="1"/>
  <c r="O254" i="1"/>
  <c r="N254" i="1"/>
  <c r="L254" i="1"/>
  <c r="K254" i="1"/>
  <c r="J254" i="1"/>
  <c r="I254" i="1"/>
  <c r="H254" i="1"/>
  <c r="Q208" i="1"/>
  <c r="P208" i="1"/>
  <c r="O208" i="1"/>
  <c r="N208" i="1"/>
  <c r="M208" i="1"/>
  <c r="L208" i="1"/>
  <c r="J208" i="1"/>
  <c r="I208" i="1"/>
  <c r="H208" i="1"/>
  <c r="Q272" i="1"/>
  <c r="P272" i="1"/>
  <c r="O272" i="1"/>
  <c r="N272" i="1"/>
  <c r="M272" i="1"/>
  <c r="K272" i="1"/>
  <c r="J272" i="1"/>
  <c r="I272" i="1"/>
  <c r="H272" i="1"/>
  <c r="Q34" i="1"/>
  <c r="P34" i="1"/>
  <c r="O34" i="1"/>
  <c r="N34" i="1"/>
  <c r="L34" i="1"/>
  <c r="K34" i="1"/>
  <c r="J34" i="1"/>
  <c r="I34" i="1"/>
  <c r="H34" i="1"/>
  <c r="Q271" i="1"/>
  <c r="P271" i="1"/>
  <c r="O271" i="1"/>
  <c r="N271" i="1"/>
  <c r="M271" i="1"/>
  <c r="K271" i="1"/>
  <c r="J271" i="1"/>
  <c r="I271" i="1"/>
  <c r="H271" i="1"/>
  <c r="Q206" i="1"/>
  <c r="P206" i="1"/>
  <c r="O206" i="1"/>
  <c r="N206" i="1"/>
  <c r="M206" i="1"/>
  <c r="L206" i="1"/>
  <c r="J206" i="1"/>
  <c r="I206" i="1"/>
  <c r="H206" i="1"/>
  <c r="Q259" i="1"/>
  <c r="P259" i="1"/>
  <c r="O259" i="1"/>
  <c r="N259" i="1"/>
  <c r="M259" i="1"/>
  <c r="L259" i="1"/>
  <c r="K259" i="1"/>
  <c r="J259" i="1"/>
  <c r="H259" i="1"/>
  <c r="Q204" i="1"/>
  <c r="P204" i="1"/>
  <c r="O204" i="1"/>
  <c r="N204" i="1"/>
  <c r="M204" i="1"/>
  <c r="L204" i="1"/>
  <c r="J204" i="1"/>
  <c r="I204" i="1"/>
  <c r="H204" i="1"/>
  <c r="Q178" i="1"/>
  <c r="P178" i="1"/>
  <c r="O178" i="1"/>
  <c r="M178" i="1"/>
  <c r="L178" i="1"/>
  <c r="K178" i="1"/>
  <c r="J178" i="1"/>
  <c r="I178" i="1"/>
  <c r="H178" i="1"/>
  <c r="Q177" i="1"/>
  <c r="P177" i="1"/>
  <c r="O177" i="1"/>
  <c r="M177" i="1"/>
  <c r="L177" i="1"/>
  <c r="K177" i="1"/>
  <c r="J177" i="1"/>
  <c r="I177" i="1"/>
  <c r="H177" i="1"/>
  <c r="Q270" i="1"/>
  <c r="P270" i="1"/>
  <c r="O270" i="1"/>
  <c r="N270" i="1"/>
  <c r="M270" i="1"/>
  <c r="K270" i="1"/>
  <c r="J270" i="1"/>
  <c r="I270" i="1"/>
  <c r="H270" i="1"/>
  <c r="Q258" i="1"/>
  <c r="P258" i="1"/>
  <c r="O258" i="1"/>
  <c r="N258" i="1"/>
  <c r="M258" i="1"/>
  <c r="L258" i="1"/>
  <c r="K258" i="1"/>
  <c r="J258" i="1"/>
  <c r="H258" i="1"/>
  <c r="Q203" i="1"/>
  <c r="P203" i="1"/>
  <c r="O203" i="1"/>
  <c r="N203" i="1"/>
  <c r="M203" i="1"/>
  <c r="L203" i="1"/>
  <c r="J203" i="1"/>
  <c r="I203" i="1"/>
  <c r="H203" i="1"/>
  <c r="Q93" i="1"/>
  <c r="P93" i="1"/>
  <c r="O93" i="1"/>
  <c r="N93" i="1"/>
  <c r="M93" i="1"/>
  <c r="L93" i="1"/>
  <c r="K93" i="1"/>
  <c r="J93" i="1"/>
  <c r="I93" i="1"/>
  <c r="H93" i="1"/>
  <c r="Q269" i="1"/>
  <c r="P269" i="1"/>
  <c r="O269" i="1"/>
  <c r="N269" i="1"/>
  <c r="M269" i="1"/>
  <c r="K269" i="1"/>
  <c r="J269" i="1"/>
  <c r="I269" i="1"/>
  <c r="H269" i="1"/>
  <c r="Q106" i="1"/>
  <c r="P106" i="1"/>
  <c r="O106" i="1"/>
  <c r="M106" i="1"/>
  <c r="L106" i="1"/>
  <c r="K106" i="1"/>
  <c r="J106" i="1"/>
  <c r="I106" i="1"/>
  <c r="H106" i="1"/>
  <c r="Q201" i="1"/>
  <c r="P201" i="1"/>
  <c r="O201" i="1"/>
  <c r="N201" i="1"/>
  <c r="M201" i="1"/>
  <c r="L201" i="1"/>
  <c r="K201" i="1"/>
  <c r="J201" i="1"/>
  <c r="I201" i="1"/>
  <c r="H201" i="1"/>
  <c r="Q253" i="1"/>
  <c r="P253" i="1"/>
  <c r="N253" i="1"/>
  <c r="M253" i="1"/>
  <c r="L253" i="1"/>
  <c r="K253" i="1"/>
  <c r="J253" i="1"/>
  <c r="I253" i="1"/>
  <c r="H253" i="1"/>
  <c r="Q210" i="1"/>
  <c r="O210" i="1"/>
  <c r="N210" i="1"/>
  <c r="M210" i="1"/>
  <c r="L210" i="1"/>
  <c r="J210" i="1"/>
  <c r="I210" i="1"/>
  <c r="H210" i="1"/>
  <c r="Q105" i="1"/>
  <c r="P105" i="1"/>
  <c r="O105" i="1"/>
  <c r="N105" i="1"/>
  <c r="M105" i="1"/>
  <c r="L105" i="1"/>
  <c r="K105" i="1"/>
  <c r="J105" i="1"/>
  <c r="I105" i="1"/>
  <c r="H105" i="1"/>
  <c r="Q4" i="1"/>
  <c r="P4" i="1"/>
  <c r="N4" i="1"/>
  <c r="M4" i="1"/>
  <c r="L4" i="1"/>
  <c r="K4" i="1"/>
  <c r="J4" i="1"/>
  <c r="I4" i="1"/>
  <c r="H4" i="1"/>
  <c r="P129" i="1"/>
  <c r="O129" i="1"/>
  <c r="N129" i="1"/>
  <c r="M129" i="1"/>
  <c r="L129" i="1"/>
  <c r="K129" i="1"/>
  <c r="I129" i="1"/>
  <c r="H129" i="1"/>
  <c r="Q251" i="1"/>
  <c r="P251" i="1"/>
  <c r="O251" i="1"/>
  <c r="N251" i="1"/>
  <c r="M251" i="1"/>
  <c r="L251" i="1"/>
  <c r="K251" i="1"/>
  <c r="J251" i="1"/>
  <c r="I251" i="1"/>
  <c r="H251" i="1"/>
  <c r="Q196" i="1"/>
  <c r="P196" i="1"/>
  <c r="O196" i="1"/>
  <c r="N196" i="1"/>
  <c r="M196" i="1"/>
  <c r="L196" i="1"/>
  <c r="K196" i="1"/>
  <c r="J196" i="1"/>
  <c r="I196" i="1"/>
  <c r="H196" i="1"/>
  <c r="Q250" i="1"/>
  <c r="O250" i="1"/>
  <c r="N250" i="1"/>
  <c r="M250" i="1"/>
  <c r="L250" i="1"/>
  <c r="K250" i="1"/>
  <c r="J250" i="1"/>
  <c r="I250" i="1"/>
  <c r="H250" i="1"/>
  <c r="P226" i="1"/>
  <c r="O226" i="1"/>
  <c r="N226" i="1"/>
  <c r="M226" i="1"/>
  <c r="L226" i="1"/>
  <c r="K226" i="1"/>
  <c r="I226" i="1"/>
  <c r="H226" i="1"/>
  <c r="Q26" i="1"/>
  <c r="O26" i="1"/>
  <c r="N26" i="1"/>
  <c r="M26" i="1"/>
  <c r="L26" i="1"/>
  <c r="K26" i="1"/>
  <c r="J26" i="1"/>
  <c r="I26" i="1"/>
  <c r="Q248" i="1"/>
  <c r="O248" i="1"/>
  <c r="N248" i="1"/>
  <c r="M248" i="1"/>
  <c r="L248" i="1"/>
  <c r="K248" i="1"/>
  <c r="J248" i="1"/>
  <c r="I248" i="1"/>
  <c r="H248" i="1"/>
  <c r="Q94" i="1"/>
  <c r="O94" i="1"/>
  <c r="N94" i="1"/>
  <c r="M94" i="1"/>
  <c r="L94" i="1"/>
  <c r="K94" i="1"/>
  <c r="J94" i="1"/>
  <c r="I94" i="1"/>
  <c r="H94" i="1"/>
  <c r="Q163" i="1"/>
  <c r="P163" i="1"/>
  <c r="L163" i="1"/>
  <c r="K163" i="1"/>
  <c r="J163" i="1"/>
  <c r="I163" i="1"/>
  <c r="H163" i="1"/>
  <c r="Q247" i="1"/>
  <c r="O247" i="1"/>
  <c r="N247" i="1"/>
  <c r="M247" i="1"/>
  <c r="L247" i="1"/>
  <c r="K247" i="1"/>
  <c r="J247" i="1"/>
  <c r="I247" i="1"/>
  <c r="H247" i="1"/>
  <c r="Q246" i="1"/>
  <c r="O246" i="1"/>
  <c r="N246" i="1"/>
  <c r="M246" i="1"/>
  <c r="L246" i="1"/>
  <c r="K246" i="1"/>
  <c r="J246" i="1"/>
  <c r="I246" i="1"/>
  <c r="H246" i="1"/>
  <c r="Q268" i="1"/>
  <c r="P268" i="1"/>
  <c r="N268" i="1"/>
  <c r="M268" i="1"/>
  <c r="K268" i="1"/>
  <c r="J268" i="1"/>
  <c r="I268" i="1"/>
  <c r="H268" i="1"/>
  <c r="Q267" i="1"/>
  <c r="P267" i="1"/>
  <c r="N267" i="1"/>
  <c r="M267" i="1"/>
  <c r="L267" i="1"/>
  <c r="K267" i="1"/>
  <c r="J267" i="1"/>
  <c r="I267" i="1"/>
  <c r="H267" i="1"/>
  <c r="Q245" i="1"/>
  <c r="O245" i="1"/>
  <c r="N245" i="1"/>
  <c r="M245" i="1"/>
  <c r="L245" i="1"/>
  <c r="K245" i="1"/>
  <c r="J245" i="1"/>
  <c r="I245" i="1"/>
  <c r="H245" i="1"/>
  <c r="P17" i="1"/>
  <c r="O17" i="1"/>
  <c r="N17" i="1"/>
  <c r="M17" i="1"/>
  <c r="L17" i="1"/>
  <c r="K17" i="1"/>
  <c r="J17" i="1"/>
  <c r="I17" i="1"/>
  <c r="Q11" i="1"/>
  <c r="P11" i="1"/>
  <c r="N11" i="1"/>
  <c r="L11" i="1"/>
  <c r="K11" i="1"/>
  <c r="J11" i="1"/>
  <c r="I11" i="1"/>
  <c r="H11" i="1"/>
  <c r="Q143" i="1"/>
  <c r="P143" i="1"/>
  <c r="O143" i="1"/>
  <c r="N143" i="1"/>
  <c r="L143" i="1"/>
  <c r="K143" i="1"/>
  <c r="I143" i="1"/>
  <c r="H143" i="1"/>
  <c r="Q209" i="1"/>
  <c r="O209" i="1"/>
  <c r="N209" i="1"/>
  <c r="M209" i="1"/>
  <c r="L209" i="1"/>
  <c r="J209" i="1"/>
  <c r="I209" i="1"/>
  <c r="H209" i="1"/>
  <c r="Q244" i="1"/>
  <c r="P244" i="1"/>
  <c r="O244" i="1"/>
  <c r="N244" i="1"/>
  <c r="M244" i="1"/>
  <c r="L244" i="1"/>
  <c r="K244" i="1"/>
  <c r="J244" i="1"/>
  <c r="I244" i="1"/>
  <c r="H244" i="1"/>
  <c r="Q243" i="1"/>
  <c r="O243" i="1"/>
  <c r="N243" i="1"/>
  <c r="M243" i="1"/>
  <c r="L243" i="1"/>
  <c r="K243" i="1"/>
  <c r="J243" i="1"/>
  <c r="I243" i="1"/>
  <c r="H243" i="1"/>
  <c r="P54" i="1"/>
  <c r="O54" i="1"/>
  <c r="N54" i="1"/>
  <c r="M54" i="1"/>
  <c r="L54" i="1"/>
  <c r="K54" i="1"/>
  <c r="J54" i="1"/>
  <c r="I54" i="1"/>
  <c r="H54" i="1"/>
  <c r="Q38" i="1"/>
  <c r="O38" i="1"/>
  <c r="N38" i="1"/>
  <c r="M38" i="1"/>
  <c r="L38" i="1"/>
  <c r="K38" i="1"/>
  <c r="J38" i="1"/>
  <c r="I38" i="1"/>
  <c r="H38" i="1"/>
  <c r="Q240" i="1"/>
  <c r="P240" i="1"/>
  <c r="O240" i="1"/>
  <c r="N240" i="1"/>
  <c r="M240" i="1"/>
  <c r="L240" i="1"/>
  <c r="K240" i="1"/>
  <c r="J240" i="1"/>
  <c r="I240" i="1"/>
  <c r="H240" i="1"/>
  <c r="Q257" i="1"/>
  <c r="P257" i="1"/>
  <c r="O257" i="1"/>
  <c r="N257" i="1"/>
  <c r="K257" i="1"/>
  <c r="J257" i="1"/>
  <c r="I257" i="1"/>
  <c r="H257" i="1"/>
  <c r="Q227" i="1"/>
  <c r="P227" i="1"/>
  <c r="O227" i="1"/>
  <c r="N227" i="1"/>
  <c r="M227" i="1"/>
  <c r="L227" i="1"/>
  <c r="K227" i="1"/>
  <c r="I227" i="1"/>
  <c r="H227" i="1"/>
  <c r="Q91" i="1"/>
  <c r="P91" i="1"/>
  <c r="O91" i="1"/>
  <c r="N91" i="1"/>
  <c r="M91" i="1"/>
  <c r="L91" i="1"/>
  <c r="K91" i="1"/>
  <c r="J91" i="1"/>
  <c r="I91" i="1"/>
  <c r="H91" i="1"/>
  <c r="P21" i="1"/>
  <c r="O21" i="1"/>
  <c r="N21" i="1"/>
  <c r="M21" i="1"/>
  <c r="L21" i="1"/>
  <c r="K21" i="1"/>
  <c r="Q187" i="1"/>
  <c r="P187" i="1"/>
  <c r="O187" i="1"/>
  <c r="M187" i="1"/>
  <c r="K187" i="1"/>
  <c r="J187" i="1"/>
  <c r="I187" i="1"/>
  <c r="H187" i="1"/>
  <c r="Q238" i="1"/>
  <c r="O238" i="1"/>
  <c r="N238" i="1"/>
  <c r="M238" i="1"/>
  <c r="L238" i="1"/>
  <c r="K238" i="1"/>
  <c r="J238" i="1"/>
  <c r="I238" i="1"/>
  <c r="H238" i="1"/>
  <c r="Q237" i="1"/>
  <c r="O237" i="1"/>
  <c r="N237" i="1"/>
  <c r="M237" i="1"/>
  <c r="L237" i="1"/>
  <c r="K237" i="1"/>
  <c r="J237" i="1"/>
  <c r="I237" i="1"/>
  <c r="H237" i="1"/>
  <c r="Q236" i="1"/>
  <c r="P236" i="1"/>
  <c r="O236" i="1"/>
  <c r="N236" i="1"/>
  <c r="M236" i="1"/>
  <c r="L236" i="1"/>
  <c r="K236" i="1"/>
  <c r="J236" i="1"/>
  <c r="I236" i="1"/>
  <c r="H236" i="1"/>
  <c r="Q16" i="1"/>
  <c r="P16" i="1"/>
  <c r="O16" i="1"/>
  <c r="N16" i="1"/>
  <c r="M16" i="1"/>
  <c r="L16" i="1"/>
  <c r="I16" i="1"/>
  <c r="P70" i="1"/>
  <c r="N70" i="1"/>
  <c r="M70" i="1"/>
  <c r="L70" i="1"/>
  <c r="J70" i="1"/>
  <c r="H70" i="1"/>
  <c r="P192" i="1"/>
  <c r="O192" i="1"/>
  <c r="N192" i="1"/>
  <c r="M192" i="1"/>
  <c r="L192" i="1"/>
  <c r="I192" i="1"/>
  <c r="H192" i="1"/>
  <c r="Q266" i="1"/>
  <c r="P266" i="1"/>
  <c r="O266" i="1"/>
  <c r="N266" i="1"/>
  <c r="M266" i="1"/>
  <c r="L266" i="1"/>
  <c r="K266" i="1"/>
  <c r="J266" i="1"/>
  <c r="I266" i="1"/>
  <c r="H266" i="1"/>
  <c r="Q255" i="1"/>
  <c r="P255" i="1"/>
  <c r="O255" i="1"/>
  <c r="N255" i="1"/>
  <c r="K255" i="1"/>
  <c r="J255" i="1"/>
  <c r="I255" i="1"/>
  <c r="H255" i="1"/>
  <c r="Q197" i="1"/>
  <c r="P197" i="1"/>
  <c r="O197" i="1"/>
  <c r="N197" i="1"/>
  <c r="M197" i="1"/>
  <c r="L197" i="1"/>
  <c r="K197" i="1"/>
  <c r="J197" i="1"/>
  <c r="I197" i="1"/>
  <c r="H197" i="1"/>
  <c r="Q43" i="1"/>
  <c r="P43" i="1"/>
  <c r="O43" i="1"/>
  <c r="N43" i="1"/>
  <c r="M43" i="1"/>
  <c r="L43" i="1"/>
  <c r="K43" i="1"/>
  <c r="J43" i="1"/>
  <c r="I43" i="1"/>
  <c r="H43" i="1"/>
  <c r="P217" i="1"/>
  <c r="O217" i="1"/>
  <c r="N217" i="1"/>
  <c r="M217" i="1"/>
  <c r="L217" i="1"/>
  <c r="K217" i="1"/>
  <c r="H217" i="1"/>
  <c r="Q265" i="1"/>
  <c r="P265" i="1"/>
  <c r="O265" i="1"/>
  <c r="N265" i="1"/>
  <c r="M265" i="1"/>
  <c r="L265" i="1"/>
  <c r="K265" i="1"/>
  <c r="J265" i="1"/>
  <c r="I265" i="1"/>
  <c r="H265" i="1"/>
  <c r="Q82" i="1"/>
  <c r="P82" i="1"/>
  <c r="O82" i="1"/>
  <c r="L82" i="1"/>
  <c r="K82" i="1"/>
  <c r="J82" i="1"/>
  <c r="I82" i="1"/>
  <c r="H82" i="1"/>
  <c r="Q136" i="1"/>
  <c r="P136" i="1"/>
  <c r="O136" i="1"/>
  <c r="N136" i="1"/>
  <c r="K136" i="1"/>
  <c r="J136" i="1"/>
  <c r="I136" i="1"/>
  <c r="H136" i="1"/>
  <c r="Q235" i="1"/>
  <c r="P235" i="1"/>
  <c r="O235" i="1"/>
  <c r="N235" i="1"/>
  <c r="M235" i="1"/>
  <c r="L235" i="1"/>
  <c r="K235" i="1"/>
  <c r="J235" i="1"/>
  <c r="I235" i="1"/>
  <c r="H235" i="1"/>
  <c r="Q224" i="1"/>
  <c r="P224" i="1"/>
  <c r="O224" i="1"/>
  <c r="N224" i="1"/>
  <c r="M224" i="1"/>
  <c r="L224" i="1"/>
  <c r="J224" i="1"/>
  <c r="H224" i="1"/>
  <c r="Q234" i="1"/>
  <c r="P234" i="1"/>
  <c r="O234" i="1"/>
  <c r="N234" i="1"/>
  <c r="M234" i="1"/>
  <c r="L234" i="1"/>
  <c r="K234" i="1"/>
  <c r="J234" i="1"/>
  <c r="I234" i="1"/>
  <c r="H234" i="1"/>
  <c r="Q264" i="1"/>
  <c r="P264" i="1"/>
  <c r="O264" i="1"/>
  <c r="N264" i="1"/>
  <c r="M264" i="1"/>
  <c r="L264" i="1"/>
  <c r="K264" i="1"/>
  <c r="J264" i="1"/>
  <c r="I264" i="1"/>
  <c r="H264" i="1"/>
  <c r="Q25" i="1"/>
  <c r="P25" i="1"/>
  <c r="O25" i="1"/>
  <c r="N25" i="1"/>
  <c r="M25" i="1"/>
  <c r="L25" i="1"/>
  <c r="K25" i="1"/>
  <c r="I25" i="1"/>
  <c r="Q263" i="1"/>
  <c r="P263" i="1"/>
  <c r="O263" i="1"/>
  <c r="N263" i="1"/>
  <c r="M263" i="1"/>
  <c r="L263" i="1"/>
  <c r="K263" i="1"/>
  <c r="J263" i="1"/>
  <c r="I263" i="1"/>
  <c r="H263" i="1"/>
  <c r="Q40" i="1"/>
  <c r="P40" i="1"/>
  <c r="O40" i="1"/>
  <c r="N40" i="1"/>
  <c r="M40" i="1"/>
  <c r="L40" i="1"/>
  <c r="K40" i="1"/>
  <c r="J40" i="1"/>
  <c r="P213" i="1"/>
  <c r="O213" i="1"/>
  <c r="N213" i="1"/>
  <c r="M213" i="1"/>
  <c r="L213" i="1"/>
  <c r="K213" i="1"/>
  <c r="H213" i="1"/>
  <c r="Q233" i="1"/>
  <c r="P233" i="1"/>
  <c r="O233" i="1"/>
  <c r="N233" i="1"/>
  <c r="M233" i="1"/>
  <c r="L233" i="1"/>
  <c r="K233" i="1"/>
  <c r="J233" i="1"/>
  <c r="I233" i="1"/>
  <c r="H233" i="1"/>
  <c r="Q262" i="1"/>
  <c r="P262" i="1"/>
  <c r="O262" i="1"/>
  <c r="N262" i="1"/>
  <c r="M262" i="1"/>
  <c r="L262" i="1"/>
  <c r="K262" i="1"/>
  <c r="J262" i="1"/>
  <c r="I262" i="1"/>
  <c r="H262" i="1"/>
  <c r="Q181" i="1"/>
  <c r="P181" i="1"/>
  <c r="O181" i="1"/>
  <c r="L181" i="1"/>
  <c r="K181" i="1"/>
  <c r="J181" i="1"/>
  <c r="I181" i="1"/>
  <c r="H181" i="1"/>
  <c r="Q51" i="1"/>
  <c r="P51" i="1"/>
  <c r="O51" i="1"/>
  <c r="N51" i="1"/>
  <c r="K51" i="1"/>
  <c r="J51" i="1"/>
  <c r="I51" i="1"/>
  <c r="H51" i="1"/>
  <c r="Q218" i="1"/>
  <c r="P218" i="1"/>
  <c r="O218" i="1"/>
  <c r="N218" i="1"/>
  <c r="M218" i="1"/>
  <c r="L218" i="1"/>
  <c r="J218" i="1"/>
  <c r="I218" i="1"/>
  <c r="H218" i="1"/>
  <c r="P7" i="1"/>
  <c r="N7" i="1"/>
  <c r="M7" i="1"/>
  <c r="L7" i="1"/>
  <c r="K7" i="1"/>
  <c r="H7" i="1"/>
  <c r="Q215" i="1"/>
  <c r="O215" i="1"/>
  <c r="N215" i="1"/>
  <c r="M215" i="1"/>
  <c r="J215" i="1"/>
  <c r="I215" i="1"/>
  <c r="H215" i="1"/>
  <c r="Q44" i="1"/>
  <c r="P44" i="1"/>
  <c r="O44" i="1"/>
  <c r="L44" i="1"/>
  <c r="K44" i="1"/>
  <c r="J44" i="1"/>
  <c r="I44" i="1"/>
  <c r="H44" i="1"/>
  <c r="Q73" i="1"/>
  <c r="P73" i="1"/>
  <c r="O73" i="1"/>
  <c r="N73" i="1"/>
  <c r="M73" i="1"/>
  <c r="L73" i="1"/>
  <c r="H73" i="1"/>
  <c r="Q103" i="1"/>
  <c r="P103" i="1"/>
  <c r="O103" i="1"/>
  <c r="N103" i="1"/>
  <c r="M103" i="1"/>
  <c r="L103" i="1"/>
  <c r="I103" i="1"/>
  <c r="H103" i="1"/>
  <c r="Q46" i="1"/>
  <c r="P46" i="1"/>
  <c r="O46" i="1"/>
  <c r="M46" i="1"/>
  <c r="L46" i="1"/>
  <c r="K46" i="1"/>
  <c r="J46" i="1"/>
  <c r="I46" i="1"/>
  <c r="H46" i="1"/>
  <c r="Q99" i="1"/>
  <c r="P99" i="1"/>
  <c r="O99" i="1"/>
  <c r="N99" i="1"/>
  <c r="M99" i="1"/>
  <c r="K99" i="1"/>
  <c r="J99" i="1"/>
  <c r="I99" i="1"/>
  <c r="H99" i="1"/>
  <c r="Q113" i="1"/>
  <c r="P113" i="1"/>
  <c r="O113" i="1"/>
  <c r="L113" i="1"/>
  <c r="K113" i="1"/>
  <c r="J113" i="1"/>
  <c r="I113" i="1"/>
  <c r="H113" i="1"/>
  <c r="Q214" i="1"/>
  <c r="P214" i="1"/>
  <c r="O214" i="1"/>
  <c r="N214" i="1"/>
  <c r="M214" i="1"/>
  <c r="L214" i="1"/>
  <c r="J214" i="1"/>
  <c r="I214" i="1"/>
  <c r="H214" i="1"/>
  <c r="Q31" i="1"/>
  <c r="P31" i="1"/>
  <c r="N31" i="1"/>
  <c r="M31" i="1"/>
  <c r="M15" i="6" s="1"/>
  <c r="K31" i="1"/>
  <c r="J31" i="1"/>
  <c r="I31" i="1"/>
  <c r="H31" i="1"/>
  <c r="P3" i="1"/>
  <c r="N3" i="1"/>
  <c r="M3" i="1"/>
  <c r="L3" i="1"/>
  <c r="K3" i="1"/>
  <c r="Q86" i="1"/>
  <c r="P86" i="1"/>
  <c r="O86" i="1"/>
  <c r="N86" i="1"/>
  <c r="K86" i="1"/>
  <c r="I86" i="1"/>
  <c r="H86" i="1"/>
  <c r="Q36" i="1"/>
  <c r="P36" i="1"/>
  <c r="O36" i="1"/>
  <c r="M36" i="1"/>
  <c r="L36" i="1"/>
  <c r="K36" i="1"/>
  <c r="J36" i="1"/>
  <c r="I36" i="1"/>
  <c r="H36" i="1"/>
  <c r="Q120" i="1"/>
  <c r="P120" i="1"/>
  <c r="O120" i="1"/>
  <c r="N120" i="1"/>
  <c r="M120" i="1"/>
  <c r="L120" i="1"/>
  <c r="J120" i="1"/>
  <c r="Q183" i="1"/>
  <c r="P183" i="1"/>
  <c r="O183" i="1"/>
  <c r="K183" i="1"/>
  <c r="J183" i="1"/>
  <c r="I183" i="1"/>
  <c r="H183" i="1"/>
  <c r="Q107" i="1"/>
  <c r="P107" i="1"/>
  <c r="O107" i="1"/>
  <c r="N107" i="1"/>
  <c r="M107" i="1"/>
  <c r="L107" i="1"/>
  <c r="I107" i="1"/>
  <c r="Q149" i="1"/>
  <c r="P149" i="1"/>
  <c r="O149" i="1"/>
  <c r="K149" i="1"/>
  <c r="J149" i="1"/>
  <c r="I149" i="1"/>
  <c r="H149" i="1"/>
  <c r="Q100" i="1"/>
  <c r="P100" i="1"/>
  <c r="O100" i="1"/>
  <c r="N100" i="1"/>
  <c r="M100" i="1"/>
  <c r="L100" i="1"/>
  <c r="K100" i="1"/>
  <c r="J100" i="1"/>
  <c r="H100" i="1"/>
  <c r="Q194" i="1"/>
  <c r="P194" i="1"/>
  <c r="O194" i="1"/>
  <c r="N194" i="1"/>
  <c r="M194" i="1"/>
  <c r="L194" i="1"/>
  <c r="H194" i="1"/>
  <c r="Q239" i="1"/>
  <c r="O239" i="1"/>
  <c r="N239" i="1"/>
  <c r="M239" i="1"/>
  <c r="L239" i="1"/>
  <c r="K239" i="1"/>
  <c r="J239" i="1"/>
  <c r="I239" i="1"/>
  <c r="H239" i="1"/>
  <c r="Q59" i="1"/>
  <c r="P59" i="1"/>
  <c r="O59" i="1"/>
  <c r="N59" i="1"/>
  <c r="M59" i="1"/>
  <c r="L59" i="1"/>
  <c r="K59" i="1"/>
  <c r="J59" i="1"/>
  <c r="I59" i="1"/>
  <c r="H59" i="1"/>
  <c r="Q199" i="1"/>
  <c r="P199" i="1"/>
  <c r="O199" i="1"/>
  <c r="N199" i="1"/>
  <c r="M199" i="1"/>
  <c r="L199" i="1"/>
  <c r="K199" i="1"/>
  <c r="J199" i="1"/>
  <c r="I199" i="1"/>
  <c r="H199" i="1"/>
  <c r="Q195" i="1"/>
  <c r="P195" i="1"/>
  <c r="O195" i="1"/>
  <c r="N195" i="1"/>
  <c r="M195" i="1"/>
  <c r="L195" i="1"/>
  <c r="H195" i="1"/>
  <c r="Q252" i="1"/>
  <c r="P252" i="1"/>
  <c r="O252" i="1"/>
  <c r="N252" i="1"/>
  <c r="M252" i="1"/>
  <c r="L252" i="1"/>
  <c r="K252" i="1"/>
  <c r="J252" i="1"/>
  <c r="I252" i="1"/>
  <c r="H252" i="1"/>
  <c r="Q57" i="1"/>
  <c r="P57" i="1"/>
  <c r="N57" i="1"/>
  <c r="M57" i="1"/>
  <c r="L57" i="1"/>
  <c r="K57" i="1"/>
  <c r="J57" i="1"/>
  <c r="I57" i="1"/>
  <c r="H57" i="1"/>
  <c r="Q191" i="1"/>
  <c r="P191" i="1"/>
  <c r="O191" i="1"/>
  <c r="N191" i="1"/>
  <c r="M191" i="1"/>
  <c r="L191" i="1"/>
  <c r="H191" i="1"/>
  <c r="P80" i="1"/>
  <c r="O80" i="1"/>
  <c r="N80" i="1"/>
  <c r="M80" i="1"/>
  <c r="L80" i="1"/>
  <c r="H80" i="1"/>
  <c r="Q32" i="1"/>
  <c r="P32" i="1"/>
  <c r="O32" i="1"/>
  <c r="N32" i="1"/>
  <c r="M32" i="1"/>
  <c r="L32" i="1"/>
  <c r="H32" i="1"/>
  <c r="Q41" i="1"/>
  <c r="P41" i="1"/>
  <c r="N41" i="1"/>
  <c r="K41" i="1"/>
  <c r="I41" i="1"/>
  <c r="H41" i="1"/>
  <c r="P190" i="1"/>
  <c r="O190" i="1"/>
  <c r="N190" i="1"/>
  <c r="M190" i="1"/>
  <c r="L190" i="1"/>
  <c r="H190" i="1"/>
  <c r="Q179" i="1"/>
  <c r="P179" i="1"/>
  <c r="O179" i="1"/>
  <c r="K179" i="1"/>
  <c r="J179" i="1"/>
  <c r="I179" i="1"/>
  <c r="H179" i="1"/>
  <c r="O52" i="1"/>
  <c r="N52" i="1"/>
  <c r="M52" i="1"/>
  <c r="L52" i="1"/>
  <c r="I52" i="1"/>
  <c r="H52" i="1"/>
  <c r="Q13" i="1"/>
  <c r="P13" i="1"/>
  <c r="N13" i="1"/>
  <c r="M13" i="1"/>
  <c r="L13" i="1"/>
  <c r="Q193" i="1"/>
  <c r="P193" i="1"/>
  <c r="O193" i="1"/>
  <c r="N193" i="1"/>
  <c r="M193" i="1"/>
  <c r="L193" i="1"/>
  <c r="H193" i="1"/>
  <c r="Q22" i="1"/>
  <c r="P22" i="1"/>
  <c r="O22" i="1"/>
  <c r="K22" i="1"/>
  <c r="J22" i="1"/>
  <c r="I22" i="1"/>
  <c r="H22" i="1"/>
  <c r="Q216" i="1"/>
  <c r="P216" i="1"/>
  <c r="O216" i="1"/>
  <c r="N216" i="1"/>
  <c r="M216" i="1"/>
  <c r="L216" i="1"/>
  <c r="J216" i="1"/>
  <c r="H216" i="1"/>
  <c r="Q249" i="1"/>
  <c r="O249" i="1"/>
  <c r="N249" i="1"/>
  <c r="L249" i="1"/>
  <c r="K249" i="1"/>
  <c r="J249" i="1"/>
  <c r="I249" i="1"/>
  <c r="H249" i="1"/>
  <c r="Q12" i="1"/>
  <c r="K12" i="1"/>
  <c r="J12" i="1"/>
  <c r="I12" i="1"/>
  <c r="H12" i="1"/>
  <c r="Q15" i="1"/>
  <c r="P15" i="1"/>
  <c r="N15" i="1"/>
  <c r="M15" i="1"/>
  <c r="L15" i="1"/>
  <c r="K15" i="1"/>
  <c r="I15" i="1"/>
  <c r="H15" i="1"/>
  <c r="Q104" i="1"/>
  <c r="P104" i="1"/>
  <c r="O104" i="1"/>
  <c r="N104" i="1"/>
  <c r="M104" i="1"/>
  <c r="L104" i="1"/>
  <c r="H104" i="1"/>
  <c r="Q98" i="1"/>
  <c r="P98" i="1"/>
  <c r="O98" i="1"/>
  <c r="N98" i="1"/>
  <c r="M98" i="1"/>
  <c r="L98" i="1"/>
  <c r="H98" i="1"/>
  <c r="Q207" i="1"/>
  <c r="P207" i="1"/>
  <c r="O207" i="1"/>
  <c r="N207" i="1"/>
  <c r="M207" i="1"/>
  <c r="L207" i="1"/>
  <c r="K207" i="1"/>
  <c r="H207" i="1"/>
  <c r="Q101" i="1"/>
  <c r="M101" i="1"/>
  <c r="L101" i="1"/>
  <c r="K101" i="1"/>
  <c r="J101" i="1"/>
  <c r="I101" i="1"/>
  <c r="H101" i="1"/>
  <c r="Q176" i="1"/>
  <c r="O176" i="1"/>
  <c r="N176" i="1"/>
  <c r="K176" i="1"/>
  <c r="J176" i="1"/>
  <c r="I176" i="1"/>
  <c r="H176" i="1"/>
  <c r="Q200" i="1"/>
  <c r="P200" i="1"/>
  <c r="O200" i="1"/>
  <c r="N200" i="1"/>
  <c r="M200" i="1"/>
  <c r="K200" i="1"/>
  <c r="J200" i="1"/>
  <c r="I200" i="1"/>
  <c r="H200" i="1"/>
  <c r="Q10" i="1"/>
  <c r="N10" i="1"/>
  <c r="M10" i="1"/>
  <c r="L10" i="1"/>
  <c r="I10" i="1"/>
  <c r="H10" i="1"/>
  <c r="Q189" i="1"/>
  <c r="P189" i="1"/>
  <c r="O189" i="1"/>
  <c r="N189" i="1"/>
  <c r="M189" i="1"/>
  <c r="L189" i="1"/>
  <c r="H189" i="1"/>
  <c r="Q64" i="1"/>
  <c r="P64" i="1"/>
  <c r="O64" i="1"/>
  <c r="N64" i="1"/>
  <c r="M64" i="1"/>
  <c r="L64" i="1"/>
  <c r="J64" i="1"/>
  <c r="I64" i="1"/>
  <c r="H64" i="1"/>
  <c r="P61" i="1"/>
  <c r="N61" i="1"/>
  <c r="M61" i="1"/>
  <c r="L61" i="1"/>
  <c r="Q242" i="1"/>
  <c r="P242" i="1"/>
  <c r="O242" i="1"/>
  <c r="N242" i="1"/>
  <c r="M242" i="1"/>
  <c r="L242" i="1"/>
  <c r="K242" i="1"/>
  <c r="J242" i="1"/>
  <c r="I242" i="1"/>
  <c r="H242" i="1"/>
  <c r="Q33" i="1"/>
  <c r="M33" i="1"/>
  <c r="J33" i="1"/>
  <c r="H33" i="1"/>
  <c r="Q76" i="1"/>
  <c r="P76" i="1"/>
  <c r="N76" i="1"/>
  <c r="M76" i="1"/>
  <c r="L76" i="1"/>
  <c r="H76" i="1"/>
  <c r="Q202" i="1"/>
  <c r="O202" i="1"/>
  <c r="N202" i="1"/>
  <c r="M202" i="1"/>
  <c r="L202" i="1"/>
  <c r="K202" i="1"/>
  <c r="J202" i="1"/>
  <c r="I202" i="1"/>
  <c r="H202" i="1"/>
  <c r="Q175" i="1"/>
  <c r="N175" i="1"/>
  <c r="M175" i="1"/>
  <c r="L175" i="1"/>
  <c r="K175" i="1"/>
  <c r="J175" i="1"/>
  <c r="I175" i="1"/>
  <c r="H175" i="1"/>
  <c r="Q221" i="1"/>
  <c r="P221" i="1"/>
  <c r="N221" i="1"/>
  <c r="M221" i="1"/>
  <c r="L221" i="1"/>
  <c r="J221" i="1"/>
  <c r="H221" i="1"/>
  <c r="Q205" i="1"/>
  <c r="N205" i="1"/>
  <c r="M205" i="1"/>
  <c r="L205" i="1"/>
  <c r="J205" i="1"/>
  <c r="I205" i="1"/>
  <c r="H205" i="1"/>
  <c r="Q241" i="1"/>
  <c r="O241" i="1"/>
  <c r="N241" i="1"/>
  <c r="M241" i="1"/>
  <c r="L241" i="1"/>
  <c r="K241" i="1"/>
  <c r="J241" i="1"/>
  <c r="I241" i="1"/>
  <c r="H241" i="1"/>
  <c r="Q6" i="1"/>
  <c r="N6" i="1"/>
  <c r="M6" i="1"/>
  <c r="L6" i="1"/>
  <c r="K6" i="1"/>
  <c r="J6" i="1"/>
  <c r="H6" i="1"/>
  <c r="Q8" i="1"/>
  <c r="N8" i="1"/>
  <c r="M8" i="1"/>
  <c r="L8" i="1"/>
  <c r="I8" i="1"/>
  <c r="H8" i="1"/>
  <c r="Q55" i="1"/>
  <c r="P55" i="1"/>
  <c r="N55" i="1"/>
  <c r="M55" i="1"/>
  <c r="L55" i="1"/>
  <c r="K55" i="1"/>
  <c r="J55" i="1"/>
  <c r="I55" i="1"/>
  <c r="H55" i="1"/>
  <c r="Q198" i="1"/>
  <c r="O198" i="1"/>
  <c r="N198" i="1"/>
  <c r="M198" i="1"/>
  <c r="L198" i="1"/>
  <c r="K198" i="1"/>
  <c r="J198" i="1"/>
  <c r="I198" i="1"/>
  <c r="H198" i="1"/>
  <c r="Q9" i="1"/>
  <c r="N9" i="1"/>
  <c r="M9" i="1"/>
  <c r="K9" i="1"/>
  <c r="J9" i="1"/>
  <c r="I9" i="1"/>
  <c r="H9" i="1"/>
  <c r="Q2" i="1"/>
  <c r="P2" i="1"/>
  <c r="N2" i="1"/>
  <c r="M2" i="1"/>
  <c r="L2" i="1"/>
  <c r="K2" i="1"/>
  <c r="J2" i="1"/>
  <c r="I2" i="1"/>
  <c r="H2" i="1"/>
  <c r="Q58" i="1"/>
  <c r="P58" i="1"/>
  <c r="O58" i="1"/>
  <c r="N58" i="1"/>
  <c r="M58" i="1"/>
  <c r="L58" i="1"/>
  <c r="K58" i="1"/>
  <c r="J58" i="1"/>
  <c r="I58" i="1"/>
  <c r="H58" i="1"/>
  <c r="S128" i="1" l="1"/>
  <c r="S110" i="1"/>
  <c r="T110" i="1" s="1"/>
  <c r="D110" i="25" s="1"/>
  <c r="S169" i="1"/>
  <c r="S171" i="1"/>
  <c r="R124" i="1"/>
  <c r="T124" i="1" s="1"/>
  <c r="D124" i="25" s="1"/>
  <c r="R126" i="1"/>
  <c r="S126" i="1"/>
  <c r="R131" i="1"/>
  <c r="S131" i="1"/>
  <c r="T128" i="1"/>
  <c r="D128" i="25" s="1"/>
  <c r="R160" i="1"/>
  <c r="R134" i="1"/>
  <c r="R167" i="1"/>
  <c r="R162" i="1"/>
  <c r="R156" i="1"/>
  <c r="R169" i="1"/>
  <c r="T169" i="1" s="1"/>
  <c r="D169" i="25" s="1"/>
  <c r="R63" i="1"/>
  <c r="R154" i="1"/>
  <c r="R171" i="1"/>
  <c r="R53" i="1"/>
  <c r="R159" i="1"/>
  <c r="G5" i="12"/>
  <c r="N101" i="1"/>
  <c r="R119" i="1"/>
  <c r="R139" i="1"/>
  <c r="R108" i="1"/>
  <c r="R111" i="1"/>
  <c r="B22" i="5"/>
  <c r="E26" i="5"/>
  <c r="S139" i="1"/>
  <c r="R132" i="1"/>
  <c r="S156" i="1"/>
  <c r="S63" i="1"/>
  <c r="S108" i="1"/>
  <c r="S162" i="1"/>
  <c r="S119" i="1"/>
  <c r="S159" i="1"/>
  <c r="S167" i="1"/>
  <c r="S154" i="1"/>
  <c r="S53" i="1"/>
  <c r="T171" i="1"/>
  <c r="D171" i="25" s="1"/>
  <c r="S111" i="1"/>
  <c r="S132" i="1"/>
  <c r="S160" i="1"/>
  <c r="S134" i="1"/>
  <c r="T134" i="1" s="1"/>
  <c r="D134" i="25" s="1"/>
  <c r="E716" i="17"/>
  <c r="E551" i="17"/>
  <c r="E500" i="17"/>
  <c r="E396" i="17"/>
  <c r="E348" i="17"/>
  <c r="D27" i="4"/>
  <c r="H27" i="4"/>
  <c r="S97" i="1"/>
  <c r="S62" i="1"/>
  <c r="S75" i="1"/>
  <c r="R97" i="1"/>
  <c r="R75" i="1"/>
  <c r="R62" i="1"/>
  <c r="S127" i="1"/>
  <c r="S115" i="1"/>
  <c r="W6" i="14"/>
  <c r="P94" i="1" s="1"/>
  <c r="P247" i="1"/>
  <c r="S247" i="1" s="1"/>
  <c r="S123" i="1"/>
  <c r="S114" i="1"/>
  <c r="S142" i="1"/>
  <c r="S130" i="1"/>
  <c r="R130" i="1"/>
  <c r="R127" i="1"/>
  <c r="R142" i="1"/>
  <c r="S117" i="1"/>
  <c r="R42" i="1"/>
  <c r="R45" i="1"/>
  <c r="R115" i="1"/>
  <c r="R123" i="1"/>
  <c r="S157" i="1"/>
  <c r="S42" i="1"/>
  <c r="S145" i="1"/>
  <c r="R145" i="1"/>
  <c r="S45" i="1"/>
  <c r="R122" i="1"/>
  <c r="R92" i="1"/>
  <c r="R164" i="1"/>
  <c r="R114" i="1"/>
  <c r="S122" i="1"/>
  <c r="S92" i="1"/>
  <c r="S109" i="1"/>
  <c r="R109" i="1"/>
  <c r="R157" i="1"/>
  <c r="R158" i="1"/>
  <c r="S164" i="1"/>
  <c r="R117" i="1"/>
  <c r="S158" i="1"/>
  <c r="G22" i="3"/>
  <c r="E19" i="4"/>
  <c r="H26" i="4"/>
  <c r="D22" i="5"/>
  <c r="G25" i="3"/>
  <c r="F22" i="5"/>
  <c r="L22" i="5" s="1"/>
  <c r="B21" i="5"/>
  <c r="E25" i="3"/>
  <c r="D21" i="5"/>
  <c r="F19" i="4"/>
  <c r="H22" i="5"/>
  <c r="D24" i="5"/>
  <c r="H19" i="4"/>
  <c r="D19" i="4"/>
  <c r="F26" i="4"/>
  <c r="L26" i="4" s="1"/>
  <c r="F27" i="4"/>
  <c r="G21" i="5"/>
  <c r="E22" i="5"/>
  <c r="R83" i="1"/>
  <c r="S135" i="1"/>
  <c r="S144" i="1"/>
  <c r="S174" i="1"/>
  <c r="S71" i="1"/>
  <c r="R90" i="1"/>
  <c r="S83" i="1"/>
  <c r="H24" i="3"/>
  <c r="G23" i="4"/>
  <c r="H25" i="5"/>
  <c r="G19" i="6"/>
  <c r="S96" i="1"/>
  <c r="R96" i="1"/>
  <c r="S155" i="1"/>
  <c r="R155" i="1"/>
  <c r="S67" i="1"/>
  <c r="R67" i="1"/>
  <c r="S173" i="1"/>
  <c r="R173" i="1"/>
  <c r="S141" i="1"/>
  <c r="R141" i="1"/>
  <c r="S48" i="1"/>
  <c r="R48" i="1"/>
  <c r="S95" i="1"/>
  <c r="R95" i="1"/>
  <c r="R71" i="1"/>
  <c r="F23" i="3"/>
  <c r="E24" i="3"/>
  <c r="H25" i="3"/>
  <c r="F22" i="4"/>
  <c r="L22" i="4" s="1"/>
  <c r="D23" i="4"/>
  <c r="H23" i="4"/>
  <c r="G27" i="4"/>
  <c r="D19" i="5"/>
  <c r="H21" i="5"/>
  <c r="B23" i="5"/>
  <c r="D25" i="5"/>
  <c r="B26" i="5"/>
  <c r="F26" i="5"/>
  <c r="D19" i="6"/>
  <c r="H19" i="6"/>
  <c r="S79" i="1"/>
  <c r="R79" i="1"/>
  <c r="S166" i="1"/>
  <c r="S65" i="1"/>
  <c r="R65" i="1"/>
  <c r="S84" i="1"/>
  <c r="S39" i="1"/>
  <c r="R39" i="1"/>
  <c r="S133" i="1"/>
  <c r="S78" i="1"/>
  <c r="R78" i="1"/>
  <c r="S170" i="1"/>
  <c r="S87" i="1"/>
  <c r="R87" i="1"/>
  <c r="S168" i="1"/>
  <c r="R135" i="1"/>
  <c r="R174" i="1"/>
  <c r="S172" i="1"/>
  <c r="R172" i="1"/>
  <c r="G23" i="3"/>
  <c r="F24" i="3"/>
  <c r="G22" i="4"/>
  <c r="E23" i="4"/>
  <c r="F25" i="5"/>
  <c r="L25" i="5" s="1"/>
  <c r="G26" i="5"/>
  <c r="E19" i="6"/>
  <c r="M19" i="6"/>
  <c r="S90" i="1"/>
  <c r="H23" i="3"/>
  <c r="E26" i="3"/>
  <c r="G19" i="4"/>
  <c r="H22" i="4"/>
  <c r="G26" i="4"/>
  <c r="D20" i="5"/>
  <c r="F21" i="5"/>
  <c r="L21" i="5" s="1"/>
  <c r="B25" i="5"/>
  <c r="G25" i="5"/>
  <c r="D26" i="5"/>
  <c r="B19" i="6"/>
  <c r="S161" i="1"/>
  <c r="R166" i="1"/>
  <c r="S89" i="1"/>
  <c r="R84" i="1"/>
  <c r="S77" i="1"/>
  <c r="R133" i="1"/>
  <c r="S146" i="1"/>
  <c r="R170" i="1"/>
  <c r="S153" i="1"/>
  <c r="R168" i="1"/>
  <c r="S165" i="1"/>
  <c r="R144" i="1"/>
  <c r="S72" i="1"/>
  <c r="R161" i="1"/>
  <c r="R89" i="1"/>
  <c r="R77" i="1"/>
  <c r="R146" i="1"/>
  <c r="R153" i="1"/>
  <c r="R165" i="1"/>
  <c r="R72" i="1"/>
  <c r="I259" i="1"/>
  <c r="R259" i="1" s="1"/>
  <c r="I98" i="1"/>
  <c r="I216" i="1"/>
  <c r="I207" i="1"/>
  <c r="I6" i="1"/>
  <c r="I221" i="1"/>
  <c r="I33" i="1"/>
  <c r="I189" i="1"/>
  <c r="I258" i="1"/>
  <c r="R258" i="1" s="1"/>
  <c r="I76" i="1"/>
  <c r="O10" i="1"/>
  <c r="C44" i="21"/>
  <c r="O13" i="1"/>
  <c r="S13" i="1" s="1"/>
  <c r="W6" i="13"/>
  <c r="O268" i="1"/>
  <c r="S268" i="1" s="1"/>
  <c r="R121" i="1"/>
  <c r="S308" i="1"/>
  <c r="S121" i="1"/>
  <c r="S46" i="1"/>
  <c r="S103" i="1"/>
  <c r="S262" i="1"/>
  <c r="S309" i="1"/>
  <c r="S140" i="1"/>
  <c r="S136" i="1"/>
  <c r="S91" i="1"/>
  <c r="S269" i="1"/>
  <c r="S34" i="1"/>
  <c r="S180" i="1"/>
  <c r="S69" i="1"/>
  <c r="S274" i="1"/>
  <c r="R125" i="1"/>
  <c r="S113" i="1"/>
  <c r="S256" i="1"/>
  <c r="S290" i="1"/>
  <c r="S294" i="1" a="1"/>
  <c r="S294" i="1" s="1"/>
  <c r="S302" i="1"/>
  <c r="S81" i="1"/>
  <c r="S125" i="1"/>
  <c r="S189" i="1"/>
  <c r="S179" i="1"/>
  <c r="S29" i="1"/>
  <c r="R148" i="1"/>
  <c r="S148" i="1"/>
  <c r="R69" i="1"/>
  <c r="S299" i="1"/>
  <c r="S307" i="1"/>
  <c r="S311" i="1"/>
  <c r="S151" i="1"/>
  <c r="S330" i="1"/>
  <c r="R19" i="1"/>
  <c r="R150" i="1"/>
  <c r="S228" i="1"/>
  <c r="S288" i="1"/>
  <c r="R140" i="1"/>
  <c r="S19" i="1"/>
  <c r="S150" i="1"/>
  <c r="S252" i="1"/>
  <c r="S185" i="1"/>
  <c r="S104" i="1"/>
  <c r="S216" i="1"/>
  <c r="S86" i="1"/>
  <c r="S214" i="1"/>
  <c r="S204" i="1"/>
  <c r="S254" i="1" a="1"/>
  <c r="S254" i="1" s="1"/>
  <c r="S147" i="1"/>
  <c r="S184" i="1"/>
  <c r="S260" i="1"/>
  <c r="S303" i="1"/>
  <c r="S28" i="1"/>
  <c r="S207" i="1"/>
  <c r="S73" i="1"/>
  <c r="S44" i="1" a="1"/>
  <c r="S44" i="1" s="1"/>
  <c r="S234" i="1"/>
  <c r="S197" i="1"/>
  <c r="S259" i="1"/>
  <c r="S223" i="1"/>
  <c r="S20" i="1"/>
  <c r="S35" i="1"/>
  <c r="S229" i="1"/>
  <c r="S276" i="1"/>
  <c r="S284" i="1"/>
  <c r="S292" i="1"/>
  <c r="S304" i="1"/>
  <c r="S322" i="1"/>
  <c r="S98" i="1"/>
  <c r="S58" i="1"/>
  <c r="S206" i="1"/>
  <c r="S261" i="1"/>
  <c r="S281" i="1"/>
  <c r="S289" i="1"/>
  <c r="S300" i="1"/>
  <c r="S88" i="1"/>
  <c r="S316" i="1"/>
  <c r="S235" i="1"/>
  <c r="S212" i="1"/>
  <c r="S220" i="1"/>
  <c r="S47" i="1"/>
  <c r="S277" i="1"/>
  <c r="S285" i="1"/>
  <c r="S293" i="1"/>
  <c r="S297" i="1" a="1"/>
  <c r="S297" i="1" s="1"/>
  <c r="S305" i="1"/>
  <c r="S313" i="1"/>
  <c r="S319" i="1"/>
  <c r="S195" i="1"/>
  <c r="S187" i="1"/>
  <c r="S278" i="1"/>
  <c r="S286" i="1"/>
  <c r="S50" i="1"/>
  <c r="S324" i="1"/>
  <c r="S328" i="1"/>
  <c r="S332" i="1"/>
  <c r="S336" i="1"/>
  <c r="S105" i="1"/>
  <c r="S273" i="1"/>
  <c r="S219" i="1"/>
  <c r="S275" i="1"/>
  <c r="S279" i="1"/>
  <c r="S283" i="1"/>
  <c r="S291" i="1"/>
  <c r="S298" i="1"/>
  <c r="S306" i="1"/>
  <c r="S310" i="1"/>
  <c r="S18" i="1"/>
  <c r="S325" i="1"/>
  <c r="S32" i="1"/>
  <c r="S218" i="1"/>
  <c r="S51" i="1"/>
  <c r="R54" i="1"/>
  <c r="S272" i="1"/>
  <c r="S56" i="1"/>
  <c r="S295" i="1"/>
  <c r="S37" i="1"/>
  <c r="S137" i="1"/>
  <c r="S85" i="1"/>
  <c r="S331" i="1"/>
  <c r="S335" i="1"/>
  <c r="S338" i="1"/>
  <c r="S64" i="1"/>
  <c r="S200" i="1"/>
  <c r="S22" i="1"/>
  <c r="S193" i="1"/>
  <c r="S40" i="1" a="1"/>
  <c r="S40" i="1" s="1"/>
  <c r="S224" i="1"/>
  <c r="S255" i="1"/>
  <c r="S236" i="1"/>
  <c r="S196" i="1"/>
  <c r="S203" i="1"/>
  <c r="S152" i="1"/>
  <c r="S296" i="1"/>
  <c r="S116" i="1"/>
  <c r="S102" i="1"/>
  <c r="S318" i="1"/>
  <c r="S181" i="1"/>
  <c r="S251" i="1"/>
  <c r="S258" i="1"/>
  <c r="S199" i="1"/>
  <c r="S183" i="1"/>
  <c r="S120" i="1"/>
  <c r="S266" i="1"/>
  <c r="S106" i="1"/>
  <c r="S270" i="1"/>
  <c r="S138" i="1"/>
  <c r="S188" i="1"/>
  <c r="S323" i="1"/>
  <c r="S36" i="1"/>
  <c r="S265" i="1"/>
  <c r="S143" i="1"/>
  <c r="S94" i="1"/>
  <c r="S49" i="1"/>
  <c r="S230" i="1"/>
  <c r="S23" i="1"/>
  <c r="S280" i="1"/>
  <c r="S287" i="1"/>
  <c r="S301" i="1"/>
  <c r="S312" i="1"/>
  <c r="S60" i="1"/>
  <c r="S74" i="1"/>
  <c r="S314" i="1"/>
  <c r="S337" i="1"/>
  <c r="S242" i="1"/>
  <c r="S191" i="1"/>
  <c r="S59" i="1"/>
  <c r="S194" i="1"/>
  <c r="S149" i="1"/>
  <c r="S107" i="1"/>
  <c r="S264" i="1"/>
  <c r="S43" i="1"/>
  <c r="S227" i="1"/>
  <c r="S177" i="1"/>
  <c r="S271" i="1"/>
  <c r="S118" i="1"/>
  <c r="S225" i="1"/>
  <c r="S231" i="1"/>
  <c r="S317" i="1"/>
  <c r="S320" i="1"/>
  <c r="S327" i="1"/>
  <c r="S333" i="1"/>
  <c r="R323" i="1"/>
  <c r="R274" i="1"/>
  <c r="R101" i="1"/>
  <c r="R279" i="1"/>
  <c r="R283" i="1"/>
  <c r="R297" i="1"/>
  <c r="R2" i="1"/>
  <c r="R263" i="1"/>
  <c r="R333" i="1"/>
  <c r="R294" i="1"/>
  <c r="R308" i="1"/>
  <c r="R319" i="1"/>
  <c r="R59" i="1"/>
  <c r="R277" i="1"/>
  <c r="R198" i="1"/>
  <c r="R290" i="1"/>
  <c r="R304" i="1"/>
  <c r="R311" i="1"/>
  <c r="R329" i="1"/>
  <c r="R94" i="1"/>
  <c r="R280" i="1"/>
  <c r="R287" i="1"/>
  <c r="R291" i="1"/>
  <c r="R301" i="1"/>
  <c r="R305" i="1"/>
  <c r="R314" i="1"/>
  <c r="R330" i="1"/>
  <c r="R337" i="1"/>
  <c r="R4" i="1"/>
  <c r="C12" i="19"/>
  <c r="R239" i="1"/>
  <c r="R197" i="1"/>
  <c r="R318" i="1"/>
  <c r="R328" i="1"/>
  <c r="R312" i="1"/>
  <c r="R241" i="1"/>
  <c r="R175" i="1"/>
  <c r="R202" i="1"/>
  <c r="R245" i="1"/>
  <c r="R264" i="1"/>
  <c r="R234" i="1"/>
  <c r="R43" i="1"/>
  <c r="R240" i="1"/>
  <c r="R57" i="1"/>
  <c r="R55" i="1"/>
  <c r="R6" i="1"/>
  <c r="R293" i="1"/>
  <c r="R307" i="1"/>
  <c r="R322" i="1"/>
  <c r="R275" i="1"/>
  <c r="R253" i="1"/>
  <c r="R298" i="1"/>
  <c r="R317" i="1"/>
  <c r="R196" i="1"/>
  <c r="R281" i="1"/>
  <c r="R295" i="1"/>
  <c r="R338" i="1"/>
  <c r="C51" i="22"/>
  <c r="C29" i="23"/>
  <c r="R284" i="1"/>
  <c r="R327" i="1"/>
  <c r="R262" i="1"/>
  <c r="R267" i="1"/>
  <c r="R285" i="1"/>
  <c r="R292" i="1"/>
  <c r="R299" i="1"/>
  <c r="R306" i="1"/>
  <c r="R320" i="1"/>
  <c r="R321" i="1"/>
  <c r="R324" i="1"/>
  <c r="R335" i="1"/>
  <c r="C20" i="20"/>
  <c r="R252" i="1"/>
  <c r="R58" i="1"/>
  <c r="R199" i="1"/>
  <c r="R233" i="1"/>
  <c r="R237" i="1"/>
  <c r="R38" i="1"/>
  <c r="R201" i="1"/>
  <c r="R273" i="1"/>
  <c r="R278" i="1"/>
  <c r="R282" i="1"/>
  <c r="R288" i="1"/>
  <c r="R289" i="1"/>
  <c r="R296" i="1"/>
  <c r="R302" i="1"/>
  <c r="R303" i="1"/>
  <c r="R309" i="1"/>
  <c r="R315" i="1"/>
  <c r="G2" i="17"/>
  <c r="R310" i="1"/>
  <c r="R102" i="1"/>
  <c r="R325" i="1"/>
  <c r="C20" i="24"/>
  <c r="R242" i="1"/>
  <c r="R265" i="1"/>
  <c r="R238" i="1"/>
  <c r="R286" i="1"/>
  <c r="R300" i="1"/>
  <c r="R313" i="1"/>
  <c r="R332" i="1"/>
  <c r="R336" i="1"/>
  <c r="R266" i="1"/>
  <c r="R250" i="1"/>
  <c r="R91" i="1"/>
  <c r="S222" i="1"/>
  <c r="S99" i="1" a="1"/>
  <c r="S99" i="1" s="1"/>
  <c r="S25" i="1"/>
  <c r="R235" i="1"/>
  <c r="R236" i="1"/>
  <c r="S240" i="1"/>
  <c r="R246" i="1"/>
  <c r="S178" i="1"/>
  <c r="S182" i="1"/>
  <c r="S282" i="1"/>
  <c r="S233" i="1"/>
  <c r="S208" i="1"/>
  <c r="S66" i="1"/>
  <c r="R276" i="1"/>
  <c r="S100" i="1"/>
  <c r="S16" i="1"/>
  <c r="R243" i="1"/>
  <c r="R251" i="1"/>
  <c r="R105" i="1"/>
  <c r="S201" i="1"/>
  <c r="S24" i="1"/>
  <c r="C31" i="4"/>
  <c r="S263" i="1"/>
  <c r="S257" i="1"/>
  <c r="R247" i="1"/>
  <c r="S232" i="1"/>
  <c r="S82" i="1"/>
  <c r="R244" i="1"/>
  <c r="S244" i="1"/>
  <c r="R248" i="1"/>
  <c r="R93" i="1"/>
  <c r="S93" i="1"/>
  <c r="S211" i="1"/>
  <c r="S27" i="1" a="1"/>
  <c r="S27" i="1" s="1"/>
  <c r="S186" i="1"/>
  <c r="S321" i="1"/>
  <c r="R334" i="1"/>
  <c r="H19" i="3"/>
  <c r="G19" i="3"/>
  <c r="H27" i="3"/>
  <c r="G27" i="3"/>
  <c r="G21" i="4"/>
  <c r="F21" i="4"/>
  <c r="E21" i="4"/>
  <c r="L23" i="4"/>
  <c r="J23" i="4"/>
  <c r="C9" i="8"/>
  <c r="G3" i="8"/>
  <c r="H20" i="4"/>
  <c r="G20" i="4"/>
  <c r="S329" i="1"/>
  <c r="E19" i="3"/>
  <c r="F22" i="3"/>
  <c r="E22" i="3"/>
  <c r="E27" i="3"/>
  <c r="K10" i="4"/>
  <c r="D20" i="4"/>
  <c r="H21" i="4"/>
  <c r="K11" i="5"/>
  <c r="G24" i="5"/>
  <c r="E24" i="5"/>
  <c r="H24" i="5"/>
  <c r="F24" i="5"/>
  <c r="S112" i="1"/>
  <c r="R331" i="1"/>
  <c r="J11" i="3"/>
  <c r="K11" i="3" s="1"/>
  <c r="F19" i="3"/>
  <c r="B21" i="3"/>
  <c r="J24" i="3"/>
  <c r="K24" i="3" s="1"/>
  <c r="F27" i="3"/>
  <c r="K13" i="4"/>
  <c r="J13" i="4"/>
  <c r="E20" i="4"/>
  <c r="J22" i="4"/>
  <c r="K22" i="4" s="1"/>
  <c r="G25" i="4"/>
  <c r="F25" i="4"/>
  <c r="E25" i="4"/>
  <c r="L27" i="4"/>
  <c r="J27" i="4"/>
  <c r="J14" i="5"/>
  <c r="K14" i="5" s="1"/>
  <c r="G20" i="5"/>
  <c r="E20" i="5"/>
  <c r="H20" i="5"/>
  <c r="F20" i="5"/>
  <c r="L23" i="6"/>
  <c r="G3" i="10"/>
  <c r="C10" i="10"/>
  <c r="R112" i="1"/>
  <c r="L18" i="3"/>
  <c r="K18" i="3"/>
  <c r="J18" i="3"/>
  <c r="G21" i="3"/>
  <c r="F21" i="3"/>
  <c r="E21" i="3"/>
  <c r="J23" i="3"/>
  <c r="K23" i="3" s="1"/>
  <c r="J5" i="4"/>
  <c r="K5" i="4" s="1"/>
  <c r="F20" i="4"/>
  <c r="H24" i="4"/>
  <c r="G24" i="4"/>
  <c r="J6" i="5"/>
  <c r="K6" i="5" s="1"/>
  <c r="H27" i="5"/>
  <c r="G27" i="5"/>
  <c r="F27" i="5"/>
  <c r="G3" i="14"/>
  <c r="C12" i="14"/>
  <c r="S14" i="1"/>
  <c r="S30" i="1"/>
  <c r="S326" i="1"/>
  <c r="C6" i="2"/>
  <c r="L10" i="3"/>
  <c r="J10" i="3"/>
  <c r="K10" i="3" s="1"/>
  <c r="K12" i="3"/>
  <c r="L17" i="3"/>
  <c r="K17" i="3"/>
  <c r="F26" i="3"/>
  <c r="L12" i="4"/>
  <c r="K12" i="4"/>
  <c r="J12" i="4"/>
  <c r="L19" i="4"/>
  <c r="J19" i="4"/>
  <c r="K19" i="4" s="1"/>
  <c r="D24" i="4"/>
  <c r="H25" i="4"/>
  <c r="L13" i="5"/>
  <c r="K13" i="5"/>
  <c r="J13" i="5"/>
  <c r="D27" i="5"/>
  <c r="C34" i="6"/>
  <c r="S315" i="1"/>
  <c r="R326" i="1"/>
  <c r="G6" i="2"/>
  <c r="K4" i="3"/>
  <c r="L9" i="3"/>
  <c r="K9" i="3"/>
  <c r="L11" i="3"/>
  <c r="L12" i="3"/>
  <c r="H20" i="3"/>
  <c r="G20" i="3"/>
  <c r="F20" i="3"/>
  <c r="H21" i="3"/>
  <c r="G26" i="3"/>
  <c r="L4" i="4"/>
  <c r="J4" i="4"/>
  <c r="K4" i="4" s="1"/>
  <c r="K6" i="4"/>
  <c r="L11" i="4"/>
  <c r="K11" i="4"/>
  <c r="L13" i="4"/>
  <c r="E24" i="4"/>
  <c r="J26" i="4"/>
  <c r="K26" i="4" s="1"/>
  <c r="L5" i="5"/>
  <c r="J5" i="5"/>
  <c r="K5" i="5" s="1"/>
  <c r="K7" i="5"/>
  <c r="L12" i="5"/>
  <c r="K12" i="5"/>
  <c r="L14" i="5"/>
  <c r="G23" i="5"/>
  <c r="H23" i="5"/>
  <c r="F23" i="5"/>
  <c r="E23" i="5"/>
  <c r="E27" i="5"/>
  <c r="G3" i="9"/>
  <c r="C11" i="9"/>
  <c r="C15" i="15"/>
  <c r="G3" i="15"/>
  <c r="R316" i="1"/>
  <c r="S334" i="1"/>
  <c r="L4" i="3"/>
  <c r="B19" i="3"/>
  <c r="J25" i="3"/>
  <c r="K25" i="3" s="1"/>
  <c r="L5" i="4"/>
  <c r="L6" i="4"/>
  <c r="F24" i="4"/>
  <c r="L4" i="5"/>
  <c r="K4" i="5"/>
  <c r="L6" i="5"/>
  <c r="L7" i="5"/>
  <c r="G19" i="5"/>
  <c r="H19" i="5"/>
  <c r="F19" i="5"/>
  <c r="E19" i="5"/>
  <c r="G11" i="11"/>
  <c r="J16" i="6"/>
  <c r="K16" i="6" s="1"/>
  <c r="F21" i="6"/>
  <c r="K21" i="6" s="1"/>
  <c r="E21" i="6"/>
  <c r="D21" i="6"/>
  <c r="L22" i="6"/>
  <c r="K22" i="6"/>
  <c r="A114" i="17"/>
  <c r="A106" i="17"/>
  <c r="A113" i="17"/>
  <c r="A105" i="17"/>
  <c r="A112" i="17"/>
  <c r="A104" i="17"/>
  <c r="A103" i="17"/>
  <c r="A102" i="17"/>
  <c r="A115" i="17"/>
  <c r="A101" i="17"/>
  <c r="A109" i="17"/>
  <c r="A108" i="17"/>
  <c r="A107" i="17"/>
  <c r="A111" i="17"/>
  <c r="A239" i="17"/>
  <c r="A231" i="17"/>
  <c r="A242" i="17"/>
  <c r="A233" i="17"/>
  <c r="A241" i="17"/>
  <c r="A232" i="17"/>
  <c r="A240" i="17"/>
  <c r="A230" i="17"/>
  <c r="A238" i="17"/>
  <c r="A237" i="17"/>
  <c r="A236" i="17"/>
  <c r="A228" i="17"/>
  <c r="A234" i="17"/>
  <c r="A229" i="17"/>
  <c r="A495" i="17"/>
  <c r="A487" i="17"/>
  <c r="A494" i="17"/>
  <c r="A486" i="17"/>
  <c r="A493" i="17"/>
  <c r="A485" i="17"/>
  <c r="A492" i="17"/>
  <c r="A491" i="17"/>
  <c r="A490" i="17"/>
  <c r="A497" i="17"/>
  <c r="A496" i="17"/>
  <c r="A489" i="17"/>
  <c r="A499" i="17"/>
  <c r="A498" i="17"/>
  <c r="A484" i="17"/>
  <c r="L7" i="6"/>
  <c r="K7" i="6"/>
  <c r="K8" i="6"/>
  <c r="J8" i="6"/>
  <c r="L15" i="6"/>
  <c r="C8" i="11"/>
  <c r="C12" i="13"/>
  <c r="G3" i="13"/>
  <c r="O55" i="1" s="1"/>
  <c r="S55" i="1" s="1"/>
  <c r="AA3" i="14"/>
  <c r="W7" i="14"/>
  <c r="A210" i="17"/>
  <c r="A202" i="17"/>
  <c r="A208" i="17"/>
  <c r="A199" i="17"/>
  <c r="A207" i="17"/>
  <c r="A198" i="17"/>
  <c r="A206" i="17"/>
  <c r="A197" i="17"/>
  <c r="A209" i="17"/>
  <c r="A205" i="17"/>
  <c r="A204" i="17"/>
  <c r="A196" i="17"/>
  <c r="A201" i="17"/>
  <c r="A200" i="17"/>
  <c r="A625" i="17"/>
  <c r="A617" i="17"/>
  <c r="A622" i="17"/>
  <c r="A613" i="17"/>
  <c r="A620" i="17"/>
  <c r="A612" i="17"/>
  <c r="A621" i="17"/>
  <c r="A619" i="17"/>
  <c r="A618" i="17"/>
  <c r="A627" i="17"/>
  <c r="A626" i="17"/>
  <c r="A624" i="17"/>
  <c r="A623" i="17"/>
  <c r="A616" i="17"/>
  <c r="A615" i="17"/>
  <c r="B706" i="17"/>
  <c r="B698" i="17"/>
  <c r="B690" i="17"/>
  <c r="B682" i="17"/>
  <c r="B699" i="17"/>
  <c r="B689" i="17"/>
  <c r="B680" i="17"/>
  <c r="B705" i="17"/>
  <c r="B696" i="17"/>
  <c r="B687" i="17"/>
  <c r="B678" i="17"/>
  <c r="B697" i="17"/>
  <c r="B685" i="17"/>
  <c r="B695" i="17"/>
  <c r="B684" i="17"/>
  <c r="B707" i="17"/>
  <c r="B694" i="17"/>
  <c r="B683" i="17"/>
  <c r="B703" i="17"/>
  <c r="B686" i="17"/>
  <c r="B702" i="17"/>
  <c r="B681" i="17"/>
  <c r="B701" i="17"/>
  <c r="B679" i="17"/>
  <c r="B700" i="17"/>
  <c r="B677" i="17"/>
  <c r="B704" i="17"/>
  <c r="B693" i="17"/>
  <c r="B692" i="17"/>
  <c r="B676" i="17"/>
  <c r="B691" i="17"/>
  <c r="B688" i="17"/>
  <c r="K17" i="5"/>
  <c r="L18" i="5"/>
  <c r="J18" i="5"/>
  <c r="K18" i="5" s="1"/>
  <c r="J22" i="5"/>
  <c r="K22" i="5" s="1"/>
  <c r="L26" i="5"/>
  <c r="J26" i="5"/>
  <c r="K26" i="5" s="1"/>
  <c r="D3" i="17"/>
  <c r="D2" i="17"/>
  <c r="A48" i="17"/>
  <c r="A40" i="17"/>
  <c r="A47" i="17"/>
  <c r="A39" i="17"/>
  <c r="A46" i="17"/>
  <c r="A38" i="17"/>
  <c r="A43" i="17"/>
  <c r="A42" i="17"/>
  <c r="A41" i="17"/>
  <c r="A36" i="17"/>
  <c r="A51" i="17"/>
  <c r="A50" i="17"/>
  <c r="A44" i="17"/>
  <c r="A37" i="17"/>
  <c r="A203" i="17"/>
  <c r="A243" i="17"/>
  <c r="A614" i="17"/>
  <c r="D22" i="4"/>
  <c r="D26" i="4"/>
  <c r="L16" i="6"/>
  <c r="A45" i="17"/>
  <c r="A211" i="17"/>
  <c r="J25" i="5"/>
  <c r="K25" i="5" s="1"/>
  <c r="J7" i="6"/>
  <c r="L8" i="6"/>
  <c r="J15" i="6"/>
  <c r="K15" i="6" s="1"/>
  <c r="F24" i="6"/>
  <c r="E24" i="6"/>
  <c r="M24" i="6"/>
  <c r="D24" i="6"/>
  <c r="C7" i="7"/>
  <c r="C7" i="12"/>
  <c r="A49" i="17"/>
  <c r="K4" i="6"/>
  <c r="J4" i="6"/>
  <c r="L11" i="6"/>
  <c r="K11" i="6"/>
  <c r="J12" i="6"/>
  <c r="K12" i="6" s="1"/>
  <c r="M21" i="6"/>
  <c r="H23" i="6"/>
  <c r="G23" i="6"/>
  <c r="K23" i="6" s="1"/>
  <c r="M23" i="6"/>
  <c r="D23" i="6"/>
  <c r="K3" i="7"/>
  <c r="W3" i="15"/>
  <c r="S8" i="15"/>
  <c r="A128" i="17"/>
  <c r="A120" i="17"/>
  <c r="A127" i="17"/>
  <c r="A119" i="17"/>
  <c r="A126" i="17"/>
  <c r="A118" i="17"/>
  <c r="A129" i="17"/>
  <c r="A116" i="17"/>
  <c r="A125" i="17"/>
  <c r="A124" i="17"/>
  <c r="A122" i="17"/>
  <c r="A121" i="17"/>
  <c r="A117" i="17"/>
  <c r="A131" i="17"/>
  <c r="A130" i="17"/>
  <c r="M20" i="6"/>
  <c r="B34" i="17"/>
  <c r="B26" i="17"/>
  <c r="B18" i="17"/>
  <c r="B10" i="17"/>
  <c r="B33" i="17"/>
  <c r="B25" i="17"/>
  <c r="B17" i="17"/>
  <c r="B32" i="17"/>
  <c r="B24" i="17"/>
  <c r="B16" i="17"/>
  <c r="B8" i="17"/>
  <c r="B22" i="17"/>
  <c r="B11" i="17"/>
  <c r="B35" i="17"/>
  <c r="B21" i="17"/>
  <c r="B9" i="17"/>
  <c r="B31" i="17"/>
  <c r="B20" i="17"/>
  <c r="B7" i="17"/>
  <c r="B23" i="17"/>
  <c r="A290" i="17"/>
  <c r="A282" i="17"/>
  <c r="A289" i="17"/>
  <c r="A281" i="17"/>
  <c r="A288" i="17"/>
  <c r="A280" i="17"/>
  <c r="A283" i="17"/>
  <c r="A279" i="17"/>
  <c r="A278" i="17"/>
  <c r="A285" i="17"/>
  <c r="A284" i="17"/>
  <c r="A277" i="17"/>
  <c r="A385" i="17"/>
  <c r="A377" i="17"/>
  <c r="A384" i="17"/>
  <c r="A376" i="17"/>
  <c r="A383" i="17"/>
  <c r="A375" i="17"/>
  <c r="A379" i="17"/>
  <c r="A378" i="17"/>
  <c r="A374" i="17"/>
  <c r="A387" i="17"/>
  <c r="A386" i="17"/>
  <c r="A382" i="17"/>
  <c r="A451" i="17"/>
  <c r="A443" i="17"/>
  <c r="A436" i="17"/>
  <c r="A450" i="17"/>
  <c r="A442" i="17"/>
  <c r="A449" i="17"/>
  <c r="A441" i="17"/>
  <c r="A439" i="17"/>
  <c r="A438" i="17"/>
  <c r="A448" i="17"/>
  <c r="A437" i="17"/>
  <c r="A447" i="17"/>
  <c r="A446" i="17"/>
  <c r="A445" i="17"/>
  <c r="B545" i="17"/>
  <c r="B537" i="17"/>
  <c r="B529" i="17"/>
  <c r="B521" i="17"/>
  <c r="B542" i="17"/>
  <c r="B533" i="17"/>
  <c r="B524" i="17"/>
  <c r="B516" i="17"/>
  <c r="B544" i="17"/>
  <c r="B534" i="17"/>
  <c r="B523" i="17"/>
  <c r="B543" i="17"/>
  <c r="B532" i="17"/>
  <c r="B522" i="17"/>
  <c r="B541" i="17"/>
  <c r="B531" i="17"/>
  <c r="B520" i="17"/>
  <c r="B546" i="17"/>
  <c r="B527" i="17"/>
  <c r="B540" i="17"/>
  <c r="B526" i="17"/>
  <c r="B539" i="17"/>
  <c r="B525" i="17"/>
  <c r="B535" i="17"/>
  <c r="B530" i="17"/>
  <c r="B528" i="17"/>
  <c r="J19" i="6"/>
  <c r="F20" i="6"/>
  <c r="B22" i="6"/>
  <c r="F26" i="6"/>
  <c r="B12" i="17"/>
  <c r="B29" i="17"/>
  <c r="A33" i="17"/>
  <c r="A25" i="17"/>
  <c r="A32" i="17"/>
  <c r="A24" i="17"/>
  <c r="A31" i="17"/>
  <c r="A23" i="17"/>
  <c r="A26" i="17"/>
  <c r="A22" i="17"/>
  <c r="A35" i="17"/>
  <c r="A21" i="17"/>
  <c r="A195" i="17"/>
  <c r="A187" i="17"/>
  <c r="A180" i="17"/>
  <c r="A186" i="17"/>
  <c r="A194" i="17"/>
  <c r="A185" i="17"/>
  <c r="A193" i="17"/>
  <c r="A184" i="17"/>
  <c r="A183" i="17"/>
  <c r="A182" i="17"/>
  <c r="A181" i="17"/>
  <c r="A291" i="17"/>
  <c r="B320" i="17"/>
  <c r="B312" i="17"/>
  <c r="B304" i="17"/>
  <c r="B296" i="17"/>
  <c r="B319" i="17"/>
  <c r="B311" i="17"/>
  <c r="B303" i="17"/>
  <c r="B295" i="17"/>
  <c r="B318" i="17"/>
  <c r="B310" i="17"/>
  <c r="B302" i="17"/>
  <c r="B294" i="17"/>
  <c r="B315" i="17"/>
  <c r="B301" i="17"/>
  <c r="B314" i="17"/>
  <c r="B300" i="17"/>
  <c r="B313" i="17"/>
  <c r="B299" i="17"/>
  <c r="B323" i="17"/>
  <c r="B306" i="17"/>
  <c r="B322" i="17"/>
  <c r="B305" i="17"/>
  <c r="B321" i="17"/>
  <c r="B298" i="17"/>
  <c r="A381" i="17"/>
  <c r="B519" i="17"/>
  <c r="G20" i="6"/>
  <c r="K25" i="6"/>
  <c r="G26" i="6"/>
  <c r="B13" i="17"/>
  <c r="B30" i="17"/>
  <c r="A27" i="17"/>
  <c r="A188" i="17"/>
  <c r="B225" i="17"/>
  <c r="B217" i="17"/>
  <c r="B209" i="17"/>
  <c r="B201" i="17"/>
  <c r="B219" i="17"/>
  <c r="B210" i="17"/>
  <c r="B200" i="17"/>
  <c r="B227" i="17"/>
  <c r="B218" i="17"/>
  <c r="B208" i="17"/>
  <c r="B199" i="17"/>
  <c r="B226" i="17"/>
  <c r="B216" i="17"/>
  <c r="B207" i="17"/>
  <c r="B198" i="17"/>
  <c r="B221" i="17"/>
  <c r="B205" i="17"/>
  <c r="B220" i="17"/>
  <c r="B204" i="17"/>
  <c r="B215" i="17"/>
  <c r="B203" i="17"/>
  <c r="B222" i="17"/>
  <c r="B293" i="17"/>
  <c r="B536" i="17"/>
  <c r="D22" i="6"/>
  <c r="B14" i="17"/>
  <c r="A28" i="17"/>
  <c r="A189" i="17"/>
  <c r="A224" i="17"/>
  <c r="A216" i="17"/>
  <c r="A225" i="17"/>
  <c r="A215" i="17"/>
  <c r="A223" i="17"/>
  <c r="A214" i="17"/>
  <c r="A222" i="17"/>
  <c r="A213" i="17"/>
  <c r="A219" i="17"/>
  <c r="A218" i="17"/>
  <c r="A217" i="17"/>
  <c r="A253" i="17"/>
  <c r="A245" i="17"/>
  <c r="A252" i="17"/>
  <c r="A259" i="17"/>
  <c r="A251" i="17"/>
  <c r="A244" i="17"/>
  <c r="A249" i="17"/>
  <c r="A248" i="17"/>
  <c r="A258" i="17"/>
  <c r="A247" i="17"/>
  <c r="A255" i="17"/>
  <c r="A254" i="17"/>
  <c r="A250" i="17"/>
  <c r="B297" i="17"/>
  <c r="B538" i="17"/>
  <c r="C46" i="23"/>
  <c r="A19" i="17"/>
  <c r="A11" i="17"/>
  <c r="A4" i="17"/>
  <c r="A17" i="17"/>
  <c r="A9" i="17"/>
  <c r="A14" i="17"/>
  <c r="A99" i="17"/>
  <c r="A91" i="17"/>
  <c r="A84" i="17"/>
  <c r="A98" i="17"/>
  <c r="A90" i="17"/>
  <c r="A97" i="17"/>
  <c r="A89" i="17"/>
  <c r="A95" i="17"/>
  <c r="B109" i="17"/>
  <c r="B123" i="17"/>
  <c r="A144" i="17"/>
  <c r="A371" i="17"/>
  <c r="A363" i="17"/>
  <c r="A356" i="17"/>
  <c r="A370" i="17"/>
  <c r="A362" i="17"/>
  <c r="A369" i="17"/>
  <c r="A361" i="17"/>
  <c r="A360" i="17"/>
  <c r="A359" i="17"/>
  <c r="A358" i="17"/>
  <c r="B403" i="17"/>
  <c r="B467" i="17"/>
  <c r="A530" i="17"/>
  <c r="A522" i="17"/>
  <c r="A523" i="17"/>
  <c r="A529" i="17"/>
  <c r="A519" i="17"/>
  <c r="A528" i="17"/>
  <c r="A518" i="17"/>
  <c r="A527" i="17"/>
  <c r="A517" i="17"/>
  <c r="A526" i="17"/>
  <c r="A525" i="17"/>
  <c r="A524" i="17"/>
  <c r="A639" i="17"/>
  <c r="A631" i="17"/>
  <c r="A643" i="17"/>
  <c r="A634" i="17"/>
  <c r="A641" i="17"/>
  <c r="A632" i="17"/>
  <c r="A635" i="17"/>
  <c r="A633" i="17"/>
  <c r="A630" i="17"/>
  <c r="A638" i="17"/>
  <c r="A637" i="17"/>
  <c r="A636" i="17"/>
  <c r="A629" i="17"/>
  <c r="A5" i="17"/>
  <c r="A15" i="17"/>
  <c r="B63" i="17"/>
  <c r="B55" i="17"/>
  <c r="B47" i="17"/>
  <c r="B39" i="17"/>
  <c r="B62" i="17"/>
  <c r="B54" i="17"/>
  <c r="B46" i="17"/>
  <c r="B38" i="17"/>
  <c r="B61" i="17"/>
  <c r="B53" i="17"/>
  <c r="B45" i="17"/>
  <c r="B37" i="17"/>
  <c r="B50" i="17"/>
  <c r="B64" i="17"/>
  <c r="A85" i="17"/>
  <c r="A96" i="17"/>
  <c r="B100" i="17"/>
  <c r="B110" i="17"/>
  <c r="A132" i="17"/>
  <c r="A357" i="17"/>
  <c r="B388" i="17"/>
  <c r="B452" i="17"/>
  <c r="A520" i="17"/>
  <c r="A573" i="17"/>
  <c r="A565" i="17"/>
  <c r="A577" i="17"/>
  <c r="A568" i="17"/>
  <c r="A571" i="17"/>
  <c r="A570" i="17"/>
  <c r="A579" i="17"/>
  <c r="A569" i="17"/>
  <c r="A574" i="17"/>
  <c r="A572" i="17"/>
  <c r="A567" i="17"/>
  <c r="A566" i="17"/>
  <c r="A640" i="17"/>
  <c r="B129" i="17"/>
  <c r="B121" i="17"/>
  <c r="B113" i="17"/>
  <c r="B105" i="17"/>
  <c r="B128" i="17"/>
  <c r="B120" i="17"/>
  <c r="B112" i="17"/>
  <c r="B104" i="17"/>
  <c r="B127" i="17"/>
  <c r="B119" i="17"/>
  <c r="B111" i="17"/>
  <c r="B103" i="17"/>
  <c r="B114" i="17"/>
  <c r="B125" i="17"/>
  <c r="A143" i="17"/>
  <c r="A135" i="17"/>
  <c r="A142" i="17"/>
  <c r="A134" i="17"/>
  <c r="A141" i="17"/>
  <c r="A133" i="17"/>
  <c r="A146" i="17"/>
  <c r="B415" i="17"/>
  <c r="B407" i="17"/>
  <c r="B399" i="17"/>
  <c r="B391" i="17"/>
  <c r="B414" i="17"/>
  <c r="B406" i="17"/>
  <c r="B398" i="17"/>
  <c r="B390" i="17"/>
  <c r="B413" i="17"/>
  <c r="B405" i="17"/>
  <c r="B397" i="17"/>
  <c r="B389" i="17"/>
  <c r="B411" i="17"/>
  <c r="B400" i="17"/>
  <c r="B410" i="17"/>
  <c r="B396" i="17"/>
  <c r="B409" i="17"/>
  <c r="B395" i="17"/>
  <c r="B408" i="17"/>
  <c r="B481" i="17"/>
  <c r="B473" i="17"/>
  <c r="B465" i="17"/>
  <c r="B457" i="17"/>
  <c r="B480" i="17"/>
  <c r="B472" i="17"/>
  <c r="B464" i="17"/>
  <c r="B456" i="17"/>
  <c r="B479" i="17"/>
  <c r="B471" i="17"/>
  <c r="B463" i="17"/>
  <c r="B455" i="17"/>
  <c r="B474" i="17"/>
  <c r="B460" i="17"/>
  <c r="B470" i="17"/>
  <c r="B459" i="17"/>
  <c r="B483" i="17"/>
  <c r="B469" i="17"/>
  <c r="B458" i="17"/>
  <c r="B475" i="17"/>
  <c r="A521" i="17"/>
  <c r="A559" i="17"/>
  <c r="A551" i="17"/>
  <c r="A556" i="17"/>
  <c r="A548" i="17"/>
  <c r="A554" i="17"/>
  <c r="A563" i="17"/>
  <c r="A553" i="17"/>
  <c r="A562" i="17"/>
  <c r="A552" i="17"/>
  <c r="A561" i="17"/>
  <c r="A560" i="17"/>
  <c r="A558" i="17"/>
  <c r="A557" i="17"/>
  <c r="B611" i="17"/>
  <c r="B603" i="17"/>
  <c r="B595" i="17"/>
  <c r="B587" i="17"/>
  <c r="B580" i="17"/>
  <c r="B608" i="17"/>
  <c r="B599" i="17"/>
  <c r="B590" i="17"/>
  <c r="B581" i="17"/>
  <c r="B609" i="17"/>
  <c r="B598" i="17"/>
  <c r="B588" i="17"/>
  <c r="B607" i="17"/>
  <c r="B597" i="17"/>
  <c r="B586" i="17"/>
  <c r="B606" i="17"/>
  <c r="B596" i="17"/>
  <c r="B585" i="17"/>
  <c r="B604" i="17"/>
  <c r="B589" i="17"/>
  <c r="B602" i="17"/>
  <c r="B584" i="17"/>
  <c r="B601" i="17"/>
  <c r="B583" i="17"/>
  <c r="B600" i="17"/>
  <c r="B582" i="17"/>
  <c r="A642" i="17"/>
  <c r="A720" i="17"/>
  <c r="A712" i="17"/>
  <c r="A722" i="17"/>
  <c r="A713" i="17"/>
  <c r="A719" i="17"/>
  <c r="A710" i="17"/>
  <c r="A715" i="17"/>
  <c r="A714" i="17"/>
  <c r="A711" i="17"/>
  <c r="A723" i="17"/>
  <c r="A721" i="17"/>
  <c r="A718" i="17"/>
  <c r="A717" i="17"/>
  <c r="A749" i="17"/>
  <c r="A741" i="17"/>
  <c r="A755" i="17"/>
  <c r="A746" i="17"/>
  <c r="A753" i="17"/>
  <c r="A744" i="17"/>
  <c r="A751" i="17"/>
  <c r="A740" i="17"/>
  <c r="A750" i="17"/>
  <c r="A748" i="17"/>
  <c r="A771" i="17"/>
  <c r="A763" i="17"/>
  <c r="A756" i="17"/>
  <c r="A766" i="17"/>
  <c r="A757" i="17"/>
  <c r="A764" i="17"/>
  <c r="A760" i="17"/>
  <c r="A770" i="17"/>
  <c r="A759" i="17"/>
  <c r="A769" i="17"/>
  <c r="A758" i="17"/>
  <c r="B861" i="17"/>
  <c r="B866" i="17"/>
  <c r="B857" i="17"/>
  <c r="B849" i="17"/>
  <c r="B841" i="17"/>
  <c r="B858" i="17"/>
  <c r="B848" i="17"/>
  <c r="B839" i="17"/>
  <c r="B867" i="17"/>
  <c r="B856" i="17"/>
  <c r="B847" i="17"/>
  <c r="B838" i="17"/>
  <c r="B865" i="17"/>
  <c r="B855" i="17"/>
  <c r="B846" i="17"/>
  <c r="B837" i="17"/>
  <c r="B864" i="17"/>
  <c r="B851" i="17"/>
  <c r="B836" i="17"/>
  <c r="B863" i="17"/>
  <c r="B850" i="17"/>
  <c r="B862" i="17"/>
  <c r="B845" i="17"/>
  <c r="B859" i="17"/>
  <c r="A60" i="17"/>
  <c r="A68" i="17"/>
  <c r="A75" i="17"/>
  <c r="A83" i="17"/>
  <c r="B140" i="17"/>
  <c r="B148" i="17"/>
  <c r="B156" i="17"/>
  <c r="A148" i="17"/>
  <c r="A155" i="17"/>
  <c r="A163" i="17"/>
  <c r="B270" i="17"/>
  <c r="A292" i="17"/>
  <c r="A308" i="17"/>
  <c r="A742" i="17"/>
  <c r="A761" i="17"/>
  <c r="B840" i="17"/>
  <c r="B860" i="17"/>
  <c r="A76" i="17"/>
  <c r="A156" i="17"/>
  <c r="B291" i="17"/>
  <c r="B283" i="17"/>
  <c r="B275" i="17"/>
  <c r="B267" i="17"/>
  <c r="B260" i="17"/>
  <c r="B290" i="17"/>
  <c r="B282" i="17"/>
  <c r="B274" i="17"/>
  <c r="B266" i="17"/>
  <c r="B289" i="17"/>
  <c r="B281" i="17"/>
  <c r="B273" i="17"/>
  <c r="B265" i="17"/>
  <c r="B271" i="17"/>
  <c r="B285" i="17"/>
  <c r="A305" i="17"/>
  <c r="A297" i="17"/>
  <c r="A304" i="17"/>
  <c r="A296" i="17"/>
  <c r="A303" i="17"/>
  <c r="A295" i="17"/>
  <c r="A306" i="17"/>
  <c r="A319" i="17"/>
  <c r="A311" i="17"/>
  <c r="A318" i="17"/>
  <c r="A310" i="17"/>
  <c r="A317" i="17"/>
  <c r="A309" i="17"/>
  <c r="A322" i="17"/>
  <c r="B386" i="17"/>
  <c r="B378" i="17"/>
  <c r="B370" i="17"/>
  <c r="B362" i="17"/>
  <c r="B385" i="17"/>
  <c r="B377" i="17"/>
  <c r="B369" i="17"/>
  <c r="B361" i="17"/>
  <c r="B384" i="17"/>
  <c r="B376" i="17"/>
  <c r="B368" i="17"/>
  <c r="B360" i="17"/>
  <c r="B367" i="17"/>
  <c r="B381" i="17"/>
  <c r="A400" i="17"/>
  <c r="A392" i="17"/>
  <c r="A399" i="17"/>
  <c r="A391" i="17"/>
  <c r="A398" i="17"/>
  <c r="A390" i="17"/>
  <c r="A402" i="17"/>
  <c r="A452" i="17"/>
  <c r="A743" i="17"/>
  <c r="A762" i="17"/>
  <c r="B803" i="17"/>
  <c r="B795" i="17"/>
  <c r="B787" i="17"/>
  <c r="B779" i="17"/>
  <c r="B772" i="17"/>
  <c r="B796" i="17"/>
  <c r="B786" i="17"/>
  <c r="B777" i="17"/>
  <c r="B794" i="17"/>
  <c r="B785" i="17"/>
  <c r="B776" i="17"/>
  <c r="B802" i="17"/>
  <c r="B793" i="17"/>
  <c r="B784" i="17"/>
  <c r="B775" i="17"/>
  <c r="B792" i="17"/>
  <c r="B780" i="17"/>
  <c r="B791" i="17"/>
  <c r="B778" i="17"/>
  <c r="B790" i="17"/>
  <c r="B774" i="17"/>
  <c r="B798" i="17"/>
  <c r="B842" i="17"/>
  <c r="B1566" i="17"/>
  <c r="B1558" i="17"/>
  <c r="B1550" i="17"/>
  <c r="B1542" i="17"/>
  <c r="B1565" i="17"/>
  <c r="B1557" i="17"/>
  <c r="B1549" i="17"/>
  <c r="B1541" i="17"/>
  <c r="B1568" i="17"/>
  <c r="B1556" i="17"/>
  <c r="B1546" i="17"/>
  <c r="B1563" i="17"/>
  <c r="B1552" i="17"/>
  <c r="B1540" i="17"/>
  <c r="B1562" i="17"/>
  <c r="B1551" i="17"/>
  <c r="B1569" i="17"/>
  <c r="B1553" i="17"/>
  <c r="B1567" i="17"/>
  <c r="B1548" i="17"/>
  <c r="B1564" i="17"/>
  <c r="B1547" i="17"/>
  <c r="B1555" i="17"/>
  <c r="B1554" i="17"/>
  <c r="B1545" i="17"/>
  <c r="A54" i="17"/>
  <c r="A69" i="17"/>
  <c r="B76" i="17"/>
  <c r="B84" i="17"/>
  <c r="B134" i="17"/>
  <c r="B142" i="17"/>
  <c r="B150" i="17"/>
  <c r="A149" i="17"/>
  <c r="B261" i="17"/>
  <c r="B272" i="17"/>
  <c r="B286" i="17"/>
  <c r="A293" i="17"/>
  <c r="A307" i="17"/>
  <c r="A312" i="17"/>
  <c r="A323" i="17"/>
  <c r="B357" i="17"/>
  <c r="B371" i="17"/>
  <c r="B382" i="17"/>
  <c r="A389" i="17"/>
  <c r="A403" i="17"/>
  <c r="A466" i="17"/>
  <c r="A458" i="17"/>
  <c r="A465" i="17"/>
  <c r="A457" i="17"/>
  <c r="A464" i="17"/>
  <c r="A456" i="17"/>
  <c r="A463" i="17"/>
  <c r="A480" i="17"/>
  <c r="A472" i="17"/>
  <c r="A479" i="17"/>
  <c r="A471" i="17"/>
  <c r="A478" i="17"/>
  <c r="A470" i="17"/>
  <c r="A482" i="17"/>
  <c r="B669" i="17"/>
  <c r="B661" i="17"/>
  <c r="B653" i="17"/>
  <c r="B645" i="17"/>
  <c r="B675" i="17"/>
  <c r="B666" i="17"/>
  <c r="B657" i="17"/>
  <c r="B648" i="17"/>
  <c r="B673" i="17"/>
  <c r="B664" i="17"/>
  <c r="B655" i="17"/>
  <c r="B646" i="17"/>
  <c r="B674" i="17"/>
  <c r="B662" i="17"/>
  <c r="B650" i="17"/>
  <c r="B672" i="17"/>
  <c r="B660" i="17"/>
  <c r="B649" i="17"/>
  <c r="B671" i="17"/>
  <c r="B659" i="17"/>
  <c r="B647" i="17"/>
  <c r="B667" i="17"/>
  <c r="A745" i="17"/>
  <c r="A765" i="17"/>
  <c r="B773" i="17"/>
  <c r="B799" i="17"/>
  <c r="B843" i="17"/>
  <c r="B1535" i="17"/>
  <c r="B1527" i="17"/>
  <c r="B1519" i="17"/>
  <c r="B1511" i="17"/>
  <c r="B1534" i="17"/>
  <c r="B1526" i="17"/>
  <c r="B1518" i="17"/>
  <c r="B1510" i="17"/>
  <c r="B1537" i="17"/>
  <c r="B1525" i="17"/>
  <c r="B1515" i="17"/>
  <c r="B1529" i="17"/>
  <c r="B1516" i="17"/>
  <c r="B1539" i="17"/>
  <c r="B1528" i="17"/>
  <c r="B1514" i="17"/>
  <c r="B1536" i="17"/>
  <c r="B1521" i="17"/>
  <c r="B1533" i="17"/>
  <c r="B1520" i="17"/>
  <c r="B1532" i="17"/>
  <c r="B1517" i="17"/>
  <c r="B1530" i="17"/>
  <c r="B1508" i="17"/>
  <c r="B1524" i="17"/>
  <c r="B1523" i="17"/>
  <c r="B1543" i="17"/>
  <c r="B236" i="17"/>
  <c r="B244" i="17"/>
  <c r="B252" i="17"/>
  <c r="A332" i="17"/>
  <c r="B324" i="17"/>
  <c r="B331" i="17"/>
  <c r="B339" i="17"/>
  <c r="B347" i="17"/>
  <c r="B355" i="17"/>
  <c r="A412" i="17"/>
  <c r="A420" i="17"/>
  <c r="A427" i="17"/>
  <c r="A435" i="17"/>
  <c r="B492" i="17"/>
  <c r="B500" i="17"/>
  <c r="B508" i="17"/>
  <c r="A515" i="17"/>
  <c r="A507" i="17"/>
  <c r="A510" i="17"/>
  <c r="A501" i="17"/>
  <c r="A511" i="17"/>
  <c r="A544" i="17"/>
  <c r="A536" i="17"/>
  <c r="A539" i="17"/>
  <c r="A542" i="17"/>
  <c r="B708" i="17"/>
  <c r="B718" i="17"/>
  <c r="A734" i="17"/>
  <c r="A726" i="17"/>
  <c r="A738" i="17"/>
  <c r="A729" i="17"/>
  <c r="A736" i="17"/>
  <c r="A727" i="17"/>
  <c r="A737" i="17"/>
  <c r="B976" i="17"/>
  <c r="B1252" i="17"/>
  <c r="B1310" i="17"/>
  <c r="B1302" i="17"/>
  <c r="B1294" i="17"/>
  <c r="B1286" i="17"/>
  <c r="B1307" i="17"/>
  <c r="B1298" i="17"/>
  <c r="B1289" i="17"/>
  <c r="B1312" i="17"/>
  <c r="B1301" i="17"/>
  <c r="B1291" i="17"/>
  <c r="B1305" i="17"/>
  <c r="B1293" i="17"/>
  <c r="B1315" i="17"/>
  <c r="B1304" i="17"/>
  <c r="B1292" i="17"/>
  <c r="B1314" i="17"/>
  <c r="B1303" i="17"/>
  <c r="B1290" i="17"/>
  <c r="B1300" i="17"/>
  <c r="B1476" i="17"/>
  <c r="B332" i="17"/>
  <c r="B340" i="17"/>
  <c r="B348" i="17"/>
  <c r="A428" i="17"/>
  <c r="A691" i="17"/>
  <c r="A683" i="17"/>
  <c r="A676" i="17"/>
  <c r="A688" i="17"/>
  <c r="A679" i="17"/>
  <c r="A686" i="17"/>
  <c r="A677" i="17"/>
  <c r="A689" i="17"/>
  <c r="A705" i="17"/>
  <c r="A697" i="17"/>
  <c r="A700" i="17"/>
  <c r="A692" i="17"/>
  <c r="A707" i="17"/>
  <c r="A698" i="17"/>
  <c r="A703" i="17"/>
  <c r="B735" i="17"/>
  <c r="B727" i="17"/>
  <c r="B719" i="17"/>
  <c r="B711" i="17"/>
  <c r="B732" i="17"/>
  <c r="B723" i="17"/>
  <c r="B714" i="17"/>
  <c r="B739" i="17"/>
  <c r="B730" i="17"/>
  <c r="B721" i="17"/>
  <c r="B712" i="17"/>
  <c r="B720" i="17"/>
  <c r="B733" i="17"/>
  <c r="B993" i="17"/>
  <c r="B985" i="17"/>
  <c r="B977" i="17"/>
  <c r="B969" i="17"/>
  <c r="B989" i="17"/>
  <c r="B980" i="17"/>
  <c r="B971" i="17"/>
  <c r="B994" i="17"/>
  <c r="B983" i="17"/>
  <c r="B973" i="17"/>
  <c r="B964" i="17"/>
  <c r="B992" i="17"/>
  <c r="B982" i="17"/>
  <c r="B972" i="17"/>
  <c r="B991" i="17"/>
  <c r="B981" i="17"/>
  <c r="B970" i="17"/>
  <c r="B978" i="17"/>
  <c r="B1279" i="17"/>
  <c r="B1281" i="17"/>
  <c r="B1272" i="17"/>
  <c r="B1264" i="17"/>
  <c r="B1256" i="17"/>
  <c r="B1282" i="17"/>
  <c r="B1271" i="17"/>
  <c r="B1262" i="17"/>
  <c r="B1253" i="17"/>
  <c r="B1283" i="17"/>
  <c r="B1270" i="17"/>
  <c r="B1260" i="17"/>
  <c r="B1280" i="17"/>
  <c r="B1269" i="17"/>
  <c r="B1259" i="17"/>
  <c r="B1278" i="17"/>
  <c r="B1268" i="17"/>
  <c r="B1258" i="17"/>
  <c r="B1267" i="17"/>
  <c r="B1285" i="17"/>
  <c r="B1306" i="17"/>
  <c r="B1504" i="17"/>
  <c r="B1496" i="17"/>
  <c r="B1488" i="17"/>
  <c r="B1480" i="17"/>
  <c r="B1503" i="17"/>
  <c r="B1495" i="17"/>
  <c r="B1487" i="17"/>
  <c r="B1479" i="17"/>
  <c r="B1506" i="17"/>
  <c r="B1494" i="17"/>
  <c r="B1484" i="17"/>
  <c r="B1505" i="17"/>
  <c r="B1492" i="17"/>
  <c r="B1481" i="17"/>
  <c r="B1502" i="17"/>
  <c r="B1491" i="17"/>
  <c r="B1478" i="17"/>
  <c r="B1507" i="17"/>
  <c r="B1489" i="17"/>
  <c r="B1501" i="17"/>
  <c r="B1486" i="17"/>
  <c r="B1500" i="17"/>
  <c r="B1485" i="17"/>
  <c r="B1499" i="17"/>
  <c r="B172" i="17"/>
  <c r="B180" i="17"/>
  <c r="B230" i="17"/>
  <c r="B238" i="17"/>
  <c r="B246" i="17"/>
  <c r="A326" i="17"/>
  <c r="B325" i="17"/>
  <c r="B333" i="17"/>
  <c r="B341" i="17"/>
  <c r="A406" i="17"/>
  <c r="A421" i="17"/>
  <c r="B428" i="17"/>
  <c r="B436" i="17"/>
  <c r="B486" i="17"/>
  <c r="B494" i="17"/>
  <c r="B502" i="17"/>
  <c r="B511" i="17"/>
  <c r="A503" i="17"/>
  <c r="A513" i="17"/>
  <c r="A534" i="17"/>
  <c r="A545" i="17"/>
  <c r="A678" i="17"/>
  <c r="A690" i="17"/>
  <c r="A693" i="17"/>
  <c r="A704" i="17"/>
  <c r="B709" i="17"/>
  <c r="B722" i="17"/>
  <c r="B734" i="17"/>
  <c r="A728" i="17"/>
  <c r="B965" i="17"/>
  <c r="B979" i="17"/>
  <c r="B1024" i="17"/>
  <c r="B1016" i="17"/>
  <c r="B1008" i="17"/>
  <c r="B1000" i="17"/>
  <c r="B1025" i="17"/>
  <c r="B1015" i="17"/>
  <c r="B1006" i="17"/>
  <c r="B997" i="17"/>
  <c r="B1023" i="17"/>
  <c r="B1013" i="17"/>
  <c r="B1003" i="17"/>
  <c r="B1022" i="17"/>
  <c r="B1012" i="17"/>
  <c r="B1002" i="17"/>
  <c r="B1021" i="17"/>
  <c r="B1011" i="17"/>
  <c r="B1001" i="17"/>
  <c r="B1014" i="17"/>
  <c r="B1055" i="17"/>
  <c r="B1047" i="17"/>
  <c r="B1039" i="17"/>
  <c r="B1031" i="17"/>
  <c r="B1051" i="17"/>
  <c r="B1042" i="17"/>
  <c r="B1033" i="17"/>
  <c r="B1054" i="17"/>
  <c r="B1044" i="17"/>
  <c r="B1034" i="17"/>
  <c r="B1053" i="17"/>
  <c r="B1043" i="17"/>
  <c r="B1032" i="17"/>
  <c r="B1052" i="17"/>
  <c r="B1041" i="17"/>
  <c r="B1030" i="17"/>
  <c r="B1046" i="17"/>
  <c r="B1086" i="17"/>
  <c r="B1078" i="17"/>
  <c r="B1070" i="17"/>
  <c r="B1062" i="17"/>
  <c r="B1087" i="17"/>
  <c r="B1077" i="17"/>
  <c r="B1068" i="17"/>
  <c r="B1060" i="17"/>
  <c r="B1084" i="17"/>
  <c r="B1074" i="17"/>
  <c r="B1064" i="17"/>
  <c r="B1083" i="17"/>
  <c r="B1073" i="17"/>
  <c r="B1063" i="17"/>
  <c r="B1082" i="17"/>
  <c r="B1072" i="17"/>
  <c r="B1061" i="17"/>
  <c r="B1079" i="17"/>
  <c r="B1254" i="17"/>
  <c r="B1273" i="17"/>
  <c r="B1287" i="17"/>
  <c r="B1308" i="17"/>
  <c r="B1477" i="17"/>
  <c r="B640" i="17"/>
  <c r="B632" i="17"/>
  <c r="B624" i="17"/>
  <c r="B616" i="17"/>
  <c r="B621" i="17"/>
  <c r="B630" i="17"/>
  <c r="B639" i="17"/>
  <c r="A654" i="17"/>
  <c r="A646" i="17"/>
  <c r="A653" i="17"/>
  <c r="B1092" i="17"/>
  <c r="B1102" i="17"/>
  <c r="B1112" i="17"/>
  <c r="B1188" i="17"/>
  <c r="B1197" i="17"/>
  <c r="B1207" i="17"/>
  <c r="B1392" i="17"/>
  <c r="B1117" i="17"/>
  <c r="B1109" i="17"/>
  <c r="B1101" i="17"/>
  <c r="B1093" i="17"/>
  <c r="B1122" i="17"/>
  <c r="B1113" i="17"/>
  <c r="B1104" i="17"/>
  <c r="B1095" i="17"/>
  <c r="B1103" i="17"/>
  <c r="B1114" i="17"/>
  <c r="B1218" i="17"/>
  <c r="B1210" i="17"/>
  <c r="B1202" i="17"/>
  <c r="B1194" i="17"/>
  <c r="B1219" i="17"/>
  <c r="B1209" i="17"/>
  <c r="B1200" i="17"/>
  <c r="B1191" i="17"/>
  <c r="B1198" i="17"/>
  <c r="B1208" i="17"/>
  <c r="B1411" i="17"/>
  <c r="B1403" i="17"/>
  <c r="B1395" i="17"/>
  <c r="B1387" i="17"/>
  <c r="B1380" i="17"/>
  <c r="B1410" i="17"/>
  <c r="B1402" i="17"/>
  <c r="B1394" i="17"/>
  <c r="B1386" i="17"/>
  <c r="B1401" i="17"/>
  <c r="B1391" i="17"/>
  <c r="B1381" i="17"/>
  <c r="B1399" i="17"/>
  <c r="B1388" i="17"/>
  <c r="B1393" i="17"/>
  <c r="B1407" i="17"/>
  <c r="B574" i="17"/>
  <c r="B566" i="17"/>
  <c r="B558" i="17"/>
  <c r="B550" i="17"/>
  <c r="B557" i="17"/>
  <c r="B567" i="17"/>
  <c r="B576" i="17"/>
  <c r="A610" i="17"/>
  <c r="A602" i="17"/>
  <c r="A605" i="17"/>
  <c r="B614" i="17"/>
  <c r="B623" i="17"/>
  <c r="B633" i="17"/>
  <c r="B642" i="17"/>
  <c r="A647" i="17"/>
  <c r="A656" i="17"/>
  <c r="B834" i="17"/>
  <c r="B826" i="17"/>
  <c r="B818" i="17"/>
  <c r="B810" i="17"/>
  <c r="B813" i="17"/>
  <c r="B822" i="17"/>
  <c r="B831" i="17"/>
  <c r="B962" i="17"/>
  <c r="B954" i="17"/>
  <c r="B946" i="17"/>
  <c r="B938" i="17"/>
  <c r="B963" i="17"/>
  <c r="B953" i="17"/>
  <c r="B944" i="17"/>
  <c r="B935" i="17"/>
  <c r="B942" i="17"/>
  <c r="B952" i="17"/>
  <c r="B1094" i="17"/>
  <c r="B1105" i="17"/>
  <c r="B1115" i="17"/>
  <c r="B1189" i="17"/>
  <c r="B1199" i="17"/>
  <c r="B1211" i="17"/>
  <c r="B1249" i="17"/>
  <c r="B1241" i="17"/>
  <c r="B1233" i="17"/>
  <c r="B1225" i="17"/>
  <c r="B1245" i="17"/>
  <c r="B1236" i="17"/>
  <c r="B1227" i="17"/>
  <c r="B1230" i="17"/>
  <c r="B1240" i="17"/>
  <c r="B1251" i="17"/>
  <c r="B1382" i="17"/>
  <c r="B1396" i="17"/>
  <c r="B1408" i="17"/>
  <c r="B1473" i="17"/>
  <c r="B1465" i="17"/>
  <c r="B1457" i="17"/>
  <c r="B1449" i="17"/>
  <c r="B1472" i="17"/>
  <c r="B1464" i="17"/>
  <c r="B1456" i="17"/>
  <c r="B1448" i="17"/>
  <c r="B1475" i="17"/>
  <c r="B1463" i="17"/>
  <c r="B1453" i="17"/>
  <c r="B1444" i="17"/>
  <c r="B1455" i="17"/>
  <c r="B1468" i="17"/>
  <c r="B748" i="17"/>
  <c r="B756" i="17"/>
  <c r="B931" i="17"/>
  <c r="B923" i="17"/>
  <c r="B915" i="17"/>
  <c r="B907" i="17"/>
  <c r="B900" i="17"/>
  <c r="B909" i="17"/>
  <c r="B918" i="17"/>
  <c r="B927" i="17"/>
  <c r="B1187" i="17"/>
  <c r="B1179" i="17"/>
  <c r="B1171" i="17"/>
  <c r="B1163" i="17"/>
  <c r="B1156" i="17"/>
  <c r="B1165" i="17"/>
  <c r="B1174" i="17"/>
  <c r="B1183" i="17"/>
  <c r="B1445" i="17"/>
  <c r="B1458" i="17"/>
  <c r="B1469" i="17"/>
  <c r="B876" i="17"/>
  <c r="B884" i="17"/>
  <c r="B1132" i="17"/>
  <c r="B1140" i="17"/>
  <c r="B1442" i="17"/>
  <c r="B1434" i="17"/>
  <c r="B1426" i="17"/>
  <c r="B1418" i="17"/>
  <c r="B1441" i="17"/>
  <c r="B1433" i="17"/>
  <c r="B1425" i="17"/>
  <c r="B1417" i="17"/>
  <c r="B1422" i="17"/>
  <c r="B1432" i="17"/>
  <c r="C19" i="24"/>
  <c r="B1324" i="17"/>
  <c r="B1332" i="17"/>
  <c r="B1340" i="17"/>
  <c r="B1379" i="17"/>
  <c r="B1317" i="17"/>
  <c r="B1325" i="17"/>
  <c r="B1333" i="17"/>
  <c r="B1356" i="17"/>
  <c r="B1364" i="17"/>
  <c r="T131" i="1" l="1"/>
  <c r="D131" i="25" s="1"/>
  <c r="T126" i="1"/>
  <c r="D126" i="25" s="1"/>
  <c r="T156" i="1"/>
  <c r="D156" i="25" s="1"/>
  <c r="T139" i="1"/>
  <c r="D139" i="25" s="1"/>
  <c r="T287" i="1"/>
  <c r="D287" i="25" s="1"/>
  <c r="T159" i="1"/>
  <c r="D159" i="25" s="1"/>
  <c r="T280" i="1"/>
  <c r="D280" i="25" s="1"/>
  <c r="T337" i="1"/>
  <c r="D337" i="25" s="1"/>
  <c r="G6" i="12"/>
  <c r="N36" i="1"/>
  <c r="R36" i="1" s="1"/>
  <c r="T36" i="1" s="1"/>
  <c r="D36" i="25" s="1"/>
  <c r="T288" i="1"/>
  <c r="D288" i="25" s="1"/>
  <c r="T119" i="1"/>
  <c r="D119" i="25" s="1"/>
  <c r="K23" i="4"/>
  <c r="K27" i="4"/>
  <c r="K19" i="6"/>
  <c r="T162" i="1"/>
  <c r="D162" i="25" s="1"/>
  <c r="T167" i="1"/>
  <c r="D167" i="25" s="1"/>
  <c r="T53" i="1"/>
  <c r="D53" i="25" s="1"/>
  <c r="T63" i="1"/>
  <c r="D63" i="25" s="1"/>
  <c r="T154" i="1"/>
  <c r="D154" i="25" s="1"/>
  <c r="T132" i="1"/>
  <c r="D132" i="25" s="1"/>
  <c r="T108" i="1"/>
  <c r="D108" i="25" s="1"/>
  <c r="T111" i="1"/>
  <c r="D111" i="25" s="1"/>
  <c r="T160" i="1"/>
  <c r="D160" i="25" s="1"/>
  <c r="T62" i="1"/>
  <c r="D62" i="25" s="1"/>
  <c r="T130" i="1"/>
  <c r="D130" i="25" s="1"/>
  <c r="J21" i="5"/>
  <c r="K21" i="5" s="1"/>
  <c r="T75" i="1"/>
  <c r="D75" i="25" s="1"/>
  <c r="T97" i="1"/>
  <c r="D97" i="25" s="1"/>
  <c r="T165" i="1"/>
  <c r="D165" i="25" s="1"/>
  <c r="T115" i="1"/>
  <c r="D115" i="25" s="1"/>
  <c r="T127" i="1"/>
  <c r="D127" i="25" s="1"/>
  <c r="T109" i="1"/>
  <c r="D109" i="25" s="1"/>
  <c r="T145" i="1"/>
  <c r="D145" i="25" s="1"/>
  <c r="T123" i="1"/>
  <c r="D123" i="25" s="1"/>
  <c r="T170" i="1"/>
  <c r="D170" i="25" s="1"/>
  <c r="T142" i="1"/>
  <c r="D142" i="25" s="1"/>
  <c r="T114" i="1"/>
  <c r="D114" i="25" s="1"/>
  <c r="T158" i="1"/>
  <c r="D158" i="25" s="1"/>
  <c r="T42" i="1"/>
  <c r="D42" i="25" s="1"/>
  <c r="T117" i="1"/>
  <c r="D117" i="25" s="1"/>
  <c r="T164" i="1"/>
  <c r="D164" i="25" s="1"/>
  <c r="T92" i="1"/>
  <c r="D92" i="25" s="1"/>
  <c r="T157" i="1"/>
  <c r="D157" i="25" s="1"/>
  <c r="T122" i="1"/>
  <c r="D122" i="25" s="1"/>
  <c r="T45" i="1"/>
  <c r="D45" i="25" s="1"/>
  <c r="T296" i="1"/>
  <c r="D296" i="25" s="1"/>
  <c r="T168" i="1"/>
  <c r="D168" i="25" s="1"/>
  <c r="T89" i="1"/>
  <c r="D89" i="25" s="1"/>
  <c r="T48" i="1"/>
  <c r="D48" i="25" s="1"/>
  <c r="T155" i="1"/>
  <c r="D155" i="25" s="1"/>
  <c r="T105" i="1"/>
  <c r="D105" i="25" s="1"/>
  <c r="T289" i="1"/>
  <c r="D289" i="25" s="1"/>
  <c r="T196" i="1"/>
  <c r="D196" i="25" s="1"/>
  <c r="T174" i="1"/>
  <c r="D174" i="25" s="1"/>
  <c r="T135" i="1"/>
  <c r="D135" i="25" s="1"/>
  <c r="T90" i="1"/>
  <c r="D90" i="25" s="1"/>
  <c r="T83" i="1"/>
  <c r="D83" i="25" s="1"/>
  <c r="T39" i="1"/>
  <c r="D39" i="25" s="1"/>
  <c r="T299" i="1"/>
  <c r="D299" i="25" s="1"/>
  <c r="T144" i="1"/>
  <c r="D144" i="25" s="1"/>
  <c r="T141" i="1"/>
  <c r="D141" i="25" s="1"/>
  <c r="C31" i="5"/>
  <c r="T133" i="1"/>
  <c r="D133" i="25" s="1"/>
  <c r="T166" i="1"/>
  <c r="D166" i="25" s="1"/>
  <c r="T146" i="1"/>
  <c r="D146" i="25" s="1"/>
  <c r="T77" i="1"/>
  <c r="D77" i="25" s="1"/>
  <c r="T65" i="1"/>
  <c r="D65" i="25" s="1"/>
  <c r="T95" i="1"/>
  <c r="D95" i="25" s="1"/>
  <c r="T67" i="1"/>
  <c r="D67" i="25" s="1"/>
  <c r="T96" i="1"/>
  <c r="D96" i="25" s="1"/>
  <c r="T153" i="1"/>
  <c r="D153" i="25" s="1"/>
  <c r="T161" i="1"/>
  <c r="D161" i="25" s="1"/>
  <c r="T172" i="1"/>
  <c r="D172" i="25" s="1"/>
  <c r="T87" i="1"/>
  <c r="D87" i="25" s="1"/>
  <c r="T78" i="1"/>
  <c r="D78" i="25" s="1"/>
  <c r="T79" i="1"/>
  <c r="D79" i="25" s="1"/>
  <c r="T173" i="1"/>
  <c r="D173" i="25" s="1"/>
  <c r="C33" i="6"/>
  <c r="T84" i="1"/>
  <c r="D84" i="25" s="1"/>
  <c r="T72" i="1"/>
  <c r="D72" i="25" s="1"/>
  <c r="T71" i="1"/>
  <c r="D71" i="25" s="1"/>
  <c r="C4" i="17" a="1"/>
  <c r="T91" i="1"/>
  <c r="D91" i="25" s="1"/>
  <c r="T262" i="1"/>
  <c r="D262" i="25" s="1"/>
  <c r="T292" i="1"/>
  <c r="D292" i="25" s="1"/>
  <c r="T308" i="1"/>
  <c r="D308" i="25" s="1"/>
  <c r="T279" i="1"/>
  <c r="D279" i="25" s="1"/>
  <c r="T58" i="1"/>
  <c r="D58" i="25" s="1"/>
  <c r="T277" i="1"/>
  <c r="D277" i="25" s="1"/>
  <c r="O15" i="1"/>
  <c r="S15" i="1" s="1"/>
  <c r="W7" i="13"/>
  <c r="T319" i="1"/>
  <c r="D319" i="25" s="1"/>
  <c r="T283" i="1"/>
  <c r="D283" i="25" s="1"/>
  <c r="T300" i="1"/>
  <c r="D300" i="25" s="1"/>
  <c r="T290" i="1"/>
  <c r="D290" i="25" s="1"/>
  <c r="T295" i="1"/>
  <c r="D295" i="25" s="1"/>
  <c r="T121" i="1"/>
  <c r="D121" i="25" s="1"/>
  <c r="T148" i="1"/>
  <c r="D148" i="25" s="1"/>
  <c r="T323" i="1"/>
  <c r="D323" i="25" s="1"/>
  <c r="T55" i="1"/>
  <c r="D55" i="25" s="1"/>
  <c r="T59" i="1"/>
  <c r="D59" i="25" s="1"/>
  <c r="T140" i="1"/>
  <c r="D140" i="25" s="1"/>
  <c r="T240" i="1"/>
  <c r="D240" i="25" s="1"/>
  <c r="T19" i="1"/>
  <c r="D19" i="25" s="1"/>
  <c r="T69" i="1"/>
  <c r="D69" i="25" s="1"/>
  <c r="T335" i="1"/>
  <c r="D335" i="25" s="1"/>
  <c r="T274" i="1"/>
  <c r="D274" i="25" s="1"/>
  <c r="T325" i="1"/>
  <c r="D325" i="25" s="1"/>
  <c r="T305" i="1"/>
  <c r="D305" i="25" s="1"/>
  <c r="T313" i="1"/>
  <c r="D313" i="25" s="1"/>
  <c r="T102" i="1"/>
  <c r="D102" i="25" s="1"/>
  <c r="T309" i="1"/>
  <c r="D309" i="25" s="1"/>
  <c r="T273" i="1"/>
  <c r="D273" i="25" s="1"/>
  <c r="T298" i="1"/>
  <c r="D298" i="25" s="1"/>
  <c r="T197" i="1"/>
  <c r="D197" i="25" s="1"/>
  <c r="T301" i="1"/>
  <c r="D301" i="25" s="1"/>
  <c r="T316" i="1"/>
  <c r="D316" i="25" s="1"/>
  <c r="T235" i="1"/>
  <c r="D235" i="25" s="1"/>
  <c r="T275" i="1"/>
  <c r="D275" i="25" s="1"/>
  <c r="T251" i="1"/>
  <c r="D251" i="25" s="1"/>
  <c r="T297" i="1"/>
  <c r="D297" i="25" s="1"/>
  <c r="T125" i="1"/>
  <c r="D125" i="25" s="1"/>
  <c r="T324" i="1"/>
  <c r="D324" i="25" s="1"/>
  <c r="T310" i="1"/>
  <c r="D310" i="25" s="1"/>
  <c r="T303" i="1"/>
  <c r="D303" i="25" s="1"/>
  <c r="T291" i="1"/>
  <c r="D291" i="25" s="1"/>
  <c r="T286" i="1"/>
  <c r="D286" i="25" s="1"/>
  <c r="T259" i="1"/>
  <c r="D259" i="25" s="1"/>
  <c r="T302" i="1"/>
  <c r="D302" i="25" s="1"/>
  <c r="T285" i="1"/>
  <c r="D285" i="25" s="1"/>
  <c r="T263" i="1"/>
  <c r="D263" i="25" s="1"/>
  <c r="T322" i="1"/>
  <c r="D322" i="25" s="1"/>
  <c r="T281" i="1"/>
  <c r="D281" i="25" s="1"/>
  <c r="T330" i="1"/>
  <c r="D330" i="25" s="1"/>
  <c r="T265" i="1"/>
  <c r="D265" i="25" s="1"/>
  <c r="T276" i="1"/>
  <c r="D276" i="25" s="1"/>
  <c r="T242" i="1"/>
  <c r="D242" i="25" s="1"/>
  <c r="T199" i="1"/>
  <c r="D199" i="25" s="1"/>
  <c r="T327" i="1"/>
  <c r="D327" i="25" s="1"/>
  <c r="T307" i="1"/>
  <c r="D307" i="25" s="1"/>
  <c r="T331" i="1"/>
  <c r="D331" i="25" s="1"/>
  <c r="T336" i="1"/>
  <c r="D336" i="25" s="1"/>
  <c r="T284" i="1"/>
  <c r="D284" i="25" s="1"/>
  <c r="T293" i="1"/>
  <c r="D293" i="25" s="1"/>
  <c r="T328" i="1"/>
  <c r="D328" i="25" s="1"/>
  <c r="T314" i="1"/>
  <c r="D314" i="25" s="1"/>
  <c r="T311" i="1"/>
  <c r="D311" i="25" s="1"/>
  <c r="T294" i="1"/>
  <c r="D294" i="25" s="1"/>
  <c r="T278" i="1"/>
  <c r="D278" i="25" s="1"/>
  <c r="T252" i="1"/>
  <c r="D252" i="25" s="1"/>
  <c r="T306" i="1"/>
  <c r="D306" i="25" s="1"/>
  <c r="T317" i="1"/>
  <c r="D317" i="25" s="1"/>
  <c r="T234" i="1"/>
  <c r="D234" i="25" s="1"/>
  <c r="T318" i="1"/>
  <c r="D318" i="25" s="1"/>
  <c r="T304" i="1"/>
  <c r="D304" i="25" s="1"/>
  <c r="T333" i="1"/>
  <c r="D333" i="25" s="1"/>
  <c r="T150" i="1"/>
  <c r="D150" i="25" s="1"/>
  <c r="T112" i="1"/>
  <c r="D112" i="25" s="1"/>
  <c r="T320" i="1"/>
  <c r="D320" i="25" s="1"/>
  <c r="T258" i="1"/>
  <c r="D258" i="25" s="1"/>
  <c r="T332" i="1"/>
  <c r="D332" i="25" s="1"/>
  <c r="T264" i="1"/>
  <c r="D264" i="25" s="1"/>
  <c r="T43" i="1"/>
  <c r="D43" i="25" s="1"/>
  <c r="T326" i="1"/>
  <c r="D326" i="25" s="1"/>
  <c r="T282" i="1"/>
  <c r="D282" i="25" s="1"/>
  <c r="T338" i="1"/>
  <c r="D338" i="25" s="1"/>
  <c r="T247" i="1"/>
  <c r="D247" i="25" s="1"/>
  <c r="T236" i="1"/>
  <c r="D236" i="25" s="1"/>
  <c r="T94" i="1"/>
  <c r="D94" i="25" s="1"/>
  <c r="T315" i="1"/>
  <c r="D315" i="25" s="1"/>
  <c r="T266" i="1"/>
  <c r="D266" i="25" s="1"/>
  <c r="T312" i="1"/>
  <c r="D312" i="25" s="1"/>
  <c r="T329" i="1"/>
  <c r="D329" i="25" s="1"/>
  <c r="T233" i="1"/>
  <c r="D233" i="25" s="1"/>
  <c r="T321" i="1"/>
  <c r="D321" i="25" s="1"/>
  <c r="C32" i="4"/>
  <c r="C32" i="5"/>
  <c r="C32" i="3"/>
  <c r="C33" i="3"/>
  <c r="T201" i="1"/>
  <c r="D201" i="25" s="1"/>
  <c r="J22" i="3"/>
  <c r="K22" i="3" s="1"/>
  <c r="G4" i="13"/>
  <c r="O57" i="1" s="1"/>
  <c r="S57" i="1" s="1"/>
  <c r="T57" i="1" s="1"/>
  <c r="D57" i="25" s="1"/>
  <c r="L26" i="6"/>
  <c r="K26" i="6"/>
  <c r="G4" i="10"/>
  <c r="L200" i="1"/>
  <c r="R200" i="1" s="1"/>
  <c r="T200" i="1" s="1"/>
  <c r="D200" i="25" s="1"/>
  <c r="L21" i="4"/>
  <c r="J21" i="4"/>
  <c r="K21" i="4" s="1"/>
  <c r="J25" i="4"/>
  <c r="K25" i="4" s="1"/>
  <c r="L25" i="4"/>
  <c r="J23" i="5"/>
  <c r="K23" i="5" s="1"/>
  <c r="L23" i="5"/>
  <c r="J19" i="3"/>
  <c r="K19" i="3" s="1"/>
  <c r="J19" i="5"/>
  <c r="K19" i="5" s="1"/>
  <c r="L19" i="5"/>
  <c r="T244" i="1"/>
  <c r="D244" i="25" s="1"/>
  <c r="C9" i="11"/>
  <c r="M176" i="1"/>
  <c r="G4" i="15"/>
  <c r="Q217" i="1"/>
  <c r="S217" i="1" s="1"/>
  <c r="G4" i="14"/>
  <c r="P237" i="1"/>
  <c r="S237" i="1" s="1"/>
  <c r="T237" i="1" s="1"/>
  <c r="D237" i="25" s="1"/>
  <c r="C8" i="12"/>
  <c r="C9" i="12" s="1"/>
  <c r="C10" i="12" s="1"/>
  <c r="C11" i="12" s="1"/>
  <c r="C12" i="12" s="1"/>
  <c r="C13" i="12" s="1"/>
  <c r="C14" i="12" s="1"/>
  <c r="C15" i="12" s="1"/>
  <c r="C16" i="12" s="1"/>
  <c r="C17" i="12" s="1"/>
  <c r="C18" i="12" s="1"/>
  <c r="N33" i="1"/>
  <c r="C16" i="15"/>
  <c r="Q61" i="1"/>
  <c r="J21" i="3"/>
  <c r="K21" i="3"/>
  <c r="T334" i="1"/>
  <c r="D334" i="25" s="1"/>
  <c r="C12" i="9"/>
  <c r="K107" i="1"/>
  <c r="G4" i="8"/>
  <c r="J107" i="1"/>
  <c r="S9" i="15"/>
  <c r="S10" i="15" s="1"/>
  <c r="S11" i="15" s="1"/>
  <c r="S12" i="15" s="1"/>
  <c r="S13" i="15" s="1"/>
  <c r="S14" i="15" s="1"/>
  <c r="S15" i="15" s="1"/>
  <c r="S16" i="15" s="1"/>
  <c r="S17" i="15" s="1"/>
  <c r="S18" i="15" s="1"/>
  <c r="Q52" i="1"/>
  <c r="L24" i="6"/>
  <c r="K24" i="6"/>
  <c r="K4" i="7"/>
  <c r="I3" i="1"/>
  <c r="C13" i="13"/>
  <c r="O205" i="1"/>
  <c r="J24" i="4"/>
  <c r="K24" i="4" s="1"/>
  <c r="L24" i="4"/>
  <c r="C13" i="14"/>
  <c r="P238" i="1"/>
  <c r="S238" i="1" s="1"/>
  <c r="T238" i="1" s="1"/>
  <c r="D238" i="25" s="1"/>
  <c r="C11" i="10"/>
  <c r="L269" i="1"/>
  <c r="R269" i="1" s="1"/>
  <c r="T269" i="1" s="1"/>
  <c r="D269" i="25" s="1"/>
  <c r="K20" i="6"/>
  <c r="C8" i="7"/>
  <c r="C9" i="7" s="1"/>
  <c r="C10" i="7" s="1"/>
  <c r="C11" i="7" s="1"/>
  <c r="C12" i="7" s="1"/>
  <c r="C13" i="7" s="1"/>
  <c r="C14" i="7" s="1"/>
  <c r="C15" i="7" s="1"/>
  <c r="C16" i="7" s="1"/>
  <c r="C17" i="7" s="1"/>
  <c r="C18" i="7" s="1"/>
  <c r="I100" i="1"/>
  <c r="R100" i="1" s="1"/>
  <c r="T100" i="1" s="1"/>
  <c r="D100" i="25" s="1"/>
  <c r="G4" i="9"/>
  <c r="K203" i="1"/>
  <c r="R203" i="1" s="1"/>
  <c r="T203" i="1" s="1"/>
  <c r="D203" i="25" s="1"/>
  <c r="H3" i="1"/>
  <c r="C7" i="2"/>
  <c r="C8" i="2" s="1"/>
  <c r="C9" i="2" s="1"/>
  <c r="C10" i="2" s="1"/>
  <c r="C11" i="2" s="1"/>
  <c r="C12" i="2" s="1"/>
  <c r="C13" i="2" s="1"/>
  <c r="C14" i="2" s="1"/>
  <c r="C15" i="2" s="1"/>
  <c r="C16" i="2" s="1"/>
  <c r="C17" i="2" s="1"/>
  <c r="C18" i="2" s="1"/>
  <c r="J27" i="5"/>
  <c r="K27" i="5" s="1"/>
  <c r="L27" i="5"/>
  <c r="J20" i="5"/>
  <c r="K20" i="5" s="1"/>
  <c r="L20" i="5"/>
  <c r="J27" i="3"/>
  <c r="K27" i="3" s="1"/>
  <c r="J24" i="5"/>
  <c r="K24" i="5" s="1"/>
  <c r="L24" i="5"/>
  <c r="C10" i="8"/>
  <c r="J98" i="1"/>
  <c r="T93" i="1"/>
  <c r="D93" i="25" s="1"/>
  <c r="AA4" i="14"/>
  <c r="P202" i="1"/>
  <c r="S202" i="1" s="1"/>
  <c r="T202" i="1" s="1"/>
  <c r="D202" i="25" s="1"/>
  <c r="M34" i="1"/>
  <c r="R34" i="1" s="1"/>
  <c r="T34" i="1" s="1"/>
  <c r="D34" i="25" s="1"/>
  <c r="W4" i="15"/>
  <c r="Q190" i="1"/>
  <c r="S190" i="1" s="1"/>
  <c r="W8" i="14"/>
  <c r="W9" i="14" s="1"/>
  <c r="W10" i="14" s="1"/>
  <c r="W11" i="14" s="1"/>
  <c r="W12" i="14" s="1"/>
  <c r="W13" i="14" s="1"/>
  <c r="W14" i="14" s="1"/>
  <c r="W15" i="14" s="1"/>
  <c r="W16" i="14" s="1"/>
  <c r="W17" i="14" s="1"/>
  <c r="W18" i="14" s="1"/>
  <c r="P249" i="1"/>
  <c r="S249" i="1" s="1"/>
  <c r="G12" i="11"/>
  <c r="M12" i="1"/>
  <c r="J20" i="3"/>
  <c r="K20" i="3" s="1"/>
  <c r="G7" i="2"/>
  <c r="H107" i="1"/>
  <c r="J26" i="3"/>
  <c r="K26" i="3" s="1"/>
  <c r="J20" i="4"/>
  <c r="K20" i="4" s="1"/>
  <c r="L20" i="4"/>
  <c r="G7" i="12" l="1"/>
  <c r="N106" i="1"/>
  <c r="R106" i="1" s="1"/>
  <c r="T106" i="1" s="1"/>
  <c r="D106" i="25" s="1"/>
  <c r="D232" i="17"/>
  <c r="E232" i="17" s="1"/>
  <c r="D233" i="17"/>
  <c r="E233" i="17" s="1"/>
  <c r="D228" i="17"/>
  <c r="E228" i="17" s="1"/>
  <c r="D229" i="17"/>
  <c r="E229" i="17" s="1"/>
  <c r="D230" i="17"/>
  <c r="E230" i="17" s="1"/>
  <c r="D231" i="17"/>
  <c r="E231" i="17" s="1"/>
  <c r="D227" i="17"/>
  <c r="E227" i="17" s="1"/>
  <c r="D226" i="17"/>
  <c r="E226" i="17" s="1"/>
  <c r="D222" i="17"/>
  <c r="E222" i="17" s="1"/>
  <c r="D223" i="17"/>
  <c r="E223" i="17" s="1"/>
  <c r="D224" i="17"/>
  <c r="E224" i="17" s="1"/>
  <c r="D225" i="17"/>
  <c r="E225" i="17" s="1"/>
  <c r="D220" i="17"/>
  <c r="E220" i="17" s="1"/>
  <c r="D221" i="17"/>
  <c r="E221" i="17" s="1"/>
  <c r="D4" i="17" s="1"/>
  <c r="E4" i="17" s="1"/>
  <c r="D7" i="17"/>
  <c r="E7" i="17" s="1"/>
  <c r="D11" i="17"/>
  <c r="E11" i="17" s="1"/>
  <c r="D15" i="17"/>
  <c r="E15" i="17" s="1"/>
  <c r="D19" i="17"/>
  <c r="E19" i="17" s="1"/>
  <c r="D23" i="17"/>
  <c r="E23" i="17" s="1"/>
  <c r="D27" i="17"/>
  <c r="E27" i="17" s="1"/>
  <c r="D31" i="17"/>
  <c r="E31" i="17" s="1"/>
  <c r="D35" i="17"/>
  <c r="E35" i="17" s="1"/>
  <c r="D39" i="17"/>
  <c r="E39" i="17" s="1"/>
  <c r="D43" i="17"/>
  <c r="E43" i="17" s="1"/>
  <c r="D47" i="17"/>
  <c r="E47" i="17" s="1"/>
  <c r="D51" i="17"/>
  <c r="E51" i="17" s="1"/>
  <c r="D55" i="17"/>
  <c r="E55" i="17" s="1"/>
  <c r="D59" i="17"/>
  <c r="E59" i="17" s="1"/>
  <c r="D63" i="17"/>
  <c r="E63" i="17" s="1"/>
  <c r="D67" i="17"/>
  <c r="E67" i="17" s="1"/>
  <c r="D71" i="17"/>
  <c r="E71" i="17" s="1"/>
  <c r="D75" i="17"/>
  <c r="E75" i="17" s="1"/>
  <c r="D79" i="17"/>
  <c r="E79" i="17" s="1"/>
  <c r="D83" i="17"/>
  <c r="E83" i="17" s="1"/>
  <c r="D87" i="17"/>
  <c r="E87" i="17" s="1"/>
  <c r="D91" i="17"/>
  <c r="E91" i="17" s="1"/>
  <c r="D95" i="17"/>
  <c r="E95" i="17" s="1"/>
  <c r="D99" i="17"/>
  <c r="E99" i="17" s="1"/>
  <c r="D103" i="17"/>
  <c r="E103" i="17" s="1"/>
  <c r="D107" i="17"/>
  <c r="E107" i="17" s="1"/>
  <c r="D111" i="17"/>
  <c r="E111" i="17" s="1"/>
  <c r="D115" i="17"/>
  <c r="E115" i="17" s="1"/>
  <c r="D119" i="17"/>
  <c r="E119" i="17" s="1"/>
  <c r="D123" i="17"/>
  <c r="E123" i="17" s="1"/>
  <c r="D127" i="17"/>
  <c r="E127" i="17" s="1"/>
  <c r="D131" i="17"/>
  <c r="E131" i="17" s="1"/>
  <c r="D135" i="17"/>
  <c r="E135" i="17" s="1"/>
  <c r="D139" i="17"/>
  <c r="E139" i="17" s="1"/>
  <c r="D143" i="17"/>
  <c r="E143" i="17" s="1"/>
  <c r="D147" i="17"/>
  <c r="E147" i="17" s="1"/>
  <c r="D151" i="17"/>
  <c r="E151" i="17" s="1"/>
  <c r="D155" i="17"/>
  <c r="E155" i="17" s="1"/>
  <c r="D159" i="17"/>
  <c r="E159" i="17" s="1"/>
  <c r="D163" i="17"/>
  <c r="E163" i="17" s="1"/>
  <c r="D167" i="17"/>
  <c r="E167" i="17" s="1"/>
  <c r="D171" i="17"/>
  <c r="E171" i="17" s="1"/>
  <c r="D175" i="17"/>
  <c r="E175" i="17" s="1"/>
  <c r="D179" i="17"/>
  <c r="E179" i="17" s="1"/>
  <c r="D183" i="17"/>
  <c r="E183" i="17" s="1"/>
  <c r="D187" i="17"/>
  <c r="E187" i="17" s="1"/>
  <c r="D191" i="17"/>
  <c r="E191" i="17" s="1"/>
  <c r="D195" i="17"/>
  <c r="E195" i="17" s="1"/>
  <c r="D199" i="17"/>
  <c r="E199" i="17" s="1"/>
  <c r="D203" i="17"/>
  <c r="E203" i="17" s="1"/>
  <c r="D207" i="17"/>
  <c r="E207" i="17" s="1"/>
  <c r="D211" i="17"/>
  <c r="E211" i="17" s="1"/>
  <c r="D215" i="17"/>
  <c r="E215" i="17" s="1"/>
  <c r="D219" i="17"/>
  <c r="E219" i="17" s="1"/>
  <c r="D8" i="17"/>
  <c r="E8" i="17" s="1"/>
  <c r="D12" i="17"/>
  <c r="E12" i="17" s="1"/>
  <c r="D16" i="17"/>
  <c r="E16" i="17" s="1"/>
  <c r="D20" i="17"/>
  <c r="E20" i="17" s="1"/>
  <c r="D24" i="17"/>
  <c r="E24" i="17" s="1"/>
  <c r="D28" i="17"/>
  <c r="E28" i="17" s="1"/>
  <c r="D32" i="17"/>
  <c r="E32" i="17" s="1"/>
  <c r="D36" i="17"/>
  <c r="E36" i="17" s="1"/>
  <c r="D40" i="17"/>
  <c r="E40" i="17" s="1"/>
  <c r="D44" i="17"/>
  <c r="E44" i="17" s="1"/>
  <c r="D48" i="17"/>
  <c r="E48" i="17" s="1"/>
  <c r="D52" i="17"/>
  <c r="E52" i="17" s="1"/>
  <c r="D56" i="17"/>
  <c r="E56" i="17" s="1"/>
  <c r="D60" i="17"/>
  <c r="E60" i="17" s="1"/>
  <c r="D64" i="17"/>
  <c r="E64" i="17" s="1"/>
  <c r="D68" i="17"/>
  <c r="E68" i="17" s="1"/>
  <c r="D72" i="17"/>
  <c r="E72" i="17" s="1"/>
  <c r="D76" i="17"/>
  <c r="E76" i="17" s="1"/>
  <c r="D80" i="17"/>
  <c r="E80" i="17" s="1"/>
  <c r="D84" i="17"/>
  <c r="E84" i="17" s="1"/>
  <c r="D88" i="17"/>
  <c r="E88" i="17" s="1"/>
  <c r="D92" i="17"/>
  <c r="E92" i="17" s="1"/>
  <c r="D96" i="17"/>
  <c r="E96" i="17" s="1"/>
  <c r="D100" i="17"/>
  <c r="E100" i="17" s="1"/>
  <c r="D104" i="17"/>
  <c r="E104" i="17" s="1"/>
  <c r="D108" i="17"/>
  <c r="E108" i="17" s="1"/>
  <c r="D112" i="17"/>
  <c r="E112" i="17" s="1"/>
  <c r="D116" i="17"/>
  <c r="E116" i="17" s="1"/>
  <c r="D120" i="17"/>
  <c r="E120" i="17" s="1"/>
  <c r="D124" i="17"/>
  <c r="E124" i="17" s="1"/>
  <c r="D128" i="17"/>
  <c r="E128" i="17" s="1"/>
  <c r="D132" i="17"/>
  <c r="E132" i="17" s="1"/>
  <c r="D136" i="17"/>
  <c r="E136" i="17" s="1"/>
  <c r="D140" i="17"/>
  <c r="E140" i="17" s="1"/>
  <c r="D144" i="17"/>
  <c r="E144" i="17" s="1"/>
  <c r="D148" i="17"/>
  <c r="E148" i="17" s="1"/>
  <c r="D152" i="17"/>
  <c r="E152" i="17" s="1"/>
  <c r="D156" i="17"/>
  <c r="E156" i="17" s="1"/>
  <c r="D160" i="17"/>
  <c r="E160" i="17" s="1"/>
  <c r="D164" i="17"/>
  <c r="E164" i="17" s="1"/>
  <c r="D168" i="17"/>
  <c r="E168" i="17" s="1"/>
  <c r="D172" i="17"/>
  <c r="E172" i="17" s="1"/>
  <c r="D176" i="17"/>
  <c r="E176" i="17" s="1"/>
  <c r="D180" i="17"/>
  <c r="E180" i="17" s="1"/>
  <c r="D184" i="17"/>
  <c r="E184" i="17" s="1"/>
  <c r="D188" i="17"/>
  <c r="E188" i="17" s="1"/>
  <c r="D192" i="17"/>
  <c r="E192" i="17" s="1"/>
  <c r="D196" i="17"/>
  <c r="E196" i="17" s="1"/>
  <c r="D200" i="17"/>
  <c r="E200" i="17" s="1"/>
  <c r="D204" i="17"/>
  <c r="E204" i="17" s="1"/>
  <c r="D208" i="17"/>
  <c r="E208" i="17" s="1"/>
  <c r="D212" i="17"/>
  <c r="E212" i="17" s="1"/>
  <c r="D216" i="17"/>
  <c r="E216" i="17" s="1"/>
  <c r="D5" i="17"/>
  <c r="E5" i="17" s="1"/>
  <c r="D9" i="17"/>
  <c r="E9" i="17" s="1"/>
  <c r="D13" i="17"/>
  <c r="E13" i="17" s="1"/>
  <c r="D17" i="17"/>
  <c r="E17" i="17" s="1"/>
  <c r="D21" i="17"/>
  <c r="E21" i="17" s="1"/>
  <c r="D25" i="17"/>
  <c r="E25" i="17" s="1"/>
  <c r="D29" i="17"/>
  <c r="E29" i="17" s="1"/>
  <c r="D33" i="17"/>
  <c r="E33" i="17" s="1"/>
  <c r="D37" i="17"/>
  <c r="E37" i="17" s="1"/>
  <c r="D41" i="17"/>
  <c r="E41" i="17" s="1"/>
  <c r="D45" i="17"/>
  <c r="E45" i="17" s="1"/>
  <c r="D49" i="17"/>
  <c r="E49" i="17" s="1"/>
  <c r="D53" i="17"/>
  <c r="E53" i="17" s="1"/>
  <c r="D57" i="17"/>
  <c r="E57" i="17" s="1"/>
  <c r="D61" i="17"/>
  <c r="E61" i="17" s="1"/>
  <c r="D65" i="17"/>
  <c r="E65" i="17" s="1"/>
  <c r="D69" i="17"/>
  <c r="E69" i="17" s="1"/>
  <c r="D73" i="17"/>
  <c r="E73" i="17" s="1"/>
  <c r="D77" i="17"/>
  <c r="E77" i="17" s="1"/>
  <c r="D81" i="17"/>
  <c r="E81" i="17" s="1"/>
  <c r="D85" i="17"/>
  <c r="E85" i="17" s="1"/>
  <c r="D89" i="17"/>
  <c r="E89" i="17" s="1"/>
  <c r="D93" i="17"/>
  <c r="E93" i="17" s="1"/>
  <c r="D97" i="17"/>
  <c r="E97" i="17" s="1"/>
  <c r="D101" i="17"/>
  <c r="E101" i="17" s="1"/>
  <c r="D105" i="17"/>
  <c r="E105" i="17" s="1"/>
  <c r="D109" i="17"/>
  <c r="E109" i="17" s="1"/>
  <c r="D113" i="17"/>
  <c r="E113" i="17" s="1"/>
  <c r="D117" i="17"/>
  <c r="E117" i="17" s="1"/>
  <c r="D121" i="17"/>
  <c r="E121" i="17" s="1"/>
  <c r="D125" i="17"/>
  <c r="E125" i="17" s="1"/>
  <c r="D129" i="17"/>
  <c r="E129" i="17" s="1"/>
  <c r="D133" i="17"/>
  <c r="E133" i="17" s="1"/>
  <c r="D137" i="17"/>
  <c r="E137" i="17" s="1"/>
  <c r="D141" i="17"/>
  <c r="E141" i="17" s="1"/>
  <c r="D145" i="17"/>
  <c r="E145" i="17" s="1"/>
  <c r="D149" i="17"/>
  <c r="E149" i="17" s="1"/>
  <c r="D153" i="17"/>
  <c r="E153" i="17" s="1"/>
  <c r="D157" i="17"/>
  <c r="E157" i="17" s="1"/>
  <c r="D161" i="17"/>
  <c r="E161" i="17" s="1"/>
  <c r="D165" i="17"/>
  <c r="E165" i="17" s="1"/>
  <c r="D169" i="17"/>
  <c r="E169" i="17" s="1"/>
  <c r="D173" i="17"/>
  <c r="E173" i="17" s="1"/>
  <c r="D177" i="17"/>
  <c r="E177" i="17" s="1"/>
  <c r="D181" i="17"/>
  <c r="E181" i="17" s="1"/>
  <c r="D185" i="17"/>
  <c r="E185" i="17" s="1"/>
  <c r="D189" i="17"/>
  <c r="E189" i="17" s="1"/>
  <c r="D193" i="17"/>
  <c r="E193" i="17" s="1"/>
  <c r="D197" i="17"/>
  <c r="E197" i="17" s="1"/>
  <c r="D201" i="17"/>
  <c r="E201" i="17" s="1"/>
  <c r="D205" i="17"/>
  <c r="E205" i="17" s="1"/>
  <c r="D209" i="17"/>
  <c r="E209" i="17" s="1"/>
  <c r="D213" i="17"/>
  <c r="E213" i="17" s="1"/>
  <c r="D217" i="17"/>
  <c r="E217" i="17" s="1"/>
  <c r="D6" i="17"/>
  <c r="E6" i="17" s="1"/>
  <c r="D10" i="17"/>
  <c r="E10" i="17" s="1"/>
  <c r="D14" i="17"/>
  <c r="E14" i="17" s="1"/>
  <c r="D18" i="17"/>
  <c r="E18" i="17" s="1"/>
  <c r="D22" i="17"/>
  <c r="E22" i="17" s="1"/>
  <c r="D26" i="17"/>
  <c r="E26" i="17" s="1"/>
  <c r="D30" i="17"/>
  <c r="E30" i="17" s="1"/>
  <c r="D34" i="17"/>
  <c r="E34" i="17" s="1"/>
  <c r="D38" i="17"/>
  <c r="E38" i="17" s="1"/>
  <c r="D42" i="17"/>
  <c r="E42" i="17" s="1"/>
  <c r="D46" i="17"/>
  <c r="E46" i="17" s="1"/>
  <c r="D50" i="17"/>
  <c r="E50" i="17" s="1"/>
  <c r="D54" i="17"/>
  <c r="E54" i="17" s="1"/>
  <c r="D58" i="17"/>
  <c r="E58" i="17" s="1"/>
  <c r="D62" i="17"/>
  <c r="E62" i="17" s="1"/>
  <c r="D66" i="17"/>
  <c r="E66" i="17" s="1"/>
  <c r="D70" i="17"/>
  <c r="E70" i="17" s="1"/>
  <c r="D74" i="17"/>
  <c r="E74" i="17" s="1"/>
  <c r="D78" i="17"/>
  <c r="E78" i="17" s="1"/>
  <c r="D82" i="17"/>
  <c r="E82" i="17" s="1"/>
  <c r="D86" i="17"/>
  <c r="E86" i="17" s="1"/>
  <c r="D90" i="17"/>
  <c r="E90" i="17" s="1"/>
  <c r="D94" i="17"/>
  <c r="E94" i="17" s="1"/>
  <c r="D98" i="17"/>
  <c r="E98" i="17" s="1"/>
  <c r="D102" i="17"/>
  <c r="E102" i="17" s="1"/>
  <c r="D106" i="17"/>
  <c r="E106" i="17" s="1"/>
  <c r="D110" i="17"/>
  <c r="E110" i="17" s="1"/>
  <c r="D114" i="17"/>
  <c r="E114" i="17" s="1"/>
  <c r="D118" i="17"/>
  <c r="E118" i="17" s="1"/>
  <c r="D122" i="17"/>
  <c r="E122" i="17" s="1"/>
  <c r="D126" i="17"/>
  <c r="E126" i="17" s="1"/>
  <c r="D130" i="17"/>
  <c r="E130" i="17" s="1"/>
  <c r="D134" i="17"/>
  <c r="E134" i="17" s="1"/>
  <c r="D138" i="17"/>
  <c r="E138" i="17" s="1"/>
  <c r="D142" i="17"/>
  <c r="E142" i="17" s="1"/>
  <c r="D146" i="17"/>
  <c r="E146" i="17" s="1"/>
  <c r="D150" i="17"/>
  <c r="E150" i="17" s="1"/>
  <c r="D154" i="17"/>
  <c r="E154" i="17" s="1"/>
  <c r="D158" i="17"/>
  <c r="E158" i="17" s="1"/>
  <c r="D162" i="17"/>
  <c r="E162" i="17" s="1"/>
  <c r="D166" i="17"/>
  <c r="E166" i="17" s="1"/>
  <c r="D170" i="17"/>
  <c r="E170" i="17" s="1"/>
  <c r="D174" i="17"/>
  <c r="E174" i="17" s="1"/>
  <c r="D178" i="17"/>
  <c r="E178" i="17" s="1"/>
  <c r="D182" i="17"/>
  <c r="E182" i="17" s="1"/>
  <c r="D186" i="17"/>
  <c r="E186" i="17" s="1"/>
  <c r="D190" i="17"/>
  <c r="E190" i="17" s="1"/>
  <c r="D194" i="17"/>
  <c r="E194" i="17" s="1"/>
  <c r="D198" i="17"/>
  <c r="E198" i="17" s="1"/>
  <c r="D202" i="17"/>
  <c r="E202" i="17" s="1"/>
  <c r="D206" i="17"/>
  <c r="E206" i="17" s="1"/>
  <c r="D210" i="17"/>
  <c r="E210" i="17" s="1"/>
  <c r="D214" i="17"/>
  <c r="E214" i="17" s="1"/>
  <c r="D218" i="17"/>
  <c r="E218" i="17" s="1"/>
  <c r="W8" i="13"/>
  <c r="W9" i="13" s="1"/>
  <c r="W10" i="13" s="1"/>
  <c r="W11" i="13" s="1"/>
  <c r="W12" i="13" s="1"/>
  <c r="W13" i="13" s="1"/>
  <c r="W14" i="13" s="1"/>
  <c r="W15" i="13" s="1"/>
  <c r="W16" i="13" s="1"/>
  <c r="W17" i="13" s="1"/>
  <c r="W18" i="13" s="1"/>
  <c r="O12" i="1"/>
  <c r="C12" i="10"/>
  <c r="C13" i="10" s="1"/>
  <c r="C14" i="10" s="1"/>
  <c r="C15" i="10" s="1"/>
  <c r="C16" i="10" s="1"/>
  <c r="C17" i="10" s="1"/>
  <c r="C18" i="10" s="1"/>
  <c r="L9" i="1"/>
  <c r="R9" i="1" s="1"/>
  <c r="G5" i="14"/>
  <c r="P239" i="1"/>
  <c r="S239" i="1" s="1"/>
  <c r="T239" i="1" s="1"/>
  <c r="D239" i="25" s="1"/>
  <c r="C14" i="14"/>
  <c r="P198" i="1"/>
  <c r="S198" i="1" s="1"/>
  <c r="T198" i="1" s="1"/>
  <c r="D198" i="25" s="1"/>
  <c r="G5" i="15"/>
  <c r="Q3" i="1"/>
  <c r="G5" i="13"/>
  <c r="O2" i="1" s="1"/>
  <c r="S2" i="1" s="1"/>
  <c r="T2" i="1" s="1"/>
  <c r="D2" i="25" s="1"/>
  <c r="K3" i="13"/>
  <c r="K4" i="13" s="1"/>
  <c r="K5" i="13" s="1"/>
  <c r="K6" i="13" s="1"/>
  <c r="K7" i="13" s="1"/>
  <c r="K8" i="13" s="1"/>
  <c r="K9" i="13" s="1"/>
  <c r="K10" i="13" s="1"/>
  <c r="K11" i="13" s="1"/>
  <c r="K12" i="13" s="1"/>
  <c r="K13" i="13" s="1"/>
  <c r="K14" i="13" s="1"/>
  <c r="K15" i="13" s="1"/>
  <c r="K16" i="13" s="1"/>
  <c r="K17" i="13" s="1"/>
  <c r="K18" i="13" s="1"/>
  <c r="O33" i="1"/>
  <c r="G5" i="8"/>
  <c r="J104" i="1"/>
  <c r="G13" i="11"/>
  <c r="M254" i="1"/>
  <c r="R254" i="1" s="1"/>
  <c r="T254" i="1" s="1"/>
  <c r="D254" i="25" s="1"/>
  <c r="AA5" i="14"/>
  <c r="P215" i="1"/>
  <c r="S215" i="1" s="1"/>
  <c r="K5" i="7"/>
  <c r="I61" i="1"/>
  <c r="G5" i="9"/>
  <c r="K204" i="1"/>
  <c r="R204" i="1" s="1"/>
  <c r="T204" i="1" s="1"/>
  <c r="D204" i="25" s="1"/>
  <c r="C13" i="9"/>
  <c r="K64" i="1"/>
  <c r="R64" i="1" s="1"/>
  <c r="T64" i="1" s="1"/>
  <c r="D64" i="25" s="1"/>
  <c r="R107" i="1"/>
  <c r="T107" i="1" s="1"/>
  <c r="D107" i="25" s="1"/>
  <c r="C11" i="8"/>
  <c r="C12" i="8" s="1"/>
  <c r="C13" i="8" s="1"/>
  <c r="C14" i="8" s="1"/>
  <c r="C15" i="8" s="1"/>
  <c r="C16" i="8" s="1"/>
  <c r="C17" i="8" s="1"/>
  <c r="C18" i="8" s="1"/>
  <c r="J189" i="1"/>
  <c r="C17" i="15"/>
  <c r="Q192" i="1"/>
  <c r="S192" i="1" s="1"/>
  <c r="C10" i="11"/>
  <c r="C11" i="11" s="1"/>
  <c r="C12" i="11" s="1"/>
  <c r="C13" i="11" s="1"/>
  <c r="C14" i="11" s="1"/>
  <c r="C15" i="11" s="1"/>
  <c r="C16" i="11" s="1"/>
  <c r="C17" i="11" s="1"/>
  <c r="C18" i="11" s="1"/>
  <c r="M249" i="1"/>
  <c r="R249" i="1" s="1"/>
  <c r="T249" i="1" s="1"/>
  <c r="D249" i="25" s="1"/>
  <c r="G5" i="10"/>
  <c r="L270" i="1"/>
  <c r="R270" i="1" s="1"/>
  <c r="T270" i="1" s="1"/>
  <c r="D270" i="25" s="1"/>
  <c r="M113" i="1"/>
  <c r="C14" i="13"/>
  <c r="O175" i="1"/>
  <c r="H14" i="1"/>
  <c r="R14" i="1" s="1"/>
  <c r="T14" i="1" s="1"/>
  <c r="D14" i="25" s="1"/>
  <c r="G8" i="2"/>
  <c r="W5" i="15"/>
  <c r="Q213" i="1"/>
  <c r="S213" i="1" s="1"/>
  <c r="N177" i="1" l="1"/>
  <c r="R177" i="1" s="1"/>
  <c r="T177" i="1" s="1"/>
  <c r="D177" i="25" s="1"/>
  <c r="K3" i="12"/>
  <c r="G8" i="12"/>
  <c r="G14" i="11"/>
  <c r="G15" i="11" s="1"/>
  <c r="G16" i="11" s="1"/>
  <c r="G17" i="11" s="1"/>
  <c r="G18" i="11" s="1"/>
  <c r="K3" i="11"/>
  <c r="K4" i="11" s="1"/>
  <c r="G4" i="17" a="1"/>
  <c r="AA3" i="15"/>
  <c r="AA4" i="15" s="1"/>
  <c r="AA5" i="15" s="1"/>
  <c r="AA6" i="15" s="1"/>
  <c r="AA7" i="15" s="1"/>
  <c r="AA8" i="15" s="1"/>
  <c r="AA9" i="15" s="1"/>
  <c r="AA10" i="15" s="1"/>
  <c r="AA11" i="15" s="1"/>
  <c r="AA12" i="15" s="1"/>
  <c r="AA13" i="15" s="1"/>
  <c r="AA14" i="15" s="1"/>
  <c r="AA15" i="15" s="1"/>
  <c r="AA16" i="15" s="1"/>
  <c r="AA17" i="15" s="1"/>
  <c r="AA18" i="15" s="1"/>
  <c r="W6" i="15"/>
  <c r="Q226" i="1"/>
  <c r="S226" i="1" s="1"/>
  <c r="G6" i="10"/>
  <c r="L176" i="1"/>
  <c r="R176" i="1" s="1"/>
  <c r="C18" i="15"/>
  <c r="Q80" i="1" s="1"/>
  <c r="S80" i="1" s="1"/>
  <c r="Q70" i="1"/>
  <c r="G6" i="9"/>
  <c r="K205" i="1"/>
  <c r="R205" i="1" s="1"/>
  <c r="G6" i="8"/>
  <c r="J3" i="1"/>
  <c r="R3" i="1" s="1"/>
  <c r="K3" i="2"/>
  <c r="G9" i="2"/>
  <c r="H61" i="1"/>
  <c r="K6" i="7"/>
  <c r="I224" i="1"/>
  <c r="G6" i="13"/>
  <c r="O4" i="1" s="1"/>
  <c r="S4" i="1" s="1"/>
  <c r="T4" i="1" s="1"/>
  <c r="D4" i="25" s="1"/>
  <c r="O8" i="1"/>
  <c r="G6" i="14"/>
  <c r="P6" i="1"/>
  <c r="C15" i="14"/>
  <c r="C16" i="14" s="1"/>
  <c r="C17" i="14" s="1"/>
  <c r="C18" i="14" s="1"/>
  <c r="P205" i="1"/>
  <c r="S205" i="1" s="1"/>
  <c r="C14" i="9"/>
  <c r="C15" i="9" s="1"/>
  <c r="C16" i="9" s="1"/>
  <c r="C17" i="9" s="1"/>
  <c r="C18" i="9" s="1"/>
  <c r="K206" i="1"/>
  <c r="R206" i="1" s="1"/>
  <c r="T206" i="1" s="1"/>
  <c r="D206" i="25" s="1"/>
  <c r="AA6" i="14"/>
  <c r="P250" i="1"/>
  <c r="S250" i="1" s="1"/>
  <c r="T250" i="1" s="1"/>
  <c r="D250" i="25" s="1"/>
  <c r="C15" i="13"/>
  <c r="C16" i="13" s="1"/>
  <c r="C17" i="13" s="1"/>
  <c r="C18" i="13" s="1"/>
  <c r="G6" i="15"/>
  <c r="Q7" i="1"/>
  <c r="N12" i="1" l="1"/>
  <c r="G9" i="12"/>
  <c r="G10" i="12" s="1"/>
  <c r="G11" i="12" s="1"/>
  <c r="G12" i="12" s="1"/>
  <c r="G13" i="12" s="1"/>
  <c r="G14" i="12" s="1"/>
  <c r="G15" i="12" s="1"/>
  <c r="G16" i="12" s="1"/>
  <c r="G17" i="12" s="1"/>
  <c r="G18" i="12" s="1"/>
  <c r="K4" i="12"/>
  <c r="N178" i="1"/>
  <c r="R178" i="1" s="1"/>
  <c r="T178" i="1" s="1"/>
  <c r="D178" i="25" s="1"/>
  <c r="M44" i="1"/>
  <c r="M49" i="1"/>
  <c r="K5" i="11"/>
  <c r="K6" i="11" s="1"/>
  <c r="K7" i="11" s="1"/>
  <c r="G7" i="14"/>
  <c r="P9" i="1"/>
  <c r="AA7" i="14"/>
  <c r="P10" i="1"/>
  <c r="S10" i="1" s="1"/>
  <c r="G7" i="8"/>
  <c r="J103" i="1"/>
  <c r="G7" i="13"/>
  <c r="O3" i="1" s="1"/>
  <c r="S3" i="1" s="1"/>
  <c r="T3" i="1" s="1"/>
  <c r="D3" i="25" s="1"/>
  <c r="O101" i="1"/>
  <c r="M51" i="1"/>
  <c r="K7" i="7"/>
  <c r="I104" i="1"/>
  <c r="T205" i="1"/>
  <c r="D205" i="25" s="1"/>
  <c r="G7" i="10"/>
  <c r="L33" i="1"/>
  <c r="G7" i="15"/>
  <c r="Q54" i="1"/>
  <c r="S54" i="1" s="1"/>
  <c r="T54" i="1" s="1"/>
  <c r="D54" i="25" s="1"/>
  <c r="G7" i="9"/>
  <c r="K189" i="1"/>
  <c r="R189" i="1" s="1"/>
  <c r="T189" i="1" s="1"/>
  <c r="D189" i="25" s="1"/>
  <c r="G10" i="2"/>
  <c r="H40" i="1"/>
  <c r="W7" i="15"/>
  <c r="W8" i="15" s="1"/>
  <c r="W9" i="15" s="1"/>
  <c r="W10" i="15" s="1"/>
  <c r="W11" i="15" s="1"/>
  <c r="W12" i="15" s="1"/>
  <c r="W13" i="15" s="1"/>
  <c r="W14" i="15" s="1"/>
  <c r="W15" i="15" s="1"/>
  <c r="W16" i="15" s="1"/>
  <c r="W17" i="15" s="1"/>
  <c r="W18" i="15" s="1"/>
  <c r="Q129" i="1"/>
  <c r="S129" i="1" s="1"/>
  <c r="H16" i="1"/>
  <c r="K4" i="2"/>
  <c r="K5" i="12" l="1"/>
  <c r="N113" i="1"/>
  <c r="R113" i="1" s="1"/>
  <c r="T113" i="1" s="1"/>
  <c r="D113" i="25" s="1"/>
  <c r="K8" i="11"/>
  <c r="M138" i="1" s="1"/>
  <c r="M41" i="1"/>
  <c r="G11" i="2"/>
  <c r="G12" i="2" s="1"/>
  <c r="G13" i="2" s="1"/>
  <c r="G14" i="2" s="1"/>
  <c r="G15" i="2" s="1"/>
  <c r="G16" i="2" s="1"/>
  <c r="G17" i="2" s="1"/>
  <c r="G18" i="2" s="1"/>
  <c r="H13" i="1"/>
  <c r="K3" i="15"/>
  <c r="K4" i="15" s="1"/>
  <c r="K5" i="15" s="1"/>
  <c r="K6" i="15" s="1"/>
  <c r="K7" i="15" s="1"/>
  <c r="K8" i="15" s="1"/>
  <c r="K9" i="15" s="1"/>
  <c r="K10" i="15" s="1"/>
  <c r="K11" i="15" s="1"/>
  <c r="K12" i="15" s="1"/>
  <c r="K13" i="15" s="1"/>
  <c r="K14" i="15" s="1"/>
  <c r="K15" i="15" s="1"/>
  <c r="K16" i="15" s="1"/>
  <c r="K17" i="15" s="1"/>
  <c r="K18" i="15" s="1"/>
  <c r="G8" i="15"/>
  <c r="Q21" i="1"/>
  <c r="S21" i="1" s="1"/>
  <c r="G8" i="8"/>
  <c r="J10" i="1"/>
  <c r="L215" i="1"/>
  <c r="G8" i="10"/>
  <c r="AA8" i="14"/>
  <c r="P210" i="1"/>
  <c r="S210" i="1" s="1"/>
  <c r="K8" i="7"/>
  <c r="I7" i="1"/>
  <c r="K5" i="2"/>
  <c r="H37" i="1"/>
  <c r="G8" i="9"/>
  <c r="K98" i="1"/>
  <c r="R98" i="1" s="1"/>
  <c r="T98" i="1" s="1"/>
  <c r="D98" i="25" s="1"/>
  <c r="G8" i="13"/>
  <c r="O5" i="1" s="1"/>
  <c r="S5" i="1" s="1"/>
  <c r="O76" i="1"/>
  <c r="S76" i="1" s="1"/>
  <c r="G8" i="14"/>
  <c r="P175" i="1"/>
  <c r="S175" i="1" s="1"/>
  <c r="T175" i="1" s="1"/>
  <c r="D175" i="25" s="1"/>
  <c r="K6" i="12" l="1"/>
  <c r="N163" i="1"/>
  <c r="G9" i="10"/>
  <c r="L271" i="1"/>
  <c r="R271" i="1" s="1"/>
  <c r="T271" i="1" s="1"/>
  <c r="D271" i="25" s="1"/>
  <c r="AA9" i="14"/>
  <c r="P52" i="1"/>
  <c r="S52" i="1" s="1"/>
  <c r="K6" i="2"/>
  <c r="H18" i="1"/>
  <c r="R18" i="1" s="1"/>
  <c r="T18" i="1" s="1"/>
  <c r="D18" i="25" s="1"/>
  <c r="G9" i="8"/>
  <c r="J207" i="1"/>
  <c r="R207" i="1" s="1"/>
  <c r="T207" i="1" s="1"/>
  <c r="D207" i="25" s="1"/>
  <c r="K9" i="11"/>
  <c r="M181" i="1"/>
  <c r="G9" i="9"/>
  <c r="K208" i="1"/>
  <c r="R208" i="1" s="1"/>
  <c r="T208" i="1" s="1"/>
  <c r="D208" i="25" s="1"/>
  <c r="G9" i="14"/>
  <c r="P241" i="1"/>
  <c r="S241" i="1" s="1"/>
  <c r="T241" i="1" s="1"/>
  <c r="D241" i="25" s="1"/>
  <c r="G9" i="13"/>
  <c r="O61" i="1"/>
  <c r="S61" i="1" s="1"/>
  <c r="K9" i="7"/>
  <c r="I190" i="1"/>
  <c r="G9" i="15"/>
  <c r="G10" i="15" s="1"/>
  <c r="G11" i="15" s="1"/>
  <c r="G12" i="15" s="1"/>
  <c r="G13" i="15" s="1"/>
  <c r="G14" i="15" s="1"/>
  <c r="G15" i="15" s="1"/>
  <c r="G16" i="15" s="1"/>
  <c r="G17" i="15" s="1"/>
  <c r="G18" i="15" s="1"/>
  <c r="Q17" i="1"/>
  <c r="S17" i="1" s="1"/>
  <c r="K7" i="12" l="1"/>
  <c r="N46" i="1"/>
  <c r="R46" i="1" s="1"/>
  <c r="T46" i="1" s="1"/>
  <c r="D46" i="25" s="1"/>
  <c r="K3" i="14"/>
  <c r="G10" i="14"/>
  <c r="P38" i="1"/>
  <c r="S38" i="1" s="1"/>
  <c r="T38" i="1" s="1"/>
  <c r="D38" i="25" s="1"/>
  <c r="K7" i="2"/>
  <c r="H21" i="1"/>
  <c r="K10" i="7"/>
  <c r="I193" i="1"/>
  <c r="G10" i="9"/>
  <c r="K209" i="1"/>
  <c r="R209" i="1" s="1"/>
  <c r="AA10" i="14"/>
  <c r="AA11" i="14" s="1"/>
  <c r="AA12" i="14" s="1"/>
  <c r="AA13" i="14" s="1"/>
  <c r="AA14" i="14" s="1"/>
  <c r="AA15" i="14" s="1"/>
  <c r="AA16" i="14" s="1"/>
  <c r="AA17" i="14" s="1"/>
  <c r="AA18" i="14" s="1"/>
  <c r="P12" i="1"/>
  <c r="S12" i="1" s="1"/>
  <c r="G10" i="8"/>
  <c r="J61" i="1"/>
  <c r="G10" i="13"/>
  <c r="O6" i="1" s="1"/>
  <c r="S6" i="1" s="1"/>
  <c r="T6" i="1" s="1"/>
  <c r="D6" i="25" s="1"/>
  <c r="O221" i="1"/>
  <c r="S221" i="1" s="1"/>
  <c r="K10" i="11"/>
  <c r="M11" i="1"/>
  <c r="R11" i="1" s="1"/>
  <c r="G10" i="10"/>
  <c r="L272" i="1"/>
  <c r="R272" i="1" s="1"/>
  <c r="T272" i="1" s="1"/>
  <c r="D272" i="25" s="1"/>
  <c r="K8" i="12" l="1"/>
  <c r="N44" i="1"/>
  <c r="R44" i="1" s="1"/>
  <c r="T44" i="1" s="1"/>
  <c r="D44" i="25" s="1"/>
  <c r="K4" i="14"/>
  <c r="P33" i="1"/>
  <c r="S33" i="1" s="1"/>
  <c r="K11" i="7"/>
  <c r="I70" i="1"/>
  <c r="K3" i="10"/>
  <c r="G11" i="10"/>
  <c r="L31" i="1"/>
  <c r="R31" i="1" s="1"/>
  <c r="K11" i="11"/>
  <c r="M118" i="1"/>
  <c r="R118" i="1" s="1"/>
  <c r="T118" i="1" s="1"/>
  <c r="D118" i="25" s="1"/>
  <c r="K8" i="2"/>
  <c r="H25" i="1"/>
  <c r="G11" i="9"/>
  <c r="K210" i="1"/>
  <c r="R210" i="1" s="1"/>
  <c r="T210" i="1" s="1"/>
  <c r="D210" i="25" s="1"/>
  <c r="G11" i="8"/>
  <c r="J8" i="1"/>
  <c r="G11" i="13"/>
  <c r="O31" i="1" s="1"/>
  <c r="S31" i="1" s="1"/>
  <c r="O253" i="1"/>
  <c r="S253" i="1" s="1" a="1"/>
  <c r="S253" i="1" s="1"/>
  <c r="T253" i="1" s="1"/>
  <c r="D253" i="25" s="1"/>
  <c r="G11" i="14"/>
  <c r="P243" i="1"/>
  <c r="S243" i="1" s="1"/>
  <c r="T243" i="1" s="1"/>
  <c r="D243" i="25" s="1"/>
  <c r="N22" i="1" l="1"/>
  <c r="K9" i="12"/>
  <c r="T31" i="1"/>
  <c r="D31" i="25" s="1"/>
  <c r="K9" i="2"/>
  <c r="H116" i="1"/>
  <c r="R116" i="1" s="1"/>
  <c r="T116" i="1" s="1"/>
  <c r="D116" i="25" s="1"/>
  <c r="K12" i="11"/>
  <c r="M147" i="1" s="1"/>
  <c r="M24" i="1"/>
  <c r="R24" i="1" s="1"/>
  <c r="T24" i="1" s="1"/>
  <c r="D24" i="25" s="1"/>
  <c r="G12" i="8"/>
  <c r="K3" i="8"/>
  <c r="J190" i="1"/>
  <c r="G12" i="10"/>
  <c r="L12" i="1"/>
  <c r="R12" i="1" s="1"/>
  <c r="T12" i="1" s="1"/>
  <c r="D12" i="25" s="1"/>
  <c r="K4" i="10"/>
  <c r="L99" i="1"/>
  <c r="R99" i="1" s="1"/>
  <c r="T99" i="1" s="1"/>
  <c r="D99" i="25" s="1"/>
  <c r="K12" i="7"/>
  <c r="I213" i="1"/>
  <c r="G12" i="13"/>
  <c r="O9" i="1" s="1"/>
  <c r="S9" i="1" s="1"/>
  <c r="T9" i="1" s="1"/>
  <c r="D9" i="25" s="1"/>
  <c r="O11" i="1"/>
  <c r="S11" i="1" s="1"/>
  <c r="T11" i="1" s="1"/>
  <c r="D11" i="25" s="1"/>
  <c r="G12" i="14"/>
  <c r="G13" i="14" s="1"/>
  <c r="G14" i="14" s="1"/>
  <c r="G15" i="14" s="1"/>
  <c r="G16" i="14" s="1"/>
  <c r="G17" i="14" s="1"/>
  <c r="G18" i="14" s="1"/>
  <c r="P176" i="1"/>
  <c r="S176" i="1" s="1"/>
  <c r="T176" i="1" s="1"/>
  <c r="D176" i="25" s="1"/>
  <c r="K3" i="9"/>
  <c r="G12" i="9"/>
  <c r="K10" i="1"/>
  <c r="R10" i="1" s="1"/>
  <c r="T10" i="1" s="1"/>
  <c r="D10" i="25" s="1"/>
  <c r="K5" i="14"/>
  <c r="P209" i="1"/>
  <c r="S209" i="1" s="1"/>
  <c r="T209" i="1" s="1"/>
  <c r="D209" i="25" s="1"/>
  <c r="K10" i="12" l="1"/>
  <c r="N147" i="1"/>
  <c r="R147" i="1" s="1"/>
  <c r="T147" i="1" s="1"/>
  <c r="D147" i="25" s="1"/>
  <c r="K4" i="8"/>
  <c r="J5" i="1"/>
  <c r="R5" i="1" s="1"/>
  <c r="T5" i="1" s="1"/>
  <c r="D5" i="25" s="1"/>
  <c r="G13" i="9"/>
  <c r="K212" i="1"/>
  <c r="R212" i="1" s="1"/>
  <c r="T212" i="1" s="1"/>
  <c r="D212" i="25" s="1"/>
  <c r="K13" i="7"/>
  <c r="O3" i="7"/>
  <c r="I32" i="1"/>
  <c r="G13" i="8"/>
  <c r="J13" i="1"/>
  <c r="K4" i="9"/>
  <c r="K76" i="1"/>
  <c r="K5" i="10"/>
  <c r="L136" i="1"/>
  <c r="K13" i="11"/>
  <c r="M29" i="1" s="1"/>
  <c r="R29" i="1" s="1"/>
  <c r="T29" i="1" s="1"/>
  <c r="D29" i="25" s="1"/>
  <c r="M82" i="1"/>
  <c r="K6" i="14"/>
  <c r="P245" i="1"/>
  <c r="S245" i="1" s="1"/>
  <c r="T245" i="1" s="1"/>
  <c r="D245" i="25" s="1"/>
  <c r="G13" i="10"/>
  <c r="G14" i="10" s="1"/>
  <c r="G15" i="10" s="1"/>
  <c r="G16" i="10" s="1"/>
  <c r="G17" i="10" s="1"/>
  <c r="G18" i="10" s="1"/>
  <c r="L179" i="1"/>
  <c r="G13" i="13"/>
  <c r="O7" i="1" s="1"/>
  <c r="S7" i="1" s="1"/>
  <c r="O267" i="1"/>
  <c r="S267" i="1" s="1"/>
  <c r="T267" i="1" s="1"/>
  <c r="D267" i="25" s="1"/>
  <c r="O3" i="2"/>
  <c r="K10" i="2"/>
  <c r="H26" i="1"/>
  <c r="R26" i="1" s="1"/>
  <c r="N179" i="1" l="1"/>
  <c r="K11" i="12"/>
  <c r="O4" i="2"/>
  <c r="H17" i="1"/>
  <c r="R17" i="1" s="1"/>
  <c r="T17" i="1" s="1"/>
  <c r="D17" i="25" s="1"/>
  <c r="K14" i="11"/>
  <c r="M22" i="1"/>
  <c r="G14" i="13"/>
  <c r="O68" i="1" s="1"/>
  <c r="S68" i="1" s="1"/>
  <c r="O163" i="1"/>
  <c r="S163" i="1" s="1"/>
  <c r="K6" i="10"/>
  <c r="L41" i="1"/>
  <c r="K7" i="14"/>
  <c r="P246" i="1"/>
  <c r="S246" i="1" s="1"/>
  <c r="T246" i="1" s="1"/>
  <c r="D246" i="25" s="1"/>
  <c r="K5" i="9"/>
  <c r="K214" i="1"/>
  <c r="R214" i="1" s="1"/>
  <c r="T214" i="1" s="1"/>
  <c r="D214" i="25" s="1"/>
  <c r="G14" i="9"/>
  <c r="K215" i="1"/>
  <c r="R215" i="1" s="1"/>
  <c r="T215" i="1" s="1"/>
  <c r="D215" i="25" s="1"/>
  <c r="I217" i="1"/>
  <c r="O4" i="7"/>
  <c r="K14" i="7"/>
  <c r="I194" i="1"/>
  <c r="K11" i="2"/>
  <c r="H120" i="1"/>
  <c r="K5" i="8"/>
  <c r="J191" i="1"/>
  <c r="G14" i="8"/>
  <c r="J7" i="1"/>
  <c r="R7" i="1" s="1"/>
  <c r="T7" i="1" s="1"/>
  <c r="D7" i="25" s="1"/>
  <c r="N49" i="1" l="1"/>
  <c r="R49" i="1" s="1"/>
  <c r="T49" i="1" s="1"/>
  <c r="D49" i="25" s="1"/>
  <c r="K12" i="12"/>
  <c r="K15" i="7"/>
  <c r="I13" i="1"/>
  <c r="K6" i="9"/>
  <c r="K33" i="1"/>
  <c r="R33" i="1" s="1"/>
  <c r="T33" i="1" s="1"/>
  <c r="D33" i="25" s="1"/>
  <c r="G15" i="13"/>
  <c r="O41" i="1"/>
  <c r="S41" i="1" s="1"/>
  <c r="G15" i="8"/>
  <c r="G16" i="8" s="1"/>
  <c r="G17" i="8" s="1"/>
  <c r="G18" i="8" s="1"/>
  <c r="J76" i="1"/>
  <c r="R76" i="1" s="1"/>
  <c r="T76" i="1" s="1"/>
  <c r="D76" i="25" s="1"/>
  <c r="K8" i="14"/>
  <c r="P8" i="1"/>
  <c r="S8" i="1" s="1"/>
  <c r="O5" i="7"/>
  <c r="I191" i="1"/>
  <c r="K6" i="8"/>
  <c r="J211" i="1"/>
  <c r="R211" i="1" s="1"/>
  <c r="T211" i="1" s="1"/>
  <c r="D211" i="25" s="1"/>
  <c r="K15" i="11"/>
  <c r="M152" i="1" s="1"/>
  <c r="M255" i="1"/>
  <c r="K12" i="2"/>
  <c r="K13" i="2" s="1"/>
  <c r="K14" i="2" s="1"/>
  <c r="K15" i="2" s="1"/>
  <c r="K16" i="2" s="1"/>
  <c r="K17" i="2" s="1"/>
  <c r="K18" i="2" s="1"/>
  <c r="H68" i="1"/>
  <c r="G15" i="9"/>
  <c r="G16" i="9" s="1"/>
  <c r="G17" i="9" s="1"/>
  <c r="G18" i="9" s="1"/>
  <c r="K192" i="1"/>
  <c r="H28" i="1"/>
  <c r="R28" i="1" s="1"/>
  <c r="T28" i="1" s="1"/>
  <c r="D28" i="25" s="1"/>
  <c r="O5" i="2"/>
  <c r="K7" i="10"/>
  <c r="L22" i="1"/>
  <c r="R22" i="1" s="1"/>
  <c r="T22" i="1" s="1"/>
  <c r="D22" i="25" s="1"/>
  <c r="K13" i="12" l="1"/>
  <c r="N180" i="1"/>
  <c r="R180" i="1" s="1"/>
  <c r="T180" i="1" s="1"/>
  <c r="D180" i="25" s="1"/>
  <c r="G16" i="13"/>
  <c r="G17" i="13" s="1"/>
  <c r="G18" i="13" s="1"/>
  <c r="O70" i="1"/>
  <c r="S70" i="1" s="1"/>
  <c r="O6" i="7"/>
  <c r="I21" i="1"/>
  <c r="K8" i="10"/>
  <c r="L268" i="1"/>
  <c r="R268" i="1" s="1"/>
  <c r="T268" i="1" s="1"/>
  <c r="D268" i="25" s="1"/>
  <c r="K7" i="8"/>
  <c r="J213" i="1"/>
  <c r="R213" i="1" s="1"/>
  <c r="T213" i="1" s="1"/>
  <c r="D213" i="25" s="1"/>
  <c r="K9" i="14"/>
  <c r="O3" i="14"/>
  <c r="O4" i="14" s="1"/>
  <c r="O5" i="14" s="1"/>
  <c r="O6" i="14" s="1"/>
  <c r="O7" i="14" s="1"/>
  <c r="O8" i="14" s="1"/>
  <c r="O9" i="14" s="1"/>
  <c r="O10" i="14" s="1"/>
  <c r="O11" i="14" s="1"/>
  <c r="O12" i="14" s="1"/>
  <c r="O13" i="14" s="1"/>
  <c r="O14" i="14" s="1"/>
  <c r="O15" i="14" s="1"/>
  <c r="O16" i="14" s="1"/>
  <c r="O17" i="14" s="1"/>
  <c r="O18" i="14" s="1"/>
  <c r="P101" i="1"/>
  <c r="S101" i="1" s="1"/>
  <c r="T101" i="1" s="1"/>
  <c r="D101" i="25" s="1"/>
  <c r="K7" i="9"/>
  <c r="K103" i="1"/>
  <c r="R103" i="1" s="1"/>
  <c r="T103" i="1" s="1"/>
  <c r="D103" i="25" s="1"/>
  <c r="K16" i="11"/>
  <c r="M27" i="1"/>
  <c r="R27" i="1" s="1"/>
  <c r="T27" i="1" s="1"/>
  <c r="D27" i="25" s="1"/>
  <c r="H60" i="1"/>
  <c r="R60" i="1" s="1"/>
  <c r="T60" i="1" s="1"/>
  <c r="D60" i="25" s="1"/>
  <c r="O6" i="2"/>
  <c r="K16" i="7"/>
  <c r="K17" i="7" s="1"/>
  <c r="K18" i="7" s="1"/>
  <c r="K19" i="7" s="1"/>
  <c r="K20" i="7" s="1"/>
  <c r="K21" i="7" s="1"/>
  <c r="K22" i="7" s="1"/>
  <c r="I40" i="1"/>
  <c r="R40" i="1" s="1"/>
  <c r="T40" i="1" s="1"/>
  <c r="D40" i="25" s="1"/>
  <c r="K14" i="12" l="1"/>
  <c r="N181" i="1"/>
  <c r="R181" i="1" s="1"/>
  <c r="T181" i="1" s="1"/>
  <c r="D181" i="25" s="1"/>
  <c r="K17" i="11"/>
  <c r="M179" i="1"/>
  <c r="R179" i="1" s="1"/>
  <c r="T179" i="1" s="1"/>
  <c r="D179" i="25" s="1"/>
  <c r="K8" i="8"/>
  <c r="J32" i="1"/>
  <c r="K8" i="9"/>
  <c r="K32" i="1"/>
  <c r="K9" i="10"/>
  <c r="L86" i="1"/>
  <c r="O7" i="7"/>
  <c r="I195" i="1"/>
  <c r="H88" i="1"/>
  <c r="R88" i="1" s="1"/>
  <c r="T88" i="1" s="1"/>
  <c r="D88" i="25" s="1"/>
  <c r="O7" i="2"/>
  <c r="K10" i="14"/>
  <c r="P248" i="1"/>
  <c r="S248" i="1" s="1"/>
  <c r="T248" i="1" s="1"/>
  <c r="D248" i="25" s="1"/>
  <c r="N182" i="1" l="1"/>
  <c r="R182" i="1" s="1"/>
  <c r="T182" i="1" s="1"/>
  <c r="D182" i="25" s="1"/>
  <c r="K15" i="12"/>
  <c r="K11" i="14"/>
  <c r="K12" i="14" s="1"/>
  <c r="K13" i="14" s="1"/>
  <c r="K14" i="14" s="1"/>
  <c r="K15" i="14" s="1"/>
  <c r="K16" i="14" s="1"/>
  <c r="K17" i="14" s="1"/>
  <c r="K18" i="14" s="1"/>
  <c r="P26" i="1"/>
  <c r="S26" i="1" s="1"/>
  <c r="T26" i="1" s="1"/>
  <c r="D26" i="25" s="1"/>
  <c r="K9" i="9"/>
  <c r="K216" i="1"/>
  <c r="R216" i="1" s="1"/>
  <c r="T216" i="1" s="1"/>
  <c r="D216" i="25" s="1"/>
  <c r="O8" i="2"/>
  <c r="H35" i="1"/>
  <c r="K10" i="10"/>
  <c r="L51" i="1"/>
  <c r="R51" i="1" s="1"/>
  <c r="T51" i="1" s="1"/>
  <c r="D51" i="25" s="1"/>
  <c r="O8" i="7"/>
  <c r="I80" i="1"/>
  <c r="R32" i="1"/>
  <c r="T32" i="1" s="1"/>
  <c r="D32" i="25" s="1"/>
  <c r="K9" i="8"/>
  <c r="J16" i="1"/>
  <c r="K18" i="11"/>
  <c r="M47" i="1"/>
  <c r="R47" i="1" s="1"/>
  <c r="T47" i="1" s="1"/>
  <c r="D47" i="25" s="1"/>
  <c r="K16" i="12" l="1"/>
  <c r="N82" i="1"/>
  <c r="R82" i="1" s="1"/>
  <c r="T82" i="1" s="1"/>
  <c r="D82" i="25" s="1"/>
  <c r="K11" i="10"/>
  <c r="L255" i="1"/>
  <c r="R255" i="1" s="1"/>
  <c r="T255" i="1" s="1"/>
  <c r="D255" i="25" s="1"/>
  <c r="H137" i="1"/>
  <c r="R137" i="1" s="1"/>
  <c r="T137" i="1" s="1"/>
  <c r="D137" i="25" s="1"/>
  <c r="O9" i="2"/>
  <c r="K10" i="8"/>
  <c r="J193" i="1"/>
  <c r="K10" i="9"/>
  <c r="K8" i="1"/>
  <c r="R8" i="1" s="1"/>
  <c r="T8" i="1" s="1"/>
  <c r="D8" i="25" s="1"/>
  <c r="O9" i="7"/>
  <c r="I120" i="1"/>
  <c r="K19" i="11"/>
  <c r="M143" i="1"/>
  <c r="N152" i="1" l="1"/>
  <c r="R152" i="1" s="1"/>
  <c r="T152" i="1" s="1"/>
  <c r="D152" i="25" s="1"/>
  <c r="K17" i="12"/>
  <c r="K20" i="11"/>
  <c r="M163" i="1" s="1"/>
  <c r="R163" i="1" s="1"/>
  <c r="T163" i="1" s="1"/>
  <c r="D163" i="25" s="1"/>
  <c r="O3" i="11"/>
  <c r="O4" i="11" s="1"/>
  <c r="O5" i="11" s="1"/>
  <c r="O6" i="11" s="1"/>
  <c r="O7" i="11" s="1"/>
  <c r="O8" i="11" s="1"/>
  <c r="O9" i="11" s="1"/>
  <c r="O10" i="11" s="1"/>
  <c r="O11" i="11" s="1"/>
  <c r="O12" i="11" s="1"/>
  <c r="O13" i="11" s="1"/>
  <c r="O14" i="11" s="1"/>
  <c r="O15" i="11" s="1"/>
  <c r="O16" i="11" s="1"/>
  <c r="O17" i="11" s="1"/>
  <c r="O18" i="11" s="1"/>
  <c r="M149" i="1"/>
  <c r="H23" i="1"/>
  <c r="O10" i="2"/>
  <c r="O10" i="7"/>
  <c r="I73" i="1"/>
  <c r="K11" i="9"/>
  <c r="K13" i="1"/>
  <c r="R13" i="1" s="1"/>
  <c r="T13" i="1" s="1"/>
  <c r="D13" i="25" s="1"/>
  <c r="K11" i="8"/>
  <c r="J194" i="1"/>
  <c r="O3" i="10"/>
  <c r="O4" i="10" s="1"/>
  <c r="O5" i="10" s="1"/>
  <c r="O6" i="10" s="1"/>
  <c r="O7" i="10" s="1"/>
  <c r="O8" i="10" s="1"/>
  <c r="O9" i="10" s="1"/>
  <c r="O10" i="10" s="1"/>
  <c r="O11" i="10" s="1"/>
  <c r="O12" i="10" s="1"/>
  <c r="O13" i="10" s="1"/>
  <c r="O14" i="10" s="1"/>
  <c r="O15" i="10" s="1"/>
  <c r="O16" i="10" s="1"/>
  <c r="O17" i="10" s="1"/>
  <c r="O18" i="10" s="1"/>
  <c r="K12" i="10"/>
  <c r="L257" i="1"/>
  <c r="K18" i="12" l="1"/>
  <c r="N183" i="1"/>
  <c r="K12" i="9"/>
  <c r="K218" i="1"/>
  <c r="R218" i="1" s="1"/>
  <c r="T218" i="1" s="1"/>
  <c r="D218" i="25" s="1"/>
  <c r="K12" i="8"/>
  <c r="J217" i="1"/>
  <c r="R217" i="1" s="1"/>
  <c r="T217" i="1" s="1"/>
  <c r="D217" i="25" s="1"/>
  <c r="O11" i="7"/>
  <c r="I260" i="1"/>
  <c r="R260" i="1" s="1"/>
  <c r="T260" i="1" s="1"/>
  <c r="D260" i="25" s="1"/>
  <c r="O11" i="2"/>
  <c r="H20" i="1"/>
  <c r="K13" i="10"/>
  <c r="L187" i="1"/>
  <c r="K21" i="11"/>
  <c r="M136" i="1"/>
  <c r="R136" i="1" s="1"/>
  <c r="T136" i="1" s="1"/>
  <c r="D136" i="25" s="1"/>
  <c r="K19" i="12" l="1"/>
  <c r="N149" i="1"/>
  <c r="O12" i="7"/>
  <c r="O13" i="7" s="1"/>
  <c r="O14" i="7" s="1"/>
  <c r="O15" i="7" s="1"/>
  <c r="O16" i="7" s="1"/>
  <c r="O17" i="7" s="1"/>
  <c r="I261" i="1"/>
  <c r="R261" i="1" s="1"/>
  <c r="T261" i="1" s="1"/>
  <c r="D261" i="25" s="1"/>
  <c r="K14" i="10"/>
  <c r="L149" i="1"/>
  <c r="K13" i="8"/>
  <c r="J80" i="1"/>
  <c r="K22" i="11"/>
  <c r="M86" i="1"/>
  <c r="H30" i="1"/>
  <c r="R30" i="1" s="1"/>
  <c r="T30" i="1" s="1"/>
  <c r="D30" i="25" s="1"/>
  <c r="O12" i="2"/>
  <c r="K13" i="9"/>
  <c r="K104" i="1"/>
  <c r="R104" i="1" s="1"/>
  <c r="T104" i="1" s="1"/>
  <c r="D104" i="25" s="1"/>
  <c r="R149" i="1" l="1"/>
  <c r="T149" i="1" s="1"/>
  <c r="D149" i="25" s="1"/>
  <c r="O3" i="12"/>
  <c r="O4" i="12" s="1"/>
  <c r="O5" i="12" s="1"/>
  <c r="O6" i="12" s="1"/>
  <c r="O7" i="12" s="1"/>
  <c r="O8" i="12" s="1"/>
  <c r="O9" i="12" s="1"/>
  <c r="O10" i="12" s="1"/>
  <c r="O11" i="12" s="1"/>
  <c r="O12" i="12" s="1"/>
  <c r="O13" i="12" s="1"/>
  <c r="O14" i="12" s="1"/>
  <c r="O15" i="12" s="1"/>
  <c r="O16" i="12" s="1"/>
  <c r="O17" i="12" s="1"/>
  <c r="O18" i="12" s="1"/>
  <c r="K20" i="12"/>
  <c r="N184" i="1"/>
  <c r="R184" i="1" s="1"/>
  <c r="T184" i="1" s="1"/>
  <c r="D184" i="25" s="1"/>
  <c r="O18" i="7"/>
  <c r="I81" i="1"/>
  <c r="K23" i="11"/>
  <c r="M256" i="1"/>
  <c r="R256" i="1" s="1"/>
  <c r="T256" i="1" s="1"/>
  <c r="D256" i="25" s="1"/>
  <c r="K14" i="9"/>
  <c r="K220" i="1"/>
  <c r="R220" i="1" s="1"/>
  <c r="T220" i="1" s="1"/>
  <c r="D220" i="25" s="1"/>
  <c r="K14" i="8"/>
  <c r="J37" i="1" s="1"/>
  <c r="R37" i="1" s="1"/>
  <c r="T37" i="1" s="1"/>
  <c r="D37" i="25" s="1"/>
  <c r="J219" i="1"/>
  <c r="R219" i="1" s="1"/>
  <c r="T219" i="1" s="1"/>
  <c r="D219" i="25" s="1"/>
  <c r="O13" i="2"/>
  <c r="H50" i="1"/>
  <c r="R50" i="1" s="1"/>
  <c r="T50" i="1" s="1"/>
  <c r="D50" i="25" s="1"/>
  <c r="K15" i="10"/>
  <c r="K16" i="10" s="1"/>
  <c r="K17" i="10" s="1"/>
  <c r="K18" i="10" s="1"/>
  <c r="L183" i="1"/>
  <c r="K21" i="12" l="1"/>
  <c r="N185" i="1"/>
  <c r="R185" i="1" s="1"/>
  <c r="T185" i="1" s="1"/>
  <c r="D185" i="25" s="1"/>
  <c r="K15" i="8"/>
  <c r="K15" i="9"/>
  <c r="K221" i="1"/>
  <c r="R221" i="1" s="1"/>
  <c r="T221" i="1" s="1"/>
  <c r="D221" i="25" s="1"/>
  <c r="K24" i="11"/>
  <c r="M66" i="1"/>
  <c r="R66" i="1" s="1"/>
  <c r="T66" i="1" s="1"/>
  <c r="D66" i="25" s="1"/>
  <c r="H81" i="1"/>
  <c r="R81" i="1" s="1"/>
  <c r="T81" i="1" s="1"/>
  <c r="D81" i="25" s="1"/>
  <c r="O14" i="2"/>
  <c r="K22" i="12" l="1"/>
  <c r="N138" i="1"/>
  <c r="R138" i="1" s="1"/>
  <c r="T138" i="1" s="1"/>
  <c r="D138" i="25" s="1"/>
  <c r="K25" i="11"/>
  <c r="M183" i="1" s="1"/>
  <c r="R183" i="1" s="1"/>
  <c r="T183" i="1" s="1"/>
  <c r="D183" i="25" s="1"/>
  <c r="M257" i="1"/>
  <c r="R257" i="1" s="1"/>
  <c r="T257" i="1" s="1"/>
  <c r="D257" i="25" s="1"/>
  <c r="O15" i="2"/>
  <c r="H74" i="1"/>
  <c r="R74" i="1" s="1"/>
  <c r="T74" i="1" s="1"/>
  <c r="D74" i="25" s="1"/>
  <c r="O3" i="9"/>
  <c r="K16" i="9"/>
  <c r="K223" i="1"/>
  <c r="R223" i="1" s="1"/>
  <c r="T223" i="1" s="1"/>
  <c r="D223" i="25" s="1"/>
  <c r="K16" i="8"/>
  <c r="J25" i="1"/>
  <c r="R25" i="1" s="1"/>
  <c r="T25" i="1" s="1"/>
  <c r="D25" i="25" s="1"/>
  <c r="K23" i="12" l="1"/>
  <c r="N186" i="1"/>
  <c r="R186" i="1" s="1"/>
  <c r="T186" i="1" s="1"/>
  <c r="D186" i="25" s="1"/>
  <c r="K17" i="8"/>
  <c r="J222" i="1"/>
  <c r="R222" i="1" s="1"/>
  <c r="T222" i="1" s="1"/>
  <c r="D222" i="25" s="1"/>
  <c r="K17" i="9"/>
  <c r="K61" i="1"/>
  <c r="R61" i="1" s="1"/>
  <c r="T61" i="1" s="1"/>
  <c r="D61" i="25" s="1"/>
  <c r="H151" i="1"/>
  <c r="R151" i="1" s="1"/>
  <c r="T151" i="1" s="1"/>
  <c r="D151" i="25" s="1"/>
  <c r="O16" i="2"/>
  <c r="O4" i="9"/>
  <c r="K190" i="1"/>
  <c r="R190" i="1" s="1"/>
  <c r="T190" i="1" s="1"/>
  <c r="D190" i="25" s="1"/>
  <c r="K24" i="12" l="1"/>
  <c r="N188" i="1" s="1"/>
  <c r="R188" i="1" s="1"/>
  <c r="T188" i="1" s="1"/>
  <c r="D188" i="25" s="1"/>
  <c r="N187" i="1"/>
  <c r="R187" i="1" s="1"/>
  <c r="T187" i="1" s="1"/>
  <c r="D187" i="25" s="1"/>
  <c r="O5" i="9"/>
  <c r="K224" i="1"/>
  <c r="R224" i="1" s="1"/>
  <c r="T224" i="1" s="1"/>
  <c r="D224" i="25" s="1"/>
  <c r="K18" i="8"/>
  <c r="J192" i="1"/>
  <c r="R192" i="1" s="1"/>
  <c r="T192" i="1" s="1"/>
  <c r="D192" i="25" s="1"/>
  <c r="O17" i="2"/>
  <c r="O18" i="2" s="1"/>
  <c r="H85" i="1"/>
  <c r="R85" i="1" s="1"/>
  <c r="T85" i="1" s="1"/>
  <c r="D85" i="25" s="1"/>
  <c r="K18" i="9"/>
  <c r="K193" i="1"/>
  <c r="R193" i="1" s="1"/>
  <c r="T193" i="1" s="1"/>
  <c r="D193" i="25" s="1"/>
  <c r="K19" i="9" l="1"/>
  <c r="K70" i="1" s="1"/>
  <c r="R70" i="1" s="1"/>
  <c r="T70" i="1" s="1"/>
  <c r="D70" i="25" s="1"/>
  <c r="K52" i="1"/>
  <c r="O6" i="9"/>
  <c r="K16" i="1"/>
  <c r="R16" i="1" s="1"/>
  <c r="T16" i="1" s="1"/>
  <c r="D16" i="25" s="1"/>
  <c r="K19" i="8"/>
  <c r="J21" i="1"/>
  <c r="R21" i="1" s="1"/>
  <c r="T21" i="1" s="1"/>
  <c r="D21" i="25" s="1"/>
  <c r="O3" i="8" l="1"/>
  <c r="K20" i="8"/>
  <c r="J15" i="1"/>
  <c r="R15" i="1" s="1"/>
  <c r="T15" i="1" s="1"/>
  <c r="D15" i="25" s="1"/>
  <c r="O7" i="9"/>
  <c r="K191" i="1"/>
  <c r="R191" i="1" s="1"/>
  <c r="T191" i="1" s="1"/>
  <c r="D191" i="25" s="1"/>
  <c r="O4" i="8" l="1"/>
  <c r="J41" i="1"/>
  <c r="R41" i="1" s="1"/>
  <c r="T41" i="1" s="1"/>
  <c r="D41" i="25" s="1"/>
  <c r="O8" i="9"/>
  <c r="K80" i="1"/>
  <c r="R80" i="1" s="1"/>
  <c r="T80" i="1" s="1"/>
  <c r="D80" i="25" s="1"/>
  <c r="K21" i="8"/>
  <c r="J52" i="1"/>
  <c r="R52" i="1" s="1"/>
  <c r="T52" i="1" s="1"/>
  <c r="D52" i="25" s="1"/>
  <c r="O5" i="8" l="1"/>
  <c r="J225" i="1"/>
  <c r="R225" i="1" s="1"/>
  <c r="T225" i="1" s="1"/>
  <c r="D225" i="25" s="1"/>
  <c r="K22" i="8"/>
  <c r="J73" i="1"/>
  <c r="O9" i="9"/>
  <c r="K194" i="1"/>
  <c r="R194" i="1" s="1"/>
  <c r="T194" i="1" s="1"/>
  <c r="D194" i="25" s="1"/>
  <c r="O6" i="8" l="1"/>
  <c r="J68" i="1"/>
  <c r="R68" i="1" s="1"/>
  <c r="T68" i="1" s="1"/>
  <c r="D68" i="25" s="1"/>
  <c r="K23" i="8"/>
  <c r="J129" i="1"/>
  <c r="R129" i="1" s="1"/>
  <c r="T129" i="1" s="1"/>
  <c r="D129" i="25" s="1"/>
  <c r="O10" i="9"/>
  <c r="K195" i="1"/>
  <c r="K24" i="8" l="1"/>
  <c r="J227" i="1" s="1"/>
  <c r="R227" i="1" s="1"/>
  <c r="T227" i="1" s="1"/>
  <c r="D227" i="25" s="1"/>
  <c r="J226" i="1"/>
  <c r="R226" i="1" s="1"/>
  <c r="T226" i="1" s="1"/>
  <c r="D226" i="25" s="1"/>
  <c r="O7" i="8"/>
  <c r="J195" i="1"/>
  <c r="R195" i="1" s="1"/>
  <c r="T195" i="1" s="1"/>
  <c r="D195" i="25" s="1"/>
  <c r="O11" i="9"/>
  <c r="K73" i="1"/>
  <c r="R73" i="1" s="1"/>
  <c r="T73" i="1" s="1"/>
  <c r="D73" i="25" s="1"/>
  <c r="O8" i="8" l="1"/>
  <c r="J143" i="1"/>
  <c r="R143" i="1" s="1"/>
  <c r="T143" i="1" s="1"/>
  <c r="D143" i="25" s="1"/>
  <c r="O12" i="9"/>
  <c r="K228" i="1"/>
  <c r="R228" i="1" s="1"/>
  <c r="T228" i="1" s="1"/>
  <c r="D228" i="25" s="1"/>
  <c r="O9" i="8" l="1"/>
  <c r="J56" i="1"/>
  <c r="R56" i="1" s="1"/>
  <c r="T56" i="1" s="1"/>
  <c r="D56" i="25" s="1"/>
  <c r="O13" i="9"/>
  <c r="K120" i="1"/>
  <c r="R120" i="1" s="1"/>
  <c r="T120" i="1" s="1"/>
  <c r="D120" i="25" s="1"/>
  <c r="O10" i="8" l="1"/>
  <c r="J20" i="1"/>
  <c r="R20" i="1" s="1"/>
  <c r="T20" i="1" s="1"/>
  <c r="D20" i="25" s="1"/>
  <c r="O14" i="9"/>
  <c r="K229" i="1"/>
  <c r="R229" i="1" s="1"/>
  <c r="T229" i="1" s="1"/>
  <c r="D229" i="25" s="1"/>
  <c r="O15" i="9" l="1"/>
  <c r="O16" i="9" s="1"/>
  <c r="O17" i="9" s="1"/>
  <c r="O18" i="9" s="1"/>
  <c r="K230" i="1"/>
  <c r="R230" i="1" s="1"/>
  <c r="T230" i="1" s="1"/>
  <c r="D230" i="25" s="1"/>
  <c r="O11" i="8"/>
  <c r="J35" i="1"/>
  <c r="R35" i="1" s="1"/>
  <c r="T35" i="1" s="1"/>
  <c r="D35" i="25" s="1"/>
  <c r="O12" i="8" l="1"/>
  <c r="J86" i="1"/>
  <c r="R86" i="1" s="1"/>
  <c r="T86" i="1" s="1"/>
  <c r="D86" i="25" s="1"/>
  <c r="O13" i="8" l="1"/>
  <c r="J23" i="1"/>
  <c r="R23" i="1" s="1"/>
  <c r="T23" i="1" s="1"/>
  <c r="D23" i="25" s="1"/>
  <c r="O14" i="8" l="1"/>
  <c r="J231" i="1"/>
  <c r="R231" i="1" s="1"/>
  <c r="T231" i="1" s="1"/>
  <c r="D231" i="25" s="1"/>
  <c r="O15" i="8" l="1"/>
  <c r="O16" i="8" s="1"/>
  <c r="O17" i="8" s="1"/>
  <c r="O18" i="8" s="1"/>
  <c r="J232" i="1"/>
  <c r="R232" i="1" s="1"/>
  <c r="T232" i="1" s="1"/>
  <c r="D232"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<sst xmlns="http://schemas.openxmlformats.org/spreadsheetml/2006/main" count="2997" uniqueCount="653">
  <si>
    <t>Ranking</t>
  </si>
  <si>
    <t>Name</t>
  </si>
  <si>
    <t>Verein</t>
  </si>
  <si>
    <t>LV</t>
  </si>
  <si>
    <t>M/W/D</t>
  </si>
  <si>
    <t>SpielerID</t>
  </si>
  <si>
    <t>Jg.</t>
  </si>
  <si>
    <t>WBV 1</t>
  </si>
  <si>
    <t>WBV 2</t>
  </si>
  <si>
    <t>WBV 3</t>
  </si>
  <si>
    <t>WBV 4</t>
  </si>
  <si>
    <t>NÖBV 1</t>
  </si>
  <si>
    <t>NÖBV 2</t>
  </si>
  <si>
    <t>NÖBV 3</t>
  </si>
  <si>
    <t>Regio 1</t>
  </si>
  <si>
    <t>Regio 2</t>
  </si>
  <si>
    <t>Regio 3</t>
  </si>
  <si>
    <t>LV Points</t>
  </si>
  <si>
    <t>Regio Points</t>
  </si>
  <si>
    <t>NW OST</t>
  </si>
  <si>
    <t>Matthias Trimmel</t>
  </si>
  <si>
    <t>ASV Pressbaum</t>
  </si>
  <si>
    <t>NÖBV</t>
  </si>
  <si>
    <t>M</t>
  </si>
  <si>
    <t>Valentin Grebien</t>
  </si>
  <si>
    <t>WBH WIEN</t>
  </si>
  <si>
    <t>WBV</t>
  </si>
  <si>
    <t>Valentin Schefcik</t>
  </si>
  <si>
    <t>Badminton Mödling</t>
  </si>
  <si>
    <t>Akos Horvath</t>
  </si>
  <si>
    <t>Ziqi Li</t>
  </si>
  <si>
    <t>VRC</t>
  </si>
  <si>
    <t>Philipp Grebien</t>
  </si>
  <si>
    <t>Wenzel Tiapal</t>
  </si>
  <si>
    <t>Luca Bucek</t>
  </si>
  <si>
    <t>Simon Mayer</t>
  </si>
  <si>
    <t>Noah Staubmann</t>
  </si>
  <si>
    <t>Juan-Facundo Le Rose</t>
  </si>
  <si>
    <t>Evita Hazdra</t>
  </si>
  <si>
    <t>URW Wien</t>
  </si>
  <si>
    <t>W</t>
  </si>
  <si>
    <t>Tim Loy</t>
  </si>
  <si>
    <t>Tobias Quiroga</t>
  </si>
  <si>
    <t>WAT Simmering</t>
  </si>
  <si>
    <t>Carolina Palazzo</t>
  </si>
  <si>
    <t>Mustafa Hussaini</t>
  </si>
  <si>
    <t>Badminton Point Vienna</t>
  </si>
  <si>
    <t>Nikol Odyntsova</t>
  </si>
  <si>
    <t>BPV</t>
  </si>
  <si>
    <t>Jonas Akin</t>
  </si>
  <si>
    <t>Laura Schindler</t>
  </si>
  <si>
    <t>Ryan Lan</t>
  </si>
  <si>
    <t>Theodor Pap</t>
  </si>
  <si>
    <t>Mario Mitterer</t>
  </si>
  <si>
    <t>BC St. Pölten</t>
  </si>
  <si>
    <t>Lisa Corbeletta Tang</t>
  </si>
  <si>
    <t>Louis Liu</t>
  </si>
  <si>
    <t>BC Wienerberg</t>
  </si>
  <si>
    <t>Michaela Shi</t>
  </si>
  <si>
    <t>Lola Ahammer</t>
  </si>
  <si>
    <t>Johanna Floßmann</t>
  </si>
  <si>
    <t>Julia Witzelsberger</t>
  </si>
  <si>
    <t>Sebastian Bitter</t>
  </si>
  <si>
    <t>Nora Walter</t>
  </si>
  <si>
    <t>208476</t>
  </si>
  <si>
    <t>Melanie Shi</t>
  </si>
  <si>
    <t>Emilia Nagy</t>
  </si>
  <si>
    <t>Miriam Duchac-Oberndorfer</t>
  </si>
  <si>
    <t>Sam Lavvaf Koshyani</t>
  </si>
  <si>
    <t>208477</t>
  </si>
  <si>
    <t>Jaqueline Zhang</t>
  </si>
  <si>
    <t>Felix Rädle</t>
  </si>
  <si>
    <t>Top und Fit Badminton Bad Vöslau</t>
  </si>
  <si>
    <t/>
  </si>
  <si>
    <t>Terrence Chen</t>
  </si>
  <si>
    <t>Leonhard Keiler</t>
  </si>
  <si>
    <t>Lukas Zhang</t>
  </si>
  <si>
    <t>Zhenhui Tang</t>
  </si>
  <si>
    <t>Mariya Indyukhova</t>
  </si>
  <si>
    <t>208314</t>
  </si>
  <si>
    <t>Leon Akin</t>
  </si>
  <si>
    <t>Shan Singh Lamba</t>
  </si>
  <si>
    <t>Ricky Chen</t>
  </si>
  <si>
    <t>Matteo Klinka</t>
  </si>
  <si>
    <t>Owen Liu</t>
  </si>
  <si>
    <t>Dominika Sobotova</t>
  </si>
  <si>
    <t>Emily Nistelberger</t>
  </si>
  <si>
    <t>208479</t>
  </si>
  <si>
    <t>Henrik Novi</t>
  </si>
  <si>
    <t>Tessa Henke</t>
  </si>
  <si>
    <t>208480</t>
  </si>
  <si>
    <t>Adrian Novotny</t>
  </si>
  <si>
    <t>Joachim Zeilerbauer</t>
  </si>
  <si>
    <t>SKVg Pottenbrunn</t>
  </si>
  <si>
    <t>Mae Rädle</t>
  </si>
  <si>
    <t>Xinjie Chen</t>
  </si>
  <si>
    <t>Elias Reisinger</t>
  </si>
  <si>
    <t>ASKÖ Traun</t>
  </si>
  <si>
    <t>Raphael Rodrigues</t>
  </si>
  <si>
    <t>Vanessa Kurz</t>
  </si>
  <si>
    <t>208655</t>
  </si>
  <si>
    <t>Maximilian Grünwald</t>
  </si>
  <si>
    <t>OÖBV</t>
  </si>
  <si>
    <t>313517</t>
  </si>
  <si>
    <t>Josua Zeilerbauer</t>
  </si>
  <si>
    <t>Max Xia</t>
  </si>
  <si>
    <t>Vito Eisenhardt</t>
  </si>
  <si>
    <t>Dimitrij Wolgin</t>
  </si>
  <si>
    <t>Sportunion Krems</t>
  </si>
  <si>
    <t>Veronica Sokhan</t>
  </si>
  <si>
    <t>Samuel Nemeskal</t>
  </si>
  <si>
    <t>Ziseon Huang</t>
  </si>
  <si>
    <t>Ilian Reisinger</t>
  </si>
  <si>
    <t>313153</t>
  </si>
  <si>
    <t>Izel Ilhan</t>
  </si>
  <si>
    <t>208654</t>
  </si>
  <si>
    <t>Ferdinand Bauer</t>
  </si>
  <si>
    <t>Richard Kuzica</t>
  </si>
  <si>
    <t>Ida Stippl-Liu</t>
  </si>
  <si>
    <t>Aleksandar Zaharieski</t>
  </si>
  <si>
    <t>Dorian Grundschober</t>
  </si>
  <si>
    <t>Christoph Fessl</t>
  </si>
  <si>
    <t>Victor Acimovic</t>
  </si>
  <si>
    <t>Bastian Klinka</t>
  </si>
  <si>
    <t>Leon Fogel</t>
  </si>
  <si>
    <t>Viktor Matz</t>
  </si>
  <si>
    <t>Sophie Grünwald</t>
  </si>
  <si>
    <t>313514</t>
  </si>
  <si>
    <t>Tim Jeitler</t>
  </si>
  <si>
    <t>Romeo Sam</t>
  </si>
  <si>
    <t>Vösendorf</t>
  </si>
  <si>
    <t>Oliver Liu</t>
  </si>
  <si>
    <t>Maximilian Wegenstein</t>
  </si>
  <si>
    <t>Oliver Sulzbacher</t>
  </si>
  <si>
    <t>Levin Onukwue</t>
  </si>
  <si>
    <t>208473</t>
  </si>
  <si>
    <t>Robin Sam</t>
  </si>
  <si>
    <t>Matias Zhang</t>
  </si>
  <si>
    <t>Aron Massl</t>
  </si>
  <si>
    <t>Levin Anderwald</t>
  </si>
  <si>
    <t>Emil Eysn</t>
  </si>
  <si>
    <t>Marc Tobolski</t>
  </si>
  <si>
    <t>Lennard LOY</t>
  </si>
  <si>
    <t>Savita Brosenbauer</t>
  </si>
  <si>
    <t>208514</t>
  </si>
  <si>
    <t>Boen Yan</t>
  </si>
  <si>
    <t>Mia Gindulin</t>
  </si>
  <si>
    <t>David Filipovic</t>
  </si>
  <si>
    <t>Sophia Elisabeth Ecker</t>
  </si>
  <si>
    <t>208478</t>
  </si>
  <si>
    <t>Zuzana Krajnakova</t>
  </si>
  <si>
    <t>Kiril Barthel</t>
  </si>
  <si>
    <t>Alen Sosyan</t>
  </si>
  <si>
    <t>Marc Kittler</t>
  </si>
  <si>
    <t>Julia Swoboda</t>
  </si>
  <si>
    <t>Ignas Julius Neufeld</t>
  </si>
  <si>
    <t>Florentin Ahammer</t>
  </si>
  <si>
    <t>208133</t>
  </si>
  <si>
    <t>Felix Sztatecsny</t>
  </si>
  <si>
    <t>Jacob Chen</t>
  </si>
  <si>
    <t>Union VRC Badminton</t>
  </si>
  <si>
    <t>108767</t>
  </si>
  <si>
    <t>Felix Kirchberger</t>
  </si>
  <si>
    <t>Emil Hager</t>
  </si>
  <si>
    <t>Yuyang Zhang</t>
  </si>
  <si>
    <t>Simon Stricker</t>
  </si>
  <si>
    <t>Linda Zjavková</t>
  </si>
  <si>
    <t>Finn Blieweis</t>
  </si>
  <si>
    <t>Lisa Gindulin</t>
  </si>
  <si>
    <t>Jonathan Schönberger</t>
  </si>
  <si>
    <t>Golsamin Harandi</t>
  </si>
  <si>
    <t>Angel Villanueva</t>
  </si>
  <si>
    <t>WBH Wien</t>
  </si>
  <si>
    <t>111769</t>
  </si>
  <si>
    <t>Camilla Teufel</t>
  </si>
  <si>
    <t>Stefan Scheer</t>
  </si>
  <si>
    <t>Finn Petraschek</t>
  </si>
  <si>
    <t>Valentina Krenn</t>
  </si>
  <si>
    <t>111367</t>
  </si>
  <si>
    <t>Leon Lu</t>
  </si>
  <si>
    <t>Lukas Buschenreithner</t>
  </si>
  <si>
    <t>FZSV Sparkasse Ybbs</t>
  </si>
  <si>
    <t>26597</t>
  </si>
  <si>
    <t>Mathilde Spath-Dörflinger</t>
  </si>
  <si>
    <t>Felix Kickinger</t>
  </si>
  <si>
    <t>William Thai</t>
  </si>
  <si>
    <t>Tobias Lindorfer</t>
  </si>
  <si>
    <t>Benjamin Kienzl</t>
  </si>
  <si>
    <t>Fabian Faller</t>
  </si>
  <si>
    <t>Philip Klien</t>
  </si>
  <si>
    <t>Irma Sutekova</t>
  </si>
  <si>
    <t>Christoph Fehringer</t>
  </si>
  <si>
    <t>Sportunion St.Peter/Au</t>
  </si>
  <si>
    <t>208416</t>
  </si>
  <si>
    <t>Georgio Khoury</t>
  </si>
  <si>
    <t>208753</t>
  </si>
  <si>
    <t>Mahdy Naiem</t>
  </si>
  <si>
    <t>Matteo Luksch</t>
  </si>
  <si>
    <t>Andrej Sutek</t>
  </si>
  <si>
    <t>Parth Gandhi</t>
  </si>
  <si>
    <t>Mia Häupl</t>
  </si>
  <si>
    <t>Anja Reisinger</t>
  </si>
  <si>
    <t>David Kranzmayr</t>
  </si>
  <si>
    <t>208414</t>
  </si>
  <si>
    <t>Mika Thomas</t>
  </si>
  <si>
    <t>Florian Blümel</t>
  </si>
  <si>
    <t>Paul Lindorfer</t>
  </si>
  <si>
    <t>Sebastian Dollinger</t>
  </si>
  <si>
    <t>Antonio Shang</t>
  </si>
  <si>
    <t>Leon Hausmann</t>
  </si>
  <si>
    <t>207953</t>
  </si>
  <si>
    <t>Oscar Chung</t>
  </si>
  <si>
    <t>Umut Ilhan</t>
  </si>
  <si>
    <t>208773</t>
  </si>
  <si>
    <t>Lukas Katsionis</t>
  </si>
  <si>
    <t>Leo Gruber</t>
  </si>
  <si>
    <t>Vinzenz Fischlmair</t>
  </si>
  <si>
    <t>Raphael Munz</t>
  </si>
  <si>
    <t>208513</t>
  </si>
  <si>
    <t>Marco Papp</t>
  </si>
  <si>
    <t>207976</t>
  </si>
  <si>
    <t>Emma Reiter</t>
  </si>
  <si>
    <t>208737</t>
  </si>
  <si>
    <t>Leonidas Schmidt</t>
  </si>
  <si>
    <t>Dario Kasser</t>
  </si>
  <si>
    <t>Marlene Posch</t>
  </si>
  <si>
    <t>208713</t>
  </si>
  <si>
    <t>Aminat Ustarkhanova</t>
  </si>
  <si>
    <t>Pepe Carstensen</t>
  </si>
  <si>
    <t>Felix Lamplmaier</t>
  </si>
  <si>
    <t>Stella Marie Widder</t>
  </si>
  <si>
    <t>208735</t>
  </si>
  <si>
    <t>Sebastian Nachförg</t>
  </si>
  <si>
    <t>208734</t>
  </si>
  <si>
    <t>Adrian Watzinger</t>
  </si>
  <si>
    <t>Raphael Lossmann-Illiev</t>
  </si>
  <si>
    <t>Rabir Arora</t>
  </si>
  <si>
    <t>Katharina Lossmann-Illiev</t>
  </si>
  <si>
    <t>Elias Harant</t>
  </si>
  <si>
    <t>208736</t>
  </si>
  <si>
    <t>Miriam Zehndorfer</t>
  </si>
  <si>
    <t>Matteo Shang</t>
  </si>
  <si>
    <t>Simon Walter</t>
  </si>
  <si>
    <t>Alexander Huang</t>
  </si>
  <si>
    <t>Oscar Hsu</t>
  </si>
  <si>
    <t>Samuel Lehner-Wöss</t>
  </si>
  <si>
    <t>Alvin Huang</t>
  </si>
  <si>
    <t>Matthias Fessl</t>
  </si>
  <si>
    <t>Yan Zhi</t>
  </si>
  <si>
    <t>Dominik Fleck</t>
  </si>
  <si>
    <t>Alisha Huang</t>
  </si>
  <si>
    <t>Irina Sigmund</t>
  </si>
  <si>
    <t>Alessa Bütow</t>
  </si>
  <si>
    <t>Daniel Naumescu</t>
  </si>
  <si>
    <t>ASVÖ Racketsport Vösendorf</t>
  </si>
  <si>
    <t>Philipp Janousek</t>
  </si>
  <si>
    <t>Clemens Degischer</t>
  </si>
  <si>
    <t>Benjamin Gerula</t>
  </si>
  <si>
    <t>Lilly Buchmann</t>
  </si>
  <si>
    <t>Emma Kainerstorfer</t>
  </si>
  <si>
    <t>Gerhard Justus</t>
  </si>
  <si>
    <t>Nathan Pacal</t>
  </si>
  <si>
    <t>Daniel Ďuračka</t>
  </si>
  <si>
    <t>Patrik Stuška</t>
  </si>
  <si>
    <t>Nina Sameková</t>
  </si>
  <si>
    <t>Philipp Walland</t>
  </si>
  <si>
    <t>Jakub Koma</t>
  </si>
  <si>
    <t>Spoje Bratislava</t>
  </si>
  <si>
    <t>EXT</t>
  </si>
  <si>
    <t>Filip Mišík</t>
  </si>
  <si>
    <t>Clemens Piccardi</t>
  </si>
  <si>
    <t>Matej Koma</t>
  </si>
  <si>
    <t>Karolin Radl</t>
  </si>
  <si>
    <t>Ninette Siedl-Tschepen</t>
  </si>
  <si>
    <t>Leonie Grgic</t>
  </si>
  <si>
    <t>Oskar Bleyl</t>
  </si>
  <si>
    <t>Laurena Grgic</t>
  </si>
  <si>
    <t>Karina Busuioc</t>
  </si>
  <si>
    <t>Max Fiser</t>
  </si>
  <si>
    <t>Dusan Dobos</t>
  </si>
  <si>
    <t>Lucia Lea Misunova</t>
  </si>
  <si>
    <t>Oliver Matz</t>
  </si>
  <si>
    <t>Lukas Koschtial</t>
  </si>
  <si>
    <t>Lenka Ciamporova</t>
  </si>
  <si>
    <t>Ray Huang</t>
  </si>
  <si>
    <t>Changkai Liu</t>
  </si>
  <si>
    <t>Anton Dilberovic</t>
  </si>
  <si>
    <t>Markus Macek</t>
  </si>
  <si>
    <t>Marek Sturdik</t>
  </si>
  <si>
    <t>Maximilian Damjanovic</t>
  </si>
  <si>
    <t>Lorenz Kracher</t>
  </si>
  <si>
    <t>kein Verein</t>
  </si>
  <si>
    <t>Martin Senkyr</t>
  </si>
  <si>
    <t>Paulina Katreniakova</t>
  </si>
  <si>
    <t>Dominika Ludvigova</t>
  </si>
  <si>
    <t>Mina Ruenroeng</t>
  </si>
  <si>
    <t>111954</t>
  </si>
  <si>
    <t>Faraz Ahmed</t>
  </si>
  <si>
    <t>Rafael Markus Gálos</t>
  </si>
  <si>
    <t>111567</t>
  </si>
  <si>
    <t>Melanie Pichler</t>
  </si>
  <si>
    <t>110707</t>
  </si>
  <si>
    <t>Louis Mayer</t>
  </si>
  <si>
    <t>Frederik Braun</t>
  </si>
  <si>
    <t>Anton Baier</t>
  </si>
  <si>
    <t>112089</t>
  </si>
  <si>
    <t>Julian Stöger</t>
  </si>
  <si>
    <t>Tobias Gerner</t>
  </si>
  <si>
    <t>Clemens Braun</t>
  </si>
  <si>
    <t>Anesia Brar</t>
  </si>
  <si>
    <t>112090</t>
  </si>
  <si>
    <t>Martin Müller</t>
  </si>
  <si>
    <t>112088</t>
  </si>
  <si>
    <t>Lina Tantawy</t>
  </si>
  <si>
    <t>Fabian Müller</t>
  </si>
  <si>
    <t>112087</t>
  </si>
  <si>
    <t>Teo Lepper</t>
  </si>
  <si>
    <t>Jeremy Guo Lin</t>
  </si>
  <si>
    <t>Lenz Gahleitner</t>
  </si>
  <si>
    <t>Jannik Neulinger</t>
  </si>
  <si>
    <t>Lukas Hintersteiner</t>
  </si>
  <si>
    <t>Mahdy Rezai</t>
  </si>
  <si>
    <t>Adam Holmqvist</t>
  </si>
  <si>
    <t>Leon Wolansky</t>
  </si>
  <si>
    <t>Simon Lehner</t>
  </si>
  <si>
    <t>Moritz Lindenhofer-Hofinger</t>
  </si>
  <si>
    <t>Valentin Zwettler</t>
  </si>
  <si>
    <t>Jonas Schlager</t>
  </si>
  <si>
    <t>Zoey Unhold</t>
  </si>
  <si>
    <t>Sina-Marie Rieder</t>
  </si>
  <si>
    <t>Maximillian Timpel</t>
  </si>
  <si>
    <t>Paul Gérard</t>
  </si>
  <si>
    <t>Emil Sotek</t>
  </si>
  <si>
    <t>Simon Koller</t>
  </si>
  <si>
    <t>Rabia Arora</t>
  </si>
  <si>
    <t>Simon Schneider</t>
  </si>
  <si>
    <t>Diana Zauner</t>
  </si>
  <si>
    <t>Corbinian Schmid</t>
  </si>
  <si>
    <t>Moe Hartleb</t>
  </si>
  <si>
    <t>Lukas Rivas-Liebmann</t>
  </si>
  <si>
    <t>Benedikt Schreiber</t>
  </si>
  <si>
    <t>Chace Magsombol</t>
  </si>
  <si>
    <t>Sportunion Donaufeld</t>
  </si>
  <si>
    <t>Leonardo Perugini</t>
  </si>
  <si>
    <t>Aurelia Krall</t>
  </si>
  <si>
    <t>1. WBV-NW Turnier 2025-26</t>
  </si>
  <si>
    <t>A</t>
  </si>
  <si>
    <t>Punkte</t>
  </si>
  <si>
    <t>B</t>
  </si>
  <si>
    <t>C</t>
  </si>
  <si>
    <t>D</t>
  </si>
  <si>
    <t>OÖBV Rangliste 2024
Nachwuchs Herren Einzel A</t>
  </si>
  <si>
    <t>Stand nach 2.Runde</t>
  </si>
  <si>
    <t>Pos.</t>
  </si>
  <si>
    <t>MgNr.</t>
  </si>
  <si>
    <t>Str.</t>
  </si>
  <si>
    <t>Ges.</t>
  </si>
  <si>
    <t>1.</t>
  </si>
  <si>
    <t>Alexander Puschl</t>
  </si>
  <si>
    <t>2.</t>
  </si>
  <si>
    <t>Emil Auberger</t>
  </si>
  <si>
    <t>3.</t>
  </si>
  <si>
    <t>Florian Neuberger</t>
  </si>
  <si>
    <t>4.</t>
  </si>
  <si>
    <t>Sebastian Preiner</t>
  </si>
  <si>
    <t>5.</t>
  </si>
  <si>
    <t>Marco Frey</t>
  </si>
  <si>
    <t>6.</t>
  </si>
  <si>
    <t>Moritz Auberger</t>
  </si>
  <si>
    <t>7.</t>
  </si>
  <si>
    <t>Kay Tong Wu</t>
  </si>
  <si>
    <t>8.</t>
  </si>
  <si>
    <t>Noah Kundl</t>
  </si>
  <si>
    <t>9.</t>
  </si>
  <si>
    <t>Felix Österreicher</t>
  </si>
  <si>
    <t>10.</t>
  </si>
  <si>
    <t>David Rebhandl</t>
  </si>
  <si>
    <t>11.</t>
  </si>
  <si>
    <t>Laurenz Aschauer</t>
  </si>
  <si>
    <t>12.</t>
  </si>
  <si>
    <t>Paul Lederhilger</t>
  </si>
  <si>
    <t>13.</t>
  </si>
  <si>
    <t>Ryan Grafinger</t>
  </si>
  <si>
    <t>14.</t>
  </si>
  <si>
    <t>Felix Pöcksteiner</t>
  </si>
  <si>
    <t>15.</t>
  </si>
  <si>
    <t>Marvin Trnka</t>
  </si>
  <si>
    <t>SB</t>
  </si>
  <si>
    <t>#REF!</t>
  </si>
  <si>
    <t>NR</t>
  </si>
  <si>
    <t>INFO:</t>
  </si>
  <si>
    <r>
      <rPr>
        <sz val="10"/>
        <color theme="1"/>
        <rFont val="Arial"/>
        <family val="2"/>
      </rPr>
      <t xml:space="preserve">
Der Gewinner des B-Bewerbs muss beim nächsten A-Bewerb spielen!
Die Nachrücker können sich aussuchen ob sie den A-Bewerb oder den B-Bewerb spielen.</t>
    </r>
    <r>
      <rPr>
        <sz val="10"/>
        <color theme="1"/>
        <rFont val="Arial"/>
        <family val="2"/>
      </rPr>
      <t xml:space="preserve">
</t>
    </r>
  </si>
  <si>
    <t>OÖBV Rangliste 2024
Nachwuchs Herren Einzel B</t>
  </si>
  <si>
    <t>Sebastian Leberbauer</t>
  </si>
  <si>
    <t>Philipp Gintersdorfer</t>
  </si>
  <si>
    <t>Jona Haueis</t>
  </si>
  <si>
    <t>Tobias Preiner</t>
  </si>
  <si>
    <t>Erwin Dinh</t>
  </si>
  <si>
    <t>Tobias Boehm</t>
  </si>
  <si>
    <t>Tobias Murhammer</t>
  </si>
  <si>
    <t>Tobias Hartog</t>
  </si>
  <si>
    <t>Moritz Urmann</t>
  </si>
  <si>
    <t>Tobias Niedermayer</t>
  </si>
  <si>
    <t>Philipp Pessenhoffer</t>
  </si>
  <si>
    <t>Daniel Ehrengruber</t>
  </si>
  <si>
    <t>Lukas Staudinger</t>
  </si>
  <si>
    <t>Maximilian Ecker</t>
  </si>
  <si>
    <t>Clemens Keintzel</t>
  </si>
  <si>
    <t>SC</t>
  </si>
  <si>
    <r>
      <rPr>
        <sz val="10"/>
        <color theme="1"/>
        <rFont val="Arial"/>
        <family val="2"/>
      </rPr>
      <t xml:space="preserve">
Der Gewinner des C-Bewerbs muss beim nächsten B-Bewerb spielen!
Die Nachrücker können sich aussuchen ob sie den B-Bewerb oder den C-Bewerb spielen.
Die </t>
    </r>
    <r>
      <rPr>
        <b/>
        <sz val="10"/>
        <color rgb="FF00B050"/>
        <rFont val="Arial"/>
        <family val="2"/>
      </rPr>
      <t>grünen</t>
    </r>
    <r>
      <rPr>
        <sz val="10"/>
        <color theme="1"/>
        <rFont val="Arial"/>
        <family val="2"/>
      </rPr>
      <t xml:space="preserve"> Punkte sind Extra-Punkte für  A, B und C Spieler (65% der letzten Punkte), die nur (mehr) 1 Resultat haben, um nicht zu stark abzufallen oder für neue A-, B- und C-Spieler um richtiger eingereiht zu werden</t>
    </r>
  </si>
  <si>
    <t>OÖBV Rangliste 2024
Nachwuchs Herren Einzel C</t>
  </si>
  <si>
    <t>Elias Hoffelner</t>
  </si>
  <si>
    <t>Florian Steininger</t>
  </si>
  <si>
    <t>Sebastian Rainer</t>
  </si>
  <si>
    <t>Jakob Schlögl</t>
  </si>
  <si>
    <t>Noris Reindl</t>
  </si>
  <si>
    <t>Niklas Haydn</t>
  </si>
  <si>
    <t>Maximilian Wellinger</t>
  </si>
  <si>
    <t>Laurenz Schillinger</t>
  </si>
  <si>
    <t>Arthur Gösweiner</t>
  </si>
  <si>
    <t>Valentin Stellmacher</t>
  </si>
  <si>
    <t>Alexander Hofbauer</t>
  </si>
  <si>
    <t>Deniz Ciger</t>
  </si>
  <si>
    <t>Paul Stadelmeier</t>
  </si>
  <si>
    <t>David Rauch</t>
  </si>
  <si>
    <t>David Gösweiner</t>
  </si>
  <si>
    <t>SD</t>
  </si>
  <si>
    <r>
      <rPr>
        <sz val="10"/>
        <color theme="1"/>
        <rFont val="Arial"/>
        <family val="2"/>
      </rPr>
      <t xml:space="preserve">
Der Gewinner des D-Bewerbs muss beim nächsten C-Bewerb spielen!
Die Nachrücker können sich aussuchen ob sie den C-Bewerb oder den D-Bewerb spielen.
Die </t>
    </r>
    <r>
      <rPr>
        <b/>
        <sz val="10"/>
        <color rgb="FF00B050"/>
        <rFont val="Arial"/>
        <family val="2"/>
      </rPr>
      <t>grünen</t>
    </r>
    <r>
      <rPr>
        <sz val="10"/>
        <color theme="1"/>
        <rFont val="Arial"/>
        <family val="2"/>
      </rPr>
      <t xml:space="preserve"> Punkte sind Extra-Punkte für  A, B und C Spieler (65% der letzten Punkte), die nur (mehr) 1 Resultat haben, um nicht zu stark abzufallen oder für neue A-, B- und C-Spieler um richtiger eingereiht zu werden</t>
    </r>
  </si>
  <si>
    <t>OÖBV Rangliste 2024
Nachwuchs Herren Einzel D</t>
  </si>
  <si>
    <t>Luca Koch</t>
  </si>
  <si>
    <t>Simon Salinger</t>
  </si>
  <si>
    <t>Matthias Steinbichler</t>
  </si>
  <si>
    <t>Alexander Ertl</t>
  </si>
  <si>
    <t>Thomas Linninger</t>
  </si>
  <si>
    <t>Florian Niedermayer</t>
  </si>
  <si>
    <t>Alexander Taferl</t>
  </si>
  <si>
    <t>Noel Hofer</t>
  </si>
  <si>
    <t>Andreas Kaukal</t>
  </si>
  <si>
    <t>Simon Bachmair</t>
  </si>
  <si>
    <t>Valentin Steinkogler</t>
  </si>
  <si>
    <t>Felix Demmelbauer</t>
  </si>
  <si>
    <t>Jonas Hoffelner</t>
  </si>
  <si>
    <t>Florian Zellinger</t>
  </si>
  <si>
    <t>SE</t>
  </si>
  <si>
    <r>
      <rPr>
        <sz val="10"/>
        <color theme="1"/>
        <rFont val="Arial"/>
        <family val="2"/>
      </rPr>
      <t xml:space="preserve">
Der Gewinner des D-Bewerbs muss beim nächsten C-Bewerb spielen!
</t>
    </r>
    <r>
      <rPr>
        <sz val="10"/>
        <color theme="1"/>
        <rFont val="Arial"/>
        <family val="2"/>
      </rPr>
      <t xml:space="preserve">
</t>
    </r>
  </si>
  <si>
    <t xml:space="preserve">4. WBV-NW Turnier 2024-25 </t>
  </si>
  <si>
    <t>HERREN</t>
  </si>
  <si>
    <t>DAMEN</t>
  </si>
  <si>
    <t>Jedes Turnier ein eigenes Blatt</t>
  </si>
  <si>
    <t>Regio-Turniere *10%</t>
  </si>
  <si>
    <t>LV hinzufügen</t>
  </si>
  <si>
    <t>Namen automatisieren</t>
  </si>
  <si>
    <t>Empfohlene Berichte aus dem Turnierplaner (zum Eintragen der Ergebnisse:</t>
  </si>
  <si>
    <t>Bericht - Turnier - Final Positions -&gt; Standard Excel Export</t>
  </si>
  <si>
    <t>Bericht - Spieler - Spieler -&gt; Excel Export mit Name - Vorname - Geb - Geschlecht - SpielerID - Verein - Verband</t>
  </si>
  <si>
    <t xml:space="preserve">Die Namen der neuen Spieler:innen werden automatisch im Spalte G der Sheet "NeueNamen" gelistet. </t>
  </si>
  <si>
    <t>Spieler</t>
  </si>
  <si>
    <t>Flag Neu</t>
  </si>
  <si>
    <t>Neue Spieler:innen</t>
  </si>
  <si>
    <t>Punktetabelle Region OST</t>
  </si>
  <si>
    <t>Regioturniere starten mit einem höheren Punktemaximum als Landesturniere. Da nur im Regionalturnier Herren und Damen getrennt werden, wird beim Dameneinzel REGIO ein geringeres Punktemaximum und ein größerer Punkteintervall vorgesehen. Dies bewirkt eine realistische Gemischt-Rangliste, welche wiederum für die Landesturnier Setzungen herangezogen werden darf.</t>
  </si>
  <si>
    <t>Herreneinzel REGIO</t>
  </si>
  <si>
    <t>Dameneinzel REGIO</t>
  </si>
  <si>
    <t>Gemischteinzel LAND</t>
  </si>
  <si>
    <t>Punktemaximum</t>
  </si>
  <si>
    <t>Punkteintervall</t>
  </si>
  <si>
    <t>Offset</t>
  </si>
  <si>
    <t>verknüpft die Bewerbpunkte eines Turniertags miteinander (A, B, C, D)</t>
  </si>
  <si>
    <t>*Dieses Feld ist einprogrammiert</t>
  </si>
  <si>
    <t>OÖBV Rangliste 2024
Nachwuchs Herren U9 (2016 und jünger)</t>
  </si>
  <si>
    <t>Stand nach LM</t>
  </si>
  <si>
    <t>LM
2024</t>
  </si>
  <si>
    <t>OÖBV Rangliste 2024
Nachwuchs Herren U11 (2014 und 2015)</t>
  </si>
  <si>
    <t>OÖBV Rangliste 2024
Nachwuchs Herren U13 (2012 und 2013)</t>
  </si>
  <si>
    <t>Moritz Walchhofer</t>
  </si>
  <si>
    <t>Leo Hutterer</t>
  </si>
  <si>
    <t>Gerald Pichler</t>
  </si>
  <si>
    <t>Johannes Yang</t>
  </si>
  <si>
    <t>Valentin Fellner</t>
  </si>
  <si>
    <t>Fabian Mößlberger</t>
  </si>
  <si>
    <t>Joshua Ramel</t>
  </si>
  <si>
    <t>Alexander Jansenberger</t>
  </si>
  <si>
    <t>Clemens Durchschlag</t>
  </si>
  <si>
    <t>Florian Obernhuber</t>
  </si>
  <si>
    <t>OÖBV Rangliste 2024
Nachwuchs Herren U15 (2010 und 2011)</t>
  </si>
  <si>
    <t>Tobias Schuster</t>
  </si>
  <si>
    <t>Richard Feitzlmayr</t>
  </si>
  <si>
    <t>Mike Kreindl</t>
  </si>
  <si>
    <t>Darij Lauer</t>
  </si>
  <si>
    <t>Otto Pichler</t>
  </si>
  <si>
    <t>OÖBV Rangliste 2024
Nachwuchs Herren U17 (2008 und 2009)</t>
  </si>
  <si>
    <t>OÖBV Rangliste 2024
Nachwuchs Herren U19 (2006 und 2007)</t>
  </si>
  <si>
    <t>Klaus Lederhilger</t>
  </si>
  <si>
    <t>Maximilian Karsai</t>
  </si>
  <si>
    <t>Felix Alt</t>
  </si>
  <si>
    <t>Maximilian Jin</t>
  </si>
  <si>
    <t>Luis Burker</t>
  </si>
  <si>
    <t>Sofia Neumann</t>
  </si>
  <si>
    <t>Kevin Zheng</t>
  </si>
  <si>
    <t>Hector Recalde</t>
  </si>
  <si>
    <t>Jakob Elmer</t>
  </si>
  <si>
    <t>Konrad Milleder</t>
  </si>
  <si>
    <t>St. Pölten</t>
  </si>
  <si>
    <t>https://obv.tournamentsoftware.com/tournament/8AC48043-B584-41FA-9C30-8625B9E72247</t>
  </si>
  <si>
    <t>208876</t>
  </si>
  <si>
    <t>208955</t>
  </si>
  <si>
    <t>208973</t>
  </si>
  <si>
    <t>208878</t>
  </si>
  <si>
    <t>208957</t>
  </si>
  <si>
    <t>1. NÖBV/WBV Regional-Nachwuchs-Turnier 2025/2026</t>
  </si>
  <si>
    <t>Robin Schwaiger</t>
  </si>
  <si>
    <t>Alexander Zadera</t>
  </si>
  <si>
    <t>Emil Fathulla</t>
  </si>
  <si>
    <t>Emma Schuster</t>
  </si>
  <si>
    <t>Pearl Panthiye Gedara</t>
  </si>
  <si>
    <t xml:space="preserve">2. WBV-NW Turnier 2025-26 </t>
  </si>
  <si>
    <t>Moritz Köstl</t>
  </si>
  <si>
    <t>Louyi Zhang</t>
  </si>
  <si>
    <t>Elias Reichel-Teng</t>
  </si>
  <si>
    <t>Giuliana Tasotti</t>
  </si>
  <si>
    <t>Constantin Walzer</t>
  </si>
  <si>
    <t>Lana Dai</t>
  </si>
  <si>
    <t>Emil Pfeffer</t>
  </si>
  <si>
    <t>Sophie Wieselthaler</t>
  </si>
  <si>
    <t>Mia Khaylo</t>
  </si>
  <si>
    <t>Valentin Krug</t>
  </si>
  <si>
    <t>Paul Khaylo</t>
  </si>
  <si>
    <t>Vihaan Vishal Sharma</t>
  </si>
  <si>
    <t>Nitshada Keawsri</t>
  </si>
  <si>
    <t>Agampreet Singh</t>
  </si>
  <si>
    <t>Elías García Strzeletz</t>
  </si>
  <si>
    <t>Aylin Simone Aktas</t>
  </si>
  <si>
    <t>Thalia Wetter</t>
  </si>
  <si>
    <t>Antonio Garcia Strzeletz</t>
  </si>
  <si>
    <t>Linna Dai</t>
  </si>
  <si>
    <t>Emil Kofler-Strigl</t>
  </si>
  <si>
    <t>Karl Edlinger</t>
  </si>
  <si>
    <t>Yinuo Chen</t>
  </si>
  <si>
    <t>Anton Edlinger</t>
  </si>
  <si>
    <t>Benjamin Nagy</t>
  </si>
  <si>
    <t>Livia Novotny</t>
  </si>
  <si>
    <t>Ben Hollaus</t>
  </si>
  <si>
    <t>112207</t>
  </si>
  <si>
    <t>F</t>
  </si>
  <si>
    <t>112187</t>
  </si>
  <si>
    <t>112427</t>
  </si>
  <si>
    <t>112475</t>
  </si>
  <si>
    <t>112471</t>
  </si>
  <si>
    <t>112348</t>
  </si>
  <si>
    <t>112528</t>
  </si>
  <si>
    <t>111327</t>
  </si>
  <si>
    <t>112487</t>
  </si>
  <si>
    <t>112467</t>
  </si>
  <si>
    <t>112173</t>
  </si>
  <si>
    <t>112175</t>
  </si>
  <si>
    <t>112350</t>
  </si>
  <si>
    <t>112527</t>
  </si>
  <si>
    <t>112170</t>
  </si>
  <si>
    <t>112172</t>
  </si>
  <si>
    <t>112180</t>
  </si>
  <si>
    <t xml:space="preserve">1. NÖBV-NW Turnier 2025-26 </t>
  </si>
  <si>
    <t xml:space="preserve">2. NÖBV-NW Turnier 2025-26 </t>
  </si>
  <si>
    <t>28.02.2026 in Ybbs</t>
  </si>
  <si>
    <t>Daniel Reiter</t>
  </si>
  <si>
    <t>Kristof Süveges</t>
  </si>
  <si>
    <t>Julian Taferl</t>
  </si>
  <si>
    <t>Elias Bauer</t>
  </si>
  <si>
    <t>Anna Gugler</t>
  </si>
  <si>
    <t>Rafael Burian</t>
  </si>
  <si>
    <t>Viktoria Klein</t>
  </si>
  <si>
    <t>Viktor Aleksic</t>
  </si>
  <si>
    <t>Julian Österreicher</t>
  </si>
  <si>
    <t>Mátyás Palotai</t>
  </si>
  <si>
    <t>Elma Duvnjak</t>
  </si>
  <si>
    <t>Lorenz Grün</t>
  </si>
  <si>
    <t>Simon Elmer</t>
  </si>
  <si>
    <t>Paul Floßmann</t>
  </si>
  <si>
    <t>Levente Joó</t>
  </si>
  <si>
    <t>209353</t>
  </si>
  <si>
    <t>26594</t>
  </si>
  <si>
    <t>26600</t>
  </si>
  <si>
    <t>312835</t>
  </si>
  <si>
    <t>UBC Neuhofen</t>
  </si>
  <si>
    <t>310653</t>
  </si>
  <si>
    <t>312353</t>
  </si>
  <si>
    <t>312833</t>
  </si>
  <si>
    <t>Badminton Wiener Neustadt</t>
  </si>
  <si>
    <t>BBV</t>
  </si>
  <si>
    <t>900280</t>
  </si>
  <si>
    <t>209314</t>
  </si>
  <si>
    <t>209033</t>
  </si>
  <si>
    <t>209315</t>
  </si>
  <si>
    <t>209313</t>
  </si>
  <si>
    <t>900260</t>
  </si>
  <si>
    <t>209273</t>
  </si>
  <si>
    <t>314033</t>
  </si>
  <si>
    <t>209333</t>
  </si>
  <si>
    <t>2. NÖBV/WBV Regional-Nachwuchs-Turnier 2025/26</t>
  </si>
  <si>
    <t>Agam Singh</t>
  </si>
  <si>
    <t>Haorui Qu</t>
  </si>
  <si>
    <t>Yunqi Yang</t>
  </si>
  <si>
    <t>3. NÖBV/WBV Regional-Nachwuchs-Turnier 2025/2026</t>
  </si>
  <si>
    <t>Aktuell kein BBV Turnier</t>
  </si>
  <si>
    <t>112367</t>
  </si>
  <si>
    <t>111349</t>
  </si>
  <si>
    <t>111370</t>
  </si>
  <si>
    <t>Aktuell nur 3 WBV NW Turniere</t>
  </si>
  <si>
    <t>3. WBV-NW Turnier 2025-26</t>
  </si>
  <si>
    <t>31/06/2025</t>
  </si>
  <si>
    <t>Robin Schweiger</t>
  </si>
  <si>
    <t>Leonard Keiler</t>
  </si>
  <si>
    <t>Marco Chen</t>
  </si>
  <si>
    <t>Leon Frank</t>
  </si>
  <si>
    <t>Sophie Zirnwald</t>
  </si>
  <si>
    <t>Lana Ziyue Dai</t>
  </si>
  <si>
    <t>Wolfgang Scheifinger</t>
  </si>
  <si>
    <t>Sebastian Steiner</t>
  </si>
  <si>
    <t>Leandra Pfendesak</t>
  </si>
  <si>
    <t>Randeep Sekhon</t>
  </si>
  <si>
    <t>Philipp Bauer</t>
  </si>
  <si>
    <t>Vasudev Duggirala</t>
  </si>
  <si>
    <t>Sahasra Mangena</t>
  </si>
  <si>
    <t>Ben Holaus</t>
  </si>
  <si>
    <t>Liam Hammer</t>
  </si>
  <si>
    <t>David Orsolic</t>
  </si>
  <si>
    <t>110908</t>
  </si>
  <si>
    <t>112688</t>
  </si>
  <si>
    <t>112507</t>
  </si>
  <si>
    <t>112587</t>
  </si>
  <si>
    <t>112627</t>
  </si>
  <si>
    <t>112107</t>
  </si>
  <si>
    <t>112607</t>
  </si>
  <si>
    <t>112176</t>
  </si>
  <si>
    <t>112567</t>
  </si>
  <si>
    <t>112110</t>
  </si>
  <si>
    <t>112652</t>
  </si>
  <si>
    <t>112649</t>
  </si>
  <si>
    <t>112608</t>
  </si>
  <si>
    <t>3. NÖBV-NW Turnier 2025-26</t>
  </si>
  <si>
    <t>14.06.2026 in Krems</t>
  </si>
  <si>
    <t>Lara Burian</t>
  </si>
  <si>
    <t>Moritz Feher</t>
  </si>
  <si>
    <t>Jakob Müllner</t>
  </si>
  <si>
    <t>Lola Petraschek</t>
  </si>
  <si>
    <t>Alexander Wolgin</t>
  </si>
  <si>
    <r>
      <rPr>
        <sz val="10"/>
        <color theme="1"/>
        <rFont val="Arial"/>
        <family val="2"/>
      </rPr>
      <t>Stand:</t>
    </r>
    <r>
      <rPr>
        <b/>
        <sz val="10"/>
        <color theme="1"/>
        <rFont val="Arial"/>
        <family val="2"/>
      </rPr>
      <t xml:space="preserve"> 
WBV: 31.06.2026
NÖBV: 5.7.2026
Regio: 15.3.2026</t>
    </r>
  </si>
  <si>
    <t>Badminton Wr. Neustadt</t>
  </si>
  <si>
    <t>Ranglistenplatz</t>
  </si>
  <si>
    <t>Category</t>
  </si>
  <si>
    <t>MX</t>
  </si>
  <si>
    <t>Category MX</t>
  </si>
  <si>
    <t>Category Einzel</t>
  </si>
  <si>
    <t>Category Doppel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</si>
</sst>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7" x14ac:knownFonts="1">
    <font>
      <sz val="10"/>
      <color rgb="FF000000"/>
      <name val="Calibri"/>
      <scheme val="minor"/>
    </font>
    <font>
      <b/>
      <sz val="10"/>
      <color theme="0"/>
      <name val="Arial"/>
      <family val="2"/>
    </font>
    <font>
      <b/>
      <i/>
      <sz val="12"/>
      <color theme="0"/>
      <name val="Arial"/>
      <family val="2"/>
    </font>
    <font>
      <b/>
      <sz val="10"/>
      <color theme="1"/>
      <name val="Arial"/>
      <family val="2"/>
    </font>
    <font>
      <sz val="10"/>
      <color theme="1"/>
      <name val="Arial"/>
      <family val="2"/>
    </font>
    <font>
      <sz val="11"/>
      <color theme="1"/>
      <name val="Calibri"/>
      <family val="2"/>
    </font>
    <font>
      <sz val="10"/>
      <color rgb="FF000000"/>
      <name val="Arial"/>
      <family val="2"/>
    </font>
    <font>
      <sz val="10"/>
      <color rgb="FF000000"/>
      <name val="Calibri"/>
      <family val="2"/>
    </font>
    <font>
      <b/>
      <sz val="10"/>
      <color rgb="FF000000"/>
      <name val="Calibri"/>
      <family val="2"/>
    </font>
    <font>
      <sz val="16"/>
      <color theme="1"/>
      <name val="Arial"/>
      <family val="2"/>
    </font>
    <font>
      <sz val="10"/>
      <name val="Calibri"/>
      <family val="2"/>
    </font>
    <font>
      <b/>
      <sz val="14"/>
      <color theme="0"/>
      <name val="Arial"/>
      <family val="2"/>
    </font>
    <font>
      <sz val="10"/>
      <color theme="1"/>
      <name val="Calibri"/>
      <family val="2"/>
    </font>
    <font>
      <b/>
      <sz val="10"/>
      <color rgb="FF0070C0"/>
      <name val="Arial"/>
      <family val="2"/>
    </font>
    <font>
      <b/>
      <sz val="10"/>
      <color rgb="FFFFC000"/>
      <name val="Arial"/>
      <family val="2"/>
    </font>
    <font>
      <sz val="14"/>
      <color theme="0"/>
      <name val="Arial"/>
      <family val="2"/>
    </font>
    <font>
      <b/>
      <sz val="10"/>
      <color rgb="FF00B050"/>
      <name val="Arial"/>
      <family val="2"/>
    </font>
    <font>
      <sz val="12"/>
      <color theme="1"/>
      <name val="Calibri"/>
      <family val="2"/>
    </font>
    <font>
      <sz val="12"/>
      <color rgb="FF000000"/>
      <name val="Calibri"/>
      <family val="2"/>
    </font>
    <font>
      <sz val="11"/>
      <color rgb="FFA5A5A5"/>
      <name val="Calibri"/>
      <family val="2"/>
    </font>
    <font>
      <sz val="10"/>
      <color rgb="FF7F7F7F"/>
      <name val="Calibri"/>
      <family val="2"/>
    </font>
    <font>
      <sz val="9"/>
      <color rgb="FFA5A5A5"/>
      <name val="Calibri"/>
      <family val="2"/>
    </font>
    <font>
      <sz val="10"/>
      <color rgb="FFA5A5A5"/>
      <name val="Calibri"/>
      <family val="2"/>
    </font>
    <font>
      <sz val="11"/>
      <color rgb="FF000000"/>
      <name val="Calibri"/>
      <family val="2"/>
    </font>
    <font>
      <sz val="9"/>
      <color theme="1"/>
      <name val="Calibri"/>
      <family val="2"/>
    </font>
    <font>
      <sz val="11"/>
      <color rgb="FF7F7F7F"/>
      <name val="Calibri"/>
      <family val="2"/>
    </font>
    <font>
      <sz val="3"/>
      <color rgb="FFA5A5A5"/>
      <name val="Calibri"/>
      <family val="2"/>
    </font>
    <font>
      <sz val="3"/>
      <color theme="1"/>
      <name val="Calibri"/>
      <family val="2"/>
    </font>
    <font>
      <sz val="3"/>
      <color rgb="FF7F7F7F"/>
      <name val="Calibri"/>
      <family val="2"/>
    </font>
    <font>
      <b/>
      <sz val="11"/>
      <color rgb="FF000000"/>
      <name val="Calibri"/>
      <family val="2"/>
    </font>
    <font>
      <b/>
      <sz val="11"/>
      <color theme="1"/>
      <name val="Calibri"/>
      <family val="2"/>
    </font>
    <font>
      <sz val="10"/>
      <color rgb="FFFFC000"/>
      <name val="Arial"/>
      <family val="2"/>
    </font>
    <font>
      <u/>
      <sz val="10"/>
      <color theme="10"/>
      <name val="Calibri"/>
      <family val="2"/>
      <scheme val="minor"/>
    </font>
    <font>
      <sz val="16"/>
      <color theme="1"/>
      <name val="Arial"/>
      <family val="2"/>
    </font>
    <font>
      <sz val="10"/>
      <color theme="1"/>
      <name val="Arial"/>
      <family val="2"/>
    </font>
    <font>
      <b/>
      <sz val="10"/>
      <color theme="1"/>
      <name val="Arial"/>
      <family val="2"/>
    </font>
    <font>
      <sz val="10"/>
      <color rgb="FF000000"/>
      <name val="Arial"/>
      <family val="2"/>
    </font>
  </fonts>
  <fills count="10">
    <fill>
      <patternFill patternType="none"/>
    </fill>
    <fill>
      <patternFill patternType="gray125"/>
    </fill>
    <fill>
      <patternFill patternType="solid">
        <fgColor rgb="FF0070C0"/>
        <bgColor rgb="FF0070C0"/>
      </patternFill>
    </fill>
    <fill>
      <patternFill patternType="solid">
        <fgColor theme="5"/>
        <bgColor theme="5"/>
      </patternFill>
    </fill>
    <fill>
      <patternFill patternType="solid">
        <fgColor theme="7"/>
        <bgColor theme="7"/>
      </patternFill>
    </fill>
    <fill>
      <patternFill patternType="solid">
        <fgColor rgb="FFFFC000"/>
        <bgColor rgb="FFFFC000"/>
      </patternFill>
    </fill>
    <fill>
      <patternFill patternType="solid">
        <fgColor rgb="FF92D050"/>
        <bgColor rgb="FF92D050"/>
      </patternFill>
    </fill>
    <fill>
      <patternFill patternType="solid">
        <fgColor rgb="FFFF0000"/>
        <bgColor rgb="FFFF0000"/>
      </patternFill>
    </fill>
    <fill>
      <patternFill patternType="solid">
        <fgColor rgb="FFF2DBDB"/>
        <bgColor rgb="FFF2DBDB"/>
      </patternFill>
    </fill>
    <fill>
      <patternFill patternType="solid">
        <fgColor rgb="FFD8D8D8"/>
        <bgColor rgb="FFD8D8D8"/>
      </patternFill>
    </fill>
  </fills>
  <borders count="3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CCCCCC"/>
      </left>
      <right style="medium">
        <color rgb="FFCCCCCC"/>
      </right>
      <top style="medium">
        <color rgb="FFCCCCCC"/>
      </top>
      <bottom style="medium">
        <color rgb="FFCCCCCC"/>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32" fillId="0" borderId="0" applyNumberFormat="0" applyFill="0" applyBorder="0" applyAlignment="0" applyProtection="0"/>
  </cellStyleXfs>
  <cellXfs count="14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lef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14" fontId="1" fillId="3" borderId="1" xfId="0" applyNumberFormat="1"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4" borderId="3" xfId="0" applyNumberFormat="1" applyFont="1" applyFill="1" applyBorder="1" applyAlignment="1">
      <alignment horizontal="center" vertical="center" wrapText="1"/>
    </xf>
    <xf numFmtId="0" fontId="1" fillId="5"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3" fillId="0" borderId="0" xfId="0" applyFont="1" applyAlignment="1">
      <alignment horizontal="left" vertical="top"/>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xf>
    <xf numFmtId="0" fontId="4" fillId="0" borderId="0" xfId="0" applyFont="1" applyAlignment="1">
      <alignment horizontal="center"/>
    </xf>
    <xf numFmtId="0" fontId="5"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164" fontId="4" fillId="0" borderId="0" xfId="0" applyNumberFormat="1" applyFont="1" applyAlignment="1">
      <alignment horizontal="center"/>
    </xf>
    <xf numFmtId="0" fontId="6" fillId="0" borderId="0" xfId="0" applyFont="1"/>
    <xf numFmtId="0" fontId="7" fillId="0" borderId="0" xfId="0" applyFont="1" applyAlignment="1">
      <alignment horizontal="center"/>
    </xf>
    <xf numFmtId="0" fontId="8" fillId="0" borderId="0" xfId="0" applyFont="1"/>
    <xf numFmtId="14" fontId="4" fillId="6" borderId="8" xfId="0" applyNumberFormat="1" applyFont="1" applyFill="1" applyBorder="1"/>
    <xf numFmtId="0" fontId="4" fillId="0" borderId="9" xfId="0" applyFont="1" applyBorder="1" applyAlignment="1">
      <alignment horizontal="center" vertical="center"/>
    </xf>
    <xf numFmtId="0" fontId="4" fillId="0" borderId="10" xfId="0" applyFont="1" applyBorder="1"/>
    <xf numFmtId="0" fontId="4" fillId="0" borderId="11" xfId="0" applyFont="1" applyBorder="1"/>
    <xf numFmtId="0" fontId="4" fillId="0" borderId="12" xfId="0" applyFont="1" applyBorder="1" applyAlignment="1">
      <alignment horizontal="center" vertical="center"/>
    </xf>
    <xf numFmtId="0" fontId="4" fillId="0" borderId="13" xfId="0" applyFont="1" applyBorder="1" applyAlignment="1">
      <alignment vertical="center"/>
    </xf>
    <xf numFmtId="0" fontId="4" fillId="0" borderId="13" xfId="0" applyFont="1" applyBorder="1"/>
    <xf numFmtId="0" fontId="4" fillId="0" borderId="12" xfId="0" applyFont="1" applyBorder="1"/>
    <xf numFmtId="0" fontId="4" fillId="0" borderId="11" xfId="0" applyFont="1" applyBorder="1" applyAlignment="1">
      <alignment horizontal="center" vertical="center"/>
    </xf>
    <xf numFmtId="0" fontId="4" fillId="0" borderId="0" xfId="0" applyFont="1"/>
    <xf numFmtId="0" fontId="1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8" xfId="0" applyFont="1" applyFill="1" applyBorder="1" applyAlignment="1">
      <alignment horizontal="left" vertical="center"/>
    </xf>
    <xf numFmtId="14" fontId="1" fillId="2" borderId="8" xfId="0" applyNumberFormat="1" applyFont="1" applyFill="1" applyBorder="1" applyAlignment="1">
      <alignment horizontal="center" vertical="center" wrapText="1"/>
    </xf>
    <xf numFmtId="49" fontId="1" fillId="2" borderId="8" xfId="0" applyNumberFormat="1" applyFont="1" applyFill="1" applyBorder="1" applyAlignment="1">
      <alignment horizontal="center" vertical="center" wrapText="1"/>
    </xf>
    <xf numFmtId="164" fontId="4" fillId="0" borderId="0" xfId="0" applyNumberFormat="1" applyFont="1" applyAlignment="1">
      <alignment horizontal="center" vertical="center"/>
    </xf>
    <xf numFmtId="1" fontId="3" fillId="0" borderId="0" xfId="0" applyNumberFormat="1" applyFont="1" applyAlignment="1">
      <alignment horizontal="center" vertical="center"/>
    </xf>
    <xf numFmtId="0" fontId="12" fillId="0" borderId="0" xfId="0" applyFont="1"/>
    <xf numFmtId="0" fontId="4" fillId="6" borderId="22" xfId="0" applyFont="1" applyFill="1" applyBorder="1" applyAlignment="1">
      <alignment horizontal="center" vertical="center"/>
    </xf>
    <xf numFmtId="0" fontId="4" fillId="6" borderId="22" xfId="0" applyFont="1" applyFill="1" applyBorder="1" applyAlignment="1">
      <alignment vertical="center"/>
    </xf>
    <xf numFmtId="0" fontId="4" fillId="6" borderId="22" xfId="0" applyFont="1" applyFill="1" applyBorder="1" applyAlignment="1">
      <alignment horizontal="left" vertical="center"/>
    </xf>
    <xf numFmtId="164" fontId="4" fillId="6" borderId="22" xfId="0" applyNumberFormat="1" applyFont="1" applyFill="1" applyBorder="1" applyAlignment="1">
      <alignment horizontal="center" vertical="center"/>
    </xf>
    <xf numFmtId="0" fontId="13" fillId="0" borderId="0" xfId="0" applyFont="1" applyAlignment="1">
      <alignment horizontal="left"/>
    </xf>
    <xf numFmtId="0" fontId="14" fillId="0" borderId="0" xfId="0" applyFont="1" applyAlignment="1">
      <alignment horizontal="left"/>
    </xf>
    <xf numFmtId="0" fontId="15" fillId="0" borderId="0" xfId="0" applyFont="1"/>
    <xf numFmtId="0" fontId="16" fillId="0" borderId="0" xfId="0" applyFont="1" applyAlignment="1">
      <alignment horizontal="center" vertical="center"/>
    </xf>
    <xf numFmtId="164" fontId="4" fillId="6" borderId="22" xfId="0" applyNumberFormat="1" applyFont="1" applyFill="1" applyBorder="1" applyAlignment="1">
      <alignment horizontal="center"/>
    </xf>
    <xf numFmtId="1" fontId="3" fillId="6" borderId="22" xfId="0" applyNumberFormat="1" applyFont="1" applyFill="1" applyBorder="1" applyAlignment="1">
      <alignment horizontal="center" vertical="center"/>
    </xf>
    <xf numFmtId="0" fontId="13" fillId="0" borderId="0" xfId="0" applyFont="1" applyAlignment="1">
      <alignment vertical="center"/>
    </xf>
    <xf numFmtId="0" fontId="13" fillId="0" borderId="0" xfId="0" applyFont="1"/>
    <xf numFmtId="0" fontId="4" fillId="6" borderId="22" xfId="0" applyFont="1" applyFill="1" applyBorder="1" applyAlignment="1">
      <alignment horizontal="center"/>
    </xf>
    <xf numFmtId="0" fontId="4" fillId="6" borderId="22" xfId="0" applyFont="1" applyFill="1" applyBorder="1"/>
    <xf numFmtId="0" fontId="4" fillId="0" borderId="28" xfId="0" applyFont="1" applyBorder="1"/>
    <xf numFmtId="0" fontId="4" fillId="0" borderId="10" xfId="0" applyFont="1" applyBorder="1" applyAlignment="1">
      <alignment horizontal="center"/>
    </xf>
    <xf numFmtId="0" fontId="4" fillId="0" borderId="29" xfId="0" applyFont="1" applyBorder="1"/>
    <xf numFmtId="0" fontId="4" fillId="0" borderId="11" xfId="0" applyFont="1" applyBorder="1" applyAlignment="1">
      <alignment horizontal="left" vertical="center"/>
    </xf>
    <xf numFmtId="0" fontId="5" fillId="0" borderId="0" xfId="0" applyFont="1"/>
    <xf numFmtId="0" fontId="12" fillId="0" borderId="29" xfId="0" applyFont="1" applyBorder="1"/>
    <xf numFmtId="0" fontId="12" fillId="0" borderId="0" xfId="0" applyFont="1" applyAlignment="1">
      <alignment vertical="center"/>
    </xf>
    <xf numFmtId="0" fontId="17" fillId="0" borderId="6" xfId="0" applyFont="1" applyBorder="1"/>
    <xf numFmtId="0" fontId="12" fillId="0" borderId="6" xfId="0" applyFont="1" applyBorder="1"/>
    <xf numFmtId="0" fontId="18" fillId="0" borderId="0" xfId="0" applyFont="1"/>
    <xf numFmtId="0" fontId="4" fillId="0" borderId="4" xfId="0" applyFont="1" applyBorder="1" applyAlignment="1">
      <alignment horizontal="center" vertical="center"/>
    </xf>
    <xf numFmtId="0" fontId="3" fillId="0" borderId="10" xfId="0" applyFont="1" applyBorder="1"/>
    <xf numFmtId="1" fontId="4" fillId="0" borderId="12" xfId="0" applyNumberFormat="1" applyFont="1" applyBorder="1" applyAlignment="1">
      <alignment horizontal="center" vertical="center"/>
    </xf>
    <xf numFmtId="1" fontId="4" fillId="0" borderId="11" xfId="0" applyNumberFormat="1" applyFont="1" applyBorder="1" applyAlignment="1">
      <alignment horizontal="center" vertical="center"/>
    </xf>
    <xf numFmtId="1" fontId="4" fillId="0" borderId="9" xfId="0" applyNumberFormat="1" applyFont="1" applyBorder="1" applyAlignment="1">
      <alignment horizontal="center" vertical="center"/>
    </xf>
    <xf numFmtId="0" fontId="4" fillId="6" borderId="8" xfId="0" applyFont="1" applyFill="1" applyBorder="1"/>
    <xf numFmtId="0" fontId="8" fillId="0" borderId="35" xfId="0" applyFont="1" applyBorder="1" applyAlignment="1">
      <alignment vertical="center"/>
    </xf>
    <xf numFmtId="0" fontId="7" fillId="0" borderId="35" xfId="0" applyFont="1" applyBorder="1" applyAlignment="1">
      <alignment wrapText="1"/>
    </xf>
    <xf numFmtId="0" fontId="19" fillId="0" borderId="0" xfId="0" applyFont="1"/>
    <xf numFmtId="0" fontId="20" fillId="0" borderId="0" xfId="0" applyFont="1"/>
    <xf numFmtId="0" fontId="21" fillId="0" borderId="0" xfId="0" applyFont="1"/>
    <xf numFmtId="0" fontId="22" fillId="0" borderId="0" xfId="0" applyFont="1"/>
    <xf numFmtId="0" fontId="23" fillId="8" borderId="8" xfId="0" applyFont="1" applyFill="1" applyBorder="1"/>
    <xf numFmtId="0" fontId="23" fillId="0" borderId="0" xfId="0" applyFont="1"/>
    <xf numFmtId="0" fontId="24" fillId="0" borderId="0" xfId="0" applyFont="1"/>
    <xf numFmtId="0" fontId="5" fillId="8" borderId="8" xfId="0" applyFont="1" applyFill="1" applyBorder="1"/>
    <xf numFmtId="0" fontId="25" fillId="0" borderId="0" xfId="0" applyFont="1"/>
    <xf numFmtId="0" fontId="26" fillId="0" borderId="0" xfId="0" applyFont="1"/>
    <xf numFmtId="0" fontId="27" fillId="0" borderId="0" xfId="0" applyFont="1"/>
    <xf numFmtId="0" fontId="28" fillId="0" borderId="0" xfId="0" applyFont="1"/>
    <xf numFmtId="0" fontId="7" fillId="0" borderId="0" xfId="0" applyFont="1"/>
    <xf numFmtId="0" fontId="29" fillId="0" borderId="37" xfId="0" applyFont="1" applyBorder="1" applyAlignment="1">
      <alignment horizontal="center" vertical="center"/>
    </xf>
    <xf numFmtId="0" fontId="29" fillId="0" borderId="37" xfId="0" applyFont="1" applyBorder="1"/>
    <xf numFmtId="0" fontId="29" fillId="9" borderId="37" xfId="0" applyFont="1" applyFill="1" applyBorder="1" applyAlignment="1">
      <alignment horizontal="center"/>
    </xf>
    <xf numFmtId="0" fontId="29" fillId="9" borderId="37" xfId="0" applyFont="1" applyFill="1" applyBorder="1" applyAlignment="1">
      <alignment horizontal="center" vertical="center"/>
    </xf>
    <xf numFmtId="0" fontId="29" fillId="0" borderId="37" xfId="0" applyFont="1" applyBorder="1" applyAlignment="1">
      <alignment horizontal="center"/>
    </xf>
    <xf numFmtId="0" fontId="29" fillId="0" borderId="0" xfId="0" applyFont="1" applyAlignment="1">
      <alignment horizontal="left" vertical="center"/>
    </xf>
    <xf numFmtId="0" fontId="23" fillId="0" borderId="0" xfId="0" applyFont="1" applyAlignment="1">
      <alignment horizontal="center" vertical="center"/>
    </xf>
    <xf numFmtId="0" fontId="30" fillId="0" borderId="37" xfId="0" applyFont="1" applyBorder="1" applyAlignment="1">
      <alignment horizontal="center" vertical="center"/>
    </xf>
    <xf numFmtId="0" fontId="23" fillId="9" borderId="37" xfId="0" applyFont="1" applyFill="1" applyBorder="1" applyAlignment="1">
      <alignment horizontal="center" vertical="center"/>
    </xf>
    <xf numFmtId="0" fontId="23" fillId="9" borderId="8" xfId="0" applyFont="1" applyFill="1" applyBorder="1" applyAlignment="1">
      <alignment horizontal="left" vertical="center"/>
    </xf>
    <xf numFmtId="0" fontId="23" fillId="9" borderId="8" xfId="0" applyFont="1" applyFill="1" applyBorder="1" applyAlignment="1">
      <alignment horizontal="center" vertical="center"/>
    </xf>
    <xf numFmtId="0" fontId="1" fillId="2" borderId="8" xfId="0" applyFont="1" applyFill="1" applyBorder="1" applyAlignment="1">
      <alignment horizontal="center" vertical="center" wrapText="1"/>
    </xf>
    <xf numFmtId="0" fontId="31" fillId="0" borderId="0" xfId="0" applyFont="1"/>
    <xf numFmtId="0" fontId="13" fillId="0" borderId="0" xfId="0" applyFont="1" applyAlignment="1">
      <alignment horizontal="left" vertical="center"/>
    </xf>
    <xf numFmtId="0" fontId="32" fillId="0" borderId="0" xfId="1"/>
    <xf numFmtId="14" fontId="34" fillId="6" borderId="8" xfId="0" applyNumberFormat="1" applyFont="1" applyFill="1" applyBorder="1"/>
    <xf numFmtId="0" fontId="34" fillId="0" borderId="0" xfId="0" applyFont="1" applyAlignment="1">
      <alignment horizontal="center" vertical="center"/>
    </xf>
    <xf numFmtId="0" fontId="36" fillId="0" borderId="0" xfId="0" applyFont="1"/>
    <xf numFmtId="0" fontId="36" fillId="0" borderId="0" xfId="0" applyFont="1" applyAlignment="1">
      <alignment horizontal="center"/>
    </xf>
    <xf numFmtId="0" fontId="35" fillId="0" borderId="0" xfId="0" applyFont="1" applyAlignment="1">
      <alignment horizontal="center" vertical="center"/>
    </xf>
    <xf numFmtId="0" fontId="34" fillId="0" borderId="0" xfId="0" applyFont="1" applyAlignment="1">
      <alignment horizontal="left"/>
    </xf>
    <xf numFmtId="0" fontId="3" fillId="0" borderId="0" xfId="0" applyFont="1" applyAlignment="1">
      <alignment horizontal="left" vertical="top" wrapText="1"/>
    </xf>
    <xf numFmtId="0" fontId="9" fillId="0" borderId="5" xfId="0" applyFont="1" applyBorder="1" applyAlignment="1">
      <alignment horizontal="center"/>
    </xf>
    <xf numFmtId="0" fontId="10" fillId="0" borderId="6" xfId="0" applyFont="1" applyBorder="1"/>
    <xf numFmtId="0" fontId="10" fillId="0" borderId="7" xfId="0" applyFont="1" applyBorder="1"/>
    <xf numFmtId="0" fontId="11" fillId="2" borderId="14" xfId="0" applyFont="1" applyFill="1" applyBorder="1" applyAlignment="1">
      <alignment horizontal="center" vertical="center" wrapText="1"/>
    </xf>
    <xf numFmtId="0" fontId="10" fillId="0" borderId="15" xfId="0" applyFont="1" applyBorder="1"/>
    <xf numFmtId="0" fontId="10" fillId="0" borderId="16" xfId="0" applyFont="1" applyBorder="1"/>
    <xf numFmtId="0" fontId="10" fillId="0" borderId="19" xfId="0" applyFont="1" applyBorder="1"/>
    <xf numFmtId="0" fontId="10" fillId="0" borderId="20" xfId="0" applyFont="1" applyBorder="1"/>
    <xf numFmtId="0" fontId="10" fillId="0" borderId="21" xfId="0" applyFont="1" applyBorder="1"/>
    <xf numFmtId="0" fontId="1" fillId="2" borderId="17" xfId="0" applyFont="1" applyFill="1" applyBorder="1" applyAlignment="1">
      <alignment horizontal="center" wrapText="1"/>
    </xf>
    <xf numFmtId="0" fontId="10" fillId="0" borderId="18" xfId="0" applyFont="1" applyBorder="1"/>
    <xf numFmtId="14" fontId="1" fillId="2" borderId="17" xfId="0" applyNumberFormat="1" applyFont="1" applyFill="1" applyBorder="1" applyAlignment="1">
      <alignment horizontal="center" vertical="center"/>
    </xf>
    <xf numFmtId="0" fontId="11" fillId="7" borderId="23" xfId="0" applyFont="1" applyFill="1" applyBorder="1" applyAlignment="1">
      <alignment horizontal="center" vertical="center"/>
    </xf>
    <xf numFmtId="0" fontId="10" fillId="0" borderId="24" xfId="0" applyFont="1" applyBorder="1"/>
    <xf numFmtId="0" fontId="10" fillId="0" borderId="25" xfId="0" applyFont="1" applyBorder="1"/>
    <xf numFmtId="0" fontId="4" fillId="0" borderId="26" xfId="0" applyFont="1" applyBorder="1" applyAlignment="1">
      <alignment horizontal="left" vertical="top" wrapText="1"/>
    </xf>
    <xf numFmtId="0" fontId="0" fillId="0" borderId="0" xfId="0"/>
    <xf numFmtId="0" fontId="10" fillId="0" borderId="27" xfId="0" applyFont="1" applyBorder="1"/>
    <xf numFmtId="0" fontId="10" fillId="0" borderId="26" xfId="0" applyFont="1" applyBorder="1"/>
    <xf numFmtId="0" fontId="10" fillId="0" borderId="28" xfId="0" applyFont="1" applyBorder="1"/>
    <xf numFmtId="0" fontId="10" fillId="0" borderId="10" xfId="0" applyFont="1" applyBorder="1"/>
    <xf numFmtId="0" fontId="10" fillId="0" borderId="29" xfId="0" applyFont="1" applyBorder="1"/>
    <xf numFmtId="0" fontId="11" fillId="7" borderId="23" xfId="0" applyFont="1" applyFill="1" applyBorder="1" applyAlignment="1">
      <alignment horizontal="center"/>
    </xf>
    <xf numFmtId="0" fontId="11" fillId="7" borderId="30" xfId="0" applyFont="1" applyFill="1" applyBorder="1" applyAlignment="1">
      <alignment horizontal="center"/>
    </xf>
    <xf numFmtId="0" fontId="10" fillId="0" borderId="31" xfId="0" applyFont="1" applyBorder="1"/>
    <xf numFmtId="0" fontId="10" fillId="0" borderId="32" xfId="0" applyFont="1" applyBorder="1"/>
    <xf numFmtId="0" fontId="4" fillId="0" borderId="33" xfId="0" applyFont="1" applyBorder="1" applyAlignment="1">
      <alignment horizontal="left" vertical="top" wrapText="1"/>
    </xf>
    <xf numFmtId="0" fontId="10" fillId="0" borderId="13" xfId="0" applyFont="1" applyBorder="1"/>
    <xf numFmtId="0" fontId="10" fillId="0" borderId="34" xfId="0" applyFont="1" applyBorder="1"/>
    <xf numFmtId="0" fontId="33" fillId="5" borderId="5" xfId="0" applyFont="1" applyFill="1" applyBorder="1" applyAlignment="1">
      <alignment horizontal="center"/>
    </xf>
    <xf numFmtId="0" fontId="9" fillId="5" borderId="5" xfId="0" applyFont="1" applyFill="1" applyBorder="1" applyAlignment="1">
      <alignment horizontal="center"/>
    </xf>
    <xf numFmtId="0" fontId="33" fillId="0" borderId="5" xfId="0" applyFont="1" applyBorder="1" applyAlignment="1">
      <alignment horizontal="center"/>
    </xf>
    <xf numFmtId="0" fontId="10" fillId="0" borderId="36" xfId="0" applyFont="1" applyBorder="1"/>
    <xf numFmtId="0" fontId="23" fillId="0" borderId="0" xfId="0" applyFont="1" applyAlignment="1">
      <alignment horizontal="left" wrapText="1"/>
    </xf>
    <xf numFmtId="0" fontId="10" fillId="0" borderId="38" xfId="0" applyFont="1" applyBorder="1"/>
  </cellXfs>
  <cellStyles count="2">
    <cellStyle name="Hyperlink" xfId="1" builtinId="8"/>
    <cellStyle name="Normal" xfId="0" builtinId="0"/>
  </cellStyles>
  <dxfs count="54">
    <dxf>
      <font>
        <b/>
        <color rgb="FFFFC00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ill>
        <patternFill patternType="solid">
          <fgColor theme="9"/>
          <bgColor theme="9"/>
        </patternFill>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FFC000"/>
      </font>
      <fill>
        <patternFill patternType="none"/>
      </fill>
    </dxf>
    <dxf>
      <font>
        <b/>
        <color rgb="FF0070C0"/>
      </font>
      <fill>
        <patternFill patternType="none"/>
      </fill>
    </dxf>
    <dxf>
      <font>
        <b/>
        <color rgb="FF0070C0"/>
      </font>
      <fill>
        <patternFill patternType="none"/>
      </fill>
    </dxf>
    <dxf>
      <font>
        <b/>
        <color rgb="FFFFC000"/>
      </font>
      <fill>
        <patternFill patternType="none"/>
      </fill>
    </dxf>
    <dxf>
      <font>
        <b/>
        <color rgb="FFFFC00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FFC000"/>
      </font>
      <fill>
        <patternFill patternType="none"/>
      </fill>
    </dxf>
    <dxf>
      <font>
        <b/>
        <color rgb="FFFFC000"/>
      </font>
      <fill>
        <patternFill patternType="none"/>
      </fill>
    </dxf>
    <dxf>
      <font>
        <b/>
        <color rgb="FFFFC000"/>
      </font>
      <fill>
        <patternFill patternType="none"/>
      </fill>
    </dxf>
    <dxf>
      <font>
        <b/>
        <color rgb="FFFFC00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ont>
        <b/>
        <color rgb="FF0070C0"/>
      </font>
      <fill>
        <patternFill patternType="none"/>
      </fill>
    </dxf>
    <dxf>
      <fill>
        <patternFill patternType="solid">
          <fgColor theme="6"/>
          <bgColor theme="6"/>
        </patternFill>
      </fill>
    </dxf>
    <dxf>
      <fill>
        <patternFill patternType="solid">
          <fgColor theme="6"/>
          <bgColor theme="6"/>
        </patternFill>
      </fill>
    </dxf>
    <dxf>
      <fill>
        <patternFill patternType="solid">
          <fgColor theme="8"/>
          <bgColor theme="8"/>
        </patternFill>
      </fill>
    </dxf>
    <dxf>
      <fill>
        <patternFill patternType="solid">
          <fgColor theme="8"/>
          <bgColor theme="8"/>
        </patternFill>
      </fill>
    </dxf>
    <dxf>
      <fill>
        <patternFill patternType="solid">
          <fgColor rgb="FFFABF8F"/>
          <bgColor rgb="FFFABF8F"/>
        </patternFill>
      </fill>
    </dxf>
    <dxf>
      <fill>
        <patternFill patternType="solid">
          <fgColor rgb="FFFABF8F"/>
          <bgColor rgb="FFFABF8F"/>
        </patternFill>
      </fill>
    </dxf>
    <dxf>
      <fill>
        <patternFill patternType="solid">
          <fgColor rgb="FFFFC000"/>
          <bgColor rgb="FFFFC000"/>
        </patternFill>
      </fill>
    </dxf>
    <dxf>
      <fill>
        <patternFill patternType="solid">
          <fgColor rgb="FF0070C0"/>
          <bgColor rgb="FF0070C0"/>
        </patternFill>
      </fill>
    </dxf>
    <dxf>
      <fill>
        <patternFill patternType="solid">
          <fgColor rgb="FF8DB3E2"/>
          <bgColor rgb="FF8DB3E2"/>
        </patternFill>
      </fill>
    </dxf>
    <dxf>
      <fill>
        <patternFill patternType="solid">
          <fgColor rgb="FFE5B8B7"/>
          <bgColor rgb="FFE5B8B7"/>
        </patternFill>
      </fill>
    </dxf>
    <dxf>
      <font>
        <color theme="0"/>
      </font>
      <fill>
        <patternFill patternType="solid">
          <fgColor rgb="FFC00000"/>
          <bgColor rgb="FFC00000"/>
        </patternFill>
      </fill>
    </dxf>
    <dxf>
      <font>
        <color rgb="FFFFFF00"/>
      </font>
      <fill>
        <patternFill patternType="solid">
          <fgColor rgb="FF0070C0"/>
          <bgColor rgb="FF0070C0"/>
        </patternFill>
      </fill>
    </dxf>
    <dxf>
      <font>
        <color rgb="FFC00000"/>
      </font>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obv.tournamentsoftware.com/tournament/8AC48043-B584-41FA-9C30-8625B9E722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abSelected="1" workbookViewId="0">
      <pane ySplit="1" topLeftCell="A2" activePane="bottomLeft" state="frozen"/>
      <selection pane="bottomLeft" activeCell="C12" sqref="C12"/>
    </sheetView>
  </sheetViews>
  <sheetFormatPr defaultColWidth="14.3984375" defaultRowHeight="15" customHeight="1" x14ac:dyDescent="0.3"/>
  <cols>
    <col min="1" max="1" width="4.69921875" customWidth="1"/>
    <col min="2" max="2" width="27.3984375" customWidth="1"/>
    <col min="3" max="3" width="23.09765625" customWidth="1"/>
    <col min="4" max="4" width="5.8984375" customWidth="1"/>
    <col min="5" max="5" width="6" customWidth="1"/>
    <col min="6" max="6" width="8.3984375" customWidth="1"/>
    <col min="7" max="7" width="8.09765625" customWidth="1"/>
    <col min="8" max="17" width="6.3984375" customWidth="1"/>
    <col min="18" max="18" width="8" customWidth="1"/>
    <col min="19" max="20" width="8.3984375" customWidth="1"/>
    <col min="21" max="21" width="22.296875" customWidth="1"/>
    <col min="22" max="26" width="11.3984375" customWidth="1"/>
  </cols>
  <sheetData>
    <row r="1" spans="1:26" ht="55" customHeight="1" x14ac:dyDescent="0.3">
      <c r="A1" s="1" t="s">
        <v>0</v>
      </c>
      <c r="B1" s="2" t="s">
        <v>1</v>
      </c>
      <c r="C1" s="2" t="s">
        <v>2</v>
      </c>
      <c r="D1" s="3" t="s">
        <v>3</v>
      </c>
      <c r="E1" s="3" t="s">
        <v>4</v>
      </c>
      <c r="F1" s="3" t="s">
        <v>5</v>
      </c>
      <c r="G1" s="4" t="s">
        <v>6</v>
      </c>
      <c r="H1" s="5" t="s">
        <v>7</v>
      </c>
      <c r="I1" s="6" t="s">
        <v>8</v>
      </c>
      <c r="J1" s="6" t="s">
        <v>9</v>
      </c>
      <c r="K1" s="6" t="s">
        <v>10</v>
      </c>
      <c r="L1" s="7" t="s">
        <v>11</v>
      </c>
      <c r="M1" s="7" t="s">
        <v>12</v>
      </c>
      <c r="N1" s="8" t="s">
        <v>13</v>
      </c>
      <c r="O1" s="9" t="s">
        <v>14</v>
      </c>
      <c r="P1" s="10" t="s">
        <v>15</v>
      </c>
      <c r="Q1" s="11" t="s">
        <v>16</v>
      </c>
      <c r="R1" s="12" t="s">
        <v>17</v>
      </c>
      <c r="S1" s="12" t="s">
        <v>18</v>
      </c>
      <c r="T1" s="13" t="s">
        <v>19</v>
      </c>
      <c r="U1" s="110" t="s">
        <v>645</v>
      </c>
      <c r="V1" s="14"/>
      <c r="W1" s="14"/>
      <c r="X1" s="14"/>
      <c r="Y1" s="14"/>
      <c r="Z1" s="14"/>
    </row>
    <row r="2" spans="1:26" ht="12.75" customHeight="1" x14ac:dyDescent="0.3">
      <c r="A2" s="15">
        <v>1</v>
      </c>
      <c r="B2" s="16" t="s">
        <v>24</v>
      </c>
      <c r="C2" s="17" t="s">
        <v>25</v>
      </c>
      <c r="D2" s="15" t="s">
        <v>26</v>
      </c>
      <c r="E2" s="18" t="s">
        <v>23</v>
      </c>
      <c r="F2" s="15">
        <v>108667</v>
      </c>
      <c r="G2" s="22">
        <v>2010</v>
      </c>
      <c r="H2" s="15">
        <f>MAX(IF(ISNA(VLOOKUP(B2,'WBV 1'!$B$3:$C$34,2,FALSE))=TRUE,0,VLOOKUP(B2,'WBV 1'!$B$3:$C$34,2,FALSE)),IF(ISNA(VLOOKUP(B2,'WBV 1'!$F$3:$G$34,2,FALSE))=TRUE,0,VLOOKUP(B2,'WBV 1'!$F$3:$G$34,2,FALSE)),IF(ISNA(VLOOKUP(B2,'WBV 1'!$J$3:$K$34,2,FALSE))=TRUE,0,VLOOKUP(B2,'WBV 1'!$J$3:$K$34,2,FALSE)),IF(ISNA(VLOOKUP(B2,'WBV 1'!$N$3:$O$34,2,FALSE))=TRUE,0,VLOOKUP(B2,'WBV 1'!$N$3:$O$34,2,FALSE)))</f>
        <v>0</v>
      </c>
      <c r="I2" s="15">
        <f>MAX(IF(ISNA(VLOOKUP(B2,'WBV 2'!$B$3:$C$34,2,FALSE))=TRUE,0,VLOOKUP(B2,'WBV 2'!$B$3:$C$34,2,FALSE)),IF(ISNA(VLOOKUP(B2,'WBV 2'!$F$3:$G$34,2,FALSE))=TRUE,0,VLOOKUP(B2,'WBV 2'!$F$3:$G$34,2,FALSE)),IF(ISNA(VLOOKUP(B2,'WBV 2'!$J$3:$K$34,2,FALSE))=TRUE,0,VLOOKUP(B2,'WBV 2'!$J$3:$K$34,2,FALSE)),IF(ISNA(VLOOKUP(B2,'WBV 2'!$N$3:$O$34,2,FALSE))=TRUE,0,VLOOKUP(B2,'WBV 2'!$N$3:$O$34,2,FALSE)))</f>
        <v>0</v>
      </c>
      <c r="J2" s="15">
        <f>MAX(IF(ISNA(VLOOKUP(B2,'WBV 3'!$B$3:$C$34,2,FALSE))=TRUE,0,VLOOKUP(B2,'WBV 3'!$B$3:$C$34,2,FALSE)),IF(ISNA(VLOOKUP(B2,'WBV 3'!$F$3:$G$34,2,FALSE))=TRUE,0,VLOOKUP(B2,'WBV 3'!$F$3:$G$34,2,FALSE)),IF(ISNA(VLOOKUP(B2,'WBV 3'!$J$3:$K$34,2,FALSE))=TRUE,0,VLOOKUP(B2,'WBV 3'!$J$3:$K$34,2,FALSE)),IF(ISNA(VLOOKUP(B2,'WBV 3'!$N$3:$O$34,2,FALSE))=TRUE,0,VLOOKUP(B2,'WBV 3'!$N$3:$O$34,2,FALSE)))</f>
        <v>0</v>
      </c>
      <c r="K2" s="15">
        <f>MAX(IF(ISNA(VLOOKUP(B2,'WBV 4'!$B$3:$C$34,2,FALSE))=TRUE,0,VLOOKUP(B2,'WBV 4'!$B$3:$C$34,2,FALSE)),IF(ISNA(VLOOKUP(B2,'WBV 4'!$F$3:$G$34,2,FALSE))=TRUE,0,VLOOKUP(B2,'WBV 4'!$F$3:$G$34,2,FALSE)),IF(ISNA(VLOOKUP(B2,'WBV 4'!$J$3:$K$34,2,FALSE))=TRUE,0,VLOOKUP(B2,'WBV 4'!$J$3:$K$34,2,FALSE)),IF(ISNA(VLOOKUP(B2,'WBV 4'!$N$3:$O$34,2,FALSE))=TRUE,0,VLOOKUP(B2,'WBV 4'!$N$3:$O$34,2,FALSE)))</f>
        <v>0</v>
      </c>
      <c r="L2" s="19">
        <f>MAX(IF(ISNA(VLOOKUP(B2,'NÖBV 1'!$B$3:$C$34,2,FALSE))=TRUE,0,VLOOKUP(B2,'NÖBV 1'!$B$3:$C$34,2,FALSE)),IF(ISNA(VLOOKUP(B2,'NÖBV 1'!$F$3:$G$34,2,FALSE))=TRUE,0,VLOOKUP(B2,'NÖBV 1'!$F$3:$G$34,2,FALSE)),IF(ISNA(VLOOKUP(B2,'NÖBV 1'!$J$3:$K$34,2,FALSE))=TRUE,0,VLOOKUP(B2,'NÖBV 1'!$J$3:$K$34,2,FALSE)),IF(ISNA(VLOOKUP(B2,'NÖBV 1'!$N$3:$O$34,2,FALSE))=TRUE,0,VLOOKUP(B2,'NÖBV 1'!$N$3:$O$34,2,FALSE)))</f>
        <v>0</v>
      </c>
      <c r="M2" s="19">
        <f>MAX(IF(ISNA(VLOOKUP(B2,'NÖBV 2'!$B$3:$C$34,2,FALSE))=TRUE,0,VLOOKUP(B2,'NÖBV 2'!$B$3:$C$34,2,FALSE)),IF(ISNA(VLOOKUP(B2,'NÖBV 2'!$F$3:$G$34,2,FALSE))=TRUE,0,VLOOKUP(B2,'NÖBV 2'!$F$3:$G$34,2,FALSE)),IF(ISNA(VLOOKUP(B2,'NÖBV 2'!$J$3:$K$34,2,FALSE))=TRUE,0,VLOOKUP(B2,'NÖBV 2'!$J$3:$K$34,2,FALSE)),IF(ISNA(VLOOKUP(B2,'NÖBV 2'!$N$3:$O$34,2,FALSE))=TRUE,0,VLOOKUP(B2,'NÖBV 2'!$N$3:$O$34,2,FALSE)))</f>
        <v>0</v>
      </c>
      <c r="N2" s="19">
        <f>MAX(IF(ISNA(VLOOKUP(B2,'NÖBV 3'!$B$3:$C$34,2,FALSE))=TRUE,0,VLOOKUP(B2,'NÖBV 3'!$B$3:$C$34,2,FALSE)),IF(ISNA(VLOOKUP(B2,'NÖBV 3'!$F$3:$G$34,2,FALSE))=TRUE,0,VLOOKUP(B2,'NÖBV 3'!$F$3:$G$34,2,FALSE)),IF(ISNA(VLOOKUP(B2,'NÖBV 3'!$J$3:$K$34,2,FALSE))=TRUE,0,VLOOKUP(B2,'NÖBV 3'!$J$3:$K$34,2,FALSE)),IF(ISNA(VLOOKUP(B2,'NÖBV 3'!$N$3:$O$34,2,FALSE))=TRUE,0,VLOOKUP(B2,'NÖBV 3'!$N$3:$O$34,2,FALSE)))</f>
        <v>0</v>
      </c>
      <c r="O2" s="15">
        <f>MAX(IF(ISNA(VLOOKUP(B2,'Regioturnier 1'!$B$3:$C$34,2,FALSE))=TRUE,0,VLOOKUP(B2,'Regioturnier 1'!$B$3:$C$34,2,FALSE)),IF(ISNA(VLOOKUP(B2,'Regioturnier 1'!$F$3:$G$34,2,FALSE))=TRUE,0,VLOOKUP(B2,'Regioturnier 1'!$F$3:$G$34,2,FALSE)),IF(ISNA(VLOOKUP(B2,'Regioturnier 1'!$J$3:$K$34,2,FALSE))=TRUE,0,VLOOKUP(B2,'Regioturnier 1'!$J$3:$K$34,2,FALSE)),IF(ISNA(VLOOKUP(B2,'Regioturnier 1'!$N$3:$O$34,2,FALSE))=TRUE,0,VLOOKUP(B2,'Regioturnier 1'!$N$3:$O$34,2,FALSE)),IF(ISNA(VLOOKUP(B2,'Regioturnier 1'!$R$3:$S$34,2,FALSE))=TRUE,0,VLOOKUP(B2,'Regioturnier 1'!$R$3:$S$34,2,FALSE)), IF(ISNA(VLOOKUP(B2,'Regioturnier 1'!$V$3:$W$34,2,FALSE))=TRUE,0,VLOOKUP(B2,'Regioturnier 1'!$V$3:$W$34,2,FALSE)), IF(ISNA(VLOOKUP(B2,'Regioturnier 1'!$Z$3:$AA$34,2,FALSE))=TRUE,0,VLOOKUP(B2,'Regioturnier 1'!$Z$3:$AA$34,2,FALSE)))</f>
        <v>216</v>
      </c>
      <c r="P2" s="15">
        <f>MAX(IF(ISNA(VLOOKUP(B2,'Regioturnier 2'!$B$3:$C$34,2,FALSE))=TRUE,0,VLOOKUP(B2,'Regioturnier 2'!$B$3:$C$34,2,FALSE)),IF(ISNA(VLOOKUP(B2,'Regioturnier 2'!$F$3:$G$34,2,FALSE))=TRUE,0,VLOOKUP(B2,'Regioturnier 2'!$F$3:$G$34,2,FALSE)),IF(ISNA(VLOOKUP(B2,'Regioturnier 2'!$J$3:$K$34,2,FALSE))=TRUE,0,VLOOKUP(B2,'Regioturnier 2'!$J$3:$K$34,2,FALSE)),IF(ISNA(VLOOKUP(B2,'Regioturnier 2'!$N$3:$O$34,2,FALSE))=TRUE,0,VLOOKUP(B2,'Regioturnier 2'!$N$3:$O$34,2,FALSE)),IF(ISNA(VLOOKUP(B2,'Regioturnier 2'!$R$3:$S$34,2,FALSE))=TRUE,0,VLOOKUP(B2,'Regioturnier 2'!$R$3:$S$34,2,FALSE)), IF(ISNA(VLOOKUP(B2,'Regioturnier 2'!$V$3:$W$34,2,FALSE))=TRUE,0,VLOOKUP(B2,'Regioturnier 2'!$V$3:$W$34,2,FALSE)), IF(ISNA(VLOOKUP(B2,'Regioturnier 2'!$Z$3:$AA$34,2,FALSE))=TRUE,0,VLOOKUP(B2,'Regioturnier 2'!$Z$3:$AA$34,2,FALSE)))</f>
        <v>220</v>
      </c>
      <c r="Q2" s="15">
        <f>MAX(IF(ISNA(VLOOKUP(B2,'Regioturnier 3'!$B$3:$C$34,2,FALSE))=TRUE,0,VLOOKUP(B2,'Regioturnier 3'!$B$3:$C$34,2,FALSE)),IF(ISNA(VLOOKUP(B2,'Regioturnier 3'!$F$3:$G$34,2,FALSE))=TRUE,0,VLOOKUP(B2,'Regioturnier 3'!$F$3:$G$34,2,FALSE)),IF(ISNA(VLOOKUP(B2,'Regioturnier 3'!$J$3:$K$34,2,FALSE))=TRUE,0,VLOOKUP(B2,'Regioturnier 3'!$J$3:$K$34,2,FALSE)),IF(ISNA(VLOOKUP(B2,'Regioturnier 3'!$N$3:$O$34,2,FALSE))=TRUE,0,VLOOKUP(B2,'Regioturnier 3'!$N$3:$O$34,2,FALSE)),IF(ISNA(VLOOKUP(B2,'Regioturnier 3'!$R$3:$S$34,2,FALSE))=TRUE,0,VLOOKUP(B2,'Regioturnier 3'!$R$3:$S$34,2,FALSE)), IF(ISNA(VLOOKUP(B2,'Regioturnier 3'!$V$3:$W$34,2,FALSE))=TRUE,0,VLOOKUP(B2,'Regioturnier 3'!$V$3:$W$34,2,FALSE)), IF(ISNA(VLOOKUP(B2,'Regioturnier 3'!$Z$3:$AA$34,2,FALSE))=TRUE,0,VLOOKUP(B2,'Regioturnier 3'!$Z$3:$AA$34,2,FALSE)))</f>
        <v>0</v>
      </c>
      <c r="R2" s="20">
        <f>0.5*INDEX($H2:$N2,MATCH(LARGE($H2:$N2,1),$H2:$N2,0))+0.3*INDEX($H2:$N2,MATCH(LARGE($H2:$N2,2),$H2:$N2,0))+0.2*INDEX($H2:$N2,MATCH(LARGE($H2:$N2,3),$H2:$N2,0))</f>
        <v>0</v>
      </c>
      <c r="S2" s="20">
        <f>0.6*INDEX(O2:Q2,MATCH(LARGE(O2:Q2,1),O2:Q2,0))+0.4*INDEX(O2:Q2,MATCH(LARGE(O2:Q2,2),O2:Q2,0))+0*INDEX(O2:Q2,MATCH(LARGE(O2:Q2,3),O2:Q2,0))</f>
        <v>218.4</v>
      </c>
      <c r="T2" s="15">
        <f>1*INDEX(R2:S2,MATCH(LARGE(R2:S2,1),R2:S2,0))+0*INDEX(R2:S2,MATCH(LARGE(R2:S2,2),R2:S2,0))</f>
        <v>218.4</v>
      </c>
      <c r="U2" s="21"/>
      <c r="V2" s="21"/>
      <c r="W2" s="21"/>
      <c r="X2" s="21"/>
      <c r="Y2" s="21"/>
      <c r="Z2" s="21"/>
    </row>
    <row r="3" spans="1:26" ht="12.75" customHeight="1" x14ac:dyDescent="0.3">
      <c r="A3" s="15">
        <v>2</v>
      </c>
      <c r="B3" s="16" t="s">
        <v>95</v>
      </c>
      <c r="C3" s="17" t="s">
        <v>25</v>
      </c>
      <c r="D3" s="15" t="s">
        <v>26</v>
      </c>
      <c r="E3" s="18" t="s">
        <v>23</v>
      </c>
      <c r="F3" s="15">
        <v>111768</v>
      </c>
      <c r="G3" s="22">
        <v>2011</v>
      </c>
      <c r="H3" s="15">
        <f>MAX(IF(ISNA(VLOOKUP(B3,'WBV 1'!$B$3:$C$34,2,FALSE))=TRUE,0,VLOOKUP(B3,'WBV 1'!$B$3:$C$34,2,FALSE)),IF(ISNA(VLOOKUP(B3,'WBV 1'!$F$3:$G$34,2,FALSE))=TRUE,0,VLOOKUP(B3,'WBV 1'!$F$3:$G$34,2,FALSE)),IF(ISNA(VLOOKUP(B3,'WBV 1'!$J$3:$K$34,2,FALSE))=TRUE,0,VLOOKUP(B3,'WBV 1'!$J$3:$K$34,2,FALSE)),IF(ISNA(VLOOKUP(B3,'WBV 1'!$N$3:$O$34,2,FALSE))=TRUE,0,VLOOKUP(B3,'WBV 1'!$N$3:$O$34,2,FALSE)))</f>
        <v>194</v>
      </c>
      <c r="I3" s="15">
        <f>MAX(IF(ISNA(VLOOKUP(B3,'WBV 2'!$B$3:$C$34,2,FALSE))=TRUE,0,VLOOKUP(B3,'WBV 2'!$B$3:$C$34,2,FALSE)),IF(ISNA(VLOOKUP(B3,'WBV 2'!$F$3:$G$34,2,FALSE))=TRUE,0,VLOOKUP(B3,'WBV 2'!$F$3:$G$34,2,FALSE)),IF(ISNA(VLOOKUP(B3,'WBV 2'!$J$3:$K$34,2,FALSE))=TRUE,0,VLOOKUP(B3,'WBV 2'!$J$3:$K$34,2,FALSE)),IF(ISNA(VLOOKUP(B3,'WBV 2'!$N$3:$O$34,2,FALSE))=TRUE,0,VLOOKUP(B3,'WBV 2'!$N$3:$O$34,2,FALSE)))</f>
        <v>200</v>
      </c>
      <c r="J3" s="15">
        <f>MAX(IF(ISNA(VLOOKUP(B3,'WBV 3'!$B$3:$C$34,2,FALSE))=TRUE,0,VLOOKUP(B3,'WBV 3'!$B$3:$C$34,2,FALSE)),IF(ISNA(VLOOKUP(B3,'WBV 3'!$F$3:$G$34,2,FALSE))=TRUE,0,VLOOKUP(B3,'WBV 3'!$F$3:$G$34,2,FALSE)),IF(ISNA(VLOOKUP(B3,'WBV 3'!$J$3:$K$34,2,FALSE))=TRUE,0,VLOOKUP(B3,'WBV 3'!$J$3:$K$34,2,FALSE)),IF(ISNA(VLOOKUP(B3,'WBV 3'!$N$3:$O$34,2,FALSE))=TRUE,0,VLOOKUP(B3,'WBV 3'!$N$3:$O$34,2,FALSE)))</f>
        <v>0</v>
      </c>
      <c r="K3" s="15">
        <f>MAX(IF(ISNA(VLOOKUP(B3,'WBV 4'!$B$3:$C$34,2,FALSE))=TRUE,0,VLOOKUP(B3,'WBV 4'!$B$3:$C$34,2,FALSE)),IF(ISNA(VLOOKUP(B3,'WBV 4'!$F$3:$G$34,2,FALSE))=TRUE,0,VLOOKUP(B3,'WBV 4'!$F$3:$G$34,2,FALSE)),IF(ISNA(VLOOKUP(B3,'WBV 4'!$J$3:$K$34,2,FALSE))=TRUE,0,VLOOKUP(B3,'WBV 4'!$J$3:$K$34,2,FALSE)),IF(ISNA(VLOOKUP(B3,'WBV 4'!$N$3:$O$34,2,FALSE))=TRUE,0,VLOOKUP(B3,'WBV 4'!$N$3:$O$34,2,FALSE)))</f>
        <v>0</v>
      </c>
      <c r="L3" s="19">
        <f>MAX(IF(ISNA(VLOOKUP(B3,'NÖBV 1'!$B$3:$C$34,2,FALSE))=TRUE,0,VLOOKUP(B3,'NÖBV 1'!$B$3:$C$34,2,FALSE)),IF(ISNA(VLOOKUP(B3,'NÖBV 1'!$F$3:$G$34,2,FALSE))=TRUE,0,VLOOKUP(B3,'NÖBV 1'!$F$3:$G$34,2,FALSE)),IF(ISNA(VLOOKUP(B3,'NÖBV 1'!$J$3:$K$34,2,FALSE))=TRUE,0,VLOOKUP(B3,'NÖBV 1'!$J$3:$K$34,2,FALSE)),IF(ISNA(VLOOKUP(B3,'NÖBV 1'!$N$3:$O$34,2,FALSE))=TRUE,0,VLOOKUP(B3,'NÖBV 1'!$N$3:$O$34,2,FALSE)))</f>
        <v>0</v>
      </c>
      <c r="M3" s="19">
        <f>MAX(IF(ISNA(VLOOKUP(B3,'NÖBV 2'!$B$3:$C$34,2,FALSE))=TRUE,0,VLOOKUP(B3,'NÖBV 2'!$B$3:$C$34,2,FALSE)),IF(ISNA(VLOOKUP(B3,'NÖBV 2'!$F$3:$G$34,2,FALSE))=TRUE,0,VLOOKUP(B3,'NÖBV 2'!$F$3:$G$34,2,FALSE)),IF(ISNA(VLOOKUP(B3,'NÖBV 2'!$J$3:$K$34,2,FALSE))=TRUE,0,VLOOKUP(B3,'NÖBV 2'!$J$3:$K$34,2,FALSE)),IF(ISNA(VLOOKUP(B3,'NÖBV 2'!$N$3:$O$34,2,FALSE))=TRUE,0,VLOOKUP(B3,'NÖBV 2'!$N$3:$O$34,2,FALSE)))</f>
        <v>0</v>
      </c>
      <c r="N3" s="19">
        <f>MAX(IF(ISNA(VLOOKUP(B3,'NÖBV 3'!$B$3:$C$34,2,FALSE))=TRUE,0,VLOOKUP(B3,'NÖBV 3'!$B$3:$C$34,2,FALSE)),IF(ISNA(VLOOKUP(B3,'NÖBV 3'!$F$3:$G$34,2,FALSE))=TRUE,0,VLOOKUP(B3,'NÖBV 3'!$F$3:$G$34,2,FALSE)),IF(ISNA(VLOOKUP(B3,'NÖBV 3'!$J$3:$K$34,2,FALSE))=TRUE,0,VLOOKUP(B3,'NÖBV 3'!$J$3:$K$34,2,FALSE)),IF(ISNA(VLOOKUP(B3,'NÖBV 3'!$N$3:$O$34,2,FALSE))=TRUE,0,VLOOKUP(B3,'NÖBV 3'!$N$3:$O$34,2,FALSE)))</f>
        <v>0</v>
      </c>
      <c r="O3" s="15">
        <f>MAX(IF(ISNA(VLOOKUP(B3,'Regioturnier 1'!$B$3:$C$34,2,FALSE))=TRUE,0,VLOOKUP(B3,'Regioturnier 1'!$B$3:$C$34,2,FALSE)),IF(ISNA(VLOOKUP(B3,'Regioturnier 1'!$F$3:$G$34,2,FALSE))=TRUE,0,VLOOKUP(B3,'Regioturnier 1'!$F$3:$G$34,2,FALSE)),IF(ISNA(VLOOKUP(B3,'Regioturnier 1'!$J$3:$K$34,2,FALSE))=TRUE,0,VLOOKUP(B3,'Regioturnier 1'!$J$3:$K$34,2,FALSE)),IF(ISNA(VLOOKUP(B3,'Regioturnier 1'!$N$3:$O$34,2,FALSE))=TRUE,0,VLOOKUP(B3,'Regioturnier 1'!$N$3:$O$34,2,FALSE)),IF(ISNA(VLOOKUP(B3,'Regioturnier 1'!$R$3:$S$34,2,FALSE))=TRUE,0,VLOOKUP(B3,'Regioturnier 1'!$R$3:$S$34,2,FALSE)), IF(ISNA(VLOOKUP(B3,'Regioturnier 1'!$V$3:$W$34,2,FALSE))=TRUE,0,VLOOKUP(B3,'Regioturnier 1'!$V$3:$W$34,2,FALSE)), IF(ISNA(VLOOKUP(B3,'Regioturnier 1'!$Z$3:$AA$34,2,FALSE))=TRUE,0,VLOOKUP(B3,'Regioturnier 1'!$Z$3:$AA$34,2,FALSE)))</f>
        <v>212</v>
      </c>
      <c r="P3" s="15">
        <f>MAX(IF(ISNA(VLOOKUP(B3,'Regioturnier 2'!$B$3:$C$34,2,FALSE))=TRUE,0,VLOOKUP(B3,'Regioturnier 2'!$B$3:$C$34,2,FALSE)),IF(ISNA(VLOOKUP(B3,'Regioturnier 2'!$F$3:$G$34,2,FALSE))=TRUE,0,VLOOKUP(B3,'Regioturnier 2'!$F$3:$G$34,2,FALSE)),IF(ISNA(VLOOKUP(B3,'Regioturnier 2'!$J$3:$K$34,2,FALSE))=TRUE,0,VLOOKUP(B3,'Regioturnier 2'!$J$3:$K$34,2,FALSE)),IF(ISNA(VLOOKUP(B3,'Regioturnier 2'!$N$3:$O$34,2,FALSE))=TRUE,0,VLOOKUP(B3,'Regioturnier 2'!$N$3:$O$34,2,FALSE)),IF(ISNA(VLOOKUP(B3,'Regioturnier 2'!$R$3:$S$34,2,FALSE))=TRUE,0,VLOOKUP(B3,'Regioturnier 2'!$R$3:$S$34,2,FALSE)), IF(ISNA(VLOOKUP(B3,'Regioturnier 2'!$V$3:$W$34,2,FALSE))=TRUE,0,VLOOKUP(B3,'Regioturnier 2'!$V$3:$W$34,2,FALSE)), IF(ISNA(VLOOKUP(B3,'Regioturnier 2'!$Z$3:$AA$34,2,FALSE))=TRUE,0,VLOOKUP(B3,'Regioturnier 2'!$Z$3:$AA$34,2,FALSE)))</f>
        <v>216</v>
      </c>
      <c r="Q3" s="15">
        <f>MAX(IF(ISNA(VLOOKUP(B3,'Regioturnier 3'!$B$3:$C$34,2,FALSE))=TRUE,0,VLOOKUP(B3,'Regioturnier 3'!$B$3:$C$34,2,FALSE)),IF(ISNA(VLOOKUP(B3,'Regioturnier 3'!$F$3:$G$34,2,FALSE))=TRUE,0,VLOOKUP(B3,'Regioturnier 3'!$F$3:$G$34,2,FALSE)),IF(ISNA(VLOOKUP(B3,'Regioturnier 3'!$J$3:$K$34,2,FALSE))=TRUE,0,VLOOKUP(B3,'Regioturnier 3'!$J$3:$K$34,2,FALSE)),IF(ISNA(VLOOKUP(B3,'Regioturnier 3'!$N$3:$O$34,2,FALSE))=TRUE,0,VLOOKUP(B3,'Regioturnier 3'!$N$3:$O$34,2,FALSE)),IF(ISNA(VLOOKUP(B3,'Regioturnier 3'!$R$3:$S$34,2,FALSE))=TRUE,0,VLOOKUP(B3,'Regioturnier 3'!$R$3:$S$34,2,FALSE)), IF(ISNA(VLOOKUP(B3,'Regioturnier 3'!$V$3:$W$34,2,FALSE))=TRUE,0,VLOOKUP(B3,'Regioturnier 3'!$V$3:$W$34,2,FALSE)), IF(ISNA(VLOOKUP(B3,'Regioturnier 3'!$Z$3:$AA$34,2,FALSE))=TRUE,0,VLOOKUP(B3,'Regioturnier 3'!$Z$3:$AA$34,2,FALSE)))</f>
        <v>0</v>
      </c>
      <c r="R3" s="20">
        <f>0.5*INDEX($H3:$N3,MATCH(LARGE($H3:$N3,1),$H3:$N3,0))+0.3*INDEX($H3:$N3,MATCH(LARGE($H3:$N3,2),$H3:$N3,0))+0.2*INDEX($H3:$N3,MATCH(LARGE($H3:$N3,3),$H3:$N3,0))</f>
        <v>158.19999999999999</v>
      </c>
      <c r="S3" s="20">
        <f>0.6*INDEX(O3:Q3,MATCH(LARGE(O3:Q3,1),O3:Q3,0))+0.4*INDEX(O3:Q3,MATCH(LARGE(O3:Q3,2),O3:Q3,0))+0*INDEX(O3:Q3,MATCH(LARGE(O3:Q3,3),O3:Q3,0))</f>
        <v>214.4</v>
      </c>
      <c r="T3" s="15">
        <f>1*INDEX(R3:S3,MATCH(LARGE(R3:S3,1),R3:S3,0))+0*INDEX(R3:S3,MATCH(LARGE(R3:S3,2),R3:S3,0))</f>
        <v>214.4</v>
      </c>
      <c r="U3" s="21"/>
      <c r="V3" s="21"/>
      <c r="W3" s="21"/>
      <c r="X3" s="21"/>
      <c r="Y3" s="21"/>
      <c r="Z3" s="21"/>
    </row>
    <row r="4" spans="1:26" ht="12.75" customHeight="1" x14ac:dyDescent="0.3">
      <c r="A4" s="15">
        <v>3</v>
      </c>
      <c r="B4" s="16" t="s">
        <v>179</v>
      </c>
      <c r="C4" s="17" t="s">
        <v>31</v>
      </c>
      <c r="D4" s="15" t="s">
        <v>26</v>
      </c>
      <c r="E4" s="18" t="s">
        <v>23</v>
      </c>
      <c r="F4" s="15">
        <v>109049</v>
      </c>
      <c r="G4" s="22">
        <v>2010</v>
      </c>
      <c r="H4" s="15">
        <f>MAX(IF(ISNA(VLOOKUP(B4,'WBV 1'!$B$3:$C$34,2,FALSE))=TRUE,0,VLOOKUP(B4,'WBV 1'!$B$3:$C$34,2,FALSE)),IF(ISNA(VLOOKUP(B4,'WBV 1'!$F$3:$G$34,2,FALSE))=TRUE,0,VLOOKUP(B4,'WBV 1'!$F$3:$G$34,2,FALSE)),IF(ISNA(VLOOKUP(B4,'WBV 1'!$J$3:$K$34,2,FALSE))=TRUE,0,VLOOKUP(B4,'WBV 1'!$J$3:$K$34,2,FALSE)),IF(ISNA(VLOOKUP(B4,'WBV 1'!$N$3:$O$34,2,FALSE))=TRUE,0,VLOOKUP(B4,'WBV 1'!$N$3:$O$34,2,FALSE)))</f>
        <v>0</v>
      </c>
      <c r="I4" s="15">
        <f>MAX(IF(ISNA(VLOOKUP(B4,'WBV 2'!$B$3:$C$34,2,FALSE))=TRUE,0,VLOOKUP(B4,'WBV 2'!$B$3:$C$34,2,FALSE)),IF(ISNA(VLOOKUP(B4,'WBV 2'!$F$3:$G$34,2,FALSE))=TRUE,0,VLOOKUP(B4,'WBV 2'!$F$3:$G$34,2,FALSE)),IF(ISNA(VLOOKUP(B4,'WBV 2'!$J$3:$K$34,2,FALSE))=TRUE,0,VLOOKUP(B4,'WBV 2'!$J$3:$K$34,2,FALSE)),IF(ISNA(VLOOKUP(B4,'WBV 2'!$N$3:$O$34,2,FALSE))=TRUE,0,VLOOKUP(B4,'WBV 2'!$N$3:$O$34,2,FALSE)))</f>
        <v>0</v>
      </c>
      <c r="J4" s="15">
        <f>MAX(IF(ISNA(VLOOKUP(B4,'WBV 3'!$B$3:$C$34,2,FALSE))=TRUE,0,VLOOKUP(B4,'WBV 3'!$B$3:$C$34,2,FALSE)),IF(ISNA(VLOOKUP(B4,'WBV 3'!$F$3:$G$34,2,FALSE))=TRUE,0,VLOOKUP(B4,'WBV 3'!$F$3:$G$34,2,FALSE)),IF(ISNA(VLOOKUP(B4,'WBV 3'!$J$3:$K$34,2,FALSE))=TRUE,0,VLOOKUP(B4,'WBV 3'!$J$3:$K$34,2,FALSE)),IF(ISNA(VLOOKUP(B4,'WBV 3'!$N$3:$O$34,2,FALSE))=TRUE,0,VLOOKUP(B4,'WBV 3'!$N$3:$O$34,2,FALSE)))</f>
        <v>0</v>
      </c>
      <c r="K4" s="15">
        <f>MAX(IF(ISNA(VLOOKUP(B4,'WBV 4'!$B$3:$C$34,2,FALSE))=TRUE,0,VLOOKUP(B4,'WBV 4'!$B$3:$C$34,2,FALSE)),IF(ISNA(VLOOKUP(B4,'WBV 4'!$F$3:$G$34,2,FALSE))=TRUE,0,VLOOKUP(B4,'WBV 4'!$F$3:$G$34,2,FALSE)),IF(ISNA(VLOOKUP(B4,'WBV 4'!$J$3:$K$34,2,FALSE))=TRUE,0,VLOOKUP(B4,'WBV 4'!$J$3:$K$34,2,FALSE)),IF(ISNA(VLOOKUP(B4,'WBV 4'!$N$3:$O$34,2,FALSE))=TRUE,0,VLOOKUP(B4,'WBV 4'!$N$3:$O$34,2,FALSE)))</f>
        <v>0</v>
      </c>
      <c r="L4" s="19">
        <f>MAX(IF(ISNA(VLOOKUP(B4,'NÖBV 1'!$B$3:$C$34,2,FALSE))=TRUE,0,VLOOKUP(B4,'NÖBV 1'!$B$3:$C$34,2,FALSE)),IF(ISNA(VLOOKUP(B4,'NÖBV 1'!$F$3:$G$34,2,FALSE))=TRUE,0,VLOOKUP(B4,'NÖBV 1'!$F$3:$G$34,2,FALSE)),IF(ISNA(VLOOKUP(B4,'NÖBV 1'!$J$3:$K$34,2,FALSE))=TRUE,0,VLOOKUP(B4,'NÖBV 1'!$J$3:$K$34,2,FALSE)),IF(ISNA(VLOOKUP(B4,'NÖBV 1'!$N$3:$O$34,2,FALSE))=TRUE,0,VLOOKUP(B4,'NÖBV 1'!$N$3:$O$34,2,FALSE)))</f>
        <v>0</v>
      </c>
      <c r="M4" s="19">
        <f>MAX(IF(ISNA(VLOOKUP(B4,'NÖBV 2'!$B$3:$C$34,2,FALSE))=TRUE,0,VLOOKUP(B4,'NÖBV 2'!$B$3:$C$34,2,FALSE)),IF(ISNA(VLOOKUP(B4,'NÖBV 2'!$F$3:$G$34,2,FALSE))=TRUE,0,VLOOKUP(B4,'NÖBV 2'!$F$3:$G$34,2,FALSE)),IF(ISNA(VLOOKUP(B4,'NÖBV 2'!$J$3:$K$34,2,FALSE))=TRUE,0,VLOOKUP(B4,'NÖBV 2'!$J$3:$K$34,2,FALSE)),IF(ISNA(VLOOKUP(B4,'NÖBV 2'!$N$3:$O$34,2,FALSE))=TRUE,0,VLOOKUP(B4,'NÖBV 2'!$N$3:$O$34,2,FALSE)))</f>
        <v>0</v>
      </c>
      <c r="N4" s="19">
        <f>MAX(IF(ISNA(VLOOKUP(B4,'NÖBV 3'!$B$3:$C$34,2,FALSE))=TRUE,0,VLOOKUP(B4,'NÖBV 3'!$B$3:$C$34,2,FALSE)),IF(ISNA(VLOOKUP(B4,'NÖBV 3'!$F$3:$G$34,2,FALSE))=TRUE,0,VLOOKUP(B4,'NÖBV 3'!$F$3:$G$34,2,FALSE)),IF(ISNA(VLOOKUP(B4,'NÖBV 3'!$J$3:$K$34,2,FALSE))=TRUE,0,VLOOKUP(B4,'NÖBV 3'!$J$3:$K$34,2,FALSE)),IF(ISNA(VLOOKUP(B4,'NÖBV 3'!$N$3:$O$34,2,FALSE))=TRUE,0,VLOOKUP(B4,'NÖBV 3'!$N$3:$O$34,2,FALSE)))</f>
        <v>0</v>
      </c>
      <c r="O4" s="15">
        <f>MAX(IF(ISNA(VLOOKUP(B4,'Regioturnier 1'!$B$3:$C$34,2,FALSE))=TRUE,0,VLOOKUP(B4,'Regioturnier 1'!$B$3:$C$34,2,FALSE)),IF(ISNA(VLOOKUP(B4,'Regioturnier 1'!$F$3:$G$34,2,FALSE))=TRUE,0,VLOOKUP(B4,'Regioturnier 1'!$F$3:$G$34,2,FALSE)),IF(ISNA(VLOOKUP(B4,'Regioturnier 1'!$J$3:$K$34,2,FALSE))=TRUE,0,VLOOKUP(B4,'Regioturnier 1'!$J$3:$K$34,2,FALSE)),IF(ISNA(VLOOKUP(B4,'Regioturnier 1'!$N$3:$O$34,2,FALSE))=TRUE,0,VLOOKUP(B4,'Regioturnier 1'!$N$3:$O$34,2,FALSE)),IF(ISNA(VLOOKUP(B4,'Regioturnier 1'!$R$3:$S$34,2,FALSE))=TRUE,0,VLOOKUP(B4,'Regioturnier 1'!$R$3:$S$34,2,FALSE)), IF(ISNA(VLOOKUP(B4,'Regioturnier 1'!$V$3:$W$34,2,FALSE))=TRUE,0,VLOOKUP(B4,'Regioturnier 1'!$V$3:$W$34,2,FALSE)), IF(ISNA(VLOOKUP(B4,'Regioturnier 1'!$Z$3:$AA$34,2,FALSE))=TRUE,0,VLOOKUP(B4,'Regioturnier 1'!$Z$3:$AA$34,2,FALSE)))</f>
        <v>214</v>
      </c>
      <c r="P4" s="15">
        <f>MAX(IF(ISNA(VLOOKUP(B4,'Regioturnier 2'!$B$3:$C$34,2,FALSE))=TRUE,0,VLOOKUP(B4,'Regioturnier 2'!$B$3:$C$34,2,FALSE)),IF(ISNA(VLOOKUP(B4,'Regioturnier 2'!$F$3:$G$34,2,FALSE))=TRUE,0,VLOOKUP(B4,'Regioturnier 2'!$F$3:$G$34,2,FALSE)),IF(ISNA(VLOOKUP(B4,'Regioturnier 2'!$J$3:$K$34,2,FALSE))=TRUE,0,VLOOKUP(B4,'Regioturnier 2'!$J$3:$K$34,2,FALSE)),IF(ISNA(VLOOKUP(B4,'Regioturnier 2'!$N$3:$O$34,2,FALSE))=TRUE,0,VLOOKUP(B4,'Regioturnier 2'!$N$3:$O$34,2,FALSE)),IF(ISNA(VLOOKUP(B4,'Regioturnier 2'!$R$3:$S$34,2,FALSE))=TRUE,0,VLOOKUP(B4,'Regioturnier 2'!$R$3:$S$34,2,FALSE)), IF(ISNA(VLOOKUP(B4,'Regioturnier 2'!$V$3:$W$34,2,FALSE))=TRUE,0,VLOOKUP(B4,'Regioturnier 2'!$V$3:$W$34,2,FALSE)), IF(ISNA(VLOOKUP(B4,'Regioturnier 2'!$Z$3:$AA$34,2,FALSE))=TRUE,0,VLOOKUP(B4,'Regioturnier 2'!$Z$3:$AA$34,2,FALSE)))</f>
        <v>212</v>
      </c>
      <c r="Q4" s="15">
        <f>MAX(IF(ISNA(VLOOKUP(B4,'Regioturnier 3'!$B$3:$C$34,2,FALSE))=TRUE,0,VLOOKUP(B4,'Regioturnier 3'!$B$3:$C$34,2,FALSE)),IF(ISNA(VLOOKUP(B4,'Regioturnier 3'!$F$3:$G$34,2,FALSE))=TRUE,0,VLOOKUP(B4,'Regioturnier 3'!$F$3:$G$34,2,FALSE)),IF(ISNA(VLOOKUP(B4,'Regioturnier 3'!$J$3:$K$34,2,FALSE))=TRUE,0,VLOOKUP(B4,'Regioturnier 3'!$J$3:$K$34,2,FALSE)),IF(ISNA(VLOOKUP(B4,'Regioturnier 3'!$N$3:$O$34,2,FALSE))=TRUE,0,VLOOKUP(B4,'Regioturnier 3'!$N$3:$O$34,2,FALSE)),IF(ISNA(VLOOKUP(B4,'Regioturnier 3'!$R$3:$S$34,2,FALSE))=TRUE,0,VLOOKUP(B4,'Regioturnier 3'!$R$3:$S$34,2,FALSE)), IF(ISNA(VLOOKUP(B4,'Regioturnier 3'!$V$3:$W$34,2,FALSE))=TRUE,0,VLOOKUP(B4,'Regioturnier 3'!$V$3:$W$34,2,FALSE)), IF(ISNA(VLOOKUP(B4,'Regioturnier 3'!$Z$3:$AA$34,2,FALSE))=TRUE,0,VLOOKUP(B4,'Regioturnier 3'!$Z$3:$AA$34,2,FALSE)))</f>
        <v>0</v>
      </c>
      <c r="R4" s="20">
        <f>0.5*INDEX($H4:$N4,MATCH(LARGE($H4:$N4,1),$H4:$N4,0))+0.3*INDEX($H4:$N4,MATCH(LARGE($H4:$N4,2),$H4:$N4,0))+0.2*INDEX($H4:$N4,MATCH(LARGE($H4:$N4,3),$H4:$N4,0))</f>
        <v>0</v>
      </c>
      <c r="S4" s="20">
        <f>0.6*INDEX(O4:Q4,MATCH(LARGE(O4:Q4,1),O4:Q4,0))+0.4*INDEX(O4:Q4,MATCH(LARGE(O4:Q4,2),O4:Q4,0))+0*INDEX(O4:Q4,MATCH(LARGE(O4:Q4,3),O4:Q4,0))</f>
        <v>213.20000000000002</v>
      </c>
      <c r="T4" s="15">
        <f>1*INDEX(R4:S4,MATCH(LARGE(R4:S4,1),R4:S4,0))+0*INDEX(R4:S4,MATCH(LARGE(R4:S4,2),R4:S4,0))</f>
        <v>213.20000000000002</v>
      </c>
      <c r="U4" s="21"/>
      <c r="V4" s="21"/>
      <c r="W4" s="21"/>
      <c r="X4" s="21"/>
      <c r="Y4" s="21"/>
      <c r="Z4" s="21"/>
    </row>
    <row r="5" spans="1:26" ht="12.75" customHeight="1" x14ac:dyDescent="0.3">
      <c r="A5" s="15">
        <v>4</v>
      </c>
      <c r="B5" s="16" t="s">
        <v>207</v>
      </c>
      <c r="C5" s="17" t="s">
        <v>25</v>
      </c>
      <c r="D5" s="15" t="s">
        <v>26</v>
      </c>
      <c r="E5" s="18" t="s">
        <v>23</v>
      </c>
      <c r="F5" s="15">
        <v>111767</v>
      </c>
      <c r="G5" s="22">
        <v>2012</v>
      </c>
      <c r="H5" s="15">
        <f>MAX(IF(ISNA(VLOOKUP(B5,'WBV 1'!$B$3:$C$34,2,FALSE))=TRUE,0,VLOOKUP(B5,'WBV 1'!$B$3:$C$34,2,FALSE)),IF(ISNA(VLOOKUP(B5,'WBV 1'!$F$3:$G$34,2,FALSE))=TRUE,0,VLOOKUP(B5,'WBV 1'!$F$3:$G$34,2,FALSE)),IF(ISNA(VLOOKUP(B5,'WBV 1'!$J$3:$K$34,2,FALSE))=TRUE,0,VLOOKUP(B5,'WBV 1'!$J$3:$K$34,2,FALSE)),IF(ISNA(VLOOKUP(B5,'WBV 1'!$N$3:$O$34,2,FALSE))=TRUE,0,VLOOKUP(B5,'WBV 1'!$N$3:$O$34,2,FALSE)))</f>
        <v>191</v>
      </c>
      <c r="I5" s="15">
        <f>MAX(IF(ISNA(VLOOKUP(B5,'WBV 2'!$B$3:$C$34,2,FALSE))=TRUE,0,VLOOKUP(B5,'WBV 2'!$B$3:$C$34,2,FALSE)),IF(ISNA(VLOOKUP(B5,'WBV 2'!$F$3:$G$34,2,FALSE))=TRUE,0,VLOOKUP(B5,'WBV 2'!$F$3:$G$34,2,FALSE)),IF(ISNA(VLOOKUP(B5,'WBV 2'!$J$3:$K$34,2,FALSE))=TRUE,0,VLOOKUP(B5,'WBV 2'!$J$3:$K$34,2,FALSE)),IF(ISNA(VLOOKUP(B5,'WBV 2'!$N$3:$O$34,2,FALSE))=TRUE,0,VLOOKUP(B5,'WBV 2'!$N$3:$O$34,2,FALSE)))</f>
        <v>198</v>
      </c>
      <c r="J5" s="15">
        <f>MAX(IF(ISNA(VLOOKUP(B5,'WBV 3'!$B$3:$C$34,2,FALSE))=TRUE,0,VLOOKUP(B5,'WBV 3'!$B$3:$C$34,2,FALSE)),IF(ISNA(VLOOKUP(B5,'WBV 3'!$F$3:$G$34,2,FALSE))=TRUE,0,VLOOKUP(B5,'WBV 3'!$F$3:$G$34,2,FALSE)),IF(ISNA(VLOOKUP(B5,'WBV 3'!$J$3:$K$34,2,FALSE))=TRUE,0,VLOOKUP(B5,'WBV 3'!$J$3:$K$34,2,FALSE)),IF(ISNA(VLOOKUP(B5,'WBV 3'!$N$3:$O$34,2,FALSE))=TRUE,0,VLOOKUP(B5,'WBV 3'!$N$3:$O$34,2,FALSE)))</f>
        <v>200</v>
      </c>
      <c r="K5" s="15">
        <f>MAX(IF(ISNA(VLOOKUP(B5,'WBV 4'!$B$3:$C$34,2,FALSE))=TRUE,0,VLOOKUP(B5,'WBV 4'!$B$3:$C$34,2,FALSE)),IF(ISNA(VLOOKUP(B5,'WBV 4'!$F$3:$G$34,2,FALSE))=TRUE,0,VLOOKUP(B5,'WBV 4'!$F$3:$G$34,2,FALSE)),IF(ISNA(VLOOKUP(B5,'WBV 4'!$J$3:$K$34,2,FALSE))=TRUE,0,VLOOKUP(B5,'WBV 4'!$J$3:$K$34,2,FALSE)),IF(ISNA(VLOOKUP(B5,'WBV 4'!$N$3:$O$34,2,FALSE))=TRUE,0,VLOOKUP(B5,'WBV 4'!$N$3:$O$34,2,FALSE)))</f>
        <v>0</v>
      </c>
      <c r="L5" s="19">
        <f>MAX(IF(ISNA(VLOOKUP(B5,'NÖBV 1'!$B$3:$C$34,2,FALSE))=TRUE,0,VLOOKUP(B5,'NÖBV 1'!$B$3:$C$34,2,FALSE)),IF(ISNA(VLOOKUP(B5,'NÖBV 1'!$F$3:$G$34,2,FALSE))=TRUE,0,VLOOKUP(B5,'NÖBV 1'!$F$3:$G$34,2,FALSE)),IF(ISNA(VLOOKUP(B5,'NÖBV 1'!$J$3:$K$34,2,FALSE))=TRUE,0,VLOOKUP(B5,'NÖBV 1'!$J$3:$K$34,2,FALSE)),IF(ISNA(VLOOKUP(B5,'NÖBV 1'!$N$3:$O$34,2,FALSE))=TRUE,0,VLOOKUP(B5,'NÖBV 1'!$N$3:$O$34,2,FALSE)))</f>
        <v>0</v>
      </c>
      <c r="M5" s="19">
        <f>MAX(IF(ISNA(VLOOKUP(B5,'NÖBV 2'!$B$3:$C$34,2,FALSE))=TRUE,0,VLOOKUP(B5,'NÖBV 2'!$B$3:$C$34,2,FALSE)),IF(ISNA(VLOOKUP(B5,'NÖBV 2'!$F$3:$G$34,2,FALSE))=TRUE,0,VLOOKUP(B5,'NÖBV 2'!$F$3:$G$34,2,FALSE)),IF(ISNA(VLOOKUP(B5,'NÖBV 2'!$J$3:$K$34,2,FALSE))=TRUE,0,VLOOKUP(B5,'NÖBV 2'!$J$3:$K$34,2,FALSE)),IF(ISNA(VLOOKUP(B5,'NÖBV 2'!$N$3:$O$34,2,FALSE))=TRUE,0,VLOOKUP(B5,'NÖBV 2'!$N$3:$O$34,2,FALSE)))</f>
        <v>0</v>
      </c>
      <c r="N5" s="19">
        <f>MAX(IF(ISNA(VLOOKUP(B5,'NÖBV 3'!$B$3:$C$34,2,FALSE))=TRUE,0,VLOOKUP(B5,'NÖBV 3'!$B$3:$C$34,2,FALSE)),IF(ISNA(VLOOKUP(B5,'NÖBV 3'!$F$3:$G$34,2,FALSE))=TRUE,0,VLOOKUP(B5,'NÖBV 3'!$F$3:$G$34,2,FALSE)),IF(ISNA(VLOOKUP(B5,'NÖBV 3'!$J$3:$K$34,2,FALSE))=TRUE,0,VLOOKUP(B5,'NÖBV 3'!$J$3:$K$34,2,FALSE)),IF(ISNA(VLOOKUP(B5,'NÖBV 3'!$N$3:$O$34,2,FALSE))=TRUE,0,VLOOKUP(B5,'NÖBV 3'!$N$3:$O$34,2,FALSE)))</f>
        <v>0</v>
      </c>
      <c r="O5" s="15">
        <f>MAX(IF(ISNA(VLOOKUP(B5,'Regioturnier 1'!$B$3:$C$34,2,FALSE))=TRUE,0,VLOOKUP(B5,'Regioturnier 1'!$B$3:$C$34,2,FALSE)),IF(ISNA(VLOOKUP(B5,'Regioturnier 1'!$F$3:$G$34,2,FALSE))=TRUE,0,VLOOKUP(B5,'Regioturnier 1'!$F$3:$G$34,2,FALSE)),IF(ISNA(VLOOKUP(B5,'Regioturnier 1'!$J$3:$K$34,2,FALSE))=TRUE,0,VLOOKUP(B5,'Regioturnier 1'!$J$3:$K$34,2,FALSE)),IF(ISNA(VLOOKUP(B5,'Regioturnier 1'!$N$3:$O$34,2,FALSE))=TRUE,0,VLOOKUP(B5,'Regioturnier 1'!$N$3:$O$34,2,FALSE)),IF(ISNA(VLOOKUP(B5,'Regioturnier 1'!$R$3:$S$34,2,FALSE))=TRUE,0,VLOOKUP(B5,'Regioturnier 1'!$R$3:$S$34,2,FALSE)), IF(ISNA(VLOOKUP(B5,'Regioturnier 1'!$V$3:$W$34,2,FALSE))=TRUE,0,VLOOKUP(B5,'Regioturnier 1'!$V$3:$W$34,2,FALSE)), IF(ISNA(VLOOKUP(B5,'Regioturnier 1'!$Z$3:$AA$34,2,FALSE))=TRUE,0,VLOOKUP(B5,'Regioturnier 1'!$Z$3:$AA$34,2,FALSE)))</f>
        <v>210</v>
      </c>
      <c r="P5" s="15">
        <f>MAX(IF(ISNA(VLOOKUP(B5,'Regioturnier 2'!$B$3:$C$34,2,FALSE))=TRUE,0,VLOOKUP(B5,'Regioturnier 2'!$B$3:$C$34,2,FALSE)),IF(ISNA(VLOOKUP(B5,'Regioturnier 2'!$F$3:$G$34,2,FALSE))=TRUE,0,VLOOKUP(B5,'Regioturnier 2'!$F$3:$G$34,2,FALSE)),IF(ISNA(VLOOKUP(B5,'Regioturnier 2'!$J$3:$K$34,2,FALSE))=TRUE,0,VLOOKUP(B5,'Regioturnier 2'!$J$3:$K$34,2,FALSE)),IF(ISNA(VLOOKUP(B5,'Regioturnier 2'!$N$3:$O$34,2,FALSE))=TRUE,0,VLOOKUP(B5,'Regioturnier 2'!$N$3:$O$34,2,FALSE)),IF(ISNA(VLOOKUP(B5,'Regioturnier 2'!$R$3:$S$34,2,FALSE))=TRUE,0,VLOOKUP(B5,'Regioturnier 2'!$R$3:$S$34,2,FALSE)), IF(ISNA(VLOOKUP(B5,'Regioturnier 2'!$V$3:$W$34,2,FALSE))=TRUE,0,VLOOKUP(B5,'Regioturnier 2'!$V$3:$W$34,2,FALSE)), IF(ISNA(VLOOKUP(B5,'Regioturnier 2'!$Z$3:$AA$34,2,FALSE))=TRUE,0,VLOOKUP(B5,'Regioturnier 2'!$Z$3:$AA$34,2,FALSE)))</f>
        <v>210</v>
      </c>
      <c r="Q5" s="15">
        <f>MAX(IF(ISNA(VLOOKUP(B5,'Regioturnier 3'!$B$3:$C$34,2,FALSE))=TRUE,0,VLOOKUP(B5,'Regioturnier 3'!$B$3:$C$34,2,FALSE)),IF(ISNA(VLOOKUP(B5,'Regioturnier 3'!$F$3:$G$34,2,FALSE))=TRUE,0,VLOOKUP(B5,'Regioturnier 3'!$F$3:$G$34,2,FALSE)),IF(ISNA(VLOOKUP(B5,'Regioturnier 3'!$J$3:$K$34,2,FALSE))=TRUE,0,VLOOKUP(B5,'Regioturnier 3'!$J$3:$K$34,2,FALSE)),IF(ISNA(VLOOKUP(B5,'Regioturnier 3'!$N$3:$O$34,2,FALSE))=TRUE,0,VLOOKUP(B5,'Regioturnier 3'!$N$3:$O$34,2,FALSE)),IF(ISNA(VLOOKUP(B5,'Regioturnier 3'!$R$3:$S$34,2,FALSE))=TRUE,0,VLOOKUP(B5,'Regioturnier 3'!$R$3:$S$34,2,FALSE)), IF(ISNA(VLOOKUP(B5,'Regioturnier 3'!$V$3:$W$34,2,FALSE))=TRUE,0,VLOOKUP(B5,'Regioturnier 3'!$V$3:$W$34,2,FALSE)), IF(ISNA(VLOOKUP(B5,'Regioturnier 3'!$Z$3:$AA$34,2,FALSE))=TRUE,0,VLOOKUP(B5,'Regioturnier 3'!$Z$3:$AA$34,2,FALSE)))</f>
        <v>0</v>
      </c>
      <c r="R5" s="20">
        <f>0.5*INDEX($H5:$N5,MATCH(LARGE($H5:$N5,1),$H5:$N5,0))+0.3*INDEX($H5:$N5,MATCH(LARGE($H5:$N5,2),$H5:$N5,0))+0.2*INDEX($H5:$N5,MATCH(LARGE($H5:$N5,3),$H5:$N5,0))</f>
        <v>197.60000000000002</v>
      </c>
      <c r="S5" s="20">
        <f>0.6*INDEX(O5:Q5,MATCH(LARGE(O5:Q5,1),O5:Q5,0))+0.4*INDEX(O5:Q5,MATCH(LARGE(O5:Q5,2),O5:Q5,0))+0*INDEX(O5:Q5,MATCH(LARGE(O5:Q5,3),O5:Q5,0))</f>
        <v>210</v>
      </c>
      <c r="T5" s="15">
        <f>1*INDEX(R5:S5,MATCH(LARGE(R5:S5,1),R5:S5,0))+0*INDEX(R5:S5,MATCH(LARGE(R5:S5,2),R5:S5,0))</f>
        <v>210</v>
      </c>
      <c r="U5" s="21"/>
      <c r="V5" s="21"/>
      <c r="W5" s="21"/>
      <c r="X5" s="21"/>
      <c r="Y5" s="21"/>
      <c r="Z5" s="21"/>
    </row>
    <row r="6" spans="1:26" ht="12.75" customHeight="1" x14ac:dyDescent="0.3">
      <c r="A6" s="15">
        <v>5</v>
      </c>
      <c r="B6" s="16" t="s">
        <v>33</v>
      </c>
      <c r="C6" s="17" t="s">
        <v>21</v>
      </c>
      <c r="D6" s="15" t="s">
        <v>22</v>
      </c>
      <c r="E6" s="18" t="s">
        <v>23</v>
      </c>
      <c r="F6" s="15">
        <v>207093</v>
      </c>
      <c r="G6" s="22">
        <v>2012</v>
      </c>
      <c r="H6" s="15">
        <f>MAX(IF(ISNA(VLOOKUP(B6,'WBV 1'!$B$3:$C$34,2,FALSE))=TRUE,0,VLOOKUP(B6,'WBV 1'!$B$3:$C$34,2,FALSE)),IF(ISNA(VLOOKUP(B6,'WBV 1'!$F$3:$G$34,2,FALSE))=TRUE,0,VLOOKUP(B6,'WBV 1'!$F$3:$G$34,2,FALSE)),IF(ISNA(VLOOKUP(B6,'WBV 1'!$J$3:$K$34,2,FALSE))=TRUE,0,VLOOKUP(B6,'WBV 1'!$J$3:$K$34,2,FALSE)),IF(ISNA(VLOOKUP(B6,'WBV 1'!$N$3:$O$34,2,FALSE))=TRUE,0,VLOOKUP(B6,'WBV 1'!$N$3:$O$34,2,FALSE)))</f>
        <v>0</v>
      </c>
      <c r="I6" s="15">
        <f>MAX(IF(ISNA(VLOOKUP(B6,'WBV 2'!$B$3:$C$34,2,FALSE))=TRUE,0,VLOOKUP(B6,'WBV 2'!$B$3:$C$34,2,FALSE)),IF(ISNA(VLOOKUP(B6,'WBV 2'!$F$3:$G$34,2,FALSE))=TRUE,0,VLOOKUP(B6,'WBV 2'!$F$3:$G$34,2,FALSE)),IF(ISNA(VLOOKUP(B6,'WBV 2'!$J$3:$K$34,2,FALSE))=TRUE,0,VLOOKUP(B6,'WBV 2'!$J$3:$K$34,2,FALSE)),IF(ISNA(VLOOKUP(B6,'WBV 2'!$N$3:$O$34,2,FALSE))=TRUE,0,VLOOKUP(B6,'WBV 2'!$N$3:$O$34,2,FALSE)))</f>
        <v>0</v>
      </c>
      <c r="J6" s="15">
        <f>MAX(IF(ISNA(VLOOKUP(B6,'WBV 3'!$B$3:$C$34,2,FALSE))=TRUE,0,VLOOKUP(B6,'WBV 3'!$B$3:$C$34,2,FALSE)),IF(ISNA(VLOOKUP(B6,'WBV 3'!$F$3:$G$34,2,FALSE))=TRUE,0,VLOOKUP(B6,'WBV 3'!$F$3:$G$34,2,FALSE)),IF(ISNA(VLOOKUP(B6,'WBV 3'!$J$3:$K$34,2,FALSE))=TRUE,0,VLOOKUP(B6,'WBV 3'!$J$3:$K$34,2,FALSE)),IF(ISNA(VLOOKUP(B6,'WBV 3'!$N$3:$O$34,2,FALSE))=TRUE,0,VLOOKUP(B6,'WBV 3'!$N$3:$O$34,2,FALSE)))</f>
        <v>0</v>
      </c>
      <c r="K6" s="15">
        <f>MAX(IF(ISNA(VLOOKUP(B6,'WBV 4'!$B$3:$C$34,2,FALSE))=TRUE,0,VLOOKUP(B6,'WBV 4'!$B$3:$C$34,2,FALSE)),IF(ISNA(VLOOKUP(B6,'WBV 4'!$F$3:$G$34,2,FALSE))=TRUE,0,VLOOKUP(B6,'WBV 4'!$F$3:$G$34,2,FALSE)),IF(ISNA(VLOOKUP(B6,'WBV 4'!$J$3:$K$34,2,FALSE))=TRUE,0,VLOOKUP(B6,'WBV 4'!$J$3:$K$34,2,FALSE)),IF(ISNA(VLOOKUP(B6,'WBV 4'!$N$3:$O$34,2,FALSE))=TRUE,0,VLOOKUP(B6,'WBV 4'!$N$3:$O$34,2,FALSE)))</f>
        <v>0</v>
      </c>
      <c r="L6" s="19">
        <f>MAX(IF(ISNA(VLOOKUP(B6,'NÖBV 1'!$B$3:$C$34,2,FALSE))=TRUE,0,VLOOKUP(B6,'NÖBV 1'!$B$3:$C$34,2,FALSE)),IF(ISNA(VLOOKUP(B6,'NÖBV 1'!$F$3:$G$34,2,FALSE))=TRUE,0,VLOOKUP(B6,'NÖBV 1'!$F$3:$G$34,2,FALSE)),IF(ISNA(VLOOKUP(B6,'NÖBV 1'!$J$3:$K$34,2,FALSE))=TRUE,0,VLOOKUP(B6,'NÖBV 1'!$J$3:$K$34,2,FALSE)),IF(ISNA(VLOOKUP(B6,'NÖBV 1'!$N$3:$O$34,2,FALSE))=TRUE,0,VLOOKUP(B6,'NÖBV 1'!$N$3:$O$34,2,FALSE)))</f>
        <v>192</v>
      </c>
      <c r="M6" s="19">
        <f>MAX(IF(ISNA(VLOOKUP(B6,'NÖBV 2'!$B$3:$C$34,2,FALSE))=TRUE,0,VLOOKUP(B6,'NÖBV 2'!$B$3:$C$34,2,FALSE)),IF(ISNA(VLOOKUP(B6,'NÖBV 2'!$F$3:$G$34,2,FALSE))=TRUE,0,VLOOKUP(B6,'NÖBV 2'!$F$3:$G$34,2,FALSE)),IF(ISNA(VLOOKUP(B6,'NÖBV 2'!$J$3:$K$34,2,FALSE))=TRUE,0,VLOOKUP(B6,'NÖBV 2'!$J$3:$K$34,2,FALSE)),IF(ISNA(VLOOKUP(B6,'NÖBV 2'!$N$3:$O$34,2,FALSE))=TRUE,0,VLOOKUP(B6,'NÖBV 2'!$N$3:$O$34,2,FALSE)))</f>
        <v>198</v>
      </c>
      <c r="N6" s="19">
        <f>MAX(IF(ISNA(VLOOKUP(B6,'NÖBV 3'!$B$3:$C$34,2,FALSE))=TRUE,0,VLOOKUP(B6,'NÖBV 3'!$B$3:$C$34,2,FALSE)),IF(ISNA(VLOOKUP(B6,'NÖBV 3'!$F$3:$G$34,2,FALSE))=TRUE,0,VLOOKUP(B6,'NÖBV 3'!$F$3:$G$34,2,FALSE)),IF(ISNA(VLOOKUP(B6,'NÖBV 3'!$J$3:$K$34,2,FALSE))=TRUE,0,VLOOKUP(B6,'NÖBV 3'!$J$3:$K$34,2,FALSE)),IF(ISNA(VLOOKUP(B6,'NÖBV 3'!$N$3:$O$34,2,FALSE))=TRUE,0,VLOOKUP(B6,'NÖBV 3'!$N$3:$O$34,2,FALSE)))</f>
        <v>0</v>
      </c>
      <c r="O6" s="15">
        <f>MAX(IF(ISNA(VLOOKUP(B6,'Regioturnier 1'!$B$3:$C$34,2,FALSE))=TRUE,0,VLOOKUP(B6,'Regioturnier 1'!$B$3:$C$34,2,FALSE)),IF(ISNA(VLOOKUP(B6,'Regioturnier 1'!$F$3:$G$34,2,FALSE))=TRUE,0,VLOOKUP(B6,'Regioturnier 1'!$F$3:$G$34,2,FALSE)),IF(ISNA(VLOOKUP(B6,'Regioturnier 1'!$J$3:$K$34,2,FALSE))=TRUE,0,VLOOKUP(B6,'Regioturnier 1'!$J$3:$K$34,2,FALSE)),IF(ISNA(VLOOKUP(B6,'Regioturnier 1'!$N$3:$O$34,2,FALSE))=TRUE,0,VLOOKUP(B6,'Regioturnier 1'!$N$3:$O$34,2,FALSE)),IF(ISNA(VLOOKUP(B6,'Regioturnier 1'!$R$3:$S$34,2,FALSE))=TRUE,0,VLOOKUP(B6,'Regioturnier 1'!$R$3:$S$34,2,FALSE)), IF(ISNA(VLOOKUP(B6,'Regioturnier 1'!$V$3:$W$34,2,FALSE))=TRUE,0,VLOOKUP(B6,'Regioturnier 1'!$V$3:$W$34,2,FALSE)), IF(ISNA(VLOOKUP(B6,'Regioturnier 1'!$Z$3:$AA$34,2,FALSE))=TRUE,0,VLOOKUP(B6,'Regioturnier 1'!$Z$3:$AA$34,2,FALSE)))</f>
        <v>206</v>
      </c>
      <c r="P6" s="15">
        <f>MAX(IF(ISNA(VLOOKUP(B6,'Regioturnier 2'!$B$3:$C$34,2,FALSE))=TRUE,0,VLOOKUP(B6,'Regioturnier 2'!$B$3:$C$34,2,FALSE)),IF(ISNA(VLOOKUP(B6,'Regioturnier 2'!$F$3:$G$34,2,FALSE))=TRUE,0,VLOOKUP(B6,'Regioturnier 2'!$F$3:$G$34,2,FALSE)),IF(ISNA(VLOOKUP(B6,'Regioturnier 2'!$J$3:$K$34,2,FALSE))=TRUE,0,VLOOKUP(B6,'Regioturnier 2'!$J$3:$K$34,2,FALSE)),IF(ISNA(VLOOKUP(B6,'Regioturnier 2'!$N$3:$O$34,2,FALSE))=TRUE,0,VLOOKUP(B6,'Regioturnier 2'!$N$3:$O$34,2,FALSE)),IF(ISNA(VLOOKUP(B6,'Regioturnier 2'!$R$3:$S$34,2,FALSE))=TRUE,0,VLOOKUP(B6,'Regioturnier 2'!$R$3:$S$34,2,FALSE)), IF(ISNA(VLOOKUP(B6,'Regioturnier 2'!$V$3:$W$34,2,FALSE))=TRUE,0,VLOOKUP(B6,'Regioturnier 2'!$V$3:$W$34,2,FALSE)), IF(ISNA(VLOOKUP(B6,'Regioturnier 2'!$Z$3:$AA$34,2,FALSE))=TRUE,0,VLOOKUP(B6,'Regioturnier 2'!$Z$3:$AA$34,2,FALSE)))</f>
        <v>208</v>
      </c>
      <c r="Q6" s="15">
        <f>MAX(IF(ISNA(VLOOKUP(B6,'Regioturnier 3'!$B$3:$C$34,2,FALSE))=TRUE,0,VLOOKUP(B6,'Regioturnier 3'!$B$3:$C$34,2,FALSE)),IF(ISNA(VLOOKUP(B6,'Regioturnier 3'!$F$3:$G$34,2,FALSE))=TRUE,0,VLOOKUP(B6,'Regioturnier 3'!$F$3:$G$34,2,FALSE)),IF(ISNA(VLOOKUP(B6,'Regioturnier 3'!$J$3:$K$34,2,FALSE))=TRUE,0,VLOOKUP(B6,'Regioturnier 3'!$J$3:$K$34,2,FALSE)),IF(ISNA(VLOOKUP(B6,'Regioturnier 3'!$N$3:$O$34,2,FALSE))=TRUE,0,VLOOKUP(B6,'Regioturnier 3'!$N$3:$O$34,2,FALSE)),IF(ISNA(VLOOKUP(B6,'Regioturnier 3'!$R$3:$S$34,2,FALSE))=TRUE,0,VLOOKUP(B6,'Regioturnier 3'!$R$3:$S$34,2,FALSE)), IF(ISNA(VLOOKUP(B6,'Regioturnier 3'!$V$3:$W$34,2,FALSE))=TRUE,0,VLOOKUP(B6,'Regioturnier 3'!$V$3:$W$34,2,FALSE)), IF(ISNA(VLOOKUP(B6,'Regioturnier 3'!$Z$3:$AA$34,2,FALSE))=TRUE,0,VLOOKUP(B6,'Regioturnier 3'!$Z$3:$AA$34,2,FALSE)))</f>
        <v>0</v>
      </c>
      <c r="R6" s="20">
        <f>0.5*INDEX($H6:$N6,MATCH(LARGE($H6:$N6,1),$H6:$N6,0))+0.3*INDEX($H6:$N6,MATCH(LARGE($H6:$N6,2),$H6:$N6,0))+0.2*INDEX($H6:$N6,MATCH(LARGE($H6:$N6,3),$H6:$N6,0))</f>
        <v>156.6</v>
      </c>
      <c r="S6" s="20">
        <f>0.6*INDEX(O6:Q6,MATCH(LARGE(O6:Q6,1),O6:Q6,0))+0.4*INDEX(O6:Q6,MATCH(LARGE(O6:Q6,2),O6:Q6,0))+0*INDEX(O6:Q6,MATCH(LARGE(O6:Q6,3),O6:Q6,0))</f>
        <v>207.2</v>
      </c>
      <c r="T6" s="15">
        <f>1*INDEX(R6:S6,MATCH(LARGE(R6:S6,1),R6:S6,0))+0*INDEX(R6:S6,MATCH(LARGE(R6:S6,2),R6:S6,0))</f>
        <v>207.2</v>
      </c>
      <c r="U6" s="21"/>
      <c r="V6" s="21"/>
      <c r="W6" s="21"/>
      <c r="X6" s="21"/>
      <c r="Y6" s="21"/>
      <c r="Z6" s="21"/>
    </row>
    <row r="7" spans="1:26" ht="12.75" customHeight="1" x14ac:dyDescent="0.3">
      <c r="A7" s="15">
        <v>6</v>
      </c>
      <c r="B7" s="16" t="s">
        <v>110</v>
      </c>
      <c r="C7" s="17" t="s">
        <v>31</v>
      </c>
      <c r="D7" s="15" t="s">
        <v>26</v>
      </c>
      <c r="E7" s="18" t="s">
        <v>23</v>
      </c>
      <c r="F7" s="15">
        <v>111568</v>
      </c>
      <c r="G7" s="22">
        <v>2010</v>
      </c>
      <c r="H7" s="15">
        <f>MAX(IF(ISNA(VLOOKUP(B7,'WBV 1'!$B$3:$C$34,2,FALSE))=TRUE,0,VLOOKUP(B7,'WBV 1'!$B$3:$C$34,2,FALSE)),IF(ISNA(VLOOKUP(B7,'WBV 1'!$F$3:$G$34,2,FALSE))=TRUE,0,VLOOKUP(B7,'WBV 1'!$F$3:$G$34,2,FALSE)),IF(ISNA(VLOOKUP(B7,'WBV 1'!$J$3:$K$34,2,FALSE))=TRUE,0,VLOOKUP(B7,'WBV 1'!$J$3:$K$34,2,FALSE)),IF(ISNA(VLOOKUP(B7,'WBV 1'!$N$3:$O$34,2,FALSE))=TRUE,0,VLOOKUP(B7,'WBV 1'!$N$3:$O$34,2,FALSE)))</f>
        <v>0</v>
      </c>
      <c r="I7" s="15">
        <f>MAX(IF(ISNA(VLOOKUP(B7,'WBV 2'!$B$3:$C$34,2,FALSE))=TRUE,0,VLOOKUP(B7,'WBV 2'!$B$3:$C$34,2,FALSE)),IF(ISNA(VLOOKUP(B7,'WBV 2'!$F$3:$G$34,2,FALSE))=TRUE,0,VLOOKUP(B7,'WBV 2'!$F$3:$G$34,2,FALSE)),IF(ISNA(VLOOKUP(B7,'WBV 2'!$J$3:$K$34,2,FALSE))=TRUE,0,VLOOKUP(B7,'WBV 2'!$J$3:$K$34,2,FALSE)),IF(ISNA(VLOOKUP(B7,'WBV 2'!$N$3:$O$34,2,FALSE))=TRUE,0,VLOOKUP(B7,'WBV 2'!$N$3:$O$34,2,FALSE)))</f>
        <v>0</v>
      </c>
      <c r="J7" s="15">
        <f>MAX(IF(ISNA(VLOOKUP(B7,'WBV 3'!$B$3:$C$34,2,FALSE))=TRUE,0,VLOOKUP(B7,'WBV 3'!$B$3:$C$34,2,FALSE)),IF(ISNA(VLOOKUP(B7,'WBV 3'!$F$3:$G$34,2,FALSE))=TRUE,0,VLOOKUP(B7,'WBV 3'!$F$3:$G$34,2,FALSE)),IF(ISNA(VLOOKUP(B7,'WBV 3'!$J$3:$K$34,2,FALSE))=TRUE,0,VLOOKUP(B7,'WBV 3'!$J$3:$K$34,2,FALSE)),IF(ISNA(VLOOKUP(B7,'WBV 3'!$N$3:$O$34,2,FALSE))=TRUE,0,VLOOKUP(B7,'WBV 3'!$N$3:$O$34,2,FALSE)))</f>
        <v>0</v>
      </c>
      <c r="K7" s="15">
        <f>MAX(IF(ISNA(VLOOKUP(B7,'WBV 4'!$B$3:$C$34,2,FALSE))=TRUE,0,VLOOKUP(B7,'WBV 4'!$B$3:$C$34,2,FALSE)),IF(ISNA(VLOOKUP(B7,'WBV 4'!$F$3:$G$34,2,FALSE))=TRUE,0,VLOOKUP(B7,'WBV 4'!$F$3:$G$34,2,FALSE)),IF(ISNA(VLOOKUP(B7,'WBV 4'!$J$3:$K$34,2,FALSE))=TRUE,0,VLOOKUP(B7,'WBV 4'!$J$3:$K$34,2,FALSE)),IF(ISNA(VLOOKUP(B7,'WBV 4'!$N$3:$O$34,2,FALSE))=TRUE,0,VLOOKUP(B7,'WBV 4'!$N$3:$O$34,2,FALSE)))</f>
        <v>0</v>
      </c>
      <c r="L7" s="19">
        <f>MAX(IF(ISNA(VLOOKUP(B7,'NÖBV 1'!$B$3:$C$34,2,FALSE))=TRUE,0,VLOOKUP(B7,'NÖBV 1'!$B$3:$C$34,2,FALSE)),IF(ISNA(VLOOKUP(B7,'NÖBV 1'!$F$3:$G$34,2,FALSE))=TRUE,0,VLOOKUP(B7,'NÖBV 1'!$F$3:$G$34,2,FALSE)),IF(ISNA(VLOOKUP(B7,'NÖBV 1'!$J$3:$K$34,2,FALSE))=TRUE,0,VLOOKUP(B7,'NÖBV 1'!$J$3:$K$34,2,FALSE)),IF(ISNA(VLOOKUP(B7,'NÖBV 1'!$N$3:$O$34,2,FALSE))=TRUE,0,VLOOKUP(B7,'NÖBV 1'!$N$3:$O$34,2,FALSE)))</f>
        <v>0</v>
      </c>
      <c r="M7" s="19">
        <f>MAX(IF(ISNA(VLOOKUP(B7,'NÖBV 2'!$B$3:$C$34,2,FALSE))=TRUE,0,VLOOKUP(B7,'NÖBV 2'!$B$3:$C$34,2,FALSE)),IF(ISNA(VLOOKUP(B7,'NÖBV 2'!$F$3:$G$34,2,FALSE))=TRUE,0,VLOOKUP(B7,'NÖBV 2'!$F$3:$G$34,2,FALSE)),IF(ISNA(VLOOKUP(B7,'NÖBV 2'!$J$3:$K$34,2,FALSE))=TRUE,0,VLOOKUP(B7,'NÖBV 2'!$J$3:$K$34,2,FALSE)),IF(ISNA(VLOOKUP(B7,'NÖBV 2'!$N$3:$O$34,2,FALSE))=TRUE,0,VLOOKUP(B7,'NÖBV 2'!$N$3:$O$34,2,FALSE)))</f>
        <v>0</v>
      </c>
      <c r="N7" s="19">
        <f>MAX(IF(ISNA(VLOOKUP(B7,'NÖBV 3'!$B$3:$C$34,2,FALSE))=TRUE,0,VLOOKUP(B7,'NÖBV 3'!$B$3:$C$34,2,FALSE)),IF(ISNA(VLOOKUP(B7,'NÖBV 3'!$F$3:$G$34,2,FALSE))=TRUE,0,VLOOKUP(B7,'NÖBV 3'!$F$3:$G$34,2,FALSE)),IF(ISNA(VLOOKUP(B7,'NÖBV 3'!$J$3:$K$34,2,FALSE))=TRUE,0,VLOOKUP(B7,'NÖBV 3'!$J$3:$K$34,2,FALSE)),IF(ISNA(VLOOKUP(B7,'NÖBV 3'!$N$3:$O$34,2,FALSE))=TRUE,0,VLOOKUP(B7,'NÖBV 3'!$N$3:$O$34,2,FALSE)))</f>
        <v>0</v>
      </c>
      <c r="O7" s="15">
        <f>MAX(IF(ISNA(VLOOKUP(B7,'Regioturnier 1'!$B$3:$C$34,2,FALSE))=TRUE,0,VLOOKUP(B7,'Regioturnier 1'!$B$3:$C$34,2,FALSE)),IF(ISNA(VLOOKUP(B7,'Regioturnier 1'!$F$3:$G$34,2,FALSE))=TRUE,0,VLOOKUP(B7,'Regioturnier 1'!$F$3:$G$34,2,FALSE)),IF(ISNA(VLOOKUP(B7,'Regioturnier 1'!$J$3:$K$34,2,FALSE))=TRUE,0,VLOOKUP(B7,'Regioturnier 1'!$J$3:$K$34,2,FALSE)),IF(ISNA(VLOOKUP(B7,'Regioturnier 1'!$N$3:$O$34,2,FALSE))=TRUE,0,VLOOKUP(B7,'Regioturnier 1'!$N$3:$O$34,2,FALSE)),IF(ISNA(VLOOKUP(B7,'Regioturnier 1'!$R$3:$S$34,2,FALSE))=TRUE,0,VLOOKUP(B7,'Regioturnier 1'!$R$3:$S$34,2,FALSE)), IF(ISNA(VLOOKUP(B7,'Regioturnier 1'!$V$3:$W$34,2,FALSE))=TRUE,0,VLOOKUP(B7,'Regioturnier 1'!$V$3:$W$34,2,FALSE)), IF(ISNA(VLOOKUP(B7,'Regioturnier 1'!$Z$3:$AA$34,2,FALSE))=TRUE,0,VLOOKUP(B7,'Regioturnier 1'!$Z$3:$AA$34,2,FALSE)))</f>
        <v>200</v>
      </c>
      <c r="P7" s="15">
        <f>MAX(IF(ISNA(VLOOKUP(B7,'Regioturnier 2'!$B$3:$C$34,2,FALSE))=TRUE,0,VLOOKUP(B7,'Regioturnier 2'!$B$3:$C$34,2,FALSE)),IF(ISNA(VLOOKUP(B7,'Regioturnier 2'!$F$3:$G$34,2,FALSE))=TRUE,0,VLOOKUP(B7,'Regioturnier 2'!$F$3:$G$34,2,FALSE)),IF(ISNA(VLOOKUP(B7,'Regioturnier 2'!$J$3:$K$34,2,FALSE))=TRUE,0,VLOOKUP(B7,'Regioturnier 2'!$J$3:$K$34,2,FALSE)),IF(ISNA(VLOOKUP(B7,'Regioturnier 2'!$N$3:$O$34,2,FALSE))=TRUE,0,VLOOKUP(B7,'Regioturnier 2'!$N$3:$O$34,2,FALSE)),IF(ISNA(VLOOKUP(B7,'Regioturnier 2'!$R$3:$S$34,2,FALSE))=TRUE,0,VLOOKUP(B7,'Regioturnier 2'!$R$3:$S$34,2,FALSE)), IF(ISNA(VLOOKUP(B7,'Regioturnier 2'!$V$3:$W$34,2,FALSE))=TRUE,0,VLOOKUP(B7,'Regioturnier 2'!$V$3:$W$34,2,FALSE)), IF(ISNA(VLOOKUP(B7,'Regioturnier 2'!$Z$3:$AA$34,2,FALSE))=TRUE,0,VLOOKUP(B7,'Regioturnier 2'!$Z$3:$AA$34,2,FALSE)))</f>
        <v>207</v>
      </c>
      <c r="Q7" s="15">
        <f>MAX(IF(ISNA(VLOOKUP(B7,'Regioturnier 3'!$B$3:$C$34,2,FALSE))=TRUE,0,VLOOKUP(B7,'Regioturnier 3'!$B$3:$C$34,2,FALSE)),IF(ISNA(VLOOKUP(B7,'Regioturnier 3'!$F$3:$G$34,2,FALSE))=TRUE,0,VLOOKUP(B7,'Regioturnier 3'!$F$3:$G$34,2,FALSE)),IF(ISNA(VLOOKUP(B7,'Regioturnier 3'!$J$3:$K$34,2,FALSE))=TRUE,0,VLOOKUP(B7,'Regioturnier 3'!$J$3:$K$34,2,FALSE)),IF(ISNA(VLOOKUP(B7,'Regioturnier 3'!$N$3:$O$34,2,FALSE))=TRUE,0,VLOOKUP(B7,'Regioturnier 3'!$N$3:$O$34,2,FALSE)),IF(ISNA(VLOOKUP(B7,'Regioturnier 3'!$R$3:$S$34,2,FALSE))=TRUE,0,VLOOKUP(B7,'Regioturnier 3'!$R$3:$S$34,2,FALSE)), IF(ISNA(VLOOKUP(B7,'Regioturnier 3'!$V$3:$W$34,2,FALSE))=TRUE,0,VLOOKUP(B7,'Regioturnier 3'!$V$3:$W$34,2,FALSE)), IF(ISNA(VLOOKUP(B7,'Regioturnier 3'!$Z$3:$AA$34,2,FALSE))=TRUE,0,VLOOKUP(B7,'Regioturnier 3'!$Z$3:$AA$34,2,FALSE)))</f>
        <v>0</v>
      </c>
      <c r="R7" s="20">
        <f>0.5*INDEX($H7:$N7,MATCH(LARGE($H7:$N7,1),$H7:$N7,0))+0.3*INDEX($H7:$N7,MATCH(LARGE($H7:$N7,2),$H7:$N7,0))+0.2*INDEX($H7:$N7,MATCH(LARGE($H7:$N7,3),$H7:$N7,0))</f>
        <v>0</v>
      </c>
      <c r="S7" s="20">
        <f>0.6*INDEX(O7:Q7,MATCH(LARGE(O7:Q7,1),O7:Q7,0))+0.4*INDEX(O7:Q7,MATCH(LARGE(O7:Q7,2),O7:Q7,0))+0*INDEX(O7:Q7,MATCH(LARGE(O7:Q7,3),O7:Q7,0))</f>
        <v>204.2</v>
      </c>
      <c r="T7" s="15">
        <f>1*INDEX(R7:S7,MATCH(LARGE(R7:S7,1),R7:S7,0))+0*INDEX(R7:S7,MATCH(LARGE(R7:S7,2),R7:S7,0))</f>
        <v>204.2</v>
      </c>
      <c r="U7" s="21"/>
      <c r="V7" s="21"/>
      <c r="W7" s="21"/>
      <c r="X7" s="21"/>
      <c r="Y7" s="21"/>
      <c r="Z7" s="21"/>
    </row>
    <row r="8" spans="1:26" ht="12.75" customHeight="1" x14ac:dyDescent="0.3">
      <c r="A8" s="15">
        <v>7</v>
      </c>
      <c r="B8" s="16" t="s">
        <v>32</v>
      </c>
      <c r="C8" s="17" t="s">
        <v>25</v>
      </c>
      <c r="D8" s="15" t="s">
        <v>26</v>
      </c>
      <c r="E8" s="18" t="s">
        <v>23</v>
      </c>
      <c r="F8" s="15">
        <v>110047</v>
      </c>
      <c r="G8" s="22">
        <v>2014</v>
      </c>
      <c r="H8" s="15">
        <f>MAX(IF(ISNA(VLOOKUP(B8,'WBV 1'!$B$3:$C$34,2,FALSE))=TRUE,0,VLOOKUP(B8,'WBV 1'!$B$3:$C$34,2,FALSE)),IF(ISNA(VLOOKUP(B8,'WBV 1'!$F$3:$G$34,2,FALSE))=TRUE,0,VLOOKUP(B8,'WBV 1'!$F$3:$G$34,2,FALSE)),IF(ISNA(VLOOKUP(B8,'WBV 1'!$J$3:$K$34,2,FALSE))=TRUE,0,VLOOKUP(B8,'WBV 1'!$J$3:$K$34,2,FALSE)),IF(ISNA(VLOOKUP(B8,'WBV 1'!$N$3:$O$34,2,FALSE))=TRUE,0,VLOOKUP(B8,'WBV 1'!$N$3:$O$34,2,FALSE)))</f>
        <v>0</v>
      </c>
      <c r="I8" s="15">
        <f>MAX(IF(ISNA(VLOOKUP(B8,'WBV 2'!$B$3:$C$34,2,FALSE))=TRUE,0,VLOOKUP(B8,'WBV 2'!$B$3:$C$34,2,FALSE)),IF(ISNA(VLOOKUP(B8,'WBV 2'!$F$3:$G$34,2,FALSE))=TRUE,0,VLOOKUP(B8,'WBV 2'!$F$3:$G$34,2,FALSE)),IF(ISNA(VLOOKUP(B8,'WBV 2'!$J$3:$K$34,2,FALSE))=TRUE,0,VLOOKUP(B8,'WBV 2'!$J$3:$K$34,2,FALSE)),IF(ISNA(VLOOKUP(B8,'WBV 2'!$N$3:$O$34,2,FALSE))=TRUE,0,VLOOKUP(B8,'WBV 2'!$N$3:$O$34,2,FALSE)))</f>
        <v>0</v>
      </c>
      <c r="J8" s="15">
        <f>MAX(IF(ISNA(VLOOKUP(B8,'WBV 3'!$B$3:$C$34,2,FALSE))=TRUE,0,VLOOKUP(B8,'WBV 3'!$B$3:$C$34,2,FALSE)),IF(ISNA(VLOOKUP(B8,'WBV 3'!$F$3:$G$34,2,FALSE))=TRUE,0,VLOOKUP(B8,'WBV 3'!$F$3:$G$34,2,FALSE)),IF(ISNA(VLOOKUP(B8,'WBV 3'!$J$3:$K$34,2,FALSE))=TRUE,0,VLOOKUP(B8,'WBV 3'!$J$3:$K$34,2,FALSE)),IF(ISNA(VLOOKUP(B8,'WBV 3'!$N$3:$O$34,2,FALSE))=TRUE,0,VLOOKUP(B8,'WBV 3'!$N$3:$O$34,2,FALSE)))</f>
        <v>196</v>
      </c>
      <c r="K8" s="15">
        <f>MAX(IF(ISNA(VLOOKUP(B8,'WBV 4'!$B$3:$C$34,2,FALSE))=TRUE,0,VLOOKUP(B8,'WBV 4'!$B$3:$C$34,2,FALSE)),IF(ISNA(VLOOKUP(B8,'WBV 4'!$F$3:$G$34,2,FALSE))=TRUE,0,VLOOKUP(B8,'WBV 4'!$F$3:$G$34,2,FALSE)),IF(ISNA(VLOOKUP(B8,'WBV 4'!$J$3:$K$34,2,FALSE))=TRUE,0,VLOOKUP(B8,'WBV 4'!$J$3:$K$34,2,FALSE)),IF(ISNA(VLOOKUP(B8,'WBV 4'!$N$3:$O$34,2,FALSE))=TRUE,0,VLOOKUP(B8,'WBV 4'!$N$3:$O$34,2,FALSE)))</f>
        <v>0</v>
      </c>
      <c r="L8" s="19">
        <f>MAX(IF(ISNA(VLOOKUP(B8,'NÖBV 1'!$B$3:$C$34,2,FALSE))=TRUE,0,VLOOKUP(B8,'NÖBV 1'!$B$3:$C$34,2,FALSE)),IF(ISNA(VLOOKUP(B8,'NÖBV 1'!$F$3:$G$34,2,FALSE))=TRUE,0,VLOOKUP(B8,'NÖBV 1'!$F$3:$G$34,2,FALSE)),IF(ISNA(VLOOKUP(B8,'NÖBV 1'!$J$3:$K$34,2,FALSE))=TRUE,0,VLOOKUP(B8,'NÖBV 1'!$J$3:$K$34,2,FALSE)),IF(ISNA(VLOOKUP(B8,'NÖBV 1'!$N$3:$O$34,2,FALSE))=TRUE,0,VLOOKUP(B8,'NÖBV 1'!$N$3:$O$34,2,FALSE)))</f>
        <v>0</v>
      </c>
      <c r="M8" s="19">
        <f>MAX(IF(ISNA(VLOOKUP(B8,'NÖBV 2'!$B$3:$C$34,2,FALSE))=TRUE,0,VLOOKUP(B8,'NÖBV 2'!$B$3:$C$34,2,FALSE)),IF(ISNA(VLOOKUP(B8,'NÖBV 2'!$F$3:$G$34,2,FALSE))=TRUE,0,VLOOKUP(B8,'NÖBV 2'!$F$3:$G$34,2,FALSE)),IF(ISNA(VLOOKUP(B8,'NÖBV 2'!$J$3:$K$34,2,FALSE))=TRUE,0,VLOOKUP(B8,'NÖBV 2'!$J$3:$K$34,2,FALSE)),IF(ISNA(VLOOKUP(B8,'NÖBV 2'!$N$3:$O$34,2,FALSE))=TRUE,0,VLOOKUP(B8,'NÖBV 2'!$N$3:$O$34,2,FALSE)))</f>
        <v>0</v>
      </c>
      <c r="N8" s="19">
        <f>MAX(IF(ISNA(VLOOKUP(B8,'NÖBV 3'!$B$3:$C$34,2,FALSE))=TRUE,0,VLOOKUP(B8,'NÖBV 3'!$B$3:$C$34,2,FALSE)),IF(ISNA(VLOOKUP(B8,'NÖBV 3'!$F$3:$G$34,2,FALSE))=TRUE,0,VLOOKUP(B8,'NÖBV 3'!$F$3:$G$34,2,FALSE)),IF(ISNA(VLOOKUP(B8,'NÖBV 3'!$J$3:$K$34,2,FALSE))=TRUE,0,VLOOKUP(B8,'NÖBV 3'!$J$3:$K$34,2,FALSE)),IF(ISNA(VLOOKUP(B8,'NÖBV 3'!$N$3:$O$34,2,FALSE))=TRUE,0,VLOOKUP(B8,'NÖBV 3'!$N$3:$O$34,2,FALSE)))</f>
        <v>0</v>
      </c>
      <c r="O8" s="15">
        <f>MAX(IF(ISNA(VLOOKUP(B8,'Regioturnier 1'!$B$3:$C$34,2,FALSE))=TRUE,0,VLOOKUP(B8,'Regioturnier 1'!$B$3:$C$34,2,FALSE)),IF(ISNA(VLOOKUP(B8,'Regioturnier 1'!$F$3:$G$34,2,FALSE))=TRUE,0,VLOOKUP(B8,'Regioturnier 1'!$F$3:$G$34,2,FALSE)),IF(ISNA(VLOOKUP(B8,'Regioturnier 1'!$J$3:$K$34,2,FALSE))=TRUE,0,VLOOKUP(B8,'Regioturnier 1'!$J$3:$K$34,2,FALSE)),IF(ISNA(VLOOKUP(B8,'Regioturnier 1'!$N$3:$O$34,2,FALSE))=TRUE,0,VLOOKUP(B8,'Regioturnier 1'!$N$3:$O$34,2,FALSE)),IF(ISNA(VLOOKUP(B8,'Regioturnier 1'!$R$3:$S$34,2,FALSE))=TRUE,0,VLOOKUP(B8,'Regioturnier 1'!$R$3:$S$34,2,FALSE)), IF(ISNA(VLOOKUP(B8,'Regioturnier 1'!$V$3:$W$34,2,FALSE))=TRUE,0,VLOOKUP(B8,'Regioturnier 1'!$V$3:$W$34,2,FALSE)), IF(ISNA(VLOOKUP(B8,'Regioturnier 1'!$Z$3:$AA$34,2,FALSE))=TRUE,0,VLOOKUP(B8,'Regioturnier 1'!$Z$3:$AA$34,2,FALSE)))</f>
        <v>201</v>
      </c>
      <c r="P8" s="15">
        <f>MAX(IF(ISNA(VLOOKUP(B8,'Regioturnier 2'!$B$3:$C$34,2,FALSE))=TRUE,0,VLOOKUP(B8,'Regioturnier 2'!$B$3:$C$34,2,FALSE)),IF(ISNA(VLOOKUP(B8,'Regioturnier 2'!$F$3:$G$34,2,FALSE))=TRUE,0,VLOOKUP(B8,'Regioturnier 2'!$F$3:$G$34,2,FALSE)),IF(ISNA(VLOOKUP(B8,'Regioturnier 2'!$J$3:$K$34,2,FALSE))=TRUE,0,VLOOKUP(B8,'Regioturnier 2'!$J$3:$K$34,2,FALSE)),IF(ISNA(VLOOKUP(B8,'Regioturnier 2'!$N$3:$O$34,2,FALSE))=TRUE,0,VLOOKUP(B8,'Regioturnier 2'!$N$3:$O$34,2,FALSE)),IF(ISNA(VLOOKUP(B8,'Regioturnier 2'!$R$3:$S$34,2,FALSE))=TRUE,0,VLOOKUP(B8,'Regioturnier 2'!$R$3:$S$34,2,FALSE)), IF(ISNA(VLOOKUP(B8,'Regioturnier 2'!$V$3:$W$34,2,FALSE))=TRUE,0,VLOOKUP(B8,'Regioturnier 2'!$V$3:$W$34,2,FALSE)), IF(ISNA(VLOOKUP(B8,'Regioturnier 2'!$Z$3:$AA$34,2,FALSE))=TRUE,0,VLOOKUP(B8,'Regioturnier 2'!$Z$3:$AA$34,2,FALSE)))</f>
        <v>205</v>
      </c>
      <c r="Q8" s="15">
        <f>MAX(IF(ISNA(VLOOKUP(B8,'Regioturnier 3'!$B$3:$C$34,2,FALSE))=TRUE,0,VLOOKUP(B8,'Regioturnier 3'!$B$3:$C$34,2,FALSE)),IF(ISNA(VLOOKUP(B8,'Regioturnier 3'!$F$3:$G$34,2,FALSE))=TRUE,0,VLOOKUP(B8,'Regioturnier 3'!$F$3:$G$34,2,FALSE)),IF(ISNA(VLOOKUP(B8,'Regioturnier 3'!$J$3:$K$34,2,FALSE))=TRUE,0,VLOOKUP(B8,'Regioturnier 3'!$J$3:$K$34,2,FALSE)),IF(ISNA(VLOOKUP(B8,'Regioturnier 3'!$N$3:$O$34,2,FALSE))=TRUE,0,VLOOKUP(B8,'Regioturnier 3'!$N$3:$O$34,2,FALSE)),IF(ISNA(VLOOKUP(B8,'Regioturnier 3'!$R$3:$S$34,2,FALSE))=TRUE,0,VLOOKUP(B8,'Regioturnier 3'!$R$3:$S$34,2,FALSE)), IF(ISNA(VLOOKUP(B8,'Regioturnier 3'!$V$3:$W$34,2,FALSE))=TRUE,0,VLOOKUP(B8,'Regioturnier 3'!$V$3:$W$34,2,FALSE)), IF(ISNA(VLOOKUP(B8,'Regioturnier 3'!$Z$3:$AA$34,2,FALSE))=TRUE,0,VLOOKUP(B8,'Regioturnier 3'!$Z$3:$AA$34,2,FALSE)))</f>
        <v>0</v>
      </c>
      <c r="R8" s="20">
        <f>0.5*INDEX($H8:$N8,MATCH(LARGE($H8:$N8,1),$H8:$N8,0))+0.3*INDEX($H8:$N8,MATCH(LARGE($H8:$N8,2),$H8:$N8,0))+0.2*INDEX($H8:$N8,MATCH(LARGE($H8:$N8,3),$H8:$N8,0))</f>
        <v>98</v>
      </c>
      <c r="S8" s="20">
        <f>0.6*INDEX(O8:Q8,MATCH(LARGE(O8:Q8,1),O8:Q8,0))+0.4*INDEX(O8:Q8,MATCH(LARGE(O8:Q8,2),O8:Q8,0))+0*INDEX(O8:Q8,MATCH(LARGE(O8:Q8,3),O8:Q8,0))</f>
        <v>203.4</v>
      </c>
      <c r="T8" s="15">
        <f>1*INDEX(R8:S8,MATCH(LARGE(R8:S8,1),R8:S8,0))+0*INDEX(R8:S8,MATCH(LARGE(R8:S8,2),R8:S8,0))</f>
        <v>203.4</v>
      </c>
      <c r="U8" s="21"/>
      <c r="V8" s="21"/>
      <c r="W8" s="21"/>
      <c r="X8" s="21"/>
      <c r="Y8" s="21"/>
      <c r="Z8" s="21"/>
    </row>
    <row r="9" spans="1:26" ht="12.75" customHeight="1" x14ac:dyDescent="0.3">
      <c r="A9" s="15">
        <v>8</v>
      </c>
      <c r="B9" s="16" t="s">
        <v>27</v>
      </c>
      <c r="C9" s="17" t="s">
        <v>28</v>
      </c>
      <c r="D9" s="15" t="s">
        <v>22</v>
      </c>
      <c r="E9" s="18" t="s">
        <v>23</v>
      </c>
      <c r="F9" s="15">
        <v>26473</v>
      </c>
      <c r="G9" s="22">
        <v>2010</v>
      </c>
      <c r="H9" s="15">
        <f>MAX(IF(ISNA(VLOOKUP(B9,'WBV 1'!$B$3:$C$34,2,FALSE))=TRUE,0,VLOOKUP(B9,'WBV 1'!$B$3:$C$34,2,FALSE)),IF(ISNA(VLOOKUP(B9,'WBV 1'!$F$3:$G$34,2,FALSE))=TRUE,0,VLOOKUP(B9,'WBV 1'!$F$3:$G$34,2,FALSE)),IF(ISNA(VLOOKUP(B9,'WBV 1'!$J$3:$K$34,2,FALSE))=TRUE,0,VLOOKUP(B9,'WBV 1'!$J$3:$K$34,2,FALSE)),IF(ISNA(VLOOKUP(B9,'WBV 1'!$N$3:$O$34,2,FALSE))=TRUE,0,VLOOKUP(B9,'WBV 1'!$N$3:$O$34,2,FALSE)))</f>
        <v>0</v>
      </c>
      <c r="I9" s="15">
        <f>MAX(IF(ISNA(VLOOKUP(B9,'WBV 2'!$B$3:$C$34,2,FALSE))=TRUE,0,VLOOKUP(B9,'WBV 2'!$B$3:$C$34,2,FALSE)),IF(ISNA(VLOOKUP(B9,'WBV 2'!$F$3:$G$34,2,FALSE))=TRUE,0,VLOOKUP(B9,'WBV 2'!$F$3:$G$34,2,FALSE)),IF(ISNA(VLOOKUP(B9,'WBV 2'!$J$3:$K$34,2,FALSE))=TRUE,0,VLOOKUP(B9,'WBV 2'!$J$3:$K$34,2,FALSE)),IF(ISNA(VLOOKUP(B9,'WBV 2'!$N$3:$O$34,2,FALSE))=TRUE,0,VLOOKUP(B9,'WBV 2'!$N$3:$O$34,2,FALSE)))</f>
        <v>0</v>
      </c>
      <c r="J9" s="15">
        <f>MAX(IF(ISNA(VLOOKUP(B9,'WBV 3'!$B$3:$C$34,2,FALSE))=TRUE,0,VLOOKUP(B9,'WBV 3'!$B$3:$C$34,2,FALSE)),IF(ISNA(VLOOKUP(B9,'WBV 3'!$F$3:$G$34,2,FALSE))=TRUE,0,VLOOKUP(B9,'WBV 3'!$F$3:$G$34,2,FALSE)),IF(ISNA(VLOOKUP(B9,'WBV 3'!$J$3:$K$34,2,FALSE))=TRUE,0,VLOOKUP(B9,'WBV 3'!$J$3:$K$34,2,FALSE)),IF(ISNA(VLOOKUP(B9,'WBV 3'!$N$3:$O$34,2,FALSE))=TRUE,0,VLOOKUP(B9,'WBV 3'!$N$3:$O$34,2,FALSE)))</f>
        <v>0</v>
      </c>
      <c r="K9" s="15">
        <f>MAX(IF(ISNA(VLOOKUP(B9,'WBV 4'!$B$3:$C$34,2,FALSE))=TRUE,0,VLOOKUP(B9,'WBV 4'!$B$3:$C$34,2,FALSE)),IF(ISNA(VLOOKUP(B9,'WBV 4'!$F$3:$G$34,2,FALSE))=TRUE,0,VLOOKUP(B9,'WBV 4'!$F$3:$G$34,2,FALSE)),IF(ISNA(VLOOKUP(B9,'WBV 4'!$J$3:$K$34,2,FALSE))=TRUE,0,VLOOKUP(B9,'WBV 4'!$J$3:$K$34,2,FALSE)),IF(ISNA(VLOOKUP(B9,'WBV 4'!$N$3:$O$34,2,FALSE))=TRUE,0,VLOOKUP(B9,'WBV 4'!$N$3:$O$34,2,FALSE)))</f>
        <v>0</v>
      </c>
      <c r="L9" s="19">
        <f>MAX(IF(ISNA(VLOOKUP(B9,'NÖBV 1'!$B$3:$C$34,2,FALSE))=TRUE,0,VLOOKUP(B9,'NÖBV 1'!$B$3:$C$34,2,FALSE)),IF(ISNA(VLOOKUP(B9,'NÖBV 1'!$F$3:$G$34,2,FALSE))=TRUE,0,VLOOKUP(B9,'NÖBV 1'!$F$3:$G$34,2,FALSE)),IF(ISNA(VLOOKUP(B9,'NÖBV 1'!$J$3:$K$34,2,FALSE))=TRUE,0,VLOOKUP(B9,'NÖBV 1'!$J$3:$K$34,2,FALSE)),IF(ISNA(VLOOKUP(B9,'NÖBV 1'!$N$3:$O$34,2,FALSE))=TRUE,0,VLOOKUP(B9,'NÖBV 1'!$N$3:$O$34,2,FALSE)))</f>
        <v>0</v>
      </c>
      <c r="M9" s="19">
        <f>MAX(IF(ISNA(VLOOKUP(B9,'NÖBV 2'!$B$3:$C$34,2,FALSE))=TRUE,0,VLOOKUP(B9,'NÖBV 2'!$B$3:$C$34,2,FALSE)),IF(ISNA(VLOOKUP(B9,'NÖBV 2'!$F$3:$G$34,2,FALSE))=TRUE,0,VLOOKUP(B9,'NÖBV 2'!$F$3:$G$34,2,FALSE)),IF(ISNA(VLOOKUP(B9,'NÖBV 2'!$J$3:$K$34,2,FALSE))=TRUE,0,VLOOKUP(B9,'NÖBV 2'!$J$3:$K$34,2,FALSE)),IF(ISNA(VLOOKUP(B9,'NÖBV 2'!$N$3:$O$34,2,FALSE))=TRUE,0,VLOOKUP(B9,'NÖBV 2'!$N$3:$O$34,2,FALSE)))</f>
        <v>192</v>
      </c>
      <c r="N9" s="19">
        <f>MAX(IF(ISNA(VLOOKUP(B9,'NÖBV 3'!$B$3:$C$34,2,FALSE))=TRUE,0,VLOOKUP(B9,'NÖBV 3'!$B$3:$C$34,2,FALSE)),IF(ISNA(VLOOKUP(B9,'NÖBV 3'!$F$3:$G$34,2,FALSE))=TRUE,0,VLOOKUP(B9,'NÖBV 3'!$F$3:$G$34,2,FALSE)),IF(ISNA(VLOOKUP(B9,'NÖBV 3'!$J$3:$K$34,2,FALSE))=TRUE,0,VLOOKUP(B9,'NÖBV 3'!$J$3:$K$34,2,FALSE)),IF(ISNA(VLOOKUP(B9,'NÖBV 3'!$N$3:$O$34,2,FALSE))=TRUE,0,VLOOKUP(B9,'NÖBV 3'!$N$3:$O$34,2,FALSE)))</f>
        <v>200</v>
      </c>
      <c r="O9" s="15">
        <f>MAX(IF(ISNA(VLOOKUP(B9,'Regioturnier 1'!$B$3:$C$34,2,FALSE))=TRUE,0,VLOOKUP(B9,'Regioturnier 1'!$B$3:$C$34,2,FALSE)),IF(ISNA(VLOOKUP(B9,'Regioturnier 1'!$F$3:$G$34,2,FALSE))=TRUE,0,VLOOKUP(B9,'Regioturnier 1'!$F$3:$G$34,2,FALSE)),IF(ISNA(VLOOKUP(B9,'Regioturnier 1'!$J$3:$K$34,2,FALSE))=TRUE,0,VLOOKUP(B9,'Regioturnier 1'!$J$3:$K$34,2,FALSE)),IF(ISNA(VLOOKUP(B9,'Regioturnier 1'!$N$3:$O$34,2,FALSE))=TRUE,0,VLOOKUP(B9,'Regioturnier 1'!$N$3:$O$34,2,FALSE)),IF(ISNA(VLOOKUP(B9,'Regioturnier 1'!$R$3:$S$34,2,FALSE))=TRUE,0,VLOOKUP(B9,'Regioturnier 1'!$R$3:$S$34,2,FALSE)), IF(ISNA(VLOOKUP(B9,'Regioturnier 1'!$V$3:$W$34,2,FALSE))=TRUE,0,VLOOKUP(B9,'Regioturnier 1'!$V$3:$W$34,2,FALSE)), IF(ISNA(VLOOKUP(B9,'Regioturnier 1'!$Z$3:$AA$34,2,FALSE))=TRUE,0,VLOOKUP(B9,'Regioturnier 1'!$Z$3:$AA$34,2,FALSE)))</f>
        <v>202</v>
      </c>
      <c r="P9" s="15">
        <f>MAX(IF(ISNA(VLOOKUP(B9,'Regioturnier 2'!$B$3:$C$34,2,FALSE))=TRUE,0,VLOOKUP(B9,'Regioturnier 2'!$B$3:$C$34,2,FALSE)),IF(ISNA(VLOOKUP(B9,'Regioturnier 2'!$F$3:$G$34,2,FALSE))=TRUE,0,VLOOKUP(B9,'Regioturnier 2'!$F$3:$G$34,2,FALSE)),IF(ISNA(VLOOKUP(B9,'Regioturnier 2'!$J$3:$K$34,2,FALSE))=TRUE,0,VLOOKUP(B9,'Regioturnier 2'!$J$3:$K$34,2,FALSE)),IF(ISNA(VLOOKUP(B9,'Regioturnier 2'!$N$3:$O$34,2,FALSE))=TRUE,0,VLOOKUP(B9,'Regioturnier 2'!$N$3:$O$34,2,FALSE)),IF(ISNA(VLOOKUP(B9,'Regioturnier 2'!$R$3:$S$34,2,FALSE))=TRUE,0,VLOOKUP(B9,'Regioturnier 2'!$R$3:$S$34,2,FALSE)), IF(ISNA(VLOOKUP(B9,'Regioturnier 2'!$V$3:$W$34,2,FALSE))=TRUE,0,VLOOKUP(B9,'Regioturnier 2'!$V$3:$W$34,2,FALSE)), IF(ISNA(VLOOKUP(B9,'Regioturnier 2'!$Z$3:$AA$34,2,FALSE))=TRUE,0,VLOOKUP(B9,'Regioturnier 2'!$Z$3:$AA$34,2,FALSE)))</f>
        <v>204</v>
      </c>
      <c r="Q9" s="15">
        <f>MAX(IF(ISNA(VLOOKUP(B9,'Regioturnier 3'!$B$3:$C$34,2,FALSE))=TRUE,0,VLOOKUP(B9,'Regioturnier 3'!$B$3:$C$34,2,FALSE)),IF(ISNA(VLOOKUP(B9,'Regioturnier 3'!$F$3:$G$34,2,FALSE))=TRUE,0,VLOOKUP(B9,'Regioturnier 3'!$F$3:$G$34,2,FALSE)),IF(ISNA(VLOOKUP(B9,'Regioturnier 3'!$J$3:$K$34,2,FALSE))=TRUE,0,VLOOKUP(B9,'Regioturnier 3'!$J$3:$K$34,2,FALSE)),IF(ISNA(VLOOKUP(B9,'Regioturnier 3'!$N$3:$O$34,2,FALSE))=TRUE,0,VLOOKUP(B9,'Regioturnier 3'!$N$3:$O$34,2,FALSE)),IF(ISNA(VLOOKUP(B9,'Regioturnier 3'!$R$3:$S$34,2,FALSE))=TRUE,0,VLOOKUP(B9,'Regioturnier 3'!$R$3:$S$34,2,FALSE)), IF(ISNA(VLOOKUP(B9,'Regioturnier 3'!$V$3:$W$34,2,FALSE))=TRUE,0,VLOOKUP(B9,'Regioturnier 3'!$V$3:$W$34,2,FALSE)), IF(ISNA(VLOOKUP(B9,'Regioturnier 3'!$Z$3:$AA$34,2,FALSE))=TRUE,0,VLOOKUP(B9,'Regioturnier 3'!$Z$3:$AA$34,2,FALSE)))</f>
        <v>0</v>
      </c>
      <c r="R9" s="20">
        <f>0.5*INDEX($H9:$N9,MATCH(LARGE($H9:$N9,1),$H9:$N9,0))+0.3*INDEX($H9:$N9,MATCH(LARGE($H9:$N9,2),$H9:$N9,0))+0.2*INDEX($H9:$N9,MATCH(LARGE($H9:$N9,3),$H9:$N9,0))</f>
        <v>157.6</v>
      </c>
      <c r="S9" s="20">
        <f>0.6*INDEX(O9:Q9,MATCH(LARGE(O9:Q9,1),O9:Q9,0))+0.4*INDEX(O9:Q9,MATCH(LARGE(O9:Q9,2),O9:Q9,0))+0*INDEX(O9:Q9,MATCH(LARGE(O9:Q9,3),O9:Q9,0))</f>
        <v>203.2</v>
      </c>
      <c r="T9" s="15">
        <f>1*INDEX(R9:S9,MATCH(LARGE(R9:S9,1),R9:S9,0))+0*INDEX(R9:S9,MATCH(LARGE(R9:S9,2),R9:S9,0))</f>
        <v>203.2</v>
      </c>
      <c r="U9" s="21"/>
      <c r="V9" s="21"/>
      <c r="W9" s="21"/>
      <c r="X9" s="21"/>
      <c r="Y9" s="21"/>
      <c r="Z9" s="21"/>
    </row>
    <row r="10" spans="1:26" ht="12.75" customHeight="1" x14ac:dyDescent="0.3">
      <c r="A10" s="15">
        <v>9</v>
      </c>
      <c r="B10" s="16" t="s">
        <v>50</v>
      </c>
      <c r="C10" s="17" t="s">
        <v>25</v>
      </c>
      <c r="D10" s="15" t="s">
        <v>26</v>
      </c>
      <c r="E10" s="18" t="s">
        <v>40</v>
      </c>
      <c r="F10" s="15">
        <v>108588</v>
      </c>
      <c r="G10" s="22">
        <v>2010</v>
      </c>
      <c r="H10" s="15">
        <f>MAX(IF(ISNA(VLOOKUP(B10,'WBV 1'!$B$3:$C$34,2,FALSE))=TRUE,0,VLOOKUP(B10,'WBV 1'!$B$3:$C$34,2,FALSE)),IF(ISNA(VLOOKUP(B10,'WBV 1'!$F$3:$G$34,2,FALSE))=TRUE,0,VLOOKUP(B10,'WBV 1'!$F$3:$G$34,2,FALSE)),IF(ISNA(VLOOKUP(B10,'WBV 1'!$J$3:$K$34,2,FALSE))=TRUE,0,VLOOKUP(B10,'WBV 1'!$J$3:$K$34,2,FALSE)),IF(ISNA(VLOOKUP(B10,'WBV 1'!$N$3:$O$34,2,FALSE))=TRUE,0,VLOOKUP(B10,'WBV 1'!$N$3:$O$34,2,FALSE)))</f>
        <v>0</v>
      </c>
      <c r="I10" s="15">
        <f>MAX(IF(ISNA(VLOOKUP(B10,'WBV 2'!$B$3:$C$34,2,FALSE))=TRUE,0,VLOOKUP(B10,'WBV 2'!$B$3:$C$34,2,FALSE)),IF(ISNA(VLOOKUP(B10,'WBV 2'!$F$3:$G$34,2,FALSE))=TRUE,0,VLOOKUP(B10,'WBV 2'!$F$3:$G$34,2,FALSE)),IF(ISNA(VLOOKUP(B10,'WBV 2'!$J$3:$K$34,2,FALSE))=TRUE,0,VLOOKUP(B10,'WBV 2'!$J$3:$K$34,2,FALSE)),IF(ISNA(VLOOKUP(B10,'WBV 2'!$N$3:$O$34,2,FALSE))=TRUE,0,VLOOKUP(B10,'WBV 2'!$N$3:$O$34,2,FALSE)))</f>
        <v>183</v>
      </c>
      <c r="J10" s="15">
        <f>MAX(IF(ISNA(VLOOKUP(B10,'WBV 3'!$B$3:$C$34,2,FALSE))=TRUE,0,VLOOKUP(B10,'WBV 3'!$B$3:$C$34,2,FALSE)),IF(ISNA(VLOOKUP(B10,'WBV 3'!$F$3:$G$34,2,FALSE))=TRUE,0,VLOOKUP(B10,'WBV 3'!$F$3:$G$34,2,FALSE)),IF(ISNA(VLOOKUP(B10,'WBV 3'!$J$3:$K$34,2,FALSE))=TRUE,0,VLOOKUP(B10,'WBV 3'!$J$3:$K$34,2,FALSE)),IF(ISNA(VLOOKUP(B10,'WBV 3'!$N$3:$O$34,2,FALSE))=TRUE,0,VLOOKUP(B10,'WBV 3'!$N$3:$O$34,2,FALSE)))</f>
        <v>189</v>
      </c>
      <c r="K10" s="15">
        <f>MAX(IF(ISNA(VLOOKUP(B10,'WBV 4'!$B$3:$C$34,2,FALSE))=TRUE,0,VLOOKUP(B10,'WBV 4'!$B$3:$C$34,2,FALSE)),IF(ISNA(VLOOKUP(B10,'WBV 4'!$F$3:$G$34,2,FALSE))=TRUE,0,VLOOKUP(B10,'WBV 4'!$F$3:$G$34,2,FALSE)),IF(ISNA(VLOOKUP(B10,'WBV 4'!$J$3:$K$34,2,FALSE))=TRUE,0,VLOOKUP(B10,'WBV 4'!$J$3:$K$34,2,FALSE)),IF(ISNA(VLOOKUP(B10,'WBV 4'!$N$3:$O$34,2,FALSE))=TRUE,0,VLOOKUP(B10,'WBV 4'!$N$3:$O$34,2,FALSE)))</f>
        <v>0</v>
      </c>
      <c r="L10" s="19">
        <f>MAX(IF(ISNA(VLOOKUP(B10,'NÖBV 1'!$B$3:$C$34,2,FALSE))=TRUE,0,VLOOKUP(B10,'NÖBV 1'!$B$3:$C$34,2,FALSE)),IF(ISNA(VLOOKUP(B10,'NÖBV 1'!$F$3:$G$34,2,FALSE))=TRUE,0,VLOOKUP(B10,'NÖBV 1'!$F$3:$G$34,2,FALSE)),IF(ISNA(VLOOKUP(B10,'NÖBV 1'!$J$3:$K$34,2,FALSE))=TRUE,0,VLOOKUP(B10,'NÖBV 1'!$J$3:$K$34,2,FALSE)),IF(ISNA(VLOOKUP(B10,'NÖBV 1'!$N$3:$O$34,2,FALSE))=TRUE,0,VLOOKUP(B10,'NÖBV 1'!$N$3:$O$34,2,FALSE)))</f>
        <v>0</v>
      </c>
      <c r="M10" s="19">
        <f>MAX(IF(ISNA(VLOOKUP(B10,'NÖBV 2'!$B$3:$C$34,2,FALSE))=TRUE,0,VLOOKUP(B10,'NÖBV 2'!$B$3:$C$34,2,FALSE)),IF(ISNA(VLOOKUP(B10,'NÖBV 2'!$F$3:$G$34,2,FALSE))=TRUE,0,VLOOKUP(B10,'NÖBV 2'!$F$3:$G$34,2,FALSE)),IF(ISNA(VLOOKUP(B10,'NÖBV 2'!$J$3:$K$34,2,FALSE))=TRUE,0,VLOOKUP(B10,'NÖBV 2'!$J$3:$K$34,2,FALSE)),IF(ISNA(VLOOKUP(B10,'NÖBV 2'!$N$3:$O$34,2,FALSE))=TRUE,0,VLOOKUP(B10,'NÖBV 2'!$N$3:$O$34,2,FALSE)))</f>
        <v>0</v>
      </c>
      <c r="N10" s="19">
        <f>MAX(IF(ISNA(VLOOKUP(B10,'NÖBV 3'!$B$3:$C$34,2,FALSE))=TRUE,0,VLOOKUP(B10,'NÖBV 3'!$B$3:$C$34,2,FALSE)),IF(ISNA(VLOOKUP(B10,'NÖBV 3'!$F$3:$G$34,2,FALSE))=TRUE,0,VLOOKUP(B10,'NÖBV 3'!$F$3:$G$34,2,FALSE)),IF(ISNA(VLOOKUP(B10,'NÖBV 3'!$J$3:$K$34,2,FALSE))=TRUE,0,VLOOKUP(B10,'NÖBV 3'!$J$3:$K$34,2,FALSE)),IF(ISNA(VLOOKUP(B10,'NÖBV 3'!$N$3:$O$34,2,FALSE))=TRUE,0,VLOOKUP(B10,'NÖBV 3'!$N$3:$O$34,2,FALSE)))</f>
        <v>0</v>
      </c>
      <c r="O10" s="15">
        <f>MAX(IF(ISNA(VLOOKUP(B10,'Regioturnier 1'!$B$3:$C$34,2,FALSE))=TRUE,0,VLOOKUP(B10,'Regioturnier 1'!$B$3:$C$34,2,FALSE)),IF(ISNA(VLOOKUP(B10,'Regioturnier 1'!$F$3:$G$34,2,FALSE))=TRUE,0,VLOOKUP(B10,'Regioturnier 1'!$F$3:$G$34,2,FALSE)),IF(ISNA(VLOOKUP(B10,'Regioturnier 1'!$J$3:$K$34,2,FALSE))=TRUE,0,VLOOKUP(B10,'Regioturnier 1'!$J$3:$K$34,2,FALSE)),IF(ISNA(VLOOKUP(B10,'Regioturnier 1'!$N$3:$O$34,2,FALSE))=TRUE,0,VLOOKUP(B10,'Regioturnier 1'!$N$3:$O$34,2,FALSE)),IF(ISNA(VLOOKUP(B10,'Regioturnier 1'!$R$3:$S$34,2,FALSE))=TRUE,0,VLOOKUP(B10,'Regioturnier 1'!$R$3:$S$34,2,FALSE)), IF(ISNA(VLOOKUP(B10,'Regioturnier 1'!$V$3:$W$34,2,FALSE))=TRUE,0,VLOOKUP(B10,'Regioturnier 1'!$V$3:$W$34,2,FALSE)), IF(ISNA(VLOOKUP(B10,'Regioturnier 1'!$Z$3:$AA$34,2,FALSE))=TRUE,0,VLOOKUP(B10,'Regioturnier 1'!$Z$3:$AA$34,2,FALSE)))</f>
        <v>200</v>
      </c>
      <c r="P10" s="15">
        <f>MAX(IF(ISNA(VLOOKUP(B10,'Regioturnier 2'!$B$3:$C$34,2,FALSE))=TRUE,0,VLOOKUP(B10,'Regioturnier 2'!$B$3:$C$34,2,FALSE)),IF(ISNA(VLOOKUP(B10,'Regioturnier 2'!$F$3:$G$34,2,FALSE))=TRUE,0,VLOOKUP(B10,'Regioturnier 2'!$F$3:$G$34,2,FALSE)),IF(ISNA(VLOOKUP(B10,'Regioturnier 2'!$J$3:$K$34,2,FALSE))=TRUE,0,VLOOKUP(B10,'Regioturnier 2'!$J$3:$K$34,2,FALSE)),IF(ISNA(VLOOKUP(B10,'Regioturnier 2'!$N$3:$O$34,2,FALSE))=TRUE,0,VLOOKUP(B10,'Regioturnier 2'!$N$3:$O$34,2,FALSE)),IF(ISNA(VLOOKUP(B10,'Regioturnier 2'!$R$3:$S$34,2,FALSE))=TRUE,0,VLOOKUP(B10,'Regioturnier 2'!$R$3:$S$34,2,FALSE)), IF(ISNA(VLOOKUP(B10,'Regioturnier 2'!$V$3:$W$34,2,FALSE))=TRUE,0,VLOOKUP(B10,'Regioturnier 2'!$V$3:$W$34,2,FALSE)), IF(ISNA(VLOOKUP(B10,'Regioturnier 2'!$Z$3:$AA$34,2,FALSE))=TRUE,0,VLOOKUP(B10,'Regioturnier 2'!$Z$3:$AA$34,2,FALSE)))</f>
        <v>195</v>
      </c>
      <c r="Q10" s="15">
        <f>MAX(IF(ISNA(VLOOKUP(B10,'Regioturnier 3'!$B$3:$C$34,2,FALSE))=TRUE,0,VLOOKUP(B10,'Regioturnier 3'!$B$3:$C$34,2,FALSE)),IF(ISNA(VLOOKUP(B10,'Regioturnier 3'!$F$3:$G$34,2,FALSE))=TRUE,0,VLOOKUP(B10,'Regioturnier 3'!$F$3:$G$34,2,FALSE)),IF(ISNA(VLOOKUP(B10,'Regioturnier 3'!$J$3:$K$34,2,FALSE))=TRUE,0,VLOOKUP(B10,'Regioturnier 3'!$J$3:$K$34,2,FALSE)),IF(ISNA(VLOOKUP(B10,'Regioturnier 3'!$N$3:$O$34,2,FALSE))=TRUE,0,VLOOKUP(B10,'Regioturnier 3'!$N$3:$O$34,2,FALSE)),IF(ISNA(VLOOKUP(B10,'Regioturnier 3'!$R$3:$S$34,2,FALSE))=TRUE,0,VLOOKUP(B10,'Regioturnier 3'!$R$3:$S$34,2,FALSE)), IF(ISNA(VLOOKUP(B10,'Regioturnier 3'!$V$3:$W$34,2,FALSE))=TRUE,0,VLOOKUP(B10,'Regioturnier 3'!$V$3:$W$34,2,FALSE)), IF(ISNA(VLOOKUP(B10,'Regioturnier 3'!$Z$3:$AA$34,2,FALSE))=TRUE,0,VLOOKUP(B10,'Regioturnier 3'!$Z$3:$AA$34,2,FALSE)))</f>
        <v>0</v>
      </c>
      <c r="R10" s="20">
        <f>0.5*INDEX($H10:$N10,MATCH(LARGE($H10:$N10,1),$H10:$N10,0))+0.3*INDEX($H10:$N10,MATCH(LARGE($H10:$N10,2),$H10:$N10,0))+0.2*INDEX($H10:$N10,MATCH(LARGE($H10:$N10,3),$H10:$N10,0))</f>
        <v>149.4</v>
      </c>
      <c r="S10" s="20">
        <f>0.6*INDEX(O10:Q10,MATCH(LARGE(O10:Q10,1),O10:Q10,0))+0.4*INDEX(O10:Q10,MATCH(LARGE(O10:Q10,2),O10:Q10,0))+0*INDEX(O10:Q10,MATCH(LARGE(O10:Q10,3),O10:Q10,0))</f>
        <v>198</v>
      </c>
      <c r="T10" s="15">
        <f>1*INDEX(R10:S10,MATCH(LARGE(R10:S10,1),R10:S10,0))+0*INDEX(R10:S10,MATCH(LARGE(R10:S10,2),R10:S10,0))</f>
        <v>198</v>
      </c>
      <c r="U10" s="21"/>
      <c r="V10" s="21"/>
      <c r="W10" s="21"/>
      <c r="X10" s="21"/>
      <c r="Y10" s="21"/>
      <c r="Z10" s="21"/>
    </row>
    <row r="11" spans="1:26" ht="12.75" customHeight="1" x14ac:dyDescent="0.3">
      <c r="A11" s="15">
        <v>10</v>
      </c>
      <c r="B11" s="16" t="s">
        <v>158</v>
      </c>
      <c r="C11" s="17" t="s">
        <v>21</v>
      </c>
      <c r="D11" s="15" t="s">
        <v>22</v>
      </c>
      <c r="E11" s="18" t="s">
        <v>23</v>
      </c>
      <c r="F11" s="15">
        <v>207993</v>
      </c>
      <c r="G11" s="22">
        <v>2013</v>
      </c>
      <c r="H11" s="15">
        <f>MAX(IF(ISNA(VLOOKUP(B11,'WBV 1'!$B$3:$C$34,2,FALSE))=TRUE,0,VLOOKUP(B11,'WBV 1'!$B$3:$C$34,2,FALSE)),IF(ISNA(VLOOKUP(B11,'WBV 1'!$F$3:$G$34,2,FALSE))=TRUE,0,VLOOKUP(B11,'WBV 1'!$F$3:$G$34,2,FALSE)),IF(ISNA(VLOOKUP(B11,'WBV 1'!$J$3:$K$34,2,FALSE))=TRUE,0,VLOOKUP(B11,'WBV 1'!$J$3:$K$34,2,FALSE)),IF(ISNA(VLOOKUP(B11,'WBV 1'!$N$3:$O$34,2,FALSE))=TRUE,0,VLOOKUP(B11,'WBV 1'!$N$3:$O$34,2,FALSE)))</f>
        <v>0</v>
      </c>
      <c r="I11" s="15">
        <f>MAX(IF(ISNA(VLOOKUP(B11,'WBV 2'!$B$3:$C$34,2,FALSE))=TRUE,0,VLOOKUP(B11,'WBV 2'!$B$3:$C$34,2,FALSE)),IF(ISNA(VLOOKUP(B11,'WBV 2'!$F$3:$G$34,2,FALSE))=TRUE,0,VLOOKUP(B11,'WBV 2'!$F$3:$G$34,2,FALSE)),IF(ISNA(VLOOKUP(B11,'WBV 2'!$J$3:$K$34,2,FALSE))=TRUE,0,VLOOKUP(B11,'WBV 2'!$J$3:$K$34,2,FALSE)),IF(ISNA(VLOOKUP(B11,'WBV 2'!$N$3:$O$34,2,FALSE))=TRUE,0,VLOOKUP(B11,'WBV 2'!$N$3:$O$34,2,FALSE)))</f>
        <v>0</v>
      </c>
      <c r="J11" s="15">
        <f>MAX(IF(ISNA(VLOOKUP(B11,'WBV 3'!$B$3:$C$34,2,FALSE))=TRUE,0,VLOOKUP(B11,'WBV 3'!$B$3:$C$34,2,FALSE)),IF(ISNA(VLOOKUP(B11,'WBV 3'!$F$3:$G$34,2,FALSE))=TRUE,0,VLOOKUP(B11,'WBV 3'!$F$3:$G$34,2,FALSE)),IF(ISNA(VLOOKUP(B11,'WBV 3'!$J$3:$K$34,2,FALSE))=TRUE,0,VLOOKUP(B11,'WBV 3'!$J$3:$K$34,2,FALSE)),IF(ISNA(VLOOKUP(B11,'WBV 3'!$N$3:$O$34,2,FALSE))=TRUE,0,VLOOKUP(B11,'WBV 3'!$N$3:$O$34,2,FALSE)))</f>
        <v>0</v>
      </c>
      <c r="K11" s="15">
        <f>MAX(IF(ISNA(VLOOKUP(B11,'WBV 4'!$B$3:$C$34,2,FALSE))=TRUE,0,VLOOKUP(B11,'WBV 4'!$B$3:$C$34,2,FALSE)),IF(ISNA(VLOOKUP(B11,'WBV 4'!$F$3:$G$34,2,FALSE))=TRUE,0,VLOOKUP(B11,'WBV 4'!$F$3:$G$34,2,FALSE)),IF(ISNA(VLOOKUP(B11,'WBV 4'!$J$3:$K$34,2,FALSE))=TRUE,0,VLOOKUP(B11,'WBV 4'!$J$3:$K$34,2,FALSE)),IF(ISNA(VLOOKUP(B11,'WBV 4'!$N$3:$O$34,2,FALSE))=TRUE,0,VLOOKUP(B11,'WBV 4'!$N$3:$O$34,2,FALSE)))</f>
        <v>0</v>
      </c>
      <c r="L11" s="19">
        <f>MAX(IF(ISNA(VLOOKUP(B11,'NÖBV 1'!$B$3:$C$34,2,FALSE))=TRUE,0,VLOOKUP(B11,'NÖBV 1'!$B$3:$C$34,2,FALSE)),IF(ISNA(VLOOKUP(B11,'NÖBV 1'!$F$3:$G$34,2,FALSE))=TRUE,0,VLOOKUP(B11,'NÖBV 1'!$F$3:$G$34,2,FALSE)),IF(ISNA(VLOOKUP(B11,'NÖBV 1'!$J$3:$K$34,2,FALSE))=TRUE,0,VLOOKUP(B11,'NÖBV 1'!$J$3:$K$34,2,FALSE)),IF(ISNA(VLOOKUP(B11,'NÖBV 1'!$N$3:$O$34,2,FALSE))=TRUE,0,VLOOKUP(B11,'NÖBV 1'!$N$3:$O$34,2,FALSE)))</f>
        <v>183</v>
      </c>
      <c r="M11" s="19">
        <f>MAX(IF(ISNA(VLOOKUP(B11,'NÖBV 2'!$B$3:$C$34,2,FALSE))=TRUE,0,VLOOKUP(B11,'NÖBV 2'!$B$3:$C$34,2,FALSE)),IF(ISNA(VLOOKUP(B11,'NÖBV 2'!$F$3:$G$34,2,FALSE))=TRUE,0,VLOOKUP(B11,'NÖBV 2'!$F$3:$G$34,2,FALSE)),IF(ISNA(VLOOKUP(B11,'NÖBV 2'!$J$3:$K$34,2,FALSE))=TRUE,0,VLOOKUP(B11,'NÖBV 2'!$J$3:$K$34,2,FALSE)),IF(ISNA(VLOOKUP(B11,'NÖBV 2'!$N$3:$O$34,2,FALSE))=TRUE,0,VLOOKUP(B11,'NÖBV 2'!$N$3:$O$34,2,FALSE)))</f>
        <v>0</v>
      </c>
      <c r="N11" s="19">
        <f>MAX(IF(ISNA(VLOOKUP(B11,'NÖBV 3'!$B$3:$C$34,2,FALSE))=TRUE,0,VLOOKUP(B11,'NÖBV 3'!$B$3:$C$34,2,FALSE)),IF(ISNA(VLOOKUP(B11,'NÖBV 3'!$F$3:$G$34,2,FALSE))=TRUE,0,VLOOKUP(B11,'NÖBV 3'!$F$3:$G$34,2,FALSE)),IF(ISNA(VLOOKUP(B11,'NÖBV 3'!$J$3:$K$34,2,FALSE))=TRUE,0,VLOOKUP(B11,'NÖBV 3'!$J$3:$K$34,2,FALSE)),IF(ISNA(VLOOKUP(B11,'NÖBV 3'!$N$3:$O$34,2,FALSE))=TRUE,0,VLOOKUP(B11,'NÖBV 3'!$N$3:$O$34,2,FALSE)))</f>
        <v>0</v>
      </c>
      <c r="O11" s="15">
        <f>MAX(IF(ISNA(VLOOKUP(B11,'Regioturnier 1'!$B$3:$C$34,2,FALSE))=TRUE,0,VLOOKUP(B11,'Regioturnier 1'!$B$3:$C$34,2,FALSE)),IF(ISNA(VLOOKUP(B11,'Regioturnier 1'!$F$3:$G$34,2,FALSE))=TRUE,0,VLOOKUP(B11,'Regioturnier 1'!$F$3:$G$34,2,FALSE)),IF(ISNA(VLOOKUP(B11,'Regioturnier 1'!$J$3:$K$34,2,FALSE))=TRUE,0,VLOOKUP(B11,'Regioturnier 1'!$J$3:$K$34,2,FALSE)),IF(ISNA(VLOOKUP(B11,'Regioturnier 1'!$N$3:$O$34,2,FALSE))=TRUE,0,VLOOKUP(B11,'Regioturnier 1'!$N$3:$O$34,2,FALSE)),IF(ISNA(VLOOKUP(B11,'Regioturnier 1'!$R$3:$S$34,2,FALSE))=TRUE,0,VLOOKUP(B11,'Regioturnier 1'!$R$3:$S$34,2,FALSE)), IF(ISNA(VLOOKUP(B11,'Regioturnier 1'!$V$3:$W$34,2,FALSE))=TRUE,0,VLOOKUP(B11,'Regioturnier 1'!$V$3:$W$34,2,FALSE)), IF(ISNA(VLOOKUP(B11,'Regioturnier 1'!$Z$3:$AA$34,2,FALSE))=TRUE,0,VLOOKUP(B11,'Regioturnier 1'!$Z$3:$AA$34,2,FALSE)))</f>
        <v>191</v>
      </c>
      <c r="P11" s="15">
        <f>MAX(IF(ISNA(VLOOKUP(B11,'Regioturnier 2'!$B$3:$C$34,2,FALSE))=TRUE,0,VLOOKUP(B11,'Regioturnier 2'!$B$3:$C$34,2,FALSE)),IF(ISNA(VLOOKUP(B11,'Regioturnier 2'!$F$3:$G$34,2,FALSE))=TRUE,0,VLOOKUP(B11,'Regioturnier 2'!$F$3:$G$34,2,FALSE)),IF(ISNA(VLOOKUP(B11,'Regioturnier 2'!$J$3:$K$34,2,FALSE))=TRUE,0,VLOOKUP(B11,'Regioturnier 2'!$J$3:$K$34,2,FALSE)),IF(ISNA(VLOOKUP(B11,'Regioturnier 2'!$N$3:$O$34,2,FALSE))=TRUE,0,VLOOKUP(B11,'Regioturnier 2'!$N$3:$O$34,2,FALSE)),IF(ISNA(VLOOKUP(B11,'Regioturnier 2'!$R$3:$S$34,2,FALSE))=TRUE,0,VLOOKUP(B11,'Regioturnier 2'!$R$3:$S$34,2,FALSE)), IF(ISNA(VLOOKUP(B11,'Regioturnier 2'!$V$3:$W$34,2,FALSE))=TRUE,0,VLOOKUP(B11,'Regioturnier 2'!$V$3:$W$34,2,FALSE)), IF(ISNA(VLOOKUP(B11,'Regioturnier 2'!$Z$3:$AA$34,2,FALSE))=TRUE,0,VLOOKUP(B11,'Regioturnier 2'!$Z$3:$AA$34,2,FALSE)))</f>
        <v>201</v>
      </c>
      <c r="Q11" s="15">
        <f>MAX(IF(ISNA(VLOOKUP(B11,'Regioturnier 3'!$B$3:$C$34,2,FALSE))=TRUE,0,VLOOKUP(B11,'Regioturnier 3'!$B$3:$C$34,2,FALSE)),IF(ISNA(VLOOKUP(B11,'Regioturnier 3'!$F$3:$G$34,2,FALSE))=TRUE,0,VLOOKUP(B11,'Regioturnier 3'!$F$3:$G$34,2,FALSE)),IF(ISNA(VLOOKUP(B11,'Regioturnier 3'!$J$3:$K$34,2,FALSE))=TRUE,0,VLOOKUP(B11,'Regioturnier 3'!$J$3:$K$34,2,FALSE)),IF(ISNA(VLOOKUP(B11,'Regioturnier 3'!$N$3:$O$34,2,FALSE))=TRUE,0,VLOOKUP(B11,'Regioturnier 3'!$N$3:$O$34,2,FALSE)),IF(ISNA(VLOOKUP(B11,'Regioturnier 3'!$R$3:$S$34,2,FALSE))=TRUE,0,VLOOKUP(B11,'Regioturnier 3'!$R$3:$S$34,2,FALSE)), IF(ISNA(VLOOKUP(B11,'Regioturnier 3'!$V$3:$W$34,2,FALSE))=TRUE,0,VLOOKUP(B11,'Regioturnier 3'!$V$3:$W$34,2,FALSE)), IF(ISNA(VLOOKUP(B11,'Regioturnier 3'!$Z$3:$AA$34,2,FALSE))=TRUE,0,VLOOKUP(B11,'Regioturnier 3'!$Z$3:$AA$34,2,FALSE)))</f>
        <v>0</v>
      </c>
      <c r="R11" s="20">
        <f>0.5*INDEX($H11:$N11,MATCH(LARGE($H11:$N11,1),$H11:$N11,0))+0.3*INDEX($H11:$N11,MATCH(LARGE($H11:$N11,2),$H11:$N11,0))+0.2*INDEX($H11:$N11,MATCH(LARGE($H11:$N11,3),$H11:$N11,0))</f>
        <v>91.5</v>
      </c>
      <c r="S11" s="20">
        <f>0.6*INDEX(O11:Q11,MATCH(LARGE(O11:Q11,1),O11:Q11,0))+0.4*INDEX(O11:Q11,MATCH(LARGE(O11:Q11,2),O11:Q11,0))+0*INDEX(O11:Q11,MATCH(LARGE(O11:Q11,3),O11:Q11,0))</f>
        <v>197</v>
      </c>
      <c r="T11" s="15">
        <f>1*INDEX(R11:S11,MATCH(LARGE(R11:S11,1),R11:S11,0))+0*INDEX(R11:S11,MATCH(LARGE(R11:S11,2),R11:S11,0))</f>
        <v>197</v>
      </c>
      <c r="U11" s="21"/>
      <c r="V11" s="21"/>
      <c r="W11" s="21"/>
      <c r="X11" s="21"/>
      <c r="Y11" s="21"/>
      <c r="Z11" s="21"/>
    </row>
    <row r="12" spans="1:26" ht="12.75" customHeight="1" x14ac:dyDescent="0.3">
      <c r="A12" s="15">
        <v>11</v>
      </c>
      <c r="B12" s="16" t="s">
        <v>60</v>
      </c>
      <c r="C12" s="17" t="s">
        <v>54</v>
      </c>
      <c r="D12" s="15" t="s">
        <v>22</v>
      </c>
      <c r="E12" s="18" t="s">
        <v>40</v>
      </c>
      <c r="F12" s="15">
        <v>207955</v>
      </c>
      <c r="G12" s="22">
        <v>2013</v>
      </c>
      <c r="H12" s="15">
        <f>MAX(IF(ISNA(VLOOKUP(B12,'WBV 1'!$B$3:$C$34,2,FALSE))=TRUE,0,VLOOKUP(B12,'WBV 1'!$B$3:$C$34,2,FALSE)),IF(ISNA(VLOOKUP(B12,'WBV 1'!$F$3:$G$34,2,FALSE))=TRUE,0,VLOOKUP(B12,'WBV 1'!$F$3:$G$34,2,FALSE)),IF(ISNA(VLOOKUP(B12,'WBV 1'!$J$3:$K$34,2,FALSE))=TRUE,0,VLOOKUP(B12,'WBV 1'!$J$3:$K$34,2,FALSE)),IF(ISNA(VLOOKUP(B12,'WBV 1'!$N$3:$O$34,2,FALSE))=TRUE,0,VLOOKUP(B12,'WBV 1'!$N$3:$O$34,2,FALSE)))</f>
        <v>0</v>
      </c>
      <c r="I12" s="15">
        <f>MAX(IF(ISNA(VLOOKUP(B12,'WBV 2'!$B$3:$C$34,2,FALSE))=TRUE,0,VLOOKUP(B12,'WBV 2'!$B$3:$C$34,2,FALSE)),IF(ISNA(VLOOKUP(B12,'WBV 2'!$F$3:$G$34,2,FALSE))=TRUE,0,VLOOKUP(B12,'WBV 2'!$F$3:$G$34,2,FALSE)),IF(ISNA(VLOOKUP(B12,'WBV 2'!$J$3:$K$34,2,FALSE))=TRUE,0,VLOOKUP(B12,'WBV 2'!$J$3:$K$34,2,FALSE)),IF(ISNA(VLOOKUP(B12,'WBV 2'!$N$3:$O$34,2,FALSE))=TRUE,0,VLOOKUP(B12,'WBV 2'!$N$3:$O$34,2,FALSE)))</f>
        <v>0</v>
      </c>
      <c r="J12" s="15">
        <f>MAX(IF(ISNA(VLOOKUP(B12,'WBV 3'!$B$3:$C$34,2,FALSE))=TRUE,0,VLOOKUP(B12,'WBV 3'!$B$3:$C$34,2,FALSE)),IF(ISNA(VLOOKUP(B12,'WBV 3'!$F$3:$G$34,2,FALSE))=TRUE,0,VLOOKUP(B12,'WBV 3'!$F$3:$G$34,2,FALSE)),IF(ISNA(VLOOKUP(B12,'WBV 3'!$J$3:$K$34,2,FALSE))=TRUE,0,VLOOKUP(B12,'WBV 3'!$J$3:$K$34,2,FALSE)),IF(ISNA(VLOOKUP(B12,'WBV 3'!$N$3:$O$34,2,FALSE))=TRUE,0,VLOOKUP(B12,'WBV 3'!$N$3:$O$34,2,FALSE)))</f>
        <v>0</v>
      </c>
      <c r="K12" s="15">
        <f>MAX(IF(ISNA(VLOOKUP(B12,'WBV 4'!$B$3:$C$34,2,FALSE))=TRUE,0,VLOOKUP(B12,'WBV 4'!$B$3:$C$34,2,FALSE)),IF(ISNA(VLOOKUP(B12,'WBV 4'!$F$3:$G$34,2,FALSE))=TRUE,0,VLOOKUP(B12,'WBV 4'!$F$3:$G$34,2,FALSE)),IF(ISNA(VLOOKUP(B12,'WBV 4'!$J$3:$K$34,2,FALSE))=TRUE,0,VLOOKUP(B12,'WBV 4'!$J$3:$K$34,2,FALSE)),IF(ISNA(VLOOKUP(B12,'WBV 4'!$N$3:$O$34,2,FALSE))=TRUE,0,VLOOKUP(B12,'WBV 4'!$N$3:$O$34,2,FALSE)))</f>
        <v>0</v>
      </c>
      <c r="L12" s="19">
        <f>MAX(IF(ISNA(VLOOKUP(B12,'NÖBV 1'!$B$3:$C$34,2,FALSE))=TRUE,0,VLOOKUP(B12,'NÖBV 1'!$B$3:$C$34,2,FALSE)),IF(ISNA(VLOOKUP(B12,'NÖBV 1'!$F$3:$G$34,2,FALSE))=TRUE,0,VLOOKUP(B12,'NÖBV 1'!$F$3:$G$34,2,FALSE)),IF(ISNA(VLOOKUP(B12,'NÖBV 1'!$J$3:$K$34,2,FALSE))=TRUE,0,VLOOKUP(B12,'NÖBV 1'!$J$3:$K$34,2,FALSE)),IF(ISNA(VLOOKUP(B12,'NÖBV 1'!$N$3:$O$34,2,FALSE))=TRUE,0,VLOOKUP(B12,'NÖBV 1'!$N$3:$O$34,2,FALSE)))</f>
        <v>189</v>
      </c>
      <c r="M12" s="19">
        <f>MAX(IF(ISNA(VLOOKUP(B12,'NÖBV 2'!$B$3:$C$34,2,FALSE))=TRUE,0,VLOOKUP(B12,'NÖBV 2'!$B$3:$C$34,2,FALSE)),IF(ISNA(VLOOKUP(B12,'NÖBV 2'!$F$3:$G$34,2,FALSE))=TRUE,0,VLOOKUP(B12,'NÖBV 2'!$F$3:$G$34,2,FALSE)),IF(ISNA(VLOOKUP(B12,'NÖBV 2'!$J$3:$K$34,2,FALSE))=TRUE,0,VLOOKUP(B12,'NÖBV 2'!$J$3:$K$34,2,FALSE)),IF(ISNA(VLOOKUP(B12,'NÖBV 2'!$N$3:$O$34,2,FALSE))=TRUE,0,VLOOKUP(B12,'NÖBV 2'!$N$3:$O$34,2,FALSE)))</f>
        <v>187</v>
      </c>
      <c r="N12" s="19">
        <f>MAX(IF(ISNA(VLOOKUP(B12,'NÖBV 3'!$B$3:$C$34,2,FALSE))=TRUE,0,VLOOKUP(B12,'NÖBV 3'!$B$3:$C$34,2,FALSE)),IF(ISNA(VLOOKUP(B12,'NÖBV 3'!$F$3:$G$34,2,FALSE))=TRUE,0,VLOOKUP(B12,'NÖBV 3'!$F$3:$G$34,2,FALSE)),IF(ISNA(VLOOKUP(B12,'NÖBV 3'!$J$3:$K$34,2,FALSE))=TRUE,0,VLOOKUP(B12,'NÖBV 3'!$J$3:$K$34,2,FALSE)),IF(ISNA(VLOOKUP(B12,'NÖBV 3'!$N$3:$O$34,2,FALSE))=TRUE,0,VLOOKUP(B12,'NÖBV 3'!$N$3:$O$34,2,FALSE)))</f>
        <v>193</v>
      </c>
      <c r="O12" s="15">
        <f>MAX(IF(ISNA(VLOOKUP(B12,'Regioturnier 1'!$B$3:$C$34,2,FALSE))=TRUE,0,VLOOKUP(B12,'Regioturnier 1'!$B$3:$C$34,2,FALSE)),IF(ISNA(VLOOKUP(B12,'Regioturnier 1'!$F$3:$G$34,2,FALSE))=TRUE,0,VLOOKUP(B12,'Regioturnier 1'!$F$3:$G$34,2,FALSE)),IF(ISNA(VLOOKUP(B12,'Regioturnier 1'!$J$3:$K$34,2,FALSE))=TRUE,0,VLOOKUP(B12,'Regioturnier 1'!$J$3:$K$34,2,FALSE)),IF(ISNA(VLOOKUP(B12,'Regioturnier 1'!$N$3:$O$34,2,FALSE))=TRUE,0,VLOOKUP(B12,'Regioturnier 1'!$N$3:$O$34,2,FALSE)),IF(ISNA(VLOOKUP(B12,'Regioturnier 1'!$R$3:$S$34,2,FALSE))=TRUE,0,VLOOKUP(B12,'Regioturnier 1'!$R$3:$S$34,2,FALSE)), IF(ISNA(VLOOKUP(B12,'Regioturnier 1'!$V$3:$W$34,2,FALSE))=TRUE,0,VLOOKUP(B12,'Regioturnier 1'!$V$3:$W$34,2,FALSE)), IF(ISNA(VLOOKUP(B12,'Regioturnier 1'!$Z$3:$AA$34,2,FALSE))=TRUE,0,VLOOKUP(B12,'Regioturnier 1'!$Z$3:$AA$34,2,FALSE)))</f>
        <v>199</v>
      </c>
      <c r="P12" s="15">
        <f>MAX(IF(ISNA(VLOOKUP(B12,'Regioturnier 2'!$B$3:$C$34,2,FALSE))=TRUE,0,VLOOKUP(B12,'Regioturnier 2'!$B$3:$C$34,2,FALSE)),IF(ISNA(VLOOKUP(B12,'Regioturnier 2'!$F$3:$G$34,2,FALSE))=TRUE,0,VLOOKUP(B12,'Regioturnier 2'!$F$3:$G$34,2,FALSE)),IF(ISNA(VLOOKUP(B12,'Regioturnier 2'!$J$3:$K$34,2,FALSE))=TRUE,0,VLOOKUP(B12,'Regioturnier 2'!$J$3:$K$34,2,FALSE)),IF(ISNA(VLOOKUP(B12,'Regioturnier 2'!$N$3:$O$34,2,FALSE))=TRUE,0,VLOOKUP(B12,'Regioturnier 2'!$N$3:$O$34,2,FALSE)),IF(ISNA(VLOOKUP(B12,'Regioturnier 2'!$R$3:$S$34,2,FALSE))=TRUE,0,VLOOKUP(B12,'Regioturnier 2'!$R$3:$S$34,2,FALSE)), IF(ISNA(VLOOKUP(B12,'Regioturnier 2'!$V$3:$W$34,2,FALSE))=TRUE,0,VLOOKUP(B12,'Regioturnier 2'!$V$3:$W$34,2,FALSE)), IF(ISNA(VLOOKUP(B12,'Regioturnier 2'!$Z$3:$AA$34,2,FALSE))=TRUE,0,VLOOKUP(B12,'Regioturnier 2'!$Z$3:$AA$34,2,FALSE)))</f>
        <v>185</v>
      </c>
      <c r="Q12" s="15">
        <f>MAX(IF(ISNA(VLOOKUP(B12,'Regioturnier 3'!$B$3:$C$34,2,FALSE))=TRUE,0,VLOOKUP(B12,'Regioturnier 3'!$B$3:$C$34,2,FALSE)),IF(ISNA(VLOOKUP(B12,'Regioturnier 3'!$F$3:$G$34,2,FALSE))=TRUE,0,VLOOKUP(B12,'Regioturnier 3'!$F$3:$G$34,2,FALSE)),IF(ISNA(VLOOKUP(B12,'Regioturnier 3'!$J$3:$K$34,2,FALSE))=TRUE,0,VLOOKUP(B12,'Regioturnier 3'!$J$3:$K$34,2,FALSE)),IF(ISNA(VLOOKUP(B12,'Regioturnier 3'!$N$3:$O$34,2,FALSE))=TRUE,0,VLOOKUP(B12,'Regioturnier 3'!$N$3:$O$34,2,FALSE)),IF(ISNA(VLOOKUP(B12,'Regioturnier 3'!$R$3:$S$34,2,FALSE))=TRUE,0,VLOOKUP(B12,'Regioturnier 3'!$R$3:$S$34,2,FALSE)), IF(ISNA(VLOOKUP(B12,'Regioturnier 3'!$V$3:$W$34,2,FALSE))=TRUE,0,VLOOKUP(B12,'Regioturnier 3'!$V$3:$W$34,2,FALSE)), IF(ISNA(VLOOKUP(B12,'Regioturnier 3'!$Z$3:$AA$34,2,FALSE))=TRUE,0,VLOOKUP(B12,'Regioturnier 3'!$Z$3:$AA$34,2,FALSE)))</f>
        <v>0</v>
      </c>
      <c r="R12" s="20">
        <f>0.5*INDEX($H12:$N12,MATCH(LARGE($H12:$N12,1),$H12:$N12,0))+0.3*INDEX($H12:$N12,MATCH(LARGE($H12:$N12,2),$H12:$N12,0))+0.2*INDEX($H12:$N12,MATCH(LARGE($H12:$N12,3),$H12:$N12,0))</f>
        <v>190.6</v>
      </c>
      <c r="S12" s="20">
        <f>0.6*INDEX(O12:Q12,MATCH(LARGE(O12:Q12,1),O12:Q12,0))+0.4*INDEX(O12:Q12,MATCH(LARGE(O12:Q12,2),O12:Q12,0))+0*INDEX(O12:Q12,MATCH(LARGE(O12:Q12,3),O12:Q12,0))</f>
        <v>193.39999999999998</v>
      </c>
      <c r="T12" s="15">
        <f>1*INDEX(R12:S12,MATCH(LARGE(R12:S12,1),R12:S12,0))+0*INDEX(R12:S12,MATCH(LARGE(R12:S12,2),R12:S12,0))</f>
        <v>193.39999999999998</v>
      </c>
      <c r="U12" s="21"/>
      <c r="V12" s="21"/>
      <c r="W12" s="21"/>
      <c r="X12" s="21"/>
      <c r="Y12" s="21"/>
      <c r="Z12" s="21"/>
    </row>
    <row r="13" spans="1:26" ht="12.75" customHeight="1" x14ac:dyDescent="0.3">
      <c r="A13" s="15">
        <v>12</v>
      </c>
      <c r="B13" s="16" t="s">
        <v>66</v>
      </c>
      <c r="C13" s="17" t="s">
        <v>31</v>
      </c>
      <c r="D13" s="15" t="s">
        <v>26</v>
      </c>
      <c r="E13" s="18" t="s">
        <v>40</v>
      </c>
      <c r="F13" s="15">
        <v>110747</v>
      </c>
      <c r="G13" s="22">
        <v>2011</v>
      </c>
      <c r="H13" s="15">
        <f>MAX(IF(ISNA(VLOOKUP(B13,'WBV 1'!$B$3:$C$34,2,FALSE))=TRUE,0,VLOOKUP(B13,'WBV 1'!$B$3:$C$34,2,FALSE)),IF(ISNA(VLOOKUP(B13,'WBV 1'!$F$3:$G$34,2,FALSE))=TRUE,0,VLOOKUP(B13,'WBV 1'!$F$3:$G$34,2,FALSE)),IF(ISNA(VLOOKUP(B13,'WBV 1'!$J$3:$K$34,2,FALSE))=TRUE,0,VLOOKUP(B13,'WBV 1'!$J$3:$K$34,2,FALSE)),IF(ISNA(VLOOKUP(B13,'WBV 1'!$N$3:$O$34,2,FALSE))=TRUE,0,VLOOKUP(B13,'WBV 1'!$N$3:$O$34,2,FALSE)))</f>
        <v>181</v>
      </c>
      <c r="I13" s="15">
        <f>MAX(IF(ISNA(VLOOKUP(B13,'WBV 2'!$B$3:$C$34,2,FALSE))=TRUE,0,VLOOKUP(B13,'WBV 2'!$B$3:$C$34,2,FALSE)),IF(ISNA(VLOOKUP(B13,'WBV 2'!$F$3:$G$34,2,FALSE))=TRUE,0,VLOOKUP(B13,'WBV 2'!$F$3:$G$34,2,FALSE)),IF(ISNA(VLOOKUP(B13,'WBV 2'!$J$3:$K$34,2,FALSE))=TRUE,0,VLOOKUP(B13,'WBV 2'!$J$3:$K$34,2,FALSE)),IF(ISNA(VLOOKUP(B13,'WBV 2'!$N$3:$O$34,2,FALSE))=TRUE,0,VLOOKUP(B13,'WBV 2'!$N$3:$O$34,2,FALSE)))</f>
        <v>192</v>
      </c>
      <c r="J13" s="15">
        <f>MAX(IF(ISNA(VLOOKUP(B13,'WBV 3'!$B$3:$C$34,2,FALSE))=TRUE,0,VLOOKUP(B13,'WBV 3'!$B$3:$C$34,2,FALSE)),IF(ISNA(VLOOKUP(B13,'WBV 3'!$F$3:$G$34,2,FALSE))=TRUE,0,VLOOKUP(B13,'WBV 3'!$F$3:$G$34,2,FALSE)),IF(ISNA(VLOOKUP(B13,'WBV 3'!$J$3:$K$34,2,FALSE))=TRUE,0,VLOOKUP(B13,'WBV 3'!$J$3:$K$34,2,FALSE)),IF(ISNA(VLOOKUP(B13,'WBV 3'!$N$3:$O$34,2,FALSE))=TRUE,0,VLOOKUP(B13,'WBV 3'!$N$3:$O$34,2,FALSE)))</f>
        <v>0</v>
      </c>
      <c r="K13" s="15">
        <f>MAX(IF(ISNA(VLOOKUP(B13,'WBV 4'!$B$3:$C$34,2,FALSE))=TRUE,0,VLOOKUP(B13,'WBV 4'!$B$3:$C$34,2,FALSE)),IF(ISNA(VLOOKUP(B13,'WBV 4'!$F$3:$G$34,2,FALSE))=TRUE,0,VLOOKUP(B13,'WBV 4'!$F$3:$G$34,2,FALSE)),IF(ISNA(VLOOKUP(B13,'WBV 4'!$J$3:$K$34,2,FALSE))=TRUE,0,VLOOKUP(B13,'WBV 4'!$J$3:$K$34,2,FALSE)),IF(ISNA(VLOOKUP(B13,'WBV 4'!$N$3:$O$34,2,FALSE))=TRUE,0,VLOOKUP(B13,'WBV 4'!$N$3:$O$34,2,FALSE)))</f>
        <v>0</v>
      </c>
      <c r="L13" s="19">
        <f>MAX(IF(ISNA(VLOOKUP(B13,'NÖBV 1'!$B$3:$C$34,2,FALSE))=TRUE,0,VLOOKUP(B13,'NÖBV 1'!$B$3:$C$34,2,FALSE)),IF(ISNA(VLOOKUP(B13,'NÖBV 1'!$F$3:$G$34,2,FALSE))=TRUE,0,VLOOKUP(B13,'NÖBV 1'!$F$3:$G$34,2,FALSE)),IF(ISNA(VLOOKUP(B13,'NÖBV 1'!$J$3:$K$34,2,FALSE))=TRUE,0,VLOOKUP(B13,'NÖBV 1'!$J$3:$K$34,2,FALSE)),IF(ISNA(VLOOKUP(B13,'NÖBV 1'!$N$3:$O$34,2,FALSE))=TRUE,0,VLOOKUP(B13,'NÖBV 1'!$N$3:$O$34,2,FALSE)))</f>
        <v>0</v>
      </c>
      <c r="M13" s="19">
        <f>MAX(IF(ISNA(VLOOKUP(B13,'NÖBV 2'!$B$3:$C$34,2,FALSE))=TRUE,0,VLOOKUP(B13,'NÖBV 2'!$B$3:$C$34,2,FALSE)),IF(ISNA(VLOOKUP(B13,'NÖBV 2'!$F$3:$G$34,2,FALSE))=TRUE,0,VLOOKUP(B13,'NÖBV 2'!$F$3:$G$34,2,FALSE)),IF(ISNA(VLOOKUP(B13,'NÖBV 2'!$J$3:$K$34,2,FALSE))=TRUE,0,VLOOKUP(B13,'NÖBV 2'!$J$3:$K$34,2,FALSE)),IF(ISNA(VLOOKUP(B13,'NÖBV 2'!$N$3:$O$34,2,FALSE))=TRUE,0,VLOOKUP(B13,'NÖBV 2'!$N$3:$O$34,2,FALSE)))</f>
        <v>0</v>
      </c>
      <c r="N13" s="19">
        <f>MAX(IF(ISNA(VLOOKUP(B13,'NÖBV 3'!$B$3:$C$34,2,FALSE))=TRUE,0,VLOOKUP(B13,'NÖBV 3'!$B$3:$C$34,2,FALSE)),IF(ISNA(VLOOKUP(B13,'NÖBV 3'!$F$3:$G$34,2,FALSE))=TRUE,0,VLOOKUP(B13,'NÖBV 3'!$F$3:$G$34,2,FALSE)),IF(ISNA(VLOOKUP(B13,'NÖBV 3'!$J$3:$K$34,2,FALSE))=TRUE,0,VLOOKUP(B13,'NÖBV 3'!$J$3:$K$34,2,FALSE)),IF(ISNA(VLOOKUP(B13,'NÖBV 3'!$N$3:$O$34,2,FALSE))=TRUE,0,VLOOKUP(B13,'NÖBV 3'!$N$3:$O$34,2,FALSE)))</f>
        <v>0</v>
      </c>
      <c r="O13" s="15">
        <f>MAX(IF(ISNA(VLOOKUP(B13,'Regioturnier 1'!$B$3:$C$34,2,FALSE))=TRUE,0,VLOOKUP(B13,'Regioturnier 1'!$B$3:$C$34,2,FALSE)),IF(ISNA(VLOOKUP(B13,'Regioturnier 1'!$F$3:$G$34,2,FALSE))=TRUE,0,VLOOKUP(B13,'Regioturnier 1'!$F$3:$G$34,2,FALSE)),IF(ISNA(VLOOKUP(B13,'Regioturnier 1'!$J$3:$K$34,2,FALSE))=TRUE,0,VLOOKUP(B13,'Regioturnier 1'!$J$3:$K$34,2,FALSE)),IF(ISNA(VLOOKUP(B13,'Regioturnier 1'!$N$3:$O$34,2,FALSE))=TRUE,0,VLOOKUP(B13,'Regioturnier 1'!$N$3:$O$34,2,FALSE)),IF(ISNA(VLOOKUP(B13,'Regioturnier 1'!$R$3:$S$34,2,FALSE))=TRUE,0,VLOOKUP(B13,'Regioturnier 1'!$R$3:$S$34,2,FALSE)), IF(ISNA(VLOOKUP(B13,'Regioturnier 1'!$V$3:$W$34,2,FALSE))=TRUE,0,VLOOKUP(B13,'Regioturnier 1'!$V$3:$W$34,2,FALSE)), IF(ISNA(VLOOKUP(B13,'Regioturnier 1'!$Z$3:$AA$34,2,FALSE))=TRUE,0,VLOOKUP(B13,'Regioturnier 1'!$Z$3:$AA$34,2,FALSE)))</f>
        <v>195</v>
      </c>
      <c r="P13" s="15">
        <f>MAX(IF(ISNA(VLOOKUP(B13,'Regioturnier 2'!$B$3:$C$34,2,FALSE))=TRUE,0,VLOOKUP(B13,'Regioturnier 2'!$B$3:$C$34,2,FALSE)),IF(ISNA(VLOOKUP(B13,'Regioturnier 2'!$F$3:$G$34,2,FALSE))=TRUE,0,VLOOKUP(B13,'Regioturnier 2'!$F$3:$G$34,2,FALSE)),IF(ISNA(VLOOKUP(B13,'Regioturnier 2'!$J$3:$K$34,2,FALSE))=TRUE,0,VLOOKUP(B13,'Regioturnier 2'!$J$3:$K$34,2,FALSE)),IF(ISNA(VLOOKUP(B13,'Regioturnier 2'!$N$3:$O$34,2,FALSE))=TRUE,0,VLOOKUP(B13,'Regioturnier 2'!$N$3:$O$34,2,FALSE)),IF(ISNA(VLOOKUP(B13,'Regioturnier 2'!$R$3:$S$34,2,FALSE))=TRUE,0,VLOOKUP(B13,'Regioturnier 2'!$R$3:$S$34,2,FALSE)), IF(ISNA(VLOOKUP(B13,'Regioturnier 2'!$V$3:$W$34,2,FALSE))=TRUE,0,VLOOKUP(B13,'Regioturnier 2'!$V$3:$W$34,2,FALSE)), IF(ISNA(VLOOKUP(B13,'Regioturnier 2'!$Z$3:$AA$34,2,FALSE))=TRUE,0,VLOOKUP(B13,'Regioturnier 2'!$Z$3:$AA$34,2,FALSE)))</f>
        <v>190</v>
      </c>
      <c r="Q13" s="15">
        <f>MAX(IF(ISNA(VLOOKUP(B13,'Regioturnier 3'!$B$3:$C$34,2,FALSE))=TRUE,0,VLOOKUP(B13,'Regioturnier 3'!$B$3:$C$34,2,FALSE)),IF(ISNA(VLOOKUP(B13,'Regioturnier 3'!$F$3:$G$34,2,FALSE))=TRUE,0,VLOOKUP(B13,'Regioturnier 3'!$F$3:$G$34,2,FALSE)),IF(ISNA(VLOOKUP(B13,'Regioturnier 3'!$J$3:$K$34,2,FALSE))=TRUE,0,VLOOKUP(B13,'Regioturnier 3'!$J$3:$K$34,2,FALSE)),IF(ISNA(VLOOKUP(B13,'Regioturnier 3'!$N$3:$O$34,2,FALSE))=TRUE,0,VLOOKUP(B13,'Regioturnier 3'!$N$3:$O$34,2,FALSE)),IF(ISNA(VLOOKUP(B13,'Regioturnier 3'!$R$3:$S$34,2,FALSE))=TRUE,0,VLOOKUP(B13,'Regioturnier 3'!$R$3:$S$34,2,FALSE)), IF(ISNA(VLOOKUP(B13,'Regioturnier 3'!$V$3:$W$34,2,FALSE))=TRUE,0,VLOOKUP(B13,'Regioturnier 3'!$V$3:$W$34,2,FALSE)), IF(ISNA(VLOOKUP(B13,'Regioturnier 3'!$Z$3:$AA$34,2,FALSE))=TRUE,0,VLOOKUP(B13,'Regioturnier 3'!$Z$3:$AA$34,2,FALSE)))</f>
        <v>0</v>
      </c>
      <c r="R13" s="20">
        <f>0.5*INDEX($H13:$N13,MATCH(LARGE($H13:$N13,1),$H13:$N13,0))+0.3*INDEX($H13:$N13,MATCH(LARGE($H13:$N13,2),$H13:$N13,0))+0.2*INDEX($H13:$N13,MATCH(LARGE($H13:$N13,3),$H13:$N13,0))</f>
        <v>150.30000000000001</v>
      </c>
      <c r="S13" s="20">
        <f>0.6*INDEX(O13:Q13,MATCH(LARGE(O13:Q13,1),O13:Q13,0))+0.4*INDEX(O13:Q13,MATCH(LARGE(O13:Q13,2),O13:Q13,0))+0*INDEX(O13:Q13,MATCH(LARGE(O13:Q13,3),O13:Q13,0))</f>
        <v>193</v>
      </c>
      <c r="T13" s="15">
        <f>1*INDEX(R13:S13,MATCH(LARGE(R13:S13,1),R13:S13,0))+0*INDEX(R13:S13,MATCH(LARGE(R13:S13,2),R13:S13,0))</f>
        <v>193</v>
      </c>
      <c r="U13" s="21"/>
      <c r="V13" s="21"/>
      <c r="W13" s="21"/>
      <c r="X13" s="21"/>
      <c r="Y13" s="21"/>
      <c r="Z13" s="21"/>
    </row>
    <row r="14" spans="1:26" ht="12.75" customHeight="1" x14ac:dyDescent="0.3">
      <c r="A14" s="15">
        <v>13</v>
      </c>
      <c r="B14" s="16" t="s">
        <v>295</v>
      </c>
      <c r="C14" s="17" t="s">
        <v>46</v>
      </c>
      <c r="D14" s="15" t="s">
        <v>26</v>
      </c>
      <c r="E14" s="18" t="s">
        <v>40</v>
      </c>
      <c r="F14" s="15" t="s">
        <v>296</v>
      </c>
      <c r="G14" s="22">
        <v>2009</v>
      </c>
      <c r="H14" s="15">
        <f>MAX(IF(ISNA(VLOOKUP(B14,'WBV 1'!$B$3:$C$34,2,FALSE))=TRUE,0,VLOOKUP(B14,'WBV 1'!$B$3:$C$34,2,FALSE)),IF(ISNA(VLOOKUP(B14,'WBV 1'!$F$3:$G$34,2,FALSE))=TRUE,0,VLOOKUP(B14,'WBV 1'!$F$3:$G$34,2,FALSE)),IF(ISNA(VLOOKUP(B14,'WBV 1'!$J$3:$K$34,2,FALSE))=TRUE,0,VLOOKUP(B14,'WBV 1'!$J$3:$K$34,2,FALSE)),IF(ISNA(VLOOKUP(B14,'WBV 1'!$N$3:$O$34,2,FALSE))=TRUE,0,VLOOKUP(B14,'WBV 1'!$N$3:$O$34,2,FALSE)))</f>
        <v>187</v>
      </c>
      <c r="I14" s="15">
        <f>MAX(IF(ISNA(VLOOKUP(B14,'WBV 2'!$B$3:$C$34,2,FALSE))=TRUE,0,VLOOKUP(B14,'WBV 2'!$B$3:$C$34,2,FALSE)),IF(ISNA(VLOOKUP(B14,'WBV 2'!$F$3:$G$34,2,FALSE))=TRUE,0,VLOOKUP(B14,'WBV 2'!$F$3:$G$34,2,FALSE)),IF(ISNA(VLOOKUP(B14,'WBV 2'!$J$3:$K$34,2,FALSE))=TRUE,0,VLOOKUP(B14,'WBV 2'!$J$3:$K$34,2,FALSE)),IF(ISNA(VLOOKUP(B14,'WBV 2'!$N$3:$O$34,2,FALSE))=TRUE,0,VLOOKUP(B14,'WBV 2'!$N$3:$O$34,2,FALSE)))</f>
        <v>189</v>
      </c>
      <c r="J14" s="15">
        <f>MAX(IF(ISNA(VLOOKUP(B14,'WBV 3'!$B$3:$C$34,2,FALSE))=TRUE,0,VLOOKUP(B14,'WBV 3'!$B$3:$C$34,2,FALSE)),IF(ISNA(VLOOKUP(B14,'WBV 3'!$F$3:$G$34,2,FALSE))=TRUE,0,VLOOKUP(B14,'WBV 3'!$F$3:$G$34,2,FALSE)),IF(ISNA(VLOOKUP(B14,'WBV 3'!$J$3:$K$34,2,FALSE))=TRUE,0,VLOOKUP(B14,'WBV 3'!$J$3:$K$34,2,FALSE)),IF(ISNA(VLOOKUP(B14,'WBV 3'!$N$3:$O$34,2,FALSE))=TRUE,0,VLOOKUP(B14,'WBV 3'!$N$3:$O$34,2,FALSE)))</f>
        <v>194</v>
      </c>
      <c r="K14" s="15">
        <f>MAX(IF(ISNA(VLOOKUP(B14,'WBV 4'!$B$3:$C$34,2,FALSE))=TRUE,0,VLOOKUP(B14,'WBV 4'!$B$3:$C$34,2,FALSE)),IF(ISNA(VLOOKUP(B14,'WBV 4'!$F$3:$G$34,2,FALSE))=TRUE,0,VLOOKUP(B14,'WBV 4'!$F$3:$G$34,2,FALSE)),IF(ISNA(VLOOKUP(B14,'WBV 4'!$J$3:$K$34,2,FALSE))=TRUE,0,VLOOKUP(B14,'WBV 4'!$J$3:$K$34,2,FALSE)),IF(ISNA(VLOOKUP(B14,'WBV 4'!$N$3:$O$34,2,FALSE))=TRUE,0,VLOOKUP(B14,'WBV 4'!$N$3:$O$34,2,FALSE)))</f>
        <v>0</v>
      </c>
      <c r="L14" s="19">
        <f>MAX(IF(ISNA(VLOOKUP(B14,'NÖBV 1'!$B$3:$C$34,2,FALSE))=TRUE,0,VLOOKUP(B14,'NÖBV 1'!$B$3:$C$34,2,FALSE)),IF(ISNA(VLOOKUP(B14,'NÖBV 1'!$F$3:$G$34,2,FALSE))=TRUE,0,VLOOKUP(B14,'NÖBV 1'!$F$3:$G$34,2,FALSE)),IF(ISNA(VLOOKUP(B14,'NÖBV 1'!$J$3:$K$34,2,FALSE))=TRUE,0,VLOOKUP(B14,'NÖBV 1'!$J$3:$K$34,2,FALSE)),IF(ISNA(VLOOKUP(B14,'NÖBV 1'!$N$3:$O$34,2,FALSE))=TRUE,0,VLOOKUP(B14,'NÖBV 1'!$N$3:$O$34,2,FALSE)))</f>
        <v>0</v>
      </c>
      <c r="M14" s="19">
        <f>MAX(IF(ISNA(VLOOKUP(B14,'NÖBV 2'!$B$3:$C$34,2,FALSE))=TRUE,0,VLOOKUP(B14,'NÖBV 2'!$B$3:$C$34,2,FALSE)),IF(ISNA(VLOOKUP(B14,'NÖBV 2'!$F$3:$G$34,2,FALSE))=TRUE,0,VLOOKUP(B14,'NÖBV 2'!$F$3:$G$34,2,FALSE)),IF(ISNA(VLOOKUP(B14,'NÖBV 2'!$J$3:$K$34,2,FALSE))=TRUE,0,VLOOKUP(B14,'NÖBV 2'!$J$3:$K$34,2,FALSE)),IF(ISNA(VLOOKUP(B14,'NÖBV 2'!$N$3:$O$34,2,FALSE))=TRUE,0,VLOOKUP(B14,'NÖBV 2'!$N$3:$O$34,2,FALSE)))</f>
        <v>0</v>
      </c>
      <c r="N14" s="19">
        <f>MAX(IF(ISNA(VLOOKUP(B14,'NÖBV 3'!$B$3:$C$34,2,FALSE))=TRUE,0,VLOOKUP(B14,'NÖBV 3'!$B$3:$C$34,2,FALSE)),IF(ISNA(VLOOKUP(B14,'NÖBV 3'!$F$3:$G$34,2,FALSE))=TRUE,0,VLOOKUP(B14,'NÖBV 3'!$F$3:$G$34,2,FALSE)),IF(ISNA(VLOOKUP(B14,'NÖBV 3'!$J$3:$K$34,2,FALSE))=TRUE,0,VLOOKUP(B14,'NÖBV 3'!$J$3:$K$34,2,FALSE)),IF(ISNA(VLOOKUP(B14,'NÖBV 3'!$N$3:$O$34,2,FALSE))=TRUE,0,VLOOKUP(B14,'NÖBV 3'!$N$3:$O$34,2,FALSE)))</f>
        <v>0</v>
      </c>
      <c r="O14" s="15">
        <f>MAX(IF(ISNA(VLOOKUP(B14,'Regioturnier 1'!$B$3:$C$34,2,FALSE))=TRUE,0,VLOOKUP(B14,'Regioturnier 1'!$B$3:$C$34,2,FALSE)),IF(ISNA(VLOOKUP(B14,'Regioturnier 1'!$F$3:$G$34,2,FALSE))=TRUE,0,VLOOKUP(B14,'Regioturnier 1'!$F$3:$G$34,2,FALSE)),IF(ISNA(VLOOKUP(B14,'Regioturnier 1'!$J$3:$K$34,2,FALSE))=TRUE,0,VLOOKUP(B14,'Regioturnier 1'!$J$3:$K$34,2,FALSE)),IF(ISNA(VLOOKUP(B14,'Regioturnier 1'!$N$3:$O$34,2,FALSE))=TRUE,0,VLOOKUP(B14,'Regioturnier 1'!$N$3:$O$34,2,FALSE)),IF(ISNA(VLOOKUP(B14,'Regioturnier 1'!$R$3:$S$34,2,FALSE))=TRUE,0,VLOOKUP(B14,'Regioturnier 1'!$R$3:$S$34,2,FALSE)), IF(ISNA(VLOOKUP(B14,'Regioturnier 1'!$V$3:$W$34,2,FALSE))=TRUE,0,VLOOKUP(B14,'Regioturnier 1'!$V$3:$W$34,2,FALSE)), IF(ISNA(VLOOKUP(B14,'Regioturnier 1'!$Z$3:$AA$34,2,FALSE))=TRUE,0,VLOOKUP(B14,'Regioturnier 1'!$Z$3:$AA$34,2,FALSE)))</f>
        <v>185</v>
      </c>
      <c r="P14" s="15">
        <f>MAX(IF(ISNA(VLOOKUP(B14,'Regioturnier 2'!$B$3:$C$34,2,FALSE))=TRUE,0,VLOOKUP(B14,'Regioturnier 2'!$B$3:$C$34,2,FALSE)),IF(ISNA(VLOOKUP(B14,'Regioturnier 2'!$F$3:$G$34,2,FALSE))=TRUE,0,VLOOKUP(B14,'Regioturnier 2'!$F$3:$G$34,2,FALSE)),IF(ISNA(VLOOKUP(B14,'Regioturnier 2'!$J$3:$K$34,2,FALSE))=TRUE,0,VLOOKUP(B14,'Regioturnier 2'!$J$3:$K$34,2,FALSE)),IF(ISNA(VLOOKUP(B14,'Regioturnier 2'!$N$3:$O$34,2,FALSE))=TRUE,0,VLOOKUP(B14,'Regioturnier 2'!$N$3:$O$34,2,FALSE)),IF(ISNA(VLOOKUP(B14,'Regioturnier 2'!$R$3:$S$34,2,FALSE))=TRUE,0,VLOOKUP(B14,'Regioturnier 2'!$R$3:$S$34,2,FALSE)), IF(ISNA(VLOOKUP(B14,'Regioturnier 2'!$V$3:$W$34,2,FALSE))=TRUE,0,VLOOKUP(B14,'Regioturnier 2'!$V$3:$W$34,2,FALSE)), IF(ISNA(VLOOKUP(B14,'Regioturnier 2'!$Z$3:$AA$34,2,FALSE))=TRUE,0,VLOOKUP(B14,'Regioturnier 2'!$Z$3:$AA$34,2,FALSE)))</f>
        <v>0</v>
      </c>
      <c r="Q14" s="15">
        <f>MAX(IF(ISNA(VLOOKUP(B14,'Regioturnier 3'!$B$3:$C$34,2,FALSE))=TRUE,0,VLOOKUP(B14,'Regioturnier 3'!$B$3:$C$34,2,FALSE)),IF(ISNA(VLOOKUP(B14,'Regioturnier 3'!$F$3:$G$34,2,FALSE))=TRUE,0,VLOOKUP(B14,'Regioturnier 3'!$F$3:$G$34,2,FALSE)),IF(ISNA(VLOOKUP(B14,'Regioturnier 3'!$J$3:$K$34,2,FALSE))=TRUE,0,VLOOKUP(B14,'Regioturnier 3'!$J$3:$K$34,2,FALSE)),IF(ISNA(VLOOKUP(B14,'Regioturnier 3'!$N$3:$O$34,2,FALSE))=TRUE,0,VLOOKUP(B14,'Regioturnier 3'!$N$3:$O$34,2,FALSE)),IF(ISNA(VLOOKUP(B14,'Regioturnier 3'!$R$3:$S$34,2,FALSE))=TRUE,0,VLOOKUP(B14,'Regioturnier 3'!$R$3:$S$34,2,FALSE)), IF(ISNA(VLOOKUP(B14,'Regioturnier 3'!$V$3:$W$34,2,FALSE))=TRUE,0,VLOOKUP(B14,'Regioturnier 3'!$V$3:$W$34,2,FALSE)), IF(ISNA(VLOOKUP(B14,'Regioturnier 3'!$Z$3:$AA$34,2,FALSE))=TRUE,0,VLOOKUP(B14,'Regioturnier 3'!$Z$3:$AA$34,2,FALSE)))</f>
        <v>0</v>
      </c>
      <c r="R14" s="20">
        <f>0.5*INDEX($H14:$N14,MATCH(LARGE($H14:$N14,1),$H14:$N14,0))+0.3*INDEX($H14:$N14,MATCH(LARGE($H14:$N14,2),$H14:$N14,0))+0.2*INDEX($H14:$N14,MATCH(LARGE($H14:$N14,3),$H14:$N14,0))</f>
        <v>191.1</v>
      </c>
      <c r="S14" s="20">
        <f>0.6*INDEX(O14:Q14,MATCH(LARGE(O14:Q14,1),O14:Q14,0))+0.4*INDEX(O14:Q14,MATCH(LARGE(O14:Q14,2),O14:Q14,0))+0*INDEX(O14:Q14,MATCH(LARGE(O14:Q14,3),O14:Q14,0))</f>
        <v>111</v>
      </c>
      <c r="T14" s="15">
        <f>1*INDEX(R14:S14,MATCH(LARGE(R14:S14,1),R14:S14,0))+0*INDEX(R14:S14,MATCH(LARGE(R14:S14,2),R14:S14,0))</f>
        <v>191.1</v>
      </c>
      <c r="U14" s="21"/>
      <c r="V14" s="21"/>
      <c r="W14" s="21"/>
      <c r="X14" s="21"/>
      <c r="Y14" s="21"/>
      <c r="Z14" s="21"/>
    </row>
    <row r="15" spans="1:26" ht="12.75" customHeight="1" x14ac:dyDescent="0.3">
      <c r="A15" s="15">
        <v>14</v>
      </c>
      <c r="B15" s="16" t="s">
        <v>59</v>
      </c>
      <c r="C15" s="17" t="s">
        <v>25</v>
      </c>
      <c r="D15" s="15" t="s">
        <v>26</v>
      </c>
      <c r="E15" s="18" t="s">
        <v>40</v>
      </c>
      <c r="F15" s="15">
        <v>109268</v>
      </c>
      <c r="G15" s="22">
        <v>2011</v>
      </c>
      <c r="H15" s="15">
        <f>MAX(IF(ISNA(VLOOKUP(B15,'WBV 1'!$B$3:$C$34,2,FALSE))=TRUE,0,VLOOKUP(B15,'WBV 1'!$B$3:$C$34,2,FALSE)),IF(ISNA(VLOOKUP(B15,'WBV 1'!$F$3:$G$34,2,FALSE))=TRUE,0,VLOOKUP(B15,'WBV 1'!$F$3:$G$34,2,FALSE)),IF(ISNA(VLOOKUP(B15,'WBV 1'!$J$3:$K$34,2,FALSE))=TRUE,0,VLOOKUP(B15,'WBV 1'!$J$3:$K$34,2,FALSE)),IF(ISNA(VLOOKUP(B15,'WBV 1'!$N$3:$O$34,2,FALSE))=TRUE,0,VLOOKUP(B15,'WBV 1'!$N$3:$O$34,2,FALSE)))</f>
        <v>0</v>
      </c>
      <c r="I15" s="15">
        <f>MAX(IF(ISNA(VLOOKUP(B15,'WBV 2'!$B$3:$C$34,2,FALSE))=TRUE,0,VLOOKUP(B15,'WBV 2'!$B$3:$C$34,2,FALSE)),IF(ISNA(VLOOKUP(B15,'WBV 2'!$F$3:$G$34,2,FALSE))=TRUE,0,VLOOKUP(B15,'WBV 2'!$F$3:$G$34,2,FALSE)),IF(ISNA(VLOOKUP(B15,'WBV 2'!$J$3:$K$34,2,FALSE))=TRUE,0,VLOOKUP(B15,'WBV 2'!$J$3:$K$34,2,FALSE)),IF(ISNA(VLOOKUP(B15,'WBV 2'!$N$3:$O$34,2,FALSE))=TRUE,0,VLOOKUP(B15,'WBV 2'!$N$3:$O$34,2,FALSE)))</f>
        <v>177</v>
      </c>
      <c r="J15" s="15">
        <f>MAX(IF(ISNA(VLOOKUP(B15,'WBV 3'!$B$3:$C$34,2,FALSE))=TRUE,0,VLOOKUP(B15,'WBV 3'!$B$3:$C$34,2,FALSE)),IF(ISNA(VLOOKUP(B15,'WBV 3'!$F$3:$G$34,2,FALSE))=TRUE,0,VLOOKUP(B15,'WBV 3'!$F$3:$G$34,2,FALSE)),IF(ISNA(VLOOKUP(B15,'WBV 3'!$J$3:$K$34,2,FALSE))=TRUE,0,VLOOKUP(B15,'WBV 3'!$J$3:$K$34,2,FALSE)),IF(ISNA(VLOOKUP(B15,'WBV 3'!$N$3:$O$34,2,FALSE))=TRUE,0,VLOOKUP(B15,'WBV 3'!$N$3:$O$34,2,FALSE)))</f>
        <v>0</v>
      </c>
      <c r="K15" s="15">
        <f>MAX(IF(ISNA(VLOOKUP(B15,'WBV 4'!$B$3:$C$34,2,FALSE))=TRUE,0,VLOOKUP(B15,'WBV 4'!$B$3:$C$34,2,FALSE)),IF(ISNA(VLOOKUP(B15,'WBV 4'!$F$3:$G$34,2,FALSE))=TRUE,0,VLOOKUP(B15,'WBV 4'!$F$3:$G$34,2,FALSE)),IF(ISNA(VLOOKUP(B15,'WBV 4'!$J$3:$K$34,2,FALSE))=TRUE,0,VLOOKUP(B15,'WBV 4'!$J$3:$K$34,2,FALSE)),IF(ISNA(VLOOKUP(B15,'WBV 4'!$N$3:$O$34,2,FALSE))=TRUE,0,VLOOKUP(B15,'WBV 4'!$N$3:$O$34,2,FALSE)))</f>
        <v>0</v>
      </c>
      <c r="L15" s="19">
        <f>MAX(IF(ISNA(VLOOKUP(B15,'NÖBV 1'!$B$3:$C$34,2,FALSE))=TRUE,0,VLOOKUP(B15,'NÖBV 1'!$B$3:$C$34,2,FALSE)),IF(ISNA(VLOOKUP(B15,'NÖBV 1'!$F$3:$G$34,2,FALSE))=TRUE,0,VLOOKUP(B15,'NÖBV 1'!$F$3:$G$34,2,FALSE)),IF(ISNA(VLOOKUP(B15,'NÖBV 1'!$J$3:$K$34,2,FALSE))=TRUE,0,VLOOKUP(B15,'NÖBV 1'!$J$3:$K$34,2,FALSE)),IF(ISNA(VLOOKUP(B15,'NÖBV 1'!$N$3:$O$34,2,FALSE))=TRUE,0,VLOOKUP(B15,'NÖBV 1'!$N$3:$O$34,2,FALSE)))</f>
        <v>0</v>
      </c>
      <c r="M15" s="19">
        <f>MAX(IF(ISNA(VLOOKUP(B15,'NÖBV 2'!$B$3:$C$34,2,FALSE))=TRUE,0,VLOOKUP(B15,'NÖBV 2'!$B$3:$C$34,2,FALSE)),IF(ISNA(VLOOKUP(B15,'NÖBV 2'!$F$3:$G$34,2,FALSE))=TRUE,0,VLOOKUP(B15,'NÖBV 2'!$F$3:$G$34,2,FALSE)),IF(ISNA(VLOOKUP(B15,'NÖBV 2'!$J$3:$K$34,2,FALSE))=TRUE,0,VLOOKUP(B15,'NÖBV 2'!$J$3:$K$34,2,FALSE)),IF(ISNA(VLOOKUP(B15,'NÖBV 2'!$N$3:$O$34,2,FALSE))=TRUE,0,VLOOKUP(B15,'NÖBV 2'!$N$3:$O$34,2,FALSE)))</f>
        <v>0</v>
      </c>
      <c r="N15" s="19">
        <f>MAX(IF(ISNA(VLOOKUP(B15,'NÖBV 3'!$B$3:$C$34,2,FALSE))=TRUE,0,VLOOKUP(B15,'NÖBV 3'!$B$3:$C$34,2,FALSE)),IF(ISNA(VLOOKUP(B15,'NÖBV 3'!$F$3:$G$34,2,FALSE))=TRUE,0,VLOOKUP(B15,'NÖBV 3'!$F$3:$G$34,2,FALSE)),IF(ISNA(VLOOKUP(B15,'NÖBV 3'!$J$3:$K$34,2,FALSE))=TRUE,0,VLOOKUP(B15,'NÖBV 3'!$J$3:$K$34,2,FALSE)),IF(ISNA(VLOOKUP(B15,'NÖBV 3'!$N$3:$O$34,2,FALSE))=TRUE,0,VLOOKUP(B15,'NÖBV 3'!$N$3:$O$34,2,FALSE)))</f>
        <v>0</v>
      </c>
      <c r="O15" s="15">
        <f>MAX(IF(ISNA(VLOOKUP(B15,'Regioturnier 1'!$B$3:$C$34,2,FALSE))=TRUE,0,VLOOKUP(B15,'Regioturnier 1'!$B$3:$C$34,2,FALSE)),IF(ISNA(VLOOKUP(B15,'Regioturnier 1'!$F$3:$G$34,2,FALSE))=TRUE,0,VLOOKUP(B15,'Regioturnier 1'!$F$3:$G$34,2,FALSE)),IF(ISNA(VLOOKUP(B15,'Regioturnier 1'!$J$3:$K$34,2,FALSE))=TRUE,0,VLOOKUP(B15,'Regioturnier 1'!$J$3:$K$34,2,FALSE)),IF(ISNA(VLOOKUP(B15,'Regioturnier 1'!$N$3:$O$34,2,FALSE))=TRUE,0,VLOOKUP(B15,'Regioturnier 1'!$N$3:$O$34,2,FALSE)),IF(ISNA(VLOOKUP(B15,'Regioturnier 1'!$R$3:$S$34,2,FALSE))=TRUE,0,VLOOKUP(B15,'Regioturnier 1'!$R$3:$S$34,2,FALSE)), IF(ISNA(VLOOKUP(B15,'Regioturnier 1'!$V$3:$W$34,2,FALSE))=TRUE,0,VLOOKUP(B15,'Regioturnier 1'!$V$3:$W$34,2,FALSE)), IF(ISNA(VLOOKUP(B15,'Regioturnier 1'!$Z$3:$AA$34,2,FALSE))=TRUE,0,VLOOKUP(B15,'Regioturnier 1'!$Z$3:$AA$34,2,FALSE)))</f>
        <v>194</v>
      </c>
      <c r="P15" s="15">
        <f>MAX(IF(ISNA(VLOOKUP(B15,'Regioturnier 2'!$B$3:$C$34,2,FALSE))=TRUE,0,VLOOKUP(B15,'Regioturnier 2'!$B$3:$C$34,2,FALSE)),IF(ISNA(VLOOKUP(B15,'Regioturnier 2'!$F$3:$G$34,2,FALSE))=TRUE,0,VLOOKUP(B15,'Regioturnier 2'!$F$3:$G$34,2,FALSE)),IF(ISNA(VLOOKUP(B15,'Regioturnier 2'!$J$3:$K$34,2,FALSE))=TRUE,0,VLOOKUP(B15,'Regioturnier 2'!$J$3:$K$34,2,FALSE)),IF(ISNA(VLOOKUP(B15,'Regioturnier 2'!$N$3:$O$34,2,FALSE))=TRUE,0,VLOOKUP(B15,'Regioturnier 2'!$N$3:$O$34,2,FALSE)),IF(ISNA(VLOOKUP(B15,'Regioturnier 2'!$R$3:$S$34,2,FALSE))=TRUE,0,VLOOKUP(B15,'Regioturnier 2'!$R$3:$S$34,2,FALSE)), IF(ISNA(VLOOKUP(B15,'Regioturnier 2'!$V$3:$W$34,2,FALSE))=TRUE,0,VLOOKUP(B15,'Regioturnier 2'!$V$3:$W$34,2,FALSE)), IF(ISNA(VLOOKUP(B15,'Regioturnier 2'!$Z$3:$AA$34,2,FALSE))=TRUE,0,VLOOKUP(B15,'Regioturnier 2'!$Z$3:$AA$34,2,FALSE)))</f>
        <v>180</v>
      </c>
      <c r="Q15" s="15">
        <f>MAX(IF(ISNA(VLOOKUP(B15,'Regioturnier 3'!$B$3:$C$34,2,FALSE))=TRUE,0,VLOOKUP(B15,'Regioturnier 3'!$B$3:$C$34,2,FALSE)),IF(ISNA(VLOOKUP(B15,'Regioturnier 3'!$F$3:$G$34,2,FALSE))=TRUE,0,VLOOKUP(B15,'Regioturnier 3'!$F$3:$G$34,2,FALSE)),IF(ISNA(VLOOKUP(B15,'Regioturnier 3'!$J$3:$K$34,2,FALSE))=TRUE,0,VLOOKUP(B15,'Regioturnier 3'!$J$3:$K$34,2,FALSE)),IF(ISNA(VLOOKUP(B15,'Regioturnier 3'!$N$3:$O$34,2,FALSE))=TRUE,0,VLOOKUP(B15,'Regioturnier 3'!$N$3:$O$34,2,FALSE)),IF(ISNA(VLOOKUP(B15,'Regioturnier 3'!$R$3:$S$34,2,FALSE))=TRUE,0,VLOOKUP(B15,'Regioturnier 3'!$R$3:$S$34,2,FALSE)), IF(ISNA(VLOOKUP(B15,'Regioturnier 3'!$V$3:$W$34,2,FALSE))=TRUE,0,VLOOKUP(B15,'Regioturnier 3'!$V$3:$W$34,2,FALSE)), IF(ISNA(VLOOKUP(B15,'Regioturnier 3'!$Z$3:$AA$34,2,FALSE))=TRUE,0,VLOOKUP(B15,'Regioturnier 3'!$Z$3:$AA$34,2,FALSE)))</f>
        <v>0</v>
      </c>
      <c r="R15" s="20">
        <f>0.5*INDEX($H15:$N15,MATCH(LARGE($H15:$N15,1),$H15:$N15,0))+0.3*INDEX($H15:$N15,MATCH(LARGE($H15:$N15,2),$H15:$N15,0))+0.2*INDEX($H15:$N15,MATCH(LARGE($H15:$N15,3),$H15:$N15,0))</f>
        <v>88.5</v>
      </c>
      <c r="S15" s="20">
        <f>0.6*INDEX(O15:Q15,MATCH(LARGE(O15:Q15,1),O15:Q15,0))+0.4*INDEX(O15:Q15,MATCH(LARGE(O15:Q15,2),O15:Q15,0))+0*INDEX(O15:Q15,MATCH(LARGE(O15:Q15,3),O15:Q15,0))</f>
        <v>188.39999999999998</v>
      </c>
      <c r="T15" s="15">
        <f>1*INDEX(R15:S15,MATCH(LARGE(R15:S15,1),R15:S15,0))+0*INDEX(R15:S15,MATCH(LARGE(R15:S15,2),R15:S15,0))</f>
        <v>188.39999999999998</v>
      </c>
      <c r="U15" s="21"/>
      <c r="V15" s="21"/>
      <c r="W15" s="21"/>
      <c r="X15" s="21"/>
      <c r="Y15" s="21"/>
      <c r="Z15" s="21"/>
    </row>
    <row r="16" spans="1:26" ht="12.75" customHeight="1" x14ac:dyDescent="0.3">
      <c r="A16" s="15">
        <v>15</v>
      </c>
      <c r="B16" s="16" t="s">
        <v>139</v>
      </c>
      <c r="C16" s="17" t="s">
        <v>31</v>
      </c>
      <c r="D16" s="15" t="s">
        <v>26</v>
      </c>
      <c r="E16" s="18" t="s">
        <v>23</v>
      </c>
      <c r="F16" s="15">
        <v>110889</v>
      </c>
      <c r="G16" s="22">
        <v>2012</v>
      </c>
      <c r="H16" s="15">
        <f>MAX(IF(ISNA(VLOOKUP(B16,'WBV 1'!$B$3:$C$34,2,FALSE))=TRUE,0,VLOOKUP(B16,'WBV 1'!$B$3:$C$34,2,FALSE)),IF(ISNA(VLOOKUP(B16,'WBV 1'!$F$3:$G$34,2,FALSE))=TRUE,0,VLOOKUP(B16,'WBV 1'!$F$3:$G$34,2,FALSE)),IF(ISNA(VLOOKUP(B16,'WBV 1'!$J$3:$K$34,2,FALSE))=TRUE,0,VLOOKUP(B16,'WBV 1'!$J$3:$K$34,2,FALSE)),IF(ISNA(VLOOKUP(B16,'WBV 1'!$N$3:$O$34,2,FALSE))=TRUE,0,VLOOKUP(B16,'WBV 1'!$N$3:$O$34,2,FALSE)))</f>
        <v>184</v>
      </c>
      <c r="I16" s="15">
        <f>MAX(IF(ISNA(VLOOKUP(B16,'WBV 2'!$B$3:$C$34,2,FALSE))=TRUE,0,VLOOKUP(B16,'WBV 2'!$B$3:$C$34,2,FALSE)),IF(ISNA(VLOOKUP(B16,'WBV 2'!$F$3:$G$34,2,FALSE))=TRUE,0,VLOOKUP(B16,'WBV 2'!$F$3:$G$34,2,FALSE)),IF(ISNA(VLOOKUP(B16,'WBV 2'!$J$3:$K$34,2,FALSE))=TRUE,0,VLOOKUP(B16,'WBV 2'!$J$3:$K$34,2,FALSE)),IF(ISNA(VLOOKUP(B16,'WBV 2'!$N$3:$O$34,2,FALSE))=TRUE,0,VLOOKUP(B16,'WBV 2'!$N$3:$O$34,2,FALSE)))</f>
        <v>181</v>
      </c>
      <c r="J16" s="15">
        <f>MAX(IF(ISNA(VLOOKUP(B16,'WBV 3'!$B$3:$C$34,2,FALSE))=TRUE,0,VLOOKUP(B16,'WBV 3'!$B$3:$C$34,2,FALSE)),IF(ISNA(VLOOKUP(B16,'WBV 3'!$F$3:$G$34,2,FALSE))=TRUE,0,VLOOKUP(B16,'WBV 3'!$F$3:$G$34,2,FALSE)),IF(ISNA(VLOOKUP(B16,'WBV 3'!$J$3:$K$34,2,FALSE))=TRUE,0,VLOOKUP(B16,'WBV 3'!$J$3:$K$34,2,FALSE)),IF(ISNA(VLOOKUP(B16,'WBV 3'!$N$3:$O$34,2,FALSE))=TRUE,0,VLOOKUP(B16,'WBV 3'!$N$3:$O$34,2,FALSE)))</f>
        <v>192</v>
      </c>
      <c r="K16" s="15">
        <f>MAX(IF(ISNA(VLOOKUP(B16,'WBV 4'!$B$3:$C$34,2,FALSE))=TRUE,0,VLOOKUP(B16,'WBV 4'!$B$3:$C$34,2,FALSE)),IF(ISNA(VLOOKUP(B16,'WBV 4'!$F$3:$G$34,2,FALSE))=TRUE,0,VLOOKUP(B16,'WBV 4'!$F$3:$G$34,2,FALSE)),IF(ISNA(VLOOKUP(B16,'WBV 4'!$J$3:$K$34,2,FALSE))=TRUE,0,VLOOKUP(B16,'WBV 4'!$J$3:$K$34,2,FALSE)),IF(ISNA(VLOOKUP(B16,'WBV 4'!$N$3:$O$34,2,FALSE))=TRUE,0,VLOOKUP(B16,'WBV 4'!$N$3:$O$34,2,FALSE)))</f>
        <v>0</v>
      </c>
      <c r="L16" s="19">
        <f>MAX(IF(ISNA(VLOOKUP(B16,'NÖBV 1'!$B$3:$C$34,2,FALSE))=TRUE,0,VLOOKUP(B16,'NÖBV 1'!$B$3:$C$34,2,FALSE)),IF(ISNA(VLOOKUP(B16,'NÖBV 1'!$F$3:$G$34,2,FALSE))=TRUE,0,VLOOKUP(B16,'NÖBV 1'!$F$3:$G$34,2,FALSE)),IF(ISNA(VLOOKUP(B16,'NÖBV 1'!$J$3:$K$34,2,FALSE))=TRUE,0,VLOOKUP(B16,'NÖBV 1'!$J$3:$K$34,2,FALSE)),IF(ISNA(VLOOKUP(B16,'NÖBV 1'!$N$3:$O$34,2,FALSE))=TRUE,0,VLOOKUP(B16,'NÖBV 1'!$N$3:$O$34,2,FALSE)))</f>
        <v>0</v>
      </c>
      <c r="M16" s="19">
        <f>MAX(IF(ISNA(VLOOKUP(B16,'NÖBV 2'!$B$3:$C$34,2,FALSE))=TRUE,0,VLOOKUP(B16,'NÖBV 2'!$B$3:$C$34,2,FALSE)),IF(ISNA(VLOOKUP(B16,'NÖBV 2'!$F$3:$G$34,2,FALSE))=TRUE,0,VLOOKUP(B16,'NÖBV 2'!$F$3:$G$34,2,FALSE)),IF(ISNA(VLOOKUP(B16,'NÖBV 2'!$J$3:$K$34,2,FALSE))=TRUE,0,VLOOKUP(B16,'NÖBV 2'!$J$3:$K$34,2,FALSE)),IF(ISNA(VLOOKUP(B16,'NÖBV 2'!$N$3:$O$34,2,FALSE))=TRUE,0,VLOOKUP(B16,'NÖBV 2'!$N$3:$O$34,2,FALSE)))</f>
        <v>0</v>
      </c>
      <c r="N16" s="19">
        <f>MAX(IF(ISNA(VLOOKUP(B16,'NÖBV 3'!$B$3:$C$34,2,FALSE))=TRUE,0,VLOOKUP(B16,'NÖBV 3'!$B$3:$C$34,2,FALSE)),IF(ISNA(VLOOKUP(B16,'NÖBV 3'!$F$3:$G$34,2,FALSE))=TRUE,0,VLOOKUP(B16,'NÖBV 3'!$F$3:$G$34,2,FALSE)),IF(ISNA(VLOOKUP(B16,'NÖBV 3'!$J$3:$K$34,2,FALSE))=TRUE,0,VLOOKUP(B16,'NÖBV 3'!$J$3:$K$34,2,FALSE)),IF(ISNA(VLOOKUP(B16,'NÖBV 3'!$N$3:$O$34,2,FALSE))=TRUE,0,VLOOKUP(B16,'NÖBV 3'!$N$3:$O$34,2,FALSE)))</f>
        <v>0</v>
      </c>
      <c r="O16" s="15">
        <f>MAX(IF(ISNA(VLOOKUP(B16,'Regioturnier 1'!$B$3:$C$34,2,FALSE))=TRUE,0,VLOOKUP(B16,'Regioturnier 1'!$B$3:$C$34,2,FALSE)),IF(ISNA(VLOOKUP(B16,'Regioturnier 1'!$F$3:$G$34,2,FALSE))=TRUE,0,VLOOKUP(B16,'Regioturnier 1'!$F$3:$G$34,2,FALSE)),IF(ISNA(VLOOKUP(B16,'Regioturnier 1'!$J$3:$K$34,2,FALSE))=TRUE,0,VLOOKUP(B16,'Regioturnier 1'!$J$3:$K$34,2,FALSE)),IF(ISNA(VLOOKUP(B16,'Regioturnier 1'!$N$3:$O$34,2,FALSE))=TRUE,0,VLOOKUP(B16,'Regioturnier 1'!$N$3:$O$34,2,FALSE)),IF(ISNA(VLOOKUP(B16,'Regioturnier 1'!$R$3:$S$34,2,FALSE))=TRUE,0,VLOOKUP(B16,'Regioturnier 1'!$R$3:$S$34,2,FALSE)), IF(ISNA(VLOOKUP(B16,'Regioturnier 1'!$V$3:$W$34,2,FALSE))=TRUE,0,VLOOKUP(B16,'Regioturnier 1'!$V$3:$W$34,2,FALSE)), IF(ISNA(VLOOKUP(B16,'Regioturnier 1'!$Z$3:$AA$34,2,FALSE))=TRUE,0,VLOOKUP(B16,'Regioturnier 1'!$Z$3:$AA$34,2,FALSE)))</f>
        <v>0</v>
      </c>
      <c r="P16" s="15">
        <f>MAX(IF(ISNA(VLOOKUP(B16,'Regioturnier 2'!$B$3:$C$34,2,FALSE))=TRUE,0,VLOOKUP(B16,'Regioturnier 2'!$B$3:$C$34,2,FALSE)),IF(ISNA(VLOOKUP(B16,'Regioturnier 2'!$F$3:$G$34,2,FALSE))=TRUE,0,VLOOKUP(B16,'Regioturnier 2'!$F$3:$G$34,2,FALSE)),IF(ISNA(VLOOKUP(B16,'Regioturnier 2'!$J$3:$K$34,2,FALSE))=TRUE,0,VLOOKUP(B16,'Regioturnier 2'!$J$3:$K$34,2,FALSE)),IF(ISNA(VLOOKUP(B16,'Regioturnier 2'!$N$3:$O$34,2,FALSE))=TRUE,0,VLOOKUP(B16,'Regioturnier 2'!$N$3:$O$34,2,FALSE)),IF(ISNA(VLOOKUP(B16,'Regioturnier 2'!$R$3:$S$34,2,FALSE))=TRUE,0,VLOOKUP(B16,'Regioturnier 2'!$R$3:$S$34,2,FALSE)), IF(ISNA(VLOOKUP(B16,'Regioturnier 2'!$V$3:$W$34,2,FALSE))=TRUE,0,VLOOKUP(B16,'Regioturnier 2'!$V$3:$W$34,2,FALSE)), IF(ISNA(VLOOKUP(B16,'Regioturnier 2'!$Z$3:$AA$34,2,FALSE))=TRUE,0,VLOOKUP(B16,'Regioturnier 2'!$Z$3:$AA$34,2,FALSE)))</f>
        <v>0</v>
      </c>
      <c r="Q16" s="15">
        <f>MAX(IF(ISNA(VLOOKUP(B16,'Regioturnier 3'!$B$3:$C$34,2,FALSE))=TRUE,0,VLOOKUP(B16,'Regioturnier 3'!$B$3:$C$34,2,FALSE)),IF(ISNA(VLOOKUP(B16,'Regioturnier 3'!$F$3:$G$34,2,FALSE))=TRUE,0,VLOOKUP(B16,'Regioturnier 3'!$F$3:$G$34,2,FALSE)),IF(ISNA(VLOOKUP(B16,'Regioturnier 3'!$J$3:$K$34,2,FALSE))=TRUE,0,VLOOKUP(B16,'Regioturnier 3'!$J$3:$K$34,2,FALSE)),IF(ISNA(VLOOKUP(B16,'Regioturnier 3'!$N$3:$O$34,2,FALSE))=TRUE,0,VLOOKUP(B16,'Regioturnier 3'!$N$3:$O$34,2,FALSE)),IF(ISNA(VLOOKUP(B16,'Regioturnier 3'!$R$3:$S$34,2,FALSE))=TRUE,0,VLOOKUP(B16,'Regioturnier 3'!$R$3:$S$34,2,FALSE)), IF(ISNA(VLOOKUP(B16,'Regioturnier 3'!$V$3:$W$34,2,FALSE))=TRUE,0,VLOOKUP(B16,'Regioturnier 3'!$V$3:$W$34,2,FALSE)), IF(ISNA(VLOOKUP(B16,'Regioturnier 3'!$Z$3:$AA$34,2,FALSE))=TRUE,0,VLOOKUP(B16,'Regioturnier 3'!$Z$3:$AA$34,2,FALSE)))</f>
        <v>0</v>
      </c>
      <c r="R16" s="20">
        <f>0.5*INDEX($H16:$N16,MATCH(LARGE($H16:$N16,1),$H16:$N16,0))+0.3*INDEX($H16:$N16,MATCH(LARGE($H16:$N16,2),$H16:$N16,0))+0.2*INDEX($H16:$N16,MATCH(LARGE($H16:$N16,3),$H16:$N16,0))</f>
        <v>187.39999999999998</v>
      </c>
      <c r="S16" s="20">
        <f>0.6*INDEX(O16:Q16,MATCH(LARGE(O16:Q16,1),O16:Q16,0))+0.4*INDEX(O16:Q16,MATCH(LARGE(O16:Q16,2),O16:Q16,0))+0*INDEX(O16:Q16,MATCH(LARGE(O16:Q16,3),O16:Q16,0))</f>
        <v>0</v>
      </c>
      <c r="T16" s="15">
        <f>1*INDEX(R16:S16,MATCH(LARGE(R16:S16,1),R16:S16,0))+0*INDEX(R16:S16,MATCH(LARGE(R16:S16,2),R16:S16,0))</f>
        <v>187.39999999999998</v>
      </c>
      <c r="U16" s="21"/>
      <c r="V16" s="21"/>
      <c r="W16" s="21"/>
      <c r="X16" s="21"/>
      <c r="Y16" s="21"/>
      <c r="Z16" s="21"/>
    </row>
    <row r="17" spans="1:26" ht="12.75" customHeight="1" x14ac:dyDescent="0.3">
      <c r="A17" s="15">
        <v>16</v>
      </c>
      <c r="B17" s="16" t="s">
        <v>159</v>
      </c>
      <c r="C17" s="17" t="s">
        <v>160</v>
      </c>
      <c r="D17" s="15" t="s">
        <v>26</v>
      </c>
      <c r="E17" s="18" t="s">
        <v>23</v>
      </c>
      <c r="F17" s="15" t="s">
        <v>161</v>
      </c>
      <c r="G17" s="22">
        <v>2013</v>
      </c>
      <c r="H17" s="15">
        <f>MAX(IF(ISNA(VLOOKUP(B17,'WBV 1'!$B$3:$C$34,2,FALSE))=TRUE,0,VLOOKUP(B17,'WBV 1'!$B$3:$C$34,2,FALSE)),IF(ISNA(VLOOKUP(B17,'WBV 1'!$F$3:$G$34,2,FALSE))=TRUE,0,VLOOKUP(B17,'WBV 1'!$F$3:$G$34,2,FALSE)),IF(ISNA(VLOOKUP(B17,'WBV 1'!$J$3:$K$34,2,FALSE))=TRUE,0,VLOOKUP(B17,'WBV 1'!$J$3:$K$34,2,FALSE)),IF(ISNA(VLOOKUP(B17,'WBV 1'!$N$3:$O$34,2,FALSE))=TRUE,0,VLOOKUP(B17,'WBV 1'!$N$3:$O$34,2,FALSE)))</f>
        <v>171</v>
      </c>
      <c r="I17" s="15">
        <f>MAX(IF(ISNA(VLOOKUP(B17,'WBV 2'!$B$3:$C$34,2,FALSE))=TRUE,0,VLOOKUP(B17,'WBV 2'!$B$3:$C$34,2,FALSE)),IF(ISNA(VLOOKUP(B17,'WBV 2'!$F$3:$G$34,2,FALSE))=TRUE,0,VLOOKUP(B17,'WBV 2'!$F$3:$G$34,2,FALSE)),IF(ISNA(VLOOKUP(B17,'WBV 2'!$J$3:$K$34,2,FALSE))=TRUE,0,VLOOKUP(B17,'WBV 2'!$J$3:$K$34,2,FALSE)),IF(ISNA(VLOOKUP(B17,'WBV 2'!$N$3:$O$34,2,FALSE))=TRUE,0,VLOOKUP(B17,'WBV 2'!$N$3:$O$34,2,FALSE)))</f>
        <v>0</v>
      </c>
      <c r="J17" s="15">
        <f>MAX(IF(ISNA(VLOOKUP(B17,'WBV 3'!$B$3:$C$34,2,FALSE))=TRUE,0,VLOOKUP(B17,'WBV 3'!$B$3:$C$34,2,FALSE)),IF(ISNA(VLOOKUP(B17,'WBV 3'!$F$3:$G$34,2,FALSE))=TRUE,0,VLOOKUP(B17,'WBV 3'!$F$3:$G$34,2,FALSE)),IF(ISNA(VLOOKUP(B17,'WBV 3'!$J$3:$K$34,2,FALSE))=TRUE,0,VLOOKUP(B17,'WBV 3'!$J$3:$K$34,2,FALSE)),IF(ISNA(VLOOKUP(B17,'WBV 3'!$N$3:$O$34,2,FALSE))=TRUE,0,VLOOKUP(B17,'WBV 3'!$N$3:$O$34,2,FALSE)))</f>
        <v>164</v>
      </c>
      <c r="K17" s="15">
        <f>MAX(IF(ISNA(VLOOKUP(B17,'WBV 4'!$B$3:$C$34,2,FALSE))=TRUE,0,VLOOKUP(B17,'WBV 4'!$B$3:$C$34,2,FALSE)),IF(ISNA(VLOOKUP(B17,'WBV 4'!$F$3:$G$34,2,FALSE))=TRUE,0,VLOOKUP(B17,'WBV 4'!$F$3:$G$34,2,FALSE)),IF(ISNA(VLOOKUP(B17,'WBV 4'!$J$3:$K$34,2,FALSE))=TRUE,0,VLOOKUP(B17,'WBV 4'!$J$3:$K$34,2,FALSE)),IF(ISNA(VLOOKUP(B17,'WBV 4'!$N$3:$O$34,2,FALSE))=TRUE,0,VLOOKUP(B17,'WBV 4'!$N$3:$O$34,2,FALSE)))</f>
        <v>0</v>
      </c>
      <c r="L17" s="19">
        <f>MAX(IF(ISNA(VLOOKUP(B17,'NÖBV 1'!$B$3:$C$34,2,FALSE))=TRUE,0,VLOOKUP(B17,'NÖBV 1'!$B$3:$C$34,2,FALSE)),IF(ISNA(VLOOKUP(B17,'NÖBV 1'!$F$3:$G$34,2,FALSE))=TRUE,0,VLOOKUP(B17,'NÖBV 1'!$F$3:$G$34,2,FALSE)),IF(ISNA(VLOOKUP(B17,'NÖBV 1'!$J$3:$K$34,2,FALSE))=TRUE,0,VLOOKUP(B17,'NÖBV 1'!$J$3:$K$34,2,FALSE)),IF(ISNA(VLOOKUP(B17,'NÖBV 1'!$N$3:$O$34,2,FALSE))=TRUE,0,VLOOKUP(B17,'NÖBV 1'!$N$3:$O$34,2,FALSE)))</f>
        <v>0</v>
      </c>
      <c r="M17" s="19">
        <f>MAX(IF(ISNA(VLOOKUP(B17,'NÖBV 2'!$B$3:$C$34,2,FALSE))=TRUE,0,VLOOKUP(B17,'NÖBV 2'!$B$3:$C$34,2,FALSE)),IF(ISNA(VLOOKUP(B17,'NÖBV 2'!$F$3:$G$34,2,FALSE))=TRUE,0,VLOOKUP(B17,'NÖBV 2'!$F$3:$G$34,2,FALSE)),IF(ISNA(VLOOKUP(B17,'NÖBV 2'!$J$3:$K$34,2,FALSE))=TRUE,0,VLOOKUP(B17,'NÖBV 2'!$J$3:$K$34,2,FALSE)),IF(ISNA(VLOOKUP(B17,'NÖBV 2'!$N$3:$O$34,2,FALSE))=TRUE,0,VLOOKUP(B17,'NÖBV 2'!$N$3:$O$34,2,FALSE)))</f>
        <v>0</v>
      </c>
      <c r="N17" s="19">
        <f>MAX(IF(ISNA(VLOOKUP(B17,'NÖBV 3'!$B$3:$C$34,2,FALSE))=TRUE,0,VLOOKUP(B17,'NÖBV 3'!$B$3:$C$34,2,FALSE)),IF(ISNA(VLOOKUP(B17,'NÖBV 3'!$F$3:$G$34,2,FALSE))=TRUE,0,VLOOKUP(B17,'NÖBV 3'!$F$3:$G$34,2,FALSE)),IF(ISNA(VLOOKUP(B17,'NÖBV 3'!$J$3:$K$34,2,FALSE))=TRUE,0,VLOOKUP(B17,'NÖBV 3'!$J$3:$K$34,2,FALSE)),IF(ISNA(VLOOKUP(B17,'NÖBV 3'!$N$3:$O$34,2,FALSE))=TRUE,0,VLOOKUP(B17,'NÖBV 3'!$N$3:$O$34,2,FALSE)))</f>
        <v>0</v>
      </c>
      <c r="O17" s="15">
        <f>MAX(IF(ISNA(VLOOKUP(B17,'Regioturnier 1'!$B$3:$C$34,2,FALSE))=TRUE,0,VLOOKUP(B17,'Regioturnier 1'!$B$3:$C$34,2,FALSE)),IF(ISNA(VLOOKUP(B17,'Regioturnier 1'!$F$3:$G$34,2,FALSE))=TRUE,0,VLOOKUP(B17,'Regioturnier 1'!$F$3:$G$34,2,FALSE)),IF(ISNA(VLOOKUP(B17,'Regioturnier 1'!$J$3:$K$34,2,FALSE))=TRUE,0,VLOOKUP(B17,'Regioturnier 1'!$J$3:$K$34,2,FALSE)),IF(ISNA(VLOOKUP(B17,'Regioturnier 1'!$N$3:$O$34,2,FALSE))=TRUE,0,VLOOKUP(B17,'Regioturnier 1'!$N$3:$O$34,2,FALSE)),IF(ISNA(VLOOKUP(B17,'Regioturnier 1'!$R$3:$S$34,2,FALSE))=TRUE,0,VLOOKUP(B17,'Regioturnier 1'!$R$3:$S$34,2,FALSE)), IF(ISNA(VLOOKUP(B17,'Regioturnier 1'!$V$3:$W$34,2,FALSE))=TRUE,0,VLOOKUP(B17,'Regioturnier 1'!$V$3:$W$34,2,FALSE)), IF(ISNA(VLOOKUP(B17,'Regioturnier 1'!$Z$3:$AA$34,2,FALSE))=TRUE,0,VLOOKUP(B17,'Regioturnier 1'!$Z$3:$AA$34,2,FALSE)))</f>
        <v>177</v>
      </c>
      <c r="P17" s="15">
        <f>MAX(IF(ISNA(VLOOKUP(B17,'Regioturnier 2'!$B$3:$C$34,2,FALSE))=TRUE,0,VLOOKUP(B17,'Regioturnier 2'!$B$3:$C$34,2,FALSE)),IF(ISNA(VLOOKUP(B17,'Regioturnier 2'!$F$3:$G$34,2,FALSE))=TRUE,0,VLOOKUP(B17,'Regioturnier 2'!$F$3:$G$34,2,FALSE)),IF(ISNA(VLOOKUP(B17,'Regioturnier 2'!$J$3:$K$34,2,FALSE))=TRUE,0,VLOOKUP(B17,'Regioturnier 2'!$J$3:$K$34,2,FALSE)),IF(ISNA(VLOOKUP(B17,'Regioturnier 2'!$N$3:$O$34,2,FALSE))=TRUE,0,VLOOKUP(B17,'Regioturnier 2'!$N$3:$O$34,2,FALSE)),IF(ISNA(VLOOKUP(B17,'Regioturnier 2'!$R$3:$S$34,2,FALSE))=TRUE,0,VLOOKUP(B17,'Regioturnier 2'!$R$3:$S$34,2,FALSE)), IF(ISNA(VLOOKUP(B17,'Regioturnier 2'!$V$3:$W$34,2,FALSE))=TRUE,0,VLOOKUP(B17,'Regioturnier 2'!$V$3:$W$34,2,FALSE)), IF(ISNA(VLOOKUP(B17,'Regioturnier 2'!$Z$3:$AA$34,2,FALSE))=TRUE,0,VLOOKUP(B17,'Regioturnier 2'!$Z$3:$AA$34,2,FALSE)))</f>
        <v>193</v>
      </c>
      <c r="Q17" s="15">
        <f>MAX(IF(ISNA(VLOOKUP(B17,'Regioturnier 3'!$B$3:$C$34,2,FALSE))=TRUE,0,VLOOKUP(B17,'Regioturnier 3'!$B$3:$C$34,2,FALSE)),IF(ISNA(VLOOKUP(B17,'Regioturnier 3'!$F$3:$G$34,2,FALSE))=TRUE,0,VLOOKUP(B17,'Regioturnier 3'!$F$3:$G$34,2,FALSE)),IF(ISNA(VLOOKUP(B17,'Regioturnier 3'!$J$3:$K$34,2,FALSE))=TRUE,0,VLOOKUP(B17,'Regioturnier 3'!$J$3:$K$34,2,FALSE)),IF(ISNA(VLOOKUP(B17,'Regioturnier 3'!$N$3:$O$34,2,FALSE))=TRUE,0,VLOOKUP(B17,'Regioturnier 3'!$N$3:$O$34,2,FALSE)),IF(ISNA(VLOOKUP(B17,'Regioturnier 3'!$R$3:$S$34,2,FALSE))=TRUE,0,VLOOKUP(B17,'Regioturnier 3'!$R$3:$S$34,2,FALSE)), IF(ISNA(VLOOKUP(B17,'Regioturnier 3'!$V$3:$W$34,2,FALSE))=TRUE,0,VLOOKUP(B17,'Regioturnier 3'!$V$3:$W$34,2,FALSE)), IF(ISNA(VLOOKUP(B17,'Regioturnier 3'!$Z$3:$AA$34,2,FALSE))=TRUE,0,VLOOKUP(B17,'Regioturnier 3'!$Z$3:$AA$34,2,FALSE)))</f>
        <v>0</v>
      </c>
      <c r="R17" s="20">
        <f>0.5*INDEX($H17:$N17,MATCH(LARGE($H17:$N17,1),$H17:$N17,0))+0.3*INDEX($H17:$N17,MATCH(LARGE($H17:$N17,2),$H17:$N17,0))+0.2*INDEX($H17:$N17,MATCH(LARGE($H17:$N17,3),$H17:$N17,0))</f>
        <v>134.69999999999999</v>
      </c>
      <c r="S17" s="20">
        <f>0.6*INDEX(O17:Q17,MATCH(LARGE(O17:Q17,1),O17:Q17,0))+0.4*INDEX(O17:Q17,MATCH(LARGE(O17:Q17,2),O17:Q17,0))+0*INDEX(O17:Q17,MATCH(LARGE(O17:Q17,3),O17:Q17,0))</f>
        <v>186.6</v>
      </c>
      <c r="T17" s="15">
        <f>1*INDEX(R17:S17,MATCH(LARGE(R17:S17,1),R17:S17,0))+0*INDEX(R17:S17,MATCH(LARGE(R17:S17,2),R17:S17,0))</f>
        <v>186.6</v>
      </c>
      <c r="U17" s="21"/>
      <c r="V17" s="21"/>
      <c r="W17" s="21"/>
      <c r="X17" s="21"/>
      <c r="Y17" s="21"/>
      <c r="Z17" s="21"/>
    </row>
    <row r="18" spans="1:26" ht="12.75" customHeight="1" x14ac:dyDescent="0.3">
      <c r="A18" s="15">
        <v>17</v>
      </c>
      <c r="B18" s="16" t="s">
        <v>298</v>
      </c>
      <c r="C18" s="17" t="s">
        <v>160</v>
      </c>
      <c r="D18" s="15" t="s">
        <v>26</v>
      </c>
      <c r="E18" s="18" t="s">
        <v>23</v>
      </c>
      <c r="F18" s="15" t="s">
        <v>299</v>
      </c>
      <c r="G18" s="22">
        <v>2015</v>
      </c>
      <c r="H18" s="15">
        <f>MAX(IF(ISNA(VLOOKUP(B18,'WBV 1'!$B$3:$C$34,2,FALSE))=TRUE,0,VLOOKUP(B18,'WBV 1'!$B$3:$C$34,2,FALSE)),IF(ISNA(VLOOKUP(B18,'WBV 1'!$F$3:$G$34,2,FALSE))=TRUE,0,VLOOKUP(B18,'WBV 1'!$F$3:$G$34,2,FALSE)),IF(ISNA(VLOOKUP(B18,'WBV 1'!$J$3:$K$34,2,FALSE))=TRUE,0,VLOOKUP(B18,'WBV 1'!$J$3:$K$34,2,FALSE)),IF(ISNA(VLOOKUP(B18,'WBV 1'!$N$3:$O$34,2,FALSE))=TRUE,0,VLOOKUP(B18,'WBV 1'!$N$3:$O$34,2,FALSE)))</f>
        <v>180</v>
      </c>
      <c r="I18" s="15">
        <f>MAX(IF(ISNA(VLOOKUP(B18,'WBV 2'!$B$3:$C$34,2,FALSE))=TRUE,0,VLOOKUP(B18,'WBV 2'!$B$3:$C$34,2,FALSE)),IF(ISNA(VLOOKUP(B18,'WBV 2'!$F$3:$G$34,2,FALSE))=TRUE,0,VLOOKUP(B18,'WBV 2'!$F$3:$G$34,2,FALSE)),IF(ISNA(VLOOKUP(B18,'WBV 2'!$J$3:$K$34,2,FALSE))=TRUE,0,VLOOKUP(B18,'WBV 2'!$J$3:$K$34,2,FALSE)),IF(ISNA(VLOOKUP(B18,'WBV 2'!$N$3:$O$34,2,FALSE))=TRUE,0,VLOOKUP(B18,'WBV 2'!$N$3:$O$34,2,FALSE)))</f>
        <v>173</v>
      </c>
      <c r="J18" s="15">
        <f>MAX(IF(ISNA(VLOOKUP(B18,'WBV 3'!$B$3:$C$34,2,FALSE))=TRUE,0,VLOOKUP(B18,'WBV 3'!$B$3:$C$34,2,FALSE)),IF(ISNA(VLOOKUP(B18,'WBV 3'!$F$3:$G$34,2,FALSE))=TRUE,0,VLOOKUP(B18,'WBV 3'!$F$3:$G$34,2,FALSE)),IF(ISNA(VLOOKUP(B18,'WBV 3'!$J$3:$K$34,2,FALSE))=TRUE,0,VLOOKUP(B18,'WBV 3'!$J$3:$K$34,2,FALSE)),IF(ISNA(VLOOKUP(B18,'WBV 3'!$N$3:$O$34,2,FALSE))=TRUE,0,VLOOKUP(B18,'WBV 3'!$N$3:$O$34,2,FALSE)))</f>
        <v>187</v>
      </c>
      <c r="K18" s="15">
        <f>MAX(IF(ISNA(VLOOKUP(B18,'WBV 4'!$B$3:$C$34,2,FALSE))=TRUE,0,VLOOKUP(B18,'WBV 4'!$B$3:$C$34,2,FALSE)),IF(ISNA(VLOOKUP(B18,'WBV 4'!$F$3:$G$34,2,FALSE))=TRUE,0,VLOOKUP(B18,'WBV 4'!$F$3:$G$34,2,FALSE)),IF(ISNA(VLOOKUP(B18,'WBV 4'!$J$3:$K$34,2,FALSE))=TRUE,0,VLOOKUP(B18,'WBV 4'!$J$3:$K$34,2,FALSE)),IF(ISNA(VLOOKUP(B18,'WBV 4'!$N$3:$O$34,2,FALSE))=TRUE,0,VLOOKUP(B18,'WBV 4'!$N$3:$O$34,2,FALSE)))</f>
        <v>0</v>
      </c>
      <c r="L18" s="19">
        <f>MAX(IF(ISNA(VLOOKUP(B18,'NÖBV 1'!$B$3:$C$34,2,FALSE))=TRUE,0,VLOOKUP(B18,'NÖBV 1'!$B$3:$C$34,2,FALSE)),IF(ISNA(VLOOKUP(B18,'NÖBV 1'!$F$3:$G$34,2,FALSE))=TRUE,0,VLOOKUP(B18,'NÖBV 1'!$F$3:$G$34,2,FALSE)),IF(ISNA(VLOOKUP(B18,'NÖBV 1'!$J$3:$K$34,2,FALSE))=TRUE,0,VLOOKUP(B18,'NÖBV 1'!$J$3:$K$34,2,FALSE)),IF(ISNA(VLOOKUP(B18,'NÖBV 1'!$N$3:$O$34,2,FALSE))=TRUE,0,VLOOKUP(B18,'NÖBV 1'!$N$3:$O$34,2,FALSE)))</f>
        <v>0</v>
      </c>
      <c r="M18" s="19">
        <f>MAX(IF(ISNA(VLOOKUP(B18,'NÖBV 2'!$B$3:$C$34,2,FALSE))=TRUE,0,VLOOKUP(B18,'NÖBV 2'!$B$3:$C$34,2,FALSE)),IF(ISNA(VLOOKUP(B18,'NÖBV 2'!$F$3:$G$34,2,FALSE))=TRUE,0,VLOOKUP(B18,'NÖBV 2'!$F$3:$G$34,2,FALSE)),IF(ISNA(VLOOKUP(B18,'NÖBV 2'!$J$3:$K$34,2,FALSE))=TRUE,0,VLOOKUP(B18,'NÖBV 2'!$J$3:$K$34,2,FALSE)),IF(ISNA(VLOOKUP(B18,'NÖBV 2'!$N$3:$O$34,2,FALSE))=TRUE,0,VLOOKUP(B18,'NÖBV 2'!$N$3:$O$34,2,FALSE)))</f>
        <v>0</v>
      </c>
      <c r="N18" s="19">
        <f>MAX(IF(ISNA(VLOOKUP(B18,'NÖBV 3'!$B$3:$C$34,2,FALSE))=TRUE,0,VLOOKUP(B18,'NÖBV 3'!$B$3:$C$34,2,FALSE)),IF(ISNA(VLOOKUP(B18,'NÖBV 3'!$F$3:$G$34,2,FALSE))=TRUE,0,VLOOKUP(B18,'NÖBV 3'!$F$3:$G$34,2,FALSE)),IF(ISNA(VLOOKUP(B18,'NÖBV 3'!$J$3:$K$34,2,FALSE))=TRUE,0,VLOOKUP(B18,'NÖBV 3'!$J$3:$K$34,2,FALSE)),IF(ISNA(VLOOKUP(B18,'NÖBV 3'!$N$3:$O$34,2,FALSE))=TRUE,0,VLOOKUP(B18,'NÖBV 3'!$N$3:$O$34,2,FALSE)))</f>
        <v>0</v>
      </c>
      <c r="O18" s="15">
        <f>MAX(IF(ISNA(VLOOKUP(B18,'Regioturnier 1'!$B$3:$C$34,2,FALSE))=TRUE,0,VLOOKUP(B18,'Regioturnier 1'!$B$3:$C$34,2,FALSE)),IF(ISNA(VLOOKUP(B18,'Regioturnier 1'!$F$3:$G$34,2,FALSE))=TRUE,0,VLOOKUP(B18,'Regioturnier 1'!$F$3:$G$34,2,FALSE)),IF(ISNA(VLOOKUP(B18,'Regioturnier 1'!$J$3:$K$34,2,FALSE))=TRUE,0,VLOOKUP(B18,'Regioturnier 1'!$J$3:$K$34,2,FALSE)),IF(ISNA(VLOOKUP(B18,'Regioturnier 1'!$N$3:$O$34,2,FALSE))=TRUE,0,VLOOKUP(B18,'Regioturnier 1'!$N$3:$O$34,2,FALSE)),IF(ISNA(VLOOKUP(B18,'Regioturnier 1'!$R$3:$S$34,2,FALSE))=TRUE,0,VLOOKUP(B18,'Regioturnier 1'!$R$3:$S$34,2,FALSE)), IF(ISNA(VLOOKUP(B18,'Regioturnier 1'!$V$3:$W$34,2,FALSE))=TRUE,0,VLOOKUP(B18,'Regioturnier 1'!$V$3:$W$34,2,FALSE)), IF(ISNA(VLOOKUP(B18,'Regioturnier 1'!$Z$3:$AA$34,2,FALSE))=TRUE,0,VLOOKUP(B18,'Regioturnier 1'!$Z$3:$AA$34,2,FALSE)))</f>
        <v>197</v>
      </c>
      <c r="P18" s="15">
        <f>MAX(IF(ISNA(VLOOKUP(B18,'Regioturnier 2'!$B$3:$C$34,2,FALSE))=TRUE,0,VLOOKUP(B18,'Regioturnier 2'!$B$3:$C$34,2,FALSE)),IF(ISNA(VLOOKUP(B18,'Regioturnier 2'!$F$3:$G$34,2,FALSE))=TRUE,0,VLOOKUP(B18,'Regioturnier 2'!$F$3:$G$34,2,FALSE)),IF(ISNA(VLOOKUP(B18,'Regioturnier 2'!$J$3:$K$34,2,FALSE))=TRUE,0,VLOOKUP(B18,'Regioturnier 2'!$J$3:$K$34,2,FALSE)),IF(ISNA(VLOOKUP(B18,'Regioturnier 2'!$N$3:$O$34,2,FALSE))=TRUE,0,VLOOKUP(B18,'Regioturnier 2'!$N$3:$O$34,2,FALSE)),IF(ISNA(VLOOKUP(B18,'Regioturnier 2'!$R$3:$S$34,2,FALSE))=TRUE,0,VLOOKUP(B18,'Regioturnier 2'!$R$3:$S$34,2,FALSE)), IF(ISNA(VLOOKUP(B18,'Regioturnier 2'!$V$3:$W$34,2,FALSE))=TRUE,0,VLOOKUP(B18,'Regioturnier 2'!$V$3:$W$34,2,FALSE)), IF(ISNA(VLOOKUP(B18,'Regioturnier 2'!$Z$3:$AA$34,2,FALSE))=TRUE,0,VLOOKUP(B18,'Regioturnier 2'!$Z$3:$AA$34,2,FALSE)))</f>
        <v>0</v>
      </c>
      <c r="Q18" s="15">
        <f>MAX(IF(ISNA(VLOOKUP(B18,'Regioturnier 3'!$B$3:$C$34,2,FALSE))=TRUE,0,VLOOKUP(B18,'Regioturnier 3'!$B$3:$C$34,2,FALSE)),IF(ISNA(VLOOKUP(B18,'Regioturnier 3'!$F$3:$G$34,2,FALSE))=TRUE,0,VLOOKUP(B18,'Regioturnier 3'!$F$3:$G$34,2,FALSE)),IF(ISNA(VLOOKUP(B18,'Regioturnier 3'!$J$3:$K$34,2,FALSE))=TRUE,0,VLOOKUP(B18,'Regioturnier 3'!$J$3:$K$34,2,FALSE)),IF(ISNA(VLOOKUP(B18,'Regioturnier 3'!$N$3:$O$34,2,FALSE))=TRUE,0,VLOOKUP(B18,'Regioturnier 3'!$N$3:$O$34,2,FALSE)),IF(ISNA(VLOOKUP(B18,'Regioturnier 3'!$R$3:$S$34,2,FALSE))=TRUE,0,VLOOKUP(B18,'Regioturnier 3'!$R$3:$S$34,2,FALSE)), IF(ISNA(VLOOKUP(B18,'Regioturnier 3'!$V$3:$W$34,2,FALSE))=TRUE,0,VLOOKUP(B18,'Regioturnier 3'!$V$3:$W$34,2,FALSE)), IF(ISNA(VLOOKUP(B18,'Regioturnier 3'!$Z$3:$AA$34,2,FALSE))=TRUE,0,VLOOKUP(B18,'Regioturnier 3'!$Z$3:$AA$34,2,FALSE)))</f>
        <v>0</v>
      </c>
      <c r="R18" s="20">
        <f>0.5*INDEX($H18:$N18,MATCH(LARGE($H18:$N18,1),$H18:$N18,0))+0.3*INDEX($H18:$N18,MATCH(LARGE($H18:$N18,2),$H18:$N18,0))+0.2*INDEX($H18:$N18,MATCH(LARGE($H18:$N18,3),$H18:$N18,0))</f>
        <v>182.1</v>
      </c>
      <c r="S18" s="20">
        <f>0.6*INDEX(O18:Q18,MATCH(LARGE(O18:Q18,1),O18:Q18,0))+0.4*INDEX(O18:Q18,MATCH(LARGE(O18:Q18,2),O18:Q18,0))+0*INDEX(O18:Q18,MATCH(LARGE(O18:Q18,3),O18:Q18,0))</f>
        <v>118.19999999999999</v>
      </c>
      <c r="T18" s="15">
        <f>1*INDEX(R18:S18,MATCH(LARGE(R18:S18,1),R18:S18,0))+0*INDEX(R18:S18,MATCH(LARGE(R18:S18,2),R18:S18,0))</f>
        <v>182.1</v>
      </c>
      <c r="U18" s="21"/>
      <c r="V18" s="21"/>
      <c r="W18" s="21"/>
      <c r="X18" s="21"/>
      <c r="Y18" s="21"/>
      <c r="Z18" s="21"/>
    </row>
    <row r="19" spans="1:26" ht="12.75" customHeight="1" x14ac:dyDescent="0.3">
      <c r="A19" s="15">
        <v>18</v>
      </c>
      <c r="B19" s="16" t="s">
        <v>497</v>
      </c>
      <c r="C19" s="17" t="s">
        <v>72</v>
      </c>
      <c r="D19" s="15" t="s">
        <v>22</v>
      </c>
      <c r="E19" s="18" t="s">
        <v>40</v>
      </c>
      <c r="F19" s="15" t="s">
        <v>506</v>
      </c>
      <c r="G19" s="22">
        <v>2013</v>
      </c>
      <c r="H19" s="15">
        <f>MAX(IF(ISNA(VLOOKUP(B19,'WBV 1'!$B$3:$C$34,2,FALSE))=TRUE,0,VLOOKUP(B19,'WBV 1'!$B$3:$C$34,2,FALSE)),IF(ISNA(VLOOKUP(B19,'WBV 1'!$F$3:$G$34,2,FALSE))=TRUE,0,VLOOKUP(B19,'WBV 1'!$F$3:$G$34,2,FALSE)),IF(ISNA(VLOOKUP(B19,'WBV 1'!$J$3:$K$34,2,FALSE))=TRUE,0,VLOOKUP(B19,'WBV 1'!$J$3:$K$34,2,FALSE)),IF(ISNA(VLOOKUP(B19,'WBV 1'!$N$3:$O$34,2,FALSE))=TRUE,0,VLOOKUP(B19,'WBV 1'!$N$3:$O$34,2,FALSE)))</f>
        <v>0</v>
      </c>
      <c r="I19" s="15">
        <f>MAX(IF(ISNA(VLOOKUP(B19,'WBV 2'!$B$3:$C$34,2,FALSE))=TRUE,0,VLOOKUP(B19,'WBV 2'!$B$3:$C$34,2,FALSE)),IF(ISNA(VLOOKUP(B19,'WBV 2'!$F$3:$G$34,2,FALSE))=TRUE,0,VLOOKUP(B19,'WBV 2'!$F$3:$G$34,2,FALSE)),IF(ISNA(VLOOKUP(B19,'WBV 2'!$J$3:$K$34,2,FALSE))=TRUE,0,VLOOKUP(B19,'WBV 2'!$J$3:$K$34,2,FALSE)),IF(ISNA(VLOOKUP(B19,'WBV 2'!$N$3:$O$34,2,FALSE))=TRUE,0,VLOOKUP(B19,'WBV 2'!$N$3:$O$34,2,FALSE)))</f>
        <v>0</v>
      </c>
      <c r="J19" s="15">
        <f>MAX(IF(ISNA(VLOOKUP(B19,'WBV 3'!$B$3:$C$34,2,FALSE))=TRUE,0,VLOOKUP(B19,'WBV 3'!$B$3:$C$34,2,FALSE)),IF(ISNA(VLOOKUP(B19,'WBV 3'!$F$3:$G$34,2,FALSE))=TRUE,0,VLOOKUP(B19,'WBV 3'!$F$3:$G$34,2,FALSE)),IF(ISNA(VLOOKUP(B19,'WBV 3'!$J$3:$K$34,2,FALSE))=TRUE,0,VLOOKUP(B19,'WBV 3'!$J$3:$K$34,2,FALSE)),IF(ISNA(VLOOKUP(B19,'WBV 3'!$N$3:$O$34,2,FALSE))=TRUE,0,VLOOKUP(B19,'WBV 3'!$N$3:$O$34,2,FALSE)))</f>
        <v>0</v>
      </c>
      <c r="K19" s="15">
        <f>MAX(IF(ISNA(VLOOKUP(B19,'WBV 4'!$B$3:$C$34,2,FALSE))=TRUE,0,VLOOKUP(B19,'WBV 4'!$B$3:$C$34,2,FALSE)),IF(ISNA(VLOOKUP(B19,'WBV 4'!$F$3:$G$34,2,FALSE))=TRUE,0,VLOOKUP(B19,'WBV 4'!$F$3:$G$34,2,FALSE)),IF(ISNA(VLOOKUP(B19,'WBV 4'!$J$3:$K$34,2,FALSE))=TRUE,0,VLOOKUP(B19,'WBV 4'!$J$3:$K$34,2,FALSE)),IF(ISNA(VLOOKUP(B19,'WBV 4'!$N$3:$O$34,2,FALSE))=TRUE,0,VLOOKUP(B19,'WBV 4'!$N$3:$O$34,2,FALSE)))</f>
        <v>0</v>
      </c>
      <c r="L19" s="19">
        <f>MAX(IF(ISNA(VLOOKUP(B19,'NÖBV 1'!$B$3:$C$34,2,FALSE))=TRUE,0,VLOOKUP(B19,'NÖBV 1'!$B$3:$C$34,2,FALSE)),IF(ISNA(VLOOKUP(B19,'NÖBV 1'!$F$3:$G$34,2,FALSE))=TRUE,0,VLOOKUP(B19,'NÖBV 1'!$F$3:$G$34,2,FALSE)),IF(ISNA(VLOOKUP(B19,'NÖBV 1'!$J$3:$K$34,2,FALSE))=TRUE,0,VLOOKUP(B19,'NÖBV 1'!$J$3:$K$34,2,FALSE)),IF(ISNA(VLOOKUP(B19,'NÖBV 1'!$N$3:$O$34,2,FALSE))=TRUE,0,VLOOKUP(B19,'NÖBV 1'!$N$3:$O$34,2,FALSE)))</f>
        <v>160</v>
      </c>
      <c r="M19" s="19">
        <f>MAX(IF(ISNA(VLOOKUP(B19,'NÖBV 2'!$B$3:$C$34,2,FALSE))=TRUE,0,VLOOKUP(B19,'NÖBV 2'!$B$3:$C$34,2,FALSE)),IF(ISNA(VLOOKUP(B19,'NÖBV 2'!$F$3:$G$34,2,FALSE))=TRUE,0,VLOOKUP(B19,'NÖBV 2'!$F$3:$G$34,2,FALSE)),IF(ISNA(VLOOKUP(B19,'NÖBV 2'!$J$3:$K$34,2,FALSE))=TRUE,0,VLOOKUP(B19,'NÖBV 2'!$J$3:$K$34,2,FALSE)),IF(ISNA(VLOOKUP(B19,'NÖBV 2'!$N$3:$O$34,2,FALSE))=TRUE,0,VLOOKUP(B19,'NÖBV 2'!$N$3:$O$34,2,FALSE)))</f>
        <v>0</v>
      </c>
      <c r="N19" s="19">
        <f>MAX(IF(ISNA(VLOOKUP(B19,'NÖBV 3'!$B$3:$C$34,2,FALSE))=TRUE,0,VLOOKUP(B19,'NÖBV 3'!$B$3:$C$34,2,FALSE)),IF(ISNA(VLOOKUP(B19,'NÖBV 3'!$F$3:$G$34,2,FALSE))=TRUE,0,VLOOKUP(B19,'NÖBV 3'!$F$3:$G$34,2,FALSE)),IF(ISNA(VLOOKUP(B19,'NÖBV 3'!$J$3:$K$34,2,FALSE))=TRUE,0,VLOOKUP(B19,'NÖBV 3'!$J$3:$K$34,2,FALSE)),IF(ISNA(VLOOKUP(B19,'NÖBV 3'!$N$3:$O$34,2,FALSE))=TRUE,0,VLOOKUP(B19,'NÖBV 3'!$N$3:$O$34,2,FALSE)))</f>
        <v>187</v>
      </c>
      <c r="O19" s="15">
        <f>MAX(IF(ISNA(VLOOKUP(B19,'Regioturnier 1'!$B$3:$C$34,2,FALSE))=TRUE,0,VLOOKUP(B19,'Regioturnier 1'!$B$3:$C$34,2,FALSE)),IF(ISNA(VLOOKUP(B19,'Regioturnier 1'!$F$3:$G$34,2,FALSE))=TRUE,0,VLOOKUP(B19,'Regioturnier 1'!$F$3:$G$34,2,FALSE)),IF(ISNA(VLOOKUP(B19,'Regioturnier 1'!$J$3:$K$34,2,FALSE))=TRUE,0,VLOOKUP(B19,'Regioturnier 1'!$J$3:$K$34,2,FALSE)),IF(ISNA(VLOOKUP(B19,'Regioturnier 1'!$N$3:$O$34,2,FALSE))=TRUE,0,VLOOKUP(B19,'Regioturnier 1'!$N$3:$O$34,2,FALSE)),IF(ISNA(VLOOKUP(B19,'Regioturnier 1'!$R$3:$S$34,2,FALSE))=TRUE,0,VLOOKUP(B19,'Regioturnier 1'!$R$3:$S$34,2,FALSE)), IF(ISNA(VLOOKUP(B19,'Regioturnier 1'!$V$3:$W$34,2,FALSE))=TRUE,0,VLOOKUP(B19,'Regioturnier 1'!$V$3:$W$34,2,FALSE)), IF(ISNA(VLOOKUP(B19,'Regioturnier 1'!$Z$3:$AA$34,2,FALSE))=TRUE,0,VLOOKUP(B19,'Regioturnier 1'!$Z$3:$AA$34,2,FALSE)))</f>
        <v>184</v>
      </c>
      <c r="P19" s="15">
        <f>MAX(IF(ISNA(VLOOKUP(B19,'Regioturnier 2'!$B$3:$C$34,2,FALSE))=TRUE,0,VLOOKUP(B19,'Regioturnier 2'!$B$3:$C$34,2,FALSE)),IF(ISNA(VLOOKUP(B19,'Regioturnier 2'!$F$3:$G$34,2,FALSE))=TRUE,0,VLOOKUP(B19,'Regioturnier 2'!$F$3:$G$34,2,FALSE)),IF(ISNA(VLOOKUP(B19,'Regioturnier 2'!$J$3:$K$34,2,FALSE))=TRUE,0,VLOOKUP(B19,'Regioturnier 2'!$J$3:$K$34,2,FALSE)),IF(ISNA(VLOOKUP(B19,'Regioturnier 2'!$N$3:$O$34,2,FALSE))=TRUE,0,VLOOKUP(B19,'Regioturnier 2'!$N$3:$O$34,2,FALSE)),IF(ISNA(VLOOKUP(B19,'Regioturnier 2'!$R$3:$S$34,2,FALSE))=TRUE,0,VLOOKUP(B19,'Regioturnier 2'!$R$3:$S$34,2,FALSE)), IF(ISNA(VLOOKUP(B19,'Regioturnier 2'!$V$3:$W$34,2,FALSE))=TRUE,0,VLOOKUP(B19,'Regioturnier 2'!$V$3:$W$34,2,FALSE)), IF(ISNA(VLOOKUP(B19,'Regioturnier 2'!$Z$3:$AA$34,2,FALSE))=TRUE,0,VLOOKUP(B19,'Regioturnier 2'!$Z$3:$AA$34,2,FALSE)))</f>
        <v>179</v>
      </c>
      <c r="Q19" s="15">
        <f>MAX(IF(ISNA(VLOOKUP(B19,'Regioturnier 3'!$B$3:$C$34,2,FALSE))=TRUE,0,VLOOKUP(B19,'Regioturnier 3'!$B$3:$C$34,2,FALSE)),IF(ISNA(VLOOKUP(B19,'Regioturnier 3'!$F$3:$G$34,2,FALSE))=TRUE,0,VLOOKUP(B19,'Regioturnier 3'!$F$3:$G$34,2,FALSE)),IF(ISNA(VLOOKUP(B19,'Regioturnier 3'!$J$3:$K$34,2,FALSE))=TRUE,0,VLOOKUP(B19,'Regioturnier 3'!$J$3:$K$34,2,FALSE)),IF(ISNA(VLOOKUP(B19,'Regioturnier 3'!$N$3:$O$34,2,FALSE))=TRUE,0,VLOOKUP(B19,'Regioturnier 3'!$N$3:$O$34,2,FALSE)),IF(ISNA(VLOOKUP(B19,'Regioturnier 3'!$R$3:$S$34,2,FALSE))=TRUE,0,VLOOKUP(B19,'Regioturnier 3'!$R$3:$S$34,2,FALSE)), IF(ISNA(VLOOKUP(B19,'Regioturnier 3'!$V$3:$W$34,2,FALSE))=TRUE,0,VLOOKUP(B19,'Regioturnier 3'!$V$3:$W$34,2,FALSE)), IF(ISNA(VLOOKUP(B19,'Regioturnier 3'!$Z$3:$AA$34,2,FALSE))=TRUE,0,VLOOKUP(B19,'Regioturnier 3'!$Z$3:$AA$34,2,FALSE)))</f>
        <v>0</v>
      </c>
      <c r="R19" s="20">
        <f>0.5*INDEX($H19:$N19,MATCH(LARGE($H19:$N19,1),$H19:$N19,0))+0.3*INDEX($H19:$N19,MATCH(LARGE($H19:$N19,2),$H19:$N19,0))+0.2*INDEX($H19:$N19,MATCH(LARGE($H19:$N19,3),$H19:$N19,0))</f>
        <v>141.5</v>
      </c>
      <c r="S19" s="20">
        <f>0.6*INDEX(O19:Q19,MATCH(LARGE(O19:Q19,1),O19:Q19,0))+0.4*INDEX(O19:Q19,MATCH(LARGE(O19:Q19,2),O19:Q19,0))+0*INDEX(O19:Q19,MATCH(LARGE(O19:Q19,3),O19:Q19,0))</f>
        <v>182</v>
      </c>
      <c r="T19" s="15">
        <f>1*INDEX(R19:S19,MATCH(LARGE(R19:S19,1),R19:S19,0))+0*INDEX(R19:S19,MATCH(LARGE(R19:S19,2),R19:S19,0))</f>
        <v>182</v>
      </c>
      <c r="U19" s="21"/>
      <c r="V19" s="21"/>
      <c r="W19" s="21"/>
      <c r="X19" s="21"/>
      <c r="Y19" s="21"/>
      <c r="Z19" s="21"/>
    </row>
    <row r="20" spans="1:26" ht="12.75" customHeight="1" x14ac:dyDescent="0.3">
      <c r="A20" s="15">
        <v>19</v>
      </c>
      <c r="B20" s="16" t="s">
        <v>246</v>
      </c>
      <c r="C20" s="17" t="s">
        <v>160</v>
      </c>
      <c r="D20" s="15" t="s">
        <v>26</v>
      </c>
      <c r="E20" s="18" t="s">
        <v>23</v>
      </c>
      <c r="F20" s="15">
        <v>111347</v>
      </c>
      <c r="G20" s="22">
        <v>2015</v>
      </c>
      <c r="H20" s="15">
        <f>MAX(IF(ISNA(VLOOKUP(B20,'WBV 1'!$B$3:$C$34,2,FALSE))=TRUE,0,VLOOKUP(B20,'WBV 1'!$B$3:$C$34,2,FALSE)),IF(ISNA(VLOOKUP(B20,'WBV 1'!$F$3:$G$34,2,FALSE))=TRUE,0,VLOOKUP(B20,'WBV 1'!$F$3:$G$34,2,FALSE)),IF(ISNA(VLOOKUP(B20,'WBV 1'!$J$3:$K$34,2,FALSE))=TRUE,0,VLOOKUP(B20,'WBV 1'!$J$3:$K$34,2,FALSE)),IF(ISNA(VLOOKUP(B20,'WBV 1'!$N$3:$O$34,2,FALSE))=TRUE,0,VLOOKUP(B20,'WBV 1'!$N$3:$O$34,2,FALSE)))</f>
        <v>157</v>
      </c>
      <c r="I20" s="15">
        <f>MAX(IF(ISNA(VLOOKUP(B20,'WBV 2'!$B$3:$C$34,2,FALSE))=TRUE,0,VLOOKUP(B20,'WBV 2'!$B$3:$C$34,2,FALSE)),IF(ISNA(VLOOKUP(B20,'WBV 2'!$F$3:$G$34,2,FALSE))=TRUE,0,VLOOKUP(B20,'WBV 2'!$F$3:$G$34,2,FALSE)),IF(ISNA(VLOOKUP(B20,'WBV 2'!$J$3:$K$34,2,FALSE))=TRUE,0,VLOOKUP(B20,'WBV 2'!$J$3:$K$34,2,FALSE)),IF(ISNA(VLOOKUP(B20,'WBV 2'!$N$3:$O$34,2,FALSE))=TRUE,0,VLOOKUP(B20,'WBV 2'!$N$3:$O$34,2,FALSE)))</f>
        <v>152</v>
      </c>
      <c r="J20" s="15">
        <f>MAX(IF(ISNA(VLOOKUP(B20,'WBV 3'!$B$3:$C$34,2,FALSE))=TRUE,0,VLOOKUP(B20,'WBV 3'!$B$3:$C$34,2,FALSE)),IF(ISNA(VLOOKUP(B20,'WBV 3'!$F$3:$G$34,2,FALSE))=TRUE,0,VLOOKUP(B20,'WBV 3'!$F$3:$G$34,2,FALSE)),IF(ISNA(VLOOKUP(B20,'WBV 3'!$J$3:$K$34,2,FALSE))=TRUE,0,VLOOKUP(B20,'WBV 3'!$J$3:$K$34,2,FALSE)),IF(ISNA(VLOOKUP(B20,'WBV 3'!$N$3:$O$34,2,FALSE))=TRUE,0,VLOOKUP(B20,'WBV 3'!$N$3:$O$34,2,FALSE)))</f>
        <v>0</v>
      </c>
      <c r="K20" s="15">
        <f>MAX(IF(ISNA(VLOOKUP(B20,'WBV 4'!$B$3:$C$34,2,FALSE))=TRUE,0,VLOOKUP(B20,'WBV 4'!$B$3:$C$34,2,FALSE)),IF(ISNA(VLOOKUP(B20,'WBV 4'!$F$3:$G$34,2,FALSE))=TRUE,0,VLOOKUP(B20,'WBV 4'!$F$3:$G$34,2,FALSE)),IF(ISNA(VLOOKUP(B20,'WBV 4'!$J$3:$K$34,2,FALSE))=TRUE,0,VLOOKUP(B20,'WBV 4'!$J$3:$K$34,2,FALSE)),IF(ISNA(VLOOKUP(B20,'WBV 4'!$N$3:$O$34,2,FALSE))=TRUE,0,VLOOKUP(B20,'WBV 4'!$N$3:$O$34,2,FALSE)))</f>
        <v>0</v>
      </c>
      <c r="L20" s="19">
        <f>MAX(IF(ISNA(VLOOKUP(B20,'NÖBV 1'!$B$3:$C$34,2,FALSE))=TRUE,0,VLOOKUP(B20,'NÖBV 1'!$B$3:$C$34,2,FALSE)),IF(ISNA(VLOOKUP(B20,'NÖBV 1'!$F$3:$G$34,2,FALSE))=TRUE,0,VLOOKUP(B20,'NÖBV 1'!$F$3:$G$34,2,FALSE)),IF(ISNA(VLOOKUP(B20,'NÖBV 1'!$J$3:$K$34,2,FALSE))=TRUE,0,VLOOKUP(B20,'NÖBV 1'!$J$3:$K$34,2,FALSE)),IF(ISNA(VLOOKUP(B20,'NÖBV 1'!$N$3:$O$34,2,FALSE))=TRUE,0,VLOOKUP(B20,'NÖBV 1'!$N$3:$O$34,2,FALSE)))</f>
        <v>0</v>
      </c>
      <c r="M20" s="19">
        <f>MAX(IF(ISNA(VLOOKUP(B20,'NÖBV 2'!$B$3:$C$34,2,FALSE))=TRUE,0,VLOOKUP(B20,'NÖBV 2'!$B$3:$C$34,2,FALSE)),IF(ISNA(VLOOKUP(B20,'NÖBV 2'!$F$3:$G$34,2,FALSE))=TRUE,0,VLOOKUP(B20,'NÖBV 2'!$F$3:$G$34,2,FALSE)),IF(ISNA(VLOOKUP(B20,'NÖBV 2'!$J$3:$K$34,2,FALSE))=TRUE,0,VLOOKUP(B20,'NÖBV 2'!$J$3:$K$34,2,FALSE)),IF(ISNA(VLOOKUP(B20,'NÖBV 2'!$N$3:$O$34,2,FALSE))=TRUE,0,VLOOKUP(B20,'NÖBV 2'!$N$3:$O$34,2,FALSE)))</f>
        <v>0</v>
      </c>
      <c r="N20" s="19">
        <f>MAX(IF(ISNA(VLOOKUP(B20,'NÖBV 3'!$B$3:$C$34,2,FALSE))=TRUE,0,VLOOKUP(B20,'NÖBV 3'!$B$3:$C$34,2,FALSE)),IF(ISNA(VLOOKUP(B20,'NÖBV 3'!$F$3:$G$34,2,FALSE))=TRUE,0,VLOOKUP(B20,'NÖBV 3'!$F$3:$G$34,2,FALSE)),IF(ISNA(VLOOKUP(B20,'NÖBV 3'!$J$3:$K$34,2,FALSE))=TRUE,0,VLOOKUP(B20,'NÖBV 3'!$J$3:$K$34,2,FALSE)),IF(ISNA(VLOOKUP(B20,'NÖBV 3'!$N$3:$O$34,2,FALSE))=TRUE,0,VLOOKUP(B20,'NÖBV 3'!$N$3:$O$34,2,FALSE)))</f>
        <v>0</v>
      </c>
      <c r="O20" s="15">
        <f>MAX(IF(ISNA(VLOOKUP(B20,'Regioturnier 1'!$B$3:$C$34,2,FALSE))=TRUE,0,VLOOKUP(B20,'Regioturnier 1'!$B$3:$C$34,2,FALSE)),IF(ISNA(VLOOKUP(B20,'Regioturnier 1'!$F$3:$G$34,2,FALSE))=TRUE,0,VLOOKUP(B20,'Regioturnier 1'!$F$3:$G$34,2,FALSE)),IF(ISNA(VLOOKUP(B20,'Regioturnier 1'!$J$3:$K$34,2,FALSE))=TRUE,0,VLOOKUP(B20,'Regioturnier 1'!$J$3:$K$34,2,FALSE)),IF(ISNA(VLOOKUP(B20,'Regioturnier 1'!$N$3:$O$34,2,FALSE))=TRUE,0,VLOOKUP(B20,'Regioturnier 1'!$N$3:$O$34,2,FALSE)),IF(ISNA(VLOOKUP(B20,'Regioturnier 1'!$R$3:$S$34,2,FALSE))=TRUE,0,VLOOKUP(B20,'Regioturnier 1'!$R$3:$S$34,2,FALSE)), IF(ISNA(VLOOKUP(B20,'Regioturnier 1'!$V$3:$W$34,2,FALSE))=TRUE,0,VLOOKUP(B20,'Regioturnier 1'!$V$3:$W$34,2,FALSE)), IF(ISNA(VLOOKUP(B20,'Regioturnier 1'!$Z$3:$AA$34,2,FALSE))=TRUE,0,VLOOKUP(B20,'Regioturnier 1'!$Z$3:$AA$34,2,FALSE)))</f>
        <v>175</v>
      </c>
      <c r="P20" s="15">
        <f>MAX(IF(ISNA(VLOOKUP(B20,'Regioturnier 2'!$B$3:$C$34,2,FALSE))=TRUE,0,VLOOKUP(B20,'Regioturnier 2'!$B$3:$C$34,2,FALSE)),IF(ISNA(VLOOKUP(B20,'Regioturnier 2'!$F$3:$G$34,2,FALSE))=TRUE,0,VLOOKUP(B20,'Regioturnier 2'!$F$3:$G$34,2,FALSE)),IF(ISNA(VLOOKUP(B20,'Regioturnier 2'!$J$3:$K$34,2,FALSE))=TRUE,0,VLOOKUP(B20,'Regioturnier 2'!$J$3:$K$34,2,FALSE)),IF(ISNA(VLOOKUP(B20,'Regioturnier 2'!$N$3:$O$34,2,FALSE))=TRUE,0,VLOOKUP(B20,'Regioturnier 2'!$N$3:$O$34,2,FALSE)),IF(ISNA(VLOOKUP(B20,'Regioturnier 2'!$R$3:$S$34,2,FALSE))=TRUE,0,VLOOKUP(B20,'Regioturnier 2'!$R$3:$S$34,2,FALSE)), IF(ISNA(VLOOKUP(B20,'Regioturnier 2'!$V$3:$W$34,2,FALSE))=TRUE,0,VLOOKUP(B20,'Regioturnier 2'!$V$3:$W$34,2,FALSE)), IF(ISNA(VLOOKUP(B20,'Regioturnier 2'!$Z$3:$AA$34,2,FALSE))=TRUE,0,VLOOKUP(B20,'Regioturnier 2'!$Z$3:$AA$34,2,FALSE)))</f>
        <v>184</v>
      </c>
      <c r="Q20" s="15">
        <f>MAX(IF(ISNA(VLOOKUP(B20,'Regioturnier 3'!$B$3:$C$34,2,FALSE))=TRUE,0,VLOOKUP(B20,'Regioturnier 3'!$B$3:$C$34,2,FALSE)),IF(ISNA(VLOOKUP(B20,'Regioturnier 3'!$F$3:$G$34,2,FALSE))=TRUE,0,VLOOKUP(B20,'Regioturnier 3'!$F$3:$G$34,2,FALSE)),IF(ISNA(VLOOKUP(B20,'Regioturnier 3'!$J$3:$K$34,2,FALSE))=TRUE,0,VLOOKUP(B20,'Regioturnier 3'!$J$3:$K$34,2,FALSE)),IF(ISNA(VLOOKUP(B20,'Regioturnier 3'!$N$3:$O$34,2,FALSE))=TRUE,0,VLOOKUP(B20,'Regioturnier 3'!$N$3:$O$34,2,FALSE)),IF(ISNA(VLOOKUP(B20,'Regioturnier 3'!$R$3:$S$34,2,FALSE))=TRUE,0,VLOOKUP(B20,'Regioturnier 3'!$R$3:$S$34,2,FALSE)), IF(ISNA(VLOOKUP(B20,'Regioturnier 3'!$V$3:$W$34,2,FALSE))=TRUE,0,VLOOKUP(B20,'Regioturnier 3'!$V$3:$W$34,2,FALSE)), IF(ISNA(VLOOKUP(B20,'Regioturnier 3'!$Z$3:$AA$34,2,FALSE))=TRUE,0,VLOOKUP(B20,'Regioturnier 3'!$Z$3:$AA$34,2,FALSE)))</f>
        <v>0</v>
      </c>
      <c r="R20" s="20">
        <f>0.5*INDEX($H20:$N20,MATCH(LARGE($H20:$N20,1),$H20:$N20,0))+0.3*INDEX($H20:$N20,MATCH(LARGE($H20:$N20,2),$H20:$N20,0))+0.2*INDEX($H20:$N20,MATCH(LARGE($H20:$N20,3),$H20:$N20,0))</f>
        <v>124.1</v>
      </c>
      <c r="S20" s="20">
        <f>0.6*INDEX(O20:Q20,MATCH(LARGE(O20:Q20,1),O20:Q20,0))+0.4*INDEX(O20:Q20,MATCH(LARGE(O20:Q20,2),O20:Q20,0))+0*INDEX(O20:Q20,MATCH(LARGE(O20:Q20,3),O20:Q20,0))</f>
        <v>180.39999999999998</v>
      </c>
      <c r="T20" s="15">
        <f>1*INDEX(R20:S20,MATCH(LARGE(R20:S20,1),R20:S20,0))+0*INDEX(R20:S20,MATCH(LARGE(R20:S20,2),R20:S20,0))</f>
        <v>180.39999999999998</v>
      </c>
      <c r="U20" s="21"/>
      <c r="V20" s="21"/>
      <c r="W20" s="21"/>
      <c r="X20" s="21"/>
      <c r="Y20" s="21"/>
      <c r="Z20" s="21"/>
    </row>
    <row r="21" spans="1:26" ht="12.75" customHeight="1" x14ac:dyDescent="0.3">
      <c r="A21" s="15">
        <v>20</v>
      </c>
      <c r="B21" s="16" t="s">
        <v>145</v>
      </c>
      <c r="C21" s="17" t="s">
        <v>46</v>
      </c>
      <c r="D21" s="15" t="s">
        <v>26</v>
      </c>
      <c r="E21" s="18" t="s">
        <v>23</v>
      </c>
      <c r="F21" s="15">
        <v>111727</v>
      </c>
      <c r="G21" s="22">
        <v>2014</v>
      </c>
      <c r="H21" s="15">
        <f>MAX(IF(ISNA(VLOOKUP(B21,'WBV 1'!$B$3:$C$34,2,FALSE))=TRUE,0,VLOOKUP(B21,'WBV 1'!$B$3:$C$34,2,FALSE)),IF(ISNA(VLOOKUP(B21,'WBV 1'!$F$3:$G$34,2,FALSE))=TRUE,0,VLOOKUP(B21,'WBV 1'!$F$3:$G$34,2,FALSE)),IF(ISNA(VLOOKUP(B21,'WBV 1'!$J$3:$K$34,2,FALSE))=TRUE,0,VLOOKUP(B21,'WBV 1'!$J$3:$K$34,2,FALSE)),IF(ISNA(VLOOKUP(B21,'WBV 1'!$N$3:$O$34,2,FALSE))=TRUE,0,VLOOKUP(B21,'WBV 1'!$N$3:$O$34,2,FALSE)))</f>
        <v>178</v>
      </c>
      <c r="I21" s="15">
        <f>MAX(IF(ISNA(VLOOKUP(B21,'WBV 2'!$B$3:$C$34,2,FALSE))=TRUE,0,VLOOKUP(B21,'WBV 2'!$B$3:$C$34,2,FALSE)),IF(ISNA(VLOOKUP(B21,'WBV 2'!$F$3:$G$34,2,FALSE))=TRUE,0,VLOOKUP(B21,'WBV 2'!$F$3:$G$34,2,FALSE)),IF(ISNA(VLOOKUP(B21,'WBV 2'!$J$3:$K$34,2,FALSE))=TRUE,0,VLOOKUP(B21,'WBV 2'!$J$3:$K$34,2,FALSE)),IF(ISNA(VLOOKUP(B21,'WBV 2'!$N$3:$O$34,2,FALSE))=TRUE,0,VLOOKUP(B21,'WBV 2'!$N$3:$O$34,2,FALSE)))</f>
        <v>179</v>
      </c>
      <c r="J21" s="15">
        <f>MAX(IF(ISNA(VLOOKUP(B21,'WBV 3'!$B$3:$C$34,2,FALSE))=TRUE,0,VLOOKUP(B21,'WBV 3'!$B$3:$C$34,2,FALSE)),IF(ISNA(VLOOKUP(B21,'WBV 3'!$F$3:$G$34,2,FALSE))=TRUE,0,VLOOKUP(B21,'WBV 3'!$F$3:$G$34,2,FALSE)),IF(ISNA(VLOOKUP(B21,'WBV 3'!$J$3:$K$34,2,FALSE))=TRUE,0,VLOOKUP(B21,'WBV 3'!$J$3:$K$34,2,FALSE)),IF(ISNA(VLOOKUP(B21,'WBV 3'!$N$3:$O$34,2,FALSE))=TRUE,0,VLOOKUP(B21,'WBV 3'!$N$3:$O$34,2,FALSE)))</f>
        <v>177</v>
      </c>
      <c r="K21" s="15">
        <f>MAX(IF(ISNA(VLOOKUP(B21,'WBV 4'!$B$3:$C$34,2,FALSE))=TRUE,0,VLOOKUP(B21,'WBV 4'!$B$3:$C$34,2,FALSE)),IF(ISNA(VLOOKUP(B21,'WBV 4'!$F$3:$G$34,2,FALSE))=TRUE,0,VLOOKUP(B21,'WBV 4'!$F$3:$G$34,2,FALSE)),IF(ISNA(VLOOKUP(B21,'WBV 4'!$J$3:$K$34,2,FALSE))=TRUE,0,VLOOKUP(B21,'WBV 4'!$J$3:$K$34,2,FALSE)),IF(ISNA(VLOOKUP(B21,'WBV 4'!$N$3:$O$34,2,FALSE))=TRUE,0,VLOOKUP(B21,'WBV 4'!$N$3:$O$34,2,FALSE)))</f>
        <v>0</v>
      </c>
      <c r="L21" s="19">
        <f>MAX(IF(ISNA(VLOOKUP(B21,'NÖBV 1'!$B$3:$C$34,2,FALSE))=TRUE,0,VLOOKUP(B21,'NÖBV 1'!$B$3:$C$34,2,FALSE)),IF(ISNA(VLOOKUP(B21,'NÖBV 1'!$F$3:$G$34,2,FALSE))=TRUE,0,VLOOKUP(B21,'NÖBV 1'!$F$3:$G$34,2,FALSE)),IF(ISNA(VLOOKUP(B21,'NÖBV 1'!$J$3:$K$34,2,FALSE))=TRUE,0,VLOOKUP(B21,'NÖBV 1'!$J$3:$K$34,2,FALSE)),IF(ISNA(VLOOKUP(B21,'NÖBV 1'!$N$3:$O$34,2,FALSE))=TRUE,0,VLOOKUP(B21,'NÖBV 1'!$N$3:$O$34,2,FALSE)))</f>
        <v>0</v>
      </c>
      <c r="M21" s="19">
        <f>MAX(IF(ISNA(VLOOKUP(B21,'NÖBV 2'!$B$3:$C$34,2,FALSE))=TRUE,0,VLOOKUP(B21,'NÖBV 2'!$B$3:$C$34,2,FALSE)),IF(ISNA(VLOOKUP(B21,'NÖBV 2'!$F$3:$G$34,2,FALSE))=TRUE,0,VLOOKUP(B21,'NÖBV 2'!$F$3:$G$34,2,FALSE)),IF(ISNA(VLOOKUP(B21,'NÖBV 2'!$J$3:$K$34,2,FALSE))=TRUE,0,VLOOKUP(B21,'NÖBV 2'!$J$3:$K$34,2,FALSE)),IF(ISNA(VLOOKUP(B21,'NÖBV 2'!$N$3:$O$34,2,FALSE))=TRUE,0,VLOOKUP(B21,'NÖBV 2'!$N$3:$O$34,2,FALSE)))</f>
        <v>0</v>
      </c>
      <c r="N21" s="19">
        <f>MAX(IF(ISNA(VLOOKUP(B21,'NÖBV 3'!$B$3:$C$34,2,FALSE))=TRUE,0,VLOOKUP(B21,'NÖBV 3'!$B$3:$C$34,2,FALSE)),IF(ISNA(VLOOKUP(B21,'NÖBV 3'!$F$3:$G$34,2,FALSE))=TRUE,0,VLOOKUP(B21,'NÖBV 3'!$F$3:$G$34,2,FALSE)),IF(ISNA(VLOOKUP(B21,'NÖBV 3'!$J$3:$K$34,2,FALSE))=TRUE,0,VLOOKUP(B21,'NÖBV 3'!$J$3:$K$34,2,FALSE)),IF(ISNA(VLOOKUP(B21,'NÖBV 3'!$N$3:$O$34,2,FALSE))=TRUE,0,VLOOKUP(B21,'NÖBV 3'!$N$3:$O$34,2,FALSE)))</f>
        <v>0</v>
      </c>
      <c r="O21" s="15">
        <f>MAX(IF(ISNA(VLOOKUP(B21,'Regioturnier 1'!$B$3:$C$34,2,FALSE))=TRUE,0,VLOOKUP(B21,'Regioturnier 1'!$B$3:$C$34,2,FALSE)),IF(ISNA(VLOOKUP(B21,'Regioturnier 1'!$F$3:$G$34,2,FALSE))=TRUE,0,VLOOKUP(B21,'Regioturnier 1'!$F$3:$G$34,2,FALSE)),IF(ISNA(VLOOKUP(B21,'Regioturnier 1'!$J$3:$K$34,2,FALSE))=TRUE,0,VLOOKUP(B21,'Regioturnier 1'!$J$3:$K$34,2,FALSE)),IF(ISNA(VLOOKUP(B21,'Regioturnier 1'!$N$3:$O$34,2,FALSE))=TRUE,0,VLOOKUP(B21,'Regioturnier 1'!$N$3:$O$34,2,FALSE)),IF(ISNA(VLOOKUP(B21,'Regioturnier 1'!$R$3:$S$34,2,FALSE))=TRUE,0,VLOOKUP(B21,'Regioturnier 1'!$R$3:$S$34,2,FALSE)), IF(ISNA(VLOOKUP(B21,'Regioturnier 1'!$V$3:$W$34,2,FALSE))=TRUE,0,VLOOKUP(B21,'Regioturnier 1'!$V$3:$W$34,2,FALSE)), IF(ISNA(VLOOKUP(B21,'Regioturnier 1'!$Z$3:$AA$34,2,FALSE))=TRUE,0,VLOOKUP(B21,'Regioturnier 1'!$Z$3:$AA$34,2,FALSE)))</f>
        <v>193</v>
      </c>
      <c r="P21" s="15">
        <f>MAX(IF(ISNA(VLOOKUP(B21,'Regioturnier 2'!$B$3:$C$34,2,FALSE))=TRUE,0,VLOOKUP(B21,'Regioturnier 2'!$B$3:$C$34,2,FALSE)),IF(ISNA(VLOOKUP(B21,'Regioturnier 2'!$F$3:$G$34,2,FALSE))=TRUE,0,VLOOKUP(B21,'Regioturnier 2'!$F$3:$G$34,2,FALSE)),IF(ISNA(VLOOKUP(B21,'Regioturnier 2'!$J$3:$K$34,2,FALSE))=TRUE,0,VLOOKUP(B21,'Regioturnier 2'!$J$3:$K$34,2,FALSE)),IF(ISNA(VLOOKUP(B21,'Regioturnier 2'!$N$3:$O$34,2,FALSE))=TRUE,0,VLOOKUP(B21,'Regioturnier 2'!$N$3:$O$34,2,FALSE)),IF(ISNA(VLOOKUP(B21,'Regioturnier 2'!$R$3:$S$34,2,FALSE))=TRUE,0,VLOOKUP(B21,'Regioturnier 2'!$R$3:$S$34,2,FALSE)), IF(ISNA(VLOOKUP(B21,'Regioturnier 2'!$V$3:$W$34,2,FALSE))=TRUE,0,VLOOKUP(B21,'Regioturnier 2'!$V$3:$W$34,2,FALSE)), IF(ISNA(VLOOKUP(B21,'Regioturnier 2'!$Z$3:$AA$34,2,FALSE))=TRUE,0,VLOOKUP(B21,'Regioturnier 2'!$Z$3:$AA$34,2,FALSE)))</f>
        <v>0</v>
      </c>
      <c r="Q21" s="15">
        <f>MAX(IF(ISNA(VLOOKUP(B21,'Regioturnier 3'!$B$3:$C$34,2,FALSE))=TRUE,0,VLOOKUP(B21,'Regioturnier 3'!$B$3:$C$34,2,FALSE)),IF(ISNA(VLOOKUP(B21,'Regioturnier 3'!$F$3:$G$34,2,FALSE))=TRUE,0,VLOOKUP(B21,'Regioturnier 3'!$F$3:$G$34,2,FALSE)),IF(ISNA(VLOOKUP(B21,'Regioturnier 3'!$J$3:$K$34,2,FALSE))=TRUE,0,VLOOKUP(B21,'Regioturnier 3'!$J$3:$K$34,2,FALSE)),IF(ISNA(VLOOKUP(B21,'Regioturnier 3'!$N$3:$O$34,2,FALSE))=TRUE,0,VLOOKUP(B21,'Regioturnier 3'!$N$3:$O$34,2,FALSE)),IF(ISNA(VLOOKUP(B21,'Regioturnier 3'!$R$3:$S$34,2,FALSE))=TRUE,0,VLOOKUP(B21,'Regioturnier 3'!$R$3:$S$34,2,FALSE)), IF(ISNA(VLOOKUP(B21,'Regioturnier 3'!$V$3:$W$34,2,FALSE))=TRUE,0,VLOOKUP(B21,'Regioturnier 3'!$V$3:$W$34,2,FALSE)), IF(ISNA(VLOOKUP(B21,'Regioturnier 3'!$Z$3:$AA$34,2,FALSE))=TRUE,0,VLOOKUP(B21,'Regioturnier 3'!$Z$3:$AA$34,2,FALSE)))</f>
        <v>0</v>
      </c>
      <c r="R21" s="20">
        <f>0.5*INDEX($H21:$N21,MATCH(LARGE($H21:$N21,1),$H21:$N21,0))+0.3*INDEX($H21:$N21,MATCH(LARGE($H21:$N21,2),$H21:$N21,0))+0.2*INDEX($H21:$N21,MATCH(LARGE($H21:$N21,3),$H21:$N21,0))</f>
        <v>178.3</v>
      </c>
      <c r="S21" s="20">
        <f>0.6*INDEX(O21:Q21,MATCH(LARGE(O21:Q21,1),O21:Q21,0))+0.4*INDEX(O21:Q21,MATCH(LARGE(O21:Q21,2),O21:Q21,0))+0*INDEX(O21:Q21,MATCH(LARGE(O21:Q21,3),O21:Q21,0))</f>
        <v>115.8</v>
      </c>
      <c r="T21" s="15">
        <f>1*INDEX(R21:S21,MATCH(LARGE(R21:S21,1),R21:S21,0))+0*INDEX(R21:S21,MATCH(LARGE(R21:S21,2),R21:S21,0))</f>
        <v>178.3</v>
      </c>
      <c r="U21" s="21"/>
      <c r="V21" s="21"/>
      <c r="W21" s="21"/>
      <c r="X21" s="21"/>
      <c r="Y21" s="21"/>
      <c r="Z21" s="21"/>
    </row>
    <row r="22" spans="1:26" ht="12.75" customHeight="1" x14ac:dyDescent="0.3">
      <c r="A22" s="15">
        <v>21</v>
      </c>
      <c r="B22" s="16" t="s">
        <v>63</v>
      </c>
      <c r="C22" s="17" t="s">
        <v>54</v>
      </c>
      <c r="D22" s="15" t="s">
        <v>22</v>
      </c>
      <c r="E22" s="18" t="s">
        <v>40</v>
      </c>
      <c r="F22" s="15" t="s">
        <v>64</v>
      </c>
      <c r="G22" s="22">
        <v>2014</v>
      </c>
      <c r="H22" s="15">
        <f>MAX(IF(ISNA(VLOOKUP(B22,'WBV 1'!$B$3:$C$34,2,FALSE))=TRUE,0,VLOOKUP(B22,'WBV 1'!$B$3:$C$34,2,FALSE)),IF(ISNA(VLOOKUP(B22,'WBV 1'!$F$3:$G$34,2,FALSE))=TRUE,0,VLOOKUP(B22,'WBV 1'!$F$3:$G$34,2,FALSE)),IF(ISNA(VLOOKUP(B22,'WBV 1'!$J$3:$K$34,2,FALSE))=TRUE,0,VLOOKUP(B22,'WBV 1'!$J$3:$K$34,2,FALSE)),IF(ISNA(VLOOKUP(B22,'WBV 1'!$N$3:$O$34,2,FALSE))=TRUE,0,VLOOKUP(B22,'WBV 1'!$N$3:$O$34,2,FALSE)))</f>
        <v>0</v>
      </c>
      <c r="I22" s="15">
        <f>MAX(IF(ISNA(VLOOKUP(B22,'WBV 2'!$B$3:$C$34,2,FALSE))=TRUE,0,VLOOKUP(B22,'WBV 2'!$B$3:$C$34,2,FALSE)),IF(ISNA(VLOOKUP(B22,'WBV 2'!$F$3:$G$34,2,FALSE))=TRUE,0,VLOOKUP(B22,'WBV 2'!$F$3:$G$34,2,FALSE)),IF(ISNA(VLOOKUP(B22,'WBV 2'!$J$3:$K$34,2,FALSE))=TRUE,0,VLOOKUP(B22,'WBV 2'!$J$3:$K$34,2,FALSE)),IF(ISNA(VLOOKUP(B22,'WBV 2'!$N$3:$O$34,2,FALSE))=TRUE,0,VLOOKUP(B22,'WBV 2'!$N$3:$O$34,2,FALSE)))</f>
        <v>0</v>
      </c>
      <c r="J22" s="15">
        <f>MAX(IF(ISNA(VLOOKUP(B22,'WBV 3'!$B$3:$C$34,2,FALSE))=TRUE,0,VLOOKUP(B22,'WBV 3'!$B$3:$C$34,2,FALSE)),IF(ISNA(VLOOKUP(B22,'WBV 3'!$F$3:$G$34,2,FALSE))=TRUE,0,VLOOKUP(B22,'WBV 3'!$F$3:$G$34,2,FALSE)),IF(ISNA(VLOOKUP(B22,'WBV 3'!$J$3:$K$34,2,FALSE))=TRUE,0,VLOOKUP(B22,'WBV 3'!$J$3:$K$34,2,FALSE)),IF(ISNA(VLOOKUP(B22,'WBV 3'!$N$3:$O$34,2,FALSE))=TRUE,0,VLOOKUP(B22,'WBV 3'!$N$3:$O$34,2,FALSE)))</f>
        <v>0</v>
      </c>
      <c r="K22" s="15">
        <f>MAX(IF(ISNA(VLOOKUP(B22,'WBV 4'!$B$3:$C$34,2,FALSE))=TRUE,0,VLOOKUP(B22,'WBV 4'!$B$3:$C$34,2,FALSE)),IF(ISNA(VLOOKUP(B22,'WBV 4'!$F$3:$G$34,2,FALSE))=TRUE,0,VLOOKUP(B22,'WBV 4'!$F$3:$G$34,2,FALSE)),IF(ISNA(VLOOKUP(B22,'WBV 4'!$J$3:$K$34,2,FALSE))=TRUE,0,VLOOKUP(B22,'WBV 4'!$J$3:$K$34,2,FALSE)),IF(ISNA(VLOOKUP(B22,'WBV 4'!$N$3:$O$34,2,FALSE))=TRUE,0,VLOOKUP(B22,'WBV 4'!$N$3:$O$34,2,FALSE)))</f>
        <v>0</v>
      </c>
      <c r="L22" s="19">
        <f>MAX(IF(ISNA(VLOOKUP(B22,'NÖBV 1'!$B$3:$C$34,2,FALSE))=TRUE,0,VLOOKUP(B22,'NÖBV 1'!$B$3:$C$34,2,FALSE)),IF(ISNA(VLOOKUP(B22,'NÖBV 1'!$F$3:$G$34,2,FALSE))=TRUE,0,VLOOKUP(B22,'NÖBV 1'!$F$3:$G$34,2,FALSE)),IF(ISNA(VLOOKUP(B22,'NÖBV 1'!$J$3:$K$34,2,FALSE))=TRUE,0,VLOOKUP(B22,'NÖBV 1'!$J$3:$K$34,2,FALSE)),IF(ISNA(VLOOKUP(B22,'NÖBV 1'!$N$3:$O$34,2,FALSE))=TRUE,0,VLOOKUP(B22,'NÖBV 1'!$N$3:$O$34,2,FALSE)))</f>
        <v>176</v>
      </c>
      <c r="M22" s="19">
        <f>MAX(IF(ISNA(VLOOKUP(B22,'NÖBV 2'!$B$3:$C$34,2,FALSE))=TRUE,0,VLOOKUP(B22,'NÖBV 2'!$B$3:$C$34,2,FALSE)),IF(ISNA(VLOOKUP(B22,'NÖBV 2'!$F$3:$G$34,2,FALSE))=TRUE,0,VLOOKUP(B22,'NÖBV 2'!$F$3:$G$34,2,FALSE)),IF(ISNA(VLOOKUP(B22,'NÖBV 2'!$J$3:$K$34,2,FALSE))=TRUE,0,VLOOKUP(B22,'NÖBV 2'!$J$3:$K$34,2,FALSE)),IF(ISNA(VLOOKUP(B22,'NÖBV 2'!$N$3:$O$34,2,FALSE))=TRUE,0,VLOOKUP(B22,'NÖBV 2'!$N$3:$O$34,2,FALSE)))</f>
        <v>164</v>
      </c>
      <c r="N22" s="19">
        <f>MAX(IF(ISNA(VLOOKUP(B22,'NÖBV 3'!$B$3:$C$34,2,FALSE))=TRUE,0,VLOOKUP(B22,'NÖBV 3'!$B$3:$C$34,2,FALSE)),IF(ISNA(VLOOKUP(B22,'NÖBV 3'!$F$3:$G$34,2,FALSE))=TRUE,0,VLOOKUP(B22,'NÖBV 3'!$F$3:$G$34,2,FALSE)),IF(ISNA(VLOOKUP(B22,'NÖBV 3'!$J$3:$K$34,2,FALSE))=TRUE,0,VLOOKUP(B22,'NÖBV 3'!$J$3:$K$34,2,FALSE)),IF(ISNA(VLOOKUP(B22,'NÖBV 3'!$N$3:$O$34,2,FALSE))=TRUE,0,VLOOKUP(B22,'NÖBV 3'!$N$3:$O$34,2,FALSE)))</f>
        <v>180</v>
      </c>
      <c r="O22" s="15">
        <f>MAX(IF(ISNA(VLOOKUP(B22,'Regioturnier 1'!$B$3:$C$34,2,FALSE))=TRUE,0,VLOOKUP(B22,'Regioturnier 1'!$B$3:$C$34,2,FALSE)),IF(ISNA(VLOOKUP(B22,'Regioturnier 1'!$F$3:$G$34,2,FALSE))=TRUE,0,VLOOKUP(B22,'Regioturnier 1'!$F$3:$G$34,2,FALSE)),IF(ISNA(VLOOKUP(B22,'Regioturnier 1'!$J$3:$K$34,2,FALSE))=TRUE,0,VLOOKUP(B22,'Regioturnier 1'!$J$3:$K$34,2,FALSE)),IF(ISNA(VLOOKUP(B22,'Regioturnier 1'!$N$3:$O$34,2,FALSE))=TRUE,0,VLOOKUP(B22,'Regioturnier 1'!$N$3:$O$34,2,FALSE)),IF(ISNA(VLOOKUP(B22,'Regioturnier 1'!$R$3:$S$34,2,FALSE))=TRUE,0,VLOOKUP(B22,'Regioturnier 1'!$R$3:$S$34,2,FALSE)), IF(ISNA(VLOOKUP(B22,'Regioturnier 1'!$V$3:$W$34,2,FALSE))=TRUE,0,VLOOKUP(B22,'Regioturnier 1'!$V$3:$W$34,2,FALSE)), IF(ISNA(VLOOKUP(B22,'Regioturnier 1'!$Z$3:$AA$34,2,FALSE))=TRUE,0,VLOOKUP(B22,'Regioturnier 1'!$Z$3:$AA$34,2,FALSE)))</f>
        <v>0</v>
      </c>
      <c r="P22" s="15">
        <f>MAX(IF(ISNA(VLOOKUP(B22,'Regioturnier 2'!$B$3:$C$34,2,FALSE))=TRUE,0,VLOOKUP(B22,'Regioturnier 2'!$B$3:$C$34,2,FALSE)),IF(ISNA(VLOOKUP(B22,'Regioturnier 2'!$F$3:$G$34,2,FALSE))=TRUE,0,VLOOKUP(B22,'Regioturnier 2'!$F$3:$G$34,2,FALSE)),IF(ISNA(VLOOKUP(B22,'Regioturnier 2'!$J$3:$K$34,2,FALSE))=TRUE,0,VLOOKUP(B22,'Regioturnier 2'!$J$3:$K$34,2,FALSE)),IF(ISNA(VLOOKUP(B22,'Regioturnier 2'!$N$3:$O$34,2,FALSE))=TRUE,0,VLOOKUP(B22,'Regioturnier 2'!$N$3:$O$34,2,FALSE)),IF(ISNA(VLOOKUP(B22,'Regioturnier 2'!$R$3:$S$34,2,FALSE))=TRUE,0,VLOOKUP(B22,'Regioturnier 2'!$R$3:$S$34,2,FALSE)), IF(ISNA(VLOOKUP(B22,'Regioturnier 2'!$V$3:$W$34,2,FALSE))=TRUE,0,VLOOKUP(B22,'Regioturnier 2'!$V$3:$W$34,2,FALSE)), IF(ISNA(VLOOKUP(B22,'Regioturnier 2'!$Z$3:$AA$34,2,FALSE))=TRUE,0,VLOOKUP(B22,'Regioturnier 2'!$Z$3:$AA$34,2,FALSE)))</f>
        <v>184</v>
      </c>
      <c r="Q22" s="15">
        <f>MAX(IF(ISNA(VLOOKUP(B22,'Regioturnier 3'!$B$3:$C$34,2,FALSE))=TRUE,0,VLOOKUP(B22,'Regioturnier 3'!$B$3:$C$34,2,FALSE)),IF(ISNA(VLOOKUP(B22,'Regioturnier 3'!$F$3:$G$34,2,FALSE))=TRUE,0,VLOOKUP(B22,'Regioturnier 3'!$F$3:$G$34,2,FALSE)),IF(ISNA(VLOOKUP(B22,'Regioturnier 3'!$J$3:$K$34,2,FALSE))=TRUE,0,VLOOKUP(B22,'Regioturnier 3'!$J$3:$K$34,2,FALSE)),IF(ISNA(VLOOKUP(B22,'Regioturnier 3'!$N$3:$O$34,2,FALSE))=TRUE,0,VLOOKUP(B22,'Regioturnier 3'!$N$3:$O$34,2,FALSE)),IF(ISNA(VLOOKUP(B22,'Regioturnier 3'!$R$3:$S$34,2,FALSE))=TRUE,0,VLOOKUP(B22,'Regioturnier 3'!$R$3:$S$34,2,FALSE)), IF(ISNA(VLOOKUP(B22,'Regioturnier 3'!$V$3:$W$34,2,FALSE))=TRUE,0,VLOOKUP(B22,'Regioturnier 3'!$V$3:$W$34,2,FALSE)), IF(ISNA(VLOOKUP(B22,'Regioturnier 3'!$Z$3:$AA$34,2,FALSE))=TRUE,0,VLOOKUP(B22,'Regioturnier 3'!$Z$3:$AA$34,2,FALSE)))</f>
        <v>0</v>
      </c>
      <c r="R22" s="20">
        <f>0.5*INDEX($H22:$N22,MATCH(LARGE($H22:$N22,1),$H22:$N22,0))+0.3*INDEX($H22:$N22,MATCH(LARGE($H22:$N22,2),$H22:$N22,0))+0.2*INDEX($H22:$N22,MATCH(LARGE($H22:$N22,3),$H22:$N22,0))</f>
        <v>175.60000000000002</v>
      </c>
      <c r="S22" s="20">
        <f>0.6*INDEX(O22:Q22,MATCH(LARGE(O22:Q22,1),O22:Q22,0))+0.4*INDEX(O22:Q22,MATCH(LARGE(O22:Q22,2),O22:Q22,0))+0*INDEX(O22:Q22,MATCH(LARGE(O22:Q22,3),O22:Q22,0))</f>
        <v>110.39999999999999</v>
      </c>
      <c r="T22" s="15">
        <f>1*INDEX(R22:S22,MATCH(LARGE(R22:S22,1),R22:S22,0))+0*INDEX(R22:S22,MATCH(LARGE(R22:S22,2),R22:S22,0))</f>
        <v>175.60000000000002</v>
      </c>
      <c r="U22" s="21"/>
      <c r="V22" s="21"/>
      <c r="W22" s="21"/>
      <c r="X22" s="21"/>
      <c r="Y22" s="21"/>
      <c r="Z22" s="21"/>
    </row>
    <row r="23" spans="1:26" ht="12.75" customHeight="1" x14ac:dyDescent="0.3">
      <c r="A23" s="15">
        <v>22</v>
      </c>
      <c r="B23" s="16" t="s">
        <v>250</v>
      </c>
      <c r="C23" s="17" t="s">
        <v>160</v>
      </c>
      <c r="D23" s="15" t="s">
        <v>26</v>
      </c>
      <c r="E23" s="18" t="s">
        <v>40</v>
      </c>
      <c r="F23" s="15">
        <v>112208</v>
      </c>
      <c r="G23" s="22">
        <v>2012</v>
      </c>
      <c r="H23" s="15">
        <f>MAX(IF(ISNA(VLOOKUP(B23,'WBV 1'!$B$3:$C$34,2,FALSE))=TRUE,0,VLOOKUP(B23,'WBV 1'!$B$3:$C$34,2,FALSE)),IF(ISNA(VLOOKUP(B23,'WBV 1'!$F$3:$G$34,2,FALSE))=TRUE,0,VLOOKUP(B23,'WBV 1'!$F$3:$G$34,2,FALSE)),IF(ISNA(VLOOKUP(B23,'WBV 1'!$J$3:$K$34,2,FALSE))=TRUE,0,VLOOKUP(B23,'WBV 1'!$J$3:$K$34,2,FALSE)),IF(ISNA(VLOOKUP(B23,'WBV 1'!$N$3:$O$34,2,FALSE))=TRUE,0,VLOOKUP(B23,'WBV 1'!$N$3:$O$34,2,FALSE)))</f>
        <v>159</v>
      </c>
      <c r="I23" s="15">
        <f>MAX(IF(ISNA(VLOOKUP(B23,'WBV 2'!$B$3:$C$34,2,FALSE))=TRUE,0,VLOOKUP(B23,'WBV 2'!$B$3:$C$34,2,FALSE)),IF(ISNA(VLOOKUP(B23,'WBV 2'!$F$3:$G$34,2,FALSE))=TRUE,0,VLOOKUP(B23,'WBV 2'!$F$3:$G$34,2,FALSE)),IF(ISNA(VLOOKUP(B23,'WBV 2'!$J$3:$K$34,2,FALSE))=TRUE,0,VLOOKUP(B23,'WBV 2'!$J$3:$K$34,2,FALSE)),IF(ISNA(VLOOKUP(B23,'WBV 2'!$N$3:$O$34,2,FALSE))=TRUE,0,VLOOKUP(B23,'WBV 2'!$N$3:$O$34,2,FALSE)))</f>
        <v>140</v>
      </c>
      <c r="J23" s="15">
        <f>MAX(IF(ISNA(VLOOKUP(B23,'WBV 3'!$B$3:$C$34,2,FALSE))=TRUE,0,VLOOKUP(B23,'WBV 3'!$B$3:$C$34,2,FALSE)),IF(ISNA(VLOOKUP(B23,'WBV 3'!$F$3:$G$34,2,FALSE))=TRUE,0,VLOOKUP(B23,'WBV 3'!$F$3:$G$34,2,FALSE)),IF(ISNA(VLOOKUP(B23,'WBV 3'!$J$3:$K$34,2,FALSE))=TRUE,0,VLOOKUP(B23,'WBV 3'!$J$3:$K$34,2,FALSE)),IF(ISNA(VLOOKUP(B23,'WBV 3'!$N$3:$O$34,2,FALSE))=TRUE,0,VLOOKUP(B23,'WBV 3'!$N$3:$O$34,2,FALSE)))</f>
        <v>0</v>
      </c>
      <c r="K23" s="15">
        <f>MAX(IF(ISNA(VLOOKUP(B23,'WBV 4'!$B$3:$C$34,2,FALSE))=TRUE,0,VLOOKUP(B23,'WBV 4'!$B$3:$C$34,2,FALSE)),IF(ISNA(VLOOKUP(B23,'WBV 4'!$F$3:$G$34,2,FALSE))=TRUE,0,VLOOKUP(B23,'WBV 4'!$F$3:$G$34,2,FALSE)),IF(ISNA(VLOOKUP(B23,'WBV 4'!$J$3:$K$34,2,FALSE))=TRUE,0,VLOOKUP(B23,'WBV 4'!$J$3:$K$34,2,FALSE)),IF(ISNA(VLOOKUP(B23,'WBV 4'!$N$3:$O$34,2,FALSE))=TRUE,0,VLOOKUP(B23,'WBV 4'!$N$3:$O$34,2,FALSE)))</f>
        <v>0</v>
      </c>
      <c r="L23" s="19">
        <f>MAX(IF(ISNA(VLOOKUP(B23,'NÖBV 1'!$B$3:$C$34,2,FALSE))=TRUE,0,VLOOKUP(B23,'NÖBV 1'!$B$3:$C$34,2,FALSE)),IF(ISNA(VLOOKUP(B23,'NÖBV 1'!$F$3:$G$34,2,FALSE))=TRUE,0,VLOOKUP(B23,'NÖBV 1'!$F$3:$G$34,2,FALSE)),IF(ISNA(VLOOKUP(B23,'NÖBV 1'!$J$3:$K$34,2,FALSE))=TRUE,0,VLOOKUP(B23,'NÖBV 1'!$J$3:$K$34,2,FALSE)),IF(ISNA(VLOOKUP(B23,'NÖBV 1'!$N$3:$O$34,2,FALSE))=TRUE,0,VLOOKUP(B23,'NÖBV 1'!$N$3:$O$34,2,FALSE)))</f>
        <v>0</v>
      </c>
      <c r="M23" s="19">
        <f>MAX(IF(ISNA(VLOOKUP(B23,'NÖBV 2'!$B$3:$C$34,2,FALSE))=TRUE,0,VLOOKUP(B23,'NÖBV 2'!$B$3:$C$34,2,FALSE)),IF(ISNA(VLOOKUP(B23,'NÖBV 2'!$F$3:$G$34,2,FALSE))=TRUE,0,VLOOKUP(B23,'NÖBV 2'!$F$3:$G$34,2,FALSE)),IF(ISNA(VLOOKUP(B23,'NÖBV 2'!$J$3:$K$34,2,FALSE))=TRUE,0,VLOOKUP(B23,'NÖBV 2'!$J$3:$K$34,2,FALSE)),IF(ISNA(VLOOKUP(B23,'NÖBV 2'!$N$3:$O$34,2,FALSE))=TRUE,0,VLOOKUP(B23,'NÖBV 2'!$N$3:$O$34,2,FALSE)))</f>
        <v>0</v>
      </c>
      <c r="N23" s="19">
        <f>MAX(IF(ISNA(VLOOKUP(B23,'NÖBV 3'!$B$3:$C$34,2,FALSE))=TRUE,0,VLOOKUP(B23,'NÖBV 3'!$B$3:$C$34,2,FALSE)),IF(ISNA(VLOOKUP(B23,'NÖBV 3'!$F$3:$G$34,2,FALSE))=TRUE,0,VLOOKUP(B23,'NÖBV 3'!$F$3:$G$34,2,FALSE)),IF(ISNA(VLOOKUP(B23,'NÖBV 3'!$J$3:$K$34,2,FALSE))=TRUE,0,VLOOKUP(B23,'NÖBV 3'!$J$3:$K$34,2,FALSE)),IF(ISNA(VLOOKUP(B23,'NÖBV 3'!$N$3:$O$34,2,FALSE))=TRUE,0,VLOOKUP(B23,'NÖBV 3'!$N$3:$O$34,2,FALSE)))</f>
        <v>0</v>
      </c>
      <c r="O23" s="15">
        <f>MAX(IF(ISNA(VLOOKUP(B23,'Regioturnier 1'!$B$3:$C$34,2,FALSE))=TRUE,0,VLOOKUP(B23,'Regioturnier 1'!$B$3:$C$34,2,FALSE)),IF(ISNA(VLOOKUP(B23,'Regioturnier 1'!$F$3:$G$34,2,FALSE))=TRUE,0,VLOOKUP(B23,'Regioturnier 1'!$F$3:$G$34,2,FALSE)),IF(ISNA(VLOOKUP(B23,'Regioturnier 1'!$J$3:$K$34,2,FALSE))=TRUE,0,VLOOKUP(B23,'Regioturnier 1'!$J$3:$K$34,2,FALSE)),IF(ISNA(VLOOKUP(B23,'Regioturnier 1'!$N$3:$O$34,2,FALSE))=TRUE,0,VLOOKUP(B23,'Regioturnier 1'!$N$3:$O$34,2,FALSE)),IF(ISNA(VLOOKUP(B23,'Regioturnier 1'!$R$3:$S$34,2,FALSE))=TRUE,0,VLOOKUP(B23,'Regioturnier 1'!$R$3:$S$34,2,FALSE)), IF(ISNA(VLOOKUP(B23,'Regioturnier 1'!$V$3:$W$34,2,FALSE))=TRUE,0,VLOOKUP(B23,'Regioturnier 1'!$V$3:$W$34,2,FALSE)), IF(ISNA(VLOOKUP(B23,'Regioturnier 1'!$Z$3:$AA$34,2,FALSE))=TRUE,0,VLOOKUP(B23,'Regioturnier 1'!$Z$3:$AA$34,2,FALSE)))</f>
        <v>179</v>
      </c>
      <c r="P23" s="15">
        <f>MAX(IF(ISNA(VLOOKUP(B23,'Regioturnier 2'!$B$3:$C$34,2,FALSE))=TRUE,0,VLOOKUP(B23,'Regioturnier 2'!$B$3:$C$34,2,FALSE)),IF(ISNA(VLOOKUP(B23,'Regioturnier 2'!$F$3:$G$34,2,FALSE))=TRUE,0,VLOOKUP(B23,'Regioturnier 2'!$F$3:$G$34,2,FALSE)),IF(ISNA(VLOOKUP(B23,'Regioturnier 2'!$J$3:$K$34,2,FALSE))=TRUE,0,VLOOKUP(B23,'Regioturnier 2'!$J$3:$K$34,2,FALSE)),IF(ISNA(VLOOKUP(B23,'Regioturnier 2'!$N$3:$O$34,2,FALSE))=TRUE,0,VLOOKUP(B23,'Regioturnier 2'!$N$3:$O$34,2,FALSE)),IF(ISNA(VLOOKUP(B23,'Regioturnier 2'!$R$3:$S$34,2,FALSE))=TRUE,0,VLOOKUP(B23,'Regioturnier 2'!$R$3:$S$34,2,FALSE)), IF(ISNA(VLOOKUP(B23,'Regioturnier 2'!$V$3:$W$34,2,FALSE))=TRUE,0,VLOOKUP(B23,'Regioturnier 2'!$V$3:$W$34,2,FALSE)), IF(ISNA(VLOOKUP(B23,'Regioturnier 2'!$Z$3:$AA$34,2,FALSE))=TRUE,0,VLOOKUP(B23,'Regioturnier 2'!$Z$3:$AA$34,2,FALSE)))</f>
        <v>169</v>
      </c>
      <c r="Q23" s="15">
        <f>MAX(IF(ISNA(VLOOKUP(B23,'Regioturnier 3'!$B$3:$C$34,2,FALSE))=TRUE,0,VLOOKUP(B23,'Regioturnier 3'!$B$3:$C$34,2,FALSE)),IF(ISNA(VLOOKUP(B23,'Regioturnier 3'!$F$3:$G$34,2,FALSE))=TRUE,0,VLOOKUP(B23,'Regioturnier 3'!$F$3:$G$34,2,FALSE)),IF(ISNA(VLOOKUP(B23,'Regioturnier 3'!$J$3:$K$34,2,FALSE))=TRUE,0,VLOOKUP(B23,'Regioturnier 3'!$J$3:$K$34,2,FALSE)),IF(ISNA(VLOOKUP(B23,'Regioturnier 3'!$N$3:$O$34,2,FALSE))=TRUE,0,VLOOKUP(B23,'Regioturnier 3'!$N$3:$O$34,2,FALSE)),IF(ISNA(VLOOKUP(B23,'Regioturnier 3'!$R$3:$S$34,2,FALSE))=TRUE,0,VLOOKUP(B23,'Regioturnier 3'!$R$3:$S$34,2,FALSE)), IF(ISNA(VLOOKUP(B23,'Regioturnier 3'!$V$3:$W$34,2,FALSE))=TRUE,0,VLOOKUP(B23,'Regioturnier 3'!$V$3:$W$34,2,FALSE)), IF(ISNA(VLOOKUP(B23,'Regioturnier 3'!$Z$3:$AA$34,2,FALSE))=TRUE,0,VLOOKUP(B23,'Regioturnier 3'!$Z$3:$AA$34,2,FALSE)))</f>
        <v>0</v>
      </c>
      <c r="R23" s="20">
        <f>0.5*INDEX($H23:$N23,MATCH(LARGE($H23:$N23,1),$H23:$N23,0))+0.3*INDEX($H23:$N23,MATCH(LARGE($H23:$N23,2),$H23:$N23,0))+0.2*INDEX($H23:$N23,MATCH(LARGE($H23:$N23,3),$H23:$N23,0))</f>
        <v>121.5</v>
      </c>
      <c r="S23" s="20">
        <f>0.6*INDEX(O23:Q23,MATCH(LARGE(O23:Q23,1),O23:Q23,0))+0.4*INDEX(O23:Q23,MATCH(LARGE(O23:Q23,2),O23:Q23,0))+0*INDEX(O23:Q23,MATCH(LARGE(O23:Q23,3),O23:Q23,0))</f>
        <v>175</v>
      </c>
      <c r="T23" s="15">
        <f>1*INDEX(R23:S23,MATCH(LARGE(R23:S23,1),R23:S23,0))+0*INDEX(R23:S23,MATCH(LARGE(R23:S23,2),R23:S23,0))</f>
        <v>175</v>
      </c>
      <c r="U23" s="21"/>
      <c r="V23" s="21"/>
      <c r="W23" s="21"/>
      <c r="X23" s="21"/>
      <c r="Y23" s="21"/>
      <c r="Z23" s="21"/>
    </row>
    <row r="24" spans="1:26" ht="12.75" customHeight="1" x14ac:dyDescent="0.3">
      <c r="A24" s="15">
        <v>23</v>
      </c>
      <c r="B24" s="16" t="s">
        <v>219</v>
      </c>
      <c r="C24" s="17" t="s">
        <v>28</v>
      </c>
      <c r="D24" s="15" t="s">
        <v>22</v>
      </c>
      <c r="E24" s="18" t="s">
        <v>23</v>
      </c>
      <c r="F24" s="15" t="s">
        <v>220</v>
      </c>
      <c r="G24" s="22">
        <v>2013</v>
      </c>
      <c r="H24" s="15">
        <f>MAX(IF(ISNA(VLOOKUP(B24,'WBV 1'!$B$3:$C$34,2,FALSE))=TRUE,0,VLOOKUP(B24,'WBV 1'!$B$3:$C$34,2,FALSE)),IF(ISNA(VLOOKUP(B24,'WBV 1'!$F$3:$G$34,2,FALSE))=TRUE,0,VLOOKUP(B24,'WBV 1'!$F$3:$G$34,2,FALSE)),IF(ISNA(VLOOKUP(B24,'WBV 1'!$J$3:$K$34,2,FALSE))=TRUE,0,VLOOKUP(B24,'WBV 1'!$J$3:$K$34,2,FALSE)),IF(ISNA(VLOOKUP(B24,'WBV 1'!$N$3:$O$34,2,FALSE))=TRUE,0,VLOOKUP(B24,'WBV 1'!$N$3:$O$34,2,FALSE)))</f>
        <v>0</v>
      </c>
      <c r="I24" s="15">
        <f>MAX(IF(ISNA(VLOOKUP(B24,'WBV 2'!$B$3:$C$34,2,FALSE))=TRUE,0,VLOOKUP(B24,'WBV 2'!$B$3:$C$34,2,FALSE)),IF(ISNA(VLOOKUP(B24,'WBV 2'!$F$3:$G$34,2,FALSE))=TRUE,0,VLOOKUP(B24,'WBV 2'!$F$3:$G$34,2,FALSE)),IF(ISNA(VLOOKUP(B24,'WBV 2'!$J$3:$K$34,2,FALSE))=TRUE,0,VLOOKUP(B24,'WBV 2'!$J$3:$K$34,2,FALSE)),IF(ISNA(VLOOKUP(B24,'WBV 2'!$N$3:$O$34,2,FALSE))=TRUE,0,VLOOKUP(B24,'WBV 2'!$N$3:$O$34,2,FALSE)))</f>
        <v>0</v>
      </c>
      <c r="J24" s="15">
        <f>MAX(IF(ISNA(VLOOKUP(B24,'WBV 3'!$B$3:$C$34,2,FALSE))=TRUE,0,VLOOKUP(B24,'WBV 3'!$B$3:$C$34,2,FALSE)),IF(ISNA(VLOOKUP(B24,'WBV 3'!$F$3:$G$34,2,FALSE))=TRUE,0,VLOOKUP(B24,'WBV 3'!$F$3:$G$34,2,FALSE)),IF(ISNA(VLOOKUP(B24,'WBV 3'!$J$3:$K$34,2,FALSE))=TRUE,0,VLOOKUP(B24,'WBV 3'!$J$3:$K$34,2,FALSE)),IF(ISNA(VLOOKUP(B24,'WBV 3'!$N$3:$O$34,2,FALSE))=TRUE,0,VLOOKUP(B24,'WBV 3'!$N$3:$O$34,2,FALSE)))</f>
        <v>0</v>
      </c>
      <c r="K24" s="15">
        <f>MAX(IF(ISNA(VLOOKUP(B24,'WBV 4'!$B$3:$C$34,2,FALSE))=TRUE,0,VLOOKUP(B24,'WBV 4'!$B$3:$C$34,2,FALSE)),IF(ISNA(VLOOKUP(B24,'WBV 4'!$F$3:$G$34,2,FALSE))=TRUE,0,VLOOKUP(B24,'WBV 4'!$F$3:$G$34,2,FALSE)),IF(ISNA(VLOOKUP(B24,'WBV 4'!$J$3:$K$34,2,FALSE))=TRUE,0,VLOOKUP(B24,'WBV 4'!$J$3:$K$34,2,FALSE)),IF(ISNA(VLOOKUP(B24,'WBV 4'!$N$3:$O$34,2,FALSE))=TRUE,0,VLOOKUP(B24,'WBV 4'!$N$3:$O$34,2,FALSE)))</f>
        <v>0</v>
      </c>
      <c r="L24" s="19">
        <f>MAX(IF(ISNA(VLOOKUP(B24,'NÖBV 1'!$B$3:$C$34,2,FALSE))=TRUE,0,VLOOKUP(B24,'NÖBV 1'!$B$3:$C$34,2,FALSE)),IF(ISNA(VLOOKUP(B24,'NÖBV 1'!$F$3:$G$34,2,FALSE))=TRUE,0,VLOOKUP(B24,'NÖBV 1'!$F$3:$G$34,2,FALSE)),IF(ISNA(VLOOKUP(B24,'NÖBV 1'!$J$3:$K$34,2,FALSE))=TRUE,0,VLOOKUP(B24,'NÖBV 1'!$J$3:$K$34,2,FALSE)),IF(ISNA(VLOOKUP(B24,'NÖBV 1'!$N$3:$O$34,2,FALSE))=TRUE,0,VLOOKUP(B24,'NÖBV 1'!$N$3:$O$34,2,FALSE)))</f>
        <v>162</v>
      </c>
      <c r="M24" s="19">
        <f>MAX(IF(ISNA(VLOOKUP(B24,'NÖBV 2'!$B$3:$C$34,2,FALSE))=TRUE,0,VLOOKUP(B24,'NÖBV 2'!$B$3:$C$34,2,FALSE)),IF(ISNA(VLOOKUP(B24,'NÖBV 2'!$F$3:$G$34,2,FALSE))=TRUE,0,VLOOKUP(B24,'NÖBV 2'!$F$3:$G$34,2,FALSE)),IF(ISNA(VLOOKUP(B24,'NÖBV 2'!$J$3:$K$34,2,FALSE))=TRUE,0,VLOOKUP(B24,'NÖBV 2'!$J$3:$K$34,2,FALSE)),IF(ISNA(VLOOKUP(B24,'NÖBV 2'!$N$3:$O$34,2,FALSE))=TRUE,0,VLOOKUP(B24,'NÖBV 2'!$N$3:$O$34,2,FALSE)))</f>
        <v>163</v>
      </c>
      <c r="N24" s="19">
        <f>MAX(IF(ISNA(VLOOKUP(B24,'NÖBV 3'!$B$3:$C$34,2,FALSE))=TRUE,0,VLOOKUP(B24,'NÖBV 3'!$B$3:$C$34,2,FALSE)),IF(ISNA(VLOOKUP(B24,'NÖBV 3'!$F$3:$G$34,2,FALSE))=TRUE,0,VLOOKUP(B24,'NÖBV 3'!$F$3:$G$34,2,FALSE)),IF(ISNA(VLOOKUP(B24,'NÖBV 3'!$J$3:$K$34,2,FALSE))=TRUE,0,VLOOKUP(B24,'NÖBV 3'!$J$3:$K$34,2,FALSE)),IF(ISNA(VLOOKUP(B24,'NÖBV 3'!$N$3:$O$34,2,FALSE))=TRUE,0,VLOOKUP(B24,'NÖBV 3'!$N$3:$O$34,2,FALSE)))</f>
        <v>185</v>
      </c>
      <c r="O24" s="15">
        <f>MAX(IF(ISNA(VLOOKUP(B24,'Regioturnier 1'!$B$3:$C$34,2,FALSE))=TRUE,0,VLOOKUP(B24,'Regioturnier 1'!$B$3:$C$34,2,FALSE)),IF(ISNA(VLOOKUP(B24,'Regioturnier 1'!$F$3:$G$34,2,FALSE))=TRUE,0,VLOOKUP(B24,'Regioturnier 1'!$F$3:$G$34,2,FALSE)),IF(ISNA(VLOOKUP(B24,'Regioturnier 1'!$J$3:$K$34,2,FALSE))=TRUE,0,VLOOKUP(B24,'Regioturnier 1'!$J$3:$K$34,2,FALSE)),IF(ISNA(VLOOKUP(B24,'Regioturnier 1'!$N$3:$O$34,2,FALSE))=TRUE,0,VLOOKUP(B24,'Regioturnier 1'!$N$3:$O$34,2,FALSE)),IF(ISNA(VLOOKUP(B24,'Regioturnier 1'!$R$3:$S$34,2,FALSE))=TRUE,0,VLOOKUP(B24,'Regioturnier 1'!$R$3:$S$34,2,FALSE)), IF(ISNA(VLOOKUP(B24,'Regioturnier 1'!$V$3:$W$34,2,FALSE))=TRUE,0,VLOOKUP(B24,'Regioturnier 1'!$V$3:$W$34,2,FALSE)), IF(ISNA(VLOOKUP(B24,'Regioturnier 1'!$Z$3:$AA$34,2,FALSE))=TRUE,0,VLOOKUP(B24,'Regioturnier 1'!$Z$3:$AA$34,2,FALSE)))</f>
        <v>0</v>
      </c>
      <c r="P24" s="15">
        <f>MAX(IF(ISNA(VLOOKUP(B24,'Regioturnier 2'!$B$3:$C$34,2,FALSE))=TRUE,0,VLOOKUP(B24,'Regioturnier 2'!$B$3:$C$34,2,FALSE)),IF(ISNA(VLOOKUP(B24,'Regioturnier 2'!$F$3:$G$34,2,FALSE))=TRUE,0,VLOOKUP(B24,'Regioturnier 2'!$F$3:$G$34,2,FALSE)),IF(ISNA(VLOOKUP(B24,'Regioturnier 2'!$J$3:$K$34,2,FALSE))=TRUE,0,VLOOKUP(B24,'Regioturnier 2'!$J$3:$K$34,2,FALSE)),IF(ISNA(VLOOKUP(B24,'Regioturnier 2'!$N$3:$O$34,2,FALSE))=TRUE,0,VLOOKUP(B24,'Regioturnier 2'!$N$3:$O$34,2,FALSE)),IF(ISNA(VLOOKUP(B24,'Regioturnier 2'!$R$3:$S$34,2,FALSE))=TRUE,0,VLOOKUP(B24,'Regioturnier 2'!$R$3:$S$34,2,FALSE)), IF(ISNA(VLOOKUP(B24,'Regioturnier 2'!$V$3:$W$34,2,FALSE))=TRUE,0,VLOOKUP(B24,'Regioturnier 2'!$V$3:$W$34,2,FALSE)), IF(ISNA(VLOOKUP(B24,'Regioturnier 2'!$Z$3:$AA$34,2,FALSE))=TRUE,0,VLOOKUP(B24,'Regioturnier 2'!$Z$3:$AA$34,2,FALSE)))</f>
        <v>191</v>
      </c>
      <c r="Q24" s="15">
        <f>MAX(IF(ISNA(VLOOKUP(B24,'Regioturnier 3'!$B$3:$C$34,2,FALSE))=TRUE,0,VLOOKUP(B24,'Regioturnier 3'!$B$3:$C$34,2,FALSE)),IF(ISNA(VLOOKUP(B24,'Regioturnier 3'!$F$3:$G$34,2,FALSE))=TRUE,0,VLOOKUP(B24,'Regioturnier 3'!$F$3:$G$34,2,FALSE)),IF(ISNA(VLOOKUP(B24,'Regioturnier 3'!$J$3:$K$34,2,FALSE))=TRUE,0,VLOOKUP(B24,'Regioturnier 3'!$J$3:$K$34,2,FALSE)),IF(ISNA(VLOOKUP(B24,'Regioturnier 3'!$N$3:$O$34,2,FALSE))=TRUE,0,VLOOKUP(B24,'Regioturnier 3'!$N$3:$O$34,2,FALSE)),IF(ISNA(VLOOKUP(B24,'Regioturnier 3'!$R$3:$S$34,2,FALSE))=TRUE,0,VLOOKUP(B24,'Regioturnier 3'!$R$3:$S$34,2,FALSE)), IF(ISNA(VLOOKUP(B24,'Regioturnier 3'!$V$3:$W$34,2,FALSE))=TRUE,0,VLOOKUP(B24,'Regioturnier 3'!$V$3:$W$34,2,FALSE)), IF(ISNA(VLOOKUP(B24,'Regioturnier 3'!$Z$3:$AA$34,2,FALSE))=TRUE,0,VLOOKUP(B24,'Regioturnier 3'!$Z$3:$AA$34,2,FALSE)))</f>
        <v>0</v>
      </c>
      <c r="R24" s="20">
        <f>0.5*INDEX($H24:$N24,MATCH(LARGE($H24:$N24,1),$H24:$N24,0))+0.3*INDEX($H24:$N24,MATCH(LARGE($H24:$N24,2),$H24:$N24,0))+0.2*INDEX($H24:$N24,MATCH(LARGE($H24:$N24,3),$H24:$N24,0))</f>
        <v>173.8</v>
      </c>
      <c r="S24" s="20">
        <f>0.6*INDEX(O24:Q24,MATCH(LARGE(O24:Q24,1),O24:Q24,0))+0.4*INDEX(O24:Q24,MATCH(LARGE(O24:Q24,2),O24:Q24,0))+0*INDEX(O24:Q24,MATCH(LARGE(O24:Q24,3),O24:Q24,0))</f>
        <v>114.6</v>
      </c>
      <c r="T24" s="15">
        <f>1*INDEX(R24:S24,MATCH(LARGE(R24:S24,1),R24:S24,0))+0*INDEX(R24:S24,MATCH(LARGE(R24:S24,2),R24:S24,0))</f>
        <v>173.8</v>
      </c>
      <c r="U24" s="21"/>
      <c r="V24" s="21"/>
      <c r="W24" s="21"/>
      <c r="X24" s="21"/>
      <c r="Y24" s="21"/>
      <c r="Z24" s="21"/>
    </row>
    <row r="25" spans="1:26" ht="12.75" customHeight="1" x14ac:dyDescent="0.3">
      <c r="A25" s="15">
        <v>24</v>
      </c>
      <c r="B25" s="16" t="s">
        <v>121</v>
      </c>
      <c r="C25" s="17" t="s">
        <v>57</v>
      </c>
      <c r="D25" s="15" t="s">
        <v>26</v>
      </c>
      <c r="E25" s="18" t="s">
        <v>23</v>
      </c>
      <c r="F25" s="15">
        <v>109867</v>
      </c>
      <c r="G25" s="22">
        <v>2012</v>
      </c>
      <c r="H25" s="15">
        <f>MAX(IF(ISNA(VLOOKUP(B25,'WBV 1'!$B$3:$C$34,2,FALSE))=TRUE,0,VLOOKUP(B25,'WBV 1'!$B$3:$C$34,2,FALSE)),IF(ISNA(VLOOKUP(B25,'WBV 1'!$F$3:$G$34,2,FALSE))=TRUE,0,VLOOKUP(B25,'WBV 1'!$F$3:$G$34,2,FALSE)),IF(ISNA(VLOOKUP(B25,'WBV 1'!$J$3:$K$34,2,FALSE))=TRUE,0,VLOOKUP(B25,'WBV 1'!$J$3:$K$34,2,FALSE)),IF(ISNA(VLOOKUP(B25,'WBV 1'!$N$3:$O$34,2,FALSE))=TRUE,0,VLOOKUP(B25,'WBV 1'!$N$3:$O$34,2,FALSE)))</f>
        <v>176</v>
      </c>
      <c r="I25" s="15">
        <f>MAX(IF(ISNA(VLOOKUP(B25,'WBV 2'!$B$3:$C$34,2,FALSE))=TRUE,0,VLOOKUP(B25,'WBV 2'!$B$3:$C$34,2,FALSE)),IF(ISNA(VLOOKUP(B25,'WBV 2'!$F$3:$G$34,2,FALSE))=TRUE,0,VLOOKUP(B25,'WBV 2'!$F$3:$G$34,2,FALSE)),IF(ISNA(VLOOKUP(B25,'WBV 2'!$J$3:$K$34,2,FALSE))=TRUE,0,VLOOKUP(B25,'WBV 2'!$J$3:$K$34,2,FALSE)),IF(ISNA(VLOOKUP(B25,'WBV 2'!$N$3:$O$34,2,FALSE))=TRUE,0,VLOOKUP(B25,'WBV 2'!$N$3:$O$34,2,FALSE)))</f>
        <v>170</v>
      </c>
      <c r="J25" s="15">
        <f>MAX(IF(ISNA(VLOOKUP(B25,'WBV 3'!$B$3:$C$34,2,FALSE))=TRUE,0,VLOOKUP(B25,'WBV 3'!$B$3:$C$34,2,FALSE)),IF(ISNA(VLOOKUP(B25,'WBV 3'!$F$3:$G$34,2,FALSE))=TRUE,0,VLOOKUP(B25,'WBV 3'!$F$3:$G$34,2,FALSE)),IF(ISNA(VLOOKUP(B25,'WBV 3'!$J$3:$K$34,2,FALSE))=TRUE,0,VLOOKUP(B25,'WBV 3'!$J$3:$K$34,2,FALSE)),IF(ISNA(VLOOKUP(B25,'WBV 3'!$N$3:$O$34,2,FALSE))=TRUE,0,VLOOKUP(B25,'WBV 3'!$N$3:$O$34,2,FALSE)))</f>
        <v>169</v>
      </c>
      <c r="K25" s="15">
        <f>MAX(IF(ISNA(VLOOKUP(B25,'WBV 4'!$B$3:$C$34,2,FALSE))=TRUE,0,VLOOKUP(B25,'WBV 4'!$B$3:$C$34,2,FALSE)),IF(ISNA(VLOOKUP(B25,'WBV 4'!$F$3:$G$34,2,FALSE))=TRUE,0,VLOOKUP(B25,'WBV 4'!$F$3:$G$34,2,FALSE)),IF(ISNA(VLOOKUP(B25,'WBV 4'!$J$3:$K$34,2,FALSE))=TRUE,0,VLOOKUP(B25,'WBV 4'!$J$3:$K$34,2,FALSE)),IF(ISNA(VLOOKUP(B25,'WBV 4'!$N$3:$O$34,2,FALSE))=TRUE,0,VLOOKUP(B25,'WBV 4'!$N$3:$O$34,2,FALSE)))</f>
        <v>0</v>
      </c>
      <c r="L25" s="19">
        <f>MAX(IF(ISNA(VLOOKUP(B25,'NÖBV 1'!$B$3:$C$34,2,FALSE))=TRUE,0,VLOOKUP(B25,'NÖBV 1'!$B$3:$C$34,2,FALSE)),IF(ISNA(VLOOKUP(B25,'NÖBV 1'!$F$3:$G$34,2,FALSE))=TRUE,0,VLOOKUP(B25,'NÖBV 1'!$F$3:$G$34,2,FALSE)),IF(ISNA(VLOOKUP(B25,'NÖBV 1'!$J$3:$K$34,2,FALSE))=TRUE,0,VLOOKUP(B25,'NÖBV 1'!$J$3:$K$34,2,FALSE)),IF(ISNA(VLOOKUP(B25,'NÖBV 1'!$N$3:$O$34,2,FALSE))=TRUE,0,VLOOKUP(B25,'NÖBV 1'!$N$3:$O$34,2,FALSE)))</f>
        <v>0</v>
      </c>
      <c r="M25" s="19">
        <f>MAX(IF(ISNA(VLOOKUP(B25,'NÖBV 2'!$B$3:$C$34,2,FALSE))=TRUE,0,VLOOKUP(B25,'NÖBV 2'!$B$3:$C$34,2,FALSE)),IF(ISNA(VLOOKUP(B25,'NÖBV 2'!$F$3:$G$34,2,FALSE))=TRUE,0,VLOOKUP(B25,'NÖBV 2'!$F$3:$G$34,2,FALSE)),IF(ISNA(VLOOKUP(B25,'NÖBV 2'!$J$3:$K$34,2,FALSE))=TRUE,0,VLOOKUP(B25,'NÖBV 2'!$J$3:$K$34,2,FALSE)),IF(ISNA(VLOOKUP(B25,'NÖBV 2'!$N$3:$O$34,2,FALSE))=TRUE,0,VLOOKUP(B25,'NÖBV 2'!$N$3:$O$34,2,FALSE)))</f>
        <v>0</v>
      </c>
      <c r="N25" s="19">
        <f>MAX(IF(ISNA(VLOOKUP(B25,'NÖBV 3'!$B$3:$C$34,2,FALSE))=TRUE,0,VLOOKUP(B25,'NÖBV 3'!$B$3:$C$34,2,FALSE)),IF(ISNA(VLOOKUP(B25,'NÖBV 3'!$F$3:$G$34,2,FALSE))=TRUE,0,VLOOKUP(B25,'NÖBV 3'!$F$3:$G$34,2,FALSE)),IF(ISNA(VLOOKUP(B25,'NÖBV 3'!$J$3:$K$34,2,FALSE))=TRUE,0,VLOOKUP(B25,'NÖBV 3'!$J$3:$K$34,2,FALSE)),IF(ISNA(VLOOKUP(B25,'NÖBV 3'!$N$3:$O$34,2,FALSE))=TRUE,0,VLOOKUP(B25,'NÖBV 3'!$N$3:$O$34,2,FALSE)))</f>
        <v>0</v>
      </c>
      <c r="O25" s="15">
        <f>MAX(IF(ISNA(VLOOKUP(B25,'Regioturnier 1'!$B$3:$C$34,2,FALSE))=TRUE,0,VLOOKUP(B25,'Regioturnier 1'!$B$3:$C$34,2,FALSE)),IF(ISNA(VLOOKUP(B25,'Regioturnier 1'!$F$3:$G$34,2,FALSE))=TRUE,0,VLOOKUP(B25,'Regioturnier 1'!$F$3:$G$34,2,FALSE)),IF(ISNA(VLOOKUP(B25,'Regioturnier 1'!$J$3:$K$34,2,FALSE))=TRUE,0,VLOOKUP(B25,'Regioturnier 1'!$J$3:$K$34,2,FALSE)),IF(ISNA(VLOOKUP(B25,'Regioturnier 1'!$N$3:$O$34,2,FALSE))=TRUE,0,VLOOKUP(B25,'Regioturnier 1'!$N$3:$O$34,2,FALSE)),IF(ISNA(VLOOKUP(B25,'Regioturnier 1'!$R$3:$S$34,2,FALSE))=TRUE,0,VLOOKUP(B25,'Regioturnier 1'!$R$3:$S$34,2,FALSE)), IF(ISNA(VLOOKUP(B25,'Regioturnier 1'!$V$3:$W$34,2,FALSE))=TRUE,0,VLOOKUP(B25,'Regioturnier 1'!$V$3:$W$34,2,FALSE)), IF(ISNA(VLOOKUP(B25,'Regioturnier 1'!$Z$3:$AA$34,2,FALSE))=TRUE,0,VLOOKUP(B25,'Regioturnier 1'!$Z$3:$AA$34,2,FALSE)))</f>
        <v>0</v>
      </c>
      <c r="P25" s="15">
        <f>MAX(IF(ISNA(VLOOKUP(B25,'Regioturnier 2'!$B$3:$C$34,2,FALSE))=TRUE,0,VLOOKUP(B25,'Regioturnier 2'!$B$3:$C$34,2,FALSE)),IF(ISNA(VLOOKUP(B25,'Regioturnier 2'!$F$3:$G$34,2,FALSE))=TRUE,0,VLOOKUP(B25,'Regioturnier 2'!$F$3:$G$34,2,FALSE)),IF(ISNA(VLOOKUP(B25,'Regioturnier 2'!$J$3:$K$34,2,FALSE))=TRUE,0,VLOOKUP(B25,'Regioturnier 2'!$J$3:$K$34,2,FALSE)),IF(ISNA(VLOOKUP(B25,'Regioturnier 2'!$N$3:$O$34,2,FALSE))=TRUE,0,VLOOKUP(B25,'Regioturnier 2'!$N$3:$O$34,2,FALSE)),IF(ISNA(VLOOKUP(B25,'Regioturnier 2'!$R$3:$S$34,2,FALSE))=TRUE,0,VLOOKUP(B25,'Regioturnier 2'!$R$3:$S$34,2,FALSE)), IF(ISNA(VLOOKUP(B25,'Regioturnier 2'!$V$3:$W$34,2,FALSE))=TRUE,0,VLOOKUP(B25,'Regioturnier 2'!$V$3:$W$34,2,FALSE)), IF(ISNA(VLOOKUP(B25,'Regioturnier 2'!$Z$3:$AA$34,2,FALSE))=TRUE,0,VLOOKUP(B25,'Regioturnier 2'!$Z$3:$AA$34,2,FALSE)))</f>
        <v>0</v>
      </c>
      <c r="Q25" s="15">
        <f>MAX(IF(ISNA(VLOOKUP(B25,'Regioturnier 3'!$B$3:$C$34,2,FALSE))=TRUE,0,VLOOKUP(B25,'Regioturnier 3'!$B$3:$C$34,2,FALSE)),IF(ISNA(VLOOKUP(B25,'Regioturnier 3'!$F$3:$G$34,2,FALSE))=TRUE,0,VLOOKUP(B25,'Regioturnier 3'!$F$3:$G$34,2,FALSE)),IF(ISNA(VLOOKUP(B25,'Regioturnier 3'!$J$3:$K$34,2,FALSE))=TRUE,0,VLOOKUP(B25,'Regioturnier 3'!$J$3:$K$34,2,FALSE)),IF(ISNA(VLOOKUP(B25,'Regioturnier 3'!$N$3:$O$34,2,FALSE))=TRUE,0,VLOOKUP(B25,'Regioturnier 3'!$N$3:$O$34,2,FALSE)),IF(ISNA(VLOOKUP(B25,'Regioturnier 3'!$R$3:$S$34,2,FALSE))=TRUE,0,VLOOKUP(B25,'Regioturnier 3'!$R$3:$S$34,2,FALSE)), IF(ISNA(VLOOKUP(B25,'Regioturnier 3'!$V$3:$W$34,2,FALSE))=TRUE,0,VLOOKUP(B25,'Regioturnier 3'!$V$3:$W$34,2,FALSE)), IF(ISNA(VLOOKUP(B25,'Regioturnier 3'!$Z$3:$AA$34,2,FALSE))=TRUE,0,VLOOKUP(B25,'Regioturnier 3'!$Z$3:$AA$34,2,FALSE)))</f>
        <v>0</v>
      </c>
      <c r="R25" s="20">
        <f>0.5*INDEX($H25:$N25,MATCH(LARGE($H25:$N25,1),$H25:$N25,0))+0.3*INDEX($H25:$N25,MATCH(LARGE($H25:$N25,2),$H25:$N25,0))+0.2*INDEX($H25:$N25,MATCH(LARGE($H25:$N25,3),$H25:$N25,0))</f>
        <v>172.8</v>
      </c>
      <c r="S25" s="20">
        <f>0.6*INDEX(O25:Q25,MATCH(LARGE(O25:Q25,1),O25:Q25,0))+0.4*INDEX(O25:Q25,MATCH(LARGE(O25:Q25,2),O25:Q25,0))+0*INDEX(O25:Q25,MATCH(LARGE(O25:Q25,3),O25:Q25,0))</f>
        <v>0</v>
      </c>
      <c r="T25" s="15">
        <f>1*INDEX(R25:S25,MATCH(LARGE(R25:S25,1),R25:S25,0))+0*INDEX(R25:S25,MATCH(LARGE(R25:S25,2),R25:S25,0))</f>
        <v>172.8</v>
      </c>
      <c r="U25" s="21"/>
      <c r="V25" s="21"/>
      <c r="W25" s="21"/>
      <c r="X25" s="21"/>
      <c r="Y25" s="21"/>
      <c r="Z25" s="21"/>
    </row>
    <row r="26" spans="1:26" ht="12.75" customHeight="1" x14ac:dyDescent="0.3">
      <c r="A26" s="15">
        <v>25</v>
      </c>
      <c r="B26" s="16" t="s">
        <v>170</v>
      </c>
      <c r="C26" s="17" t="s">
        <v>25</v>
      </c>
      <c r="D26" s="15" t="s">
        <v>26</v>
      </c>
      <c r="E26" s="18" t="s">
        <v>23</v>
      </c>
      <c r="F26" s="15">
        <v>110367</v>
      </c>
      <c r="G26" s="22">
        <v>2011</v>
      </c>
      <c r="H26" s="15">
        <f>MAX(IF(ISNA(VLOOKUP(B26,'WBV 1'!$B$3:$C$34,2,FALSE))=TRUE,0,VLOOKUP(B26,'WBV 1'!$B$3:$C$34,2,FALSE)),IF(ISNA(VLOOKUP(B26,'WBV 1'!$F$3:$G$34,2,FALSE))=TRUE,0,VLOOKUP(B26,'WBV 1'!$F$3:$G$34,2,FALSE)),IF(ISNA(VLOOKUP(B26,'WBV 1'!$J$3:$K$34,2,FALSE))=TRUE,0,VLOOKUP(B26,'WBV 1'!$J$3:$K$34,2,FALSE)),IF(ISNA(VLOOKUP(B26,'WBV 1'!$N$3:$O$34,2,FALSE))=TRUE,0,VLOOKUP(B26,'WBV 1'!$N$3:$O$34,2,FALSE)))</f>
        <v>172</v>
      </c>
      <c r="I26" s="15">
        <f>MAX(IF(ISNA(VLOOKUP(B26,'WBV 2'!$B$3:$C$34,2,FALSE))=TRUE,0,VLOOKUP(B26,'WBV 2'!$B$3:$C$34,2,FALSE)),IF(ISNA(VLOOKUP(B26,'WBV 2'!$F$3:$G$34,2,FALSE))=TRUE,0,VLOOKUP(B26,'WBV 2'!$F$3:$G$34,2,FALSE)),IF(ISNA(VLOOKUP(B26,'WBV 2'!$J$3:$K$34,2,FALSE))=TRUE,0,VLOOKUP(B26,'WBV 2'!$J$3:$K$34,2,FALSE)),IF(ISNA(VLOOKUP(B26,'WBV 2'!$N$3:$O$34,2,FALSE))=TRUE,0,VLOOKUP(B26,'WBV 2'!$N$3:$O$34,2,FALSE)))</f>
        <v>166</v>
      </c>
      <c r="J26" s="15">
        <f>MAX(IF(ISNA(VLOOKUP(B26,'WBV 3'!$B$3:$C$34,2,FALSE))=TRUE,0,VLOOKUP(B26,'WBV 3'!$B$3:$C$34,2,FALSE)),IF(ISNA(VLOOKUP(B26,'WBV 3'!$F$3:$G$34,2,FALSE))=TRUE,0,VLOOKUP(B26,'WBV 3'!$F$3:$G$34,2,FALSE)),IF(ISNA(VLOOKUP(B26,'WBV 3'!$J$3:$K$34,2,FALSE))=TRUE,0,VLOOKUP(B26,'WBV 3'!$J$3:$K$34,2,FALSE)),IF(ISNA(VLOOKUP(B26,'WBV 3'!$N$3:$O$34,2,FALSE))=TRUE,0,VLOOKUP(B26,'WBV 3'!$N$3:$O$34,2,FALSE)))</f>
        <v>166</v>
      </c>
      <c r="K26" s="15">
        <f>MAX(IF(ISNA(VLOOKUP(B26,'WBV 4'!$B$3:$C$34,2,FALSE))=TRUE,0,VLOOKUP(B26,'WBV 4'!$B$3:$C$34,2,FALSE)),IF(ISNA(VLOOKUP(B26,'WBV 4'!$F$3:$G$34,2,FALSE))=TRUE,0,VLOOKUP(B26,'WBV 4'!$F$3:$G$34,2,FALSE)),IF(ISNA(VLOOKUP(B26,'WBV 4'!$J$3:$K$34,2,FALSE))=TRUE,0,VLOOKUP(B26,'WBV 4'!$J$3:$K$34,2,FALSE)),IF(ISNA(VLOOKUP(B26,'WBV 4'!$N$3:$O$34,2,FALSE))=TRUE,0,VLOOKUP(B26,'WBV 4'!$N$3:$O$34,2,FALSE)))</f>
        <v>0</v>
      </c>
      <c r="L26" s="19">
        <f>MAX(IF(ISNA(VLOOKUP(B26,'NÖBV 1'!$B$3:$C$34,2,FALSE))=TRUE,0,VLOOKUP(B26,'NÖBV 1'!$B$3:$C$34,2,FALSE)),IF(ISNA(VLOOKUP(B26,'NÖBV 1'!$F$3:$G$34,2,FALSE))=TRUE,0,VLOOKUP(B26,'NÖBV 1'!$F$3:$G$34,2,FALSE)),IF(ISNA(VLOOKUP(B26,'NÖBV 1'!$J$3:$K$34,2,FALSE))=TRUE,0,VLOOKUP(B26,'NÖBV 1'!$J$3:$K$34,2,FALSE)),IF(ISNA(VLOOKUP(B26,'NÖBV 1'!$N$3:$O$34,2,FALSE))=TRUE,0,VLOOKUP(B26,'NÖBV 1'!$N$3:$O$34,2,FALSE)))</f>
        <v>0</v>
      </c>
      <c r="M26" s="19">
        <f>MAX(IF(ISNA(VLOOKUP(B26,'NÖBV 2'!$B$3:$C$34,2,FALSE))=TRUE,0,VLOOKUP(B26,'NÖBV 2'!$B$3:$C$34,2,FALSE)),IF(ISNA(VLOOKUP(B26,'NÖBV 2'!$F$3:$G$34,2,FALSE))=TRUE,0,VLOOKUP(B26,'NÖBV 2'!$F$3:$G$34,2,FALSE)),IF(ISNA(VLOOKUP(B26,'NÖBV 2'!$J$3:$K$34,2,FALSE))=TRUE,0,VLOOKUP(B26,'NÖBV 2'!$J$3:$K$34,2,FALSE)),IF(ISNA(VLOOKUP(B26,'NÖBV 2'!$N$3:$O$34,2,FALSE))=TRUE,0,VLOOKUP(B26,'NÖBV 2'!$N$3:$O$34,2,FALSE)))</f>
        <v>0</v>
      </c>
      <c r="N26" s="19">
        <f>MAX(IF(ISNA(VLOOKUP(B26,'NÖBV 3'!$B$3:$C$34,2,FALSE))=TRUE,0,VLOOKUP(B26,'NÖBV 3'!$B$3:$C$34,2,FALSE)),IF(ISNA(VLOOKUP(B26,'NÖBV 3'!$F$3:$G$34,2,FALSE))=TRUE,0,VLOOKUP(B26,'NÖBV 3'!$F$3:$G$34,2,FALSE)),IF(ISNA(VLOOKUP(B26,'NÖBV 3'!$J$3:$K$34,2,FALSE))=TRUE,0,VLOOKUP(B26,'NÖBV 3'!$J$3:$K$34,2,FALSE)),IF(ISNA(VLOOKUP(B26,'NÖBV 3'!$N$3:$O$34,2,FALSE))=TRUE,0,VLOOKUP(B26,'NÖBV 3'!$N$3:$O$34,2,FALSE)))</f>
        <v>0</v>
      </c>
      <c r="O26" s="15">
        <f>MAX(IF(ISNA(VLOOKUP(B26,'Regioturnier 1'!$B$3:$C$34,2,FALSE))=TRUE,0,VLOOKUP(B26,'Regioturnier 1'!$B$3:$C$34,2,FALSE)),IF(ISNA(VLOOKUP(B26,'Regioturnier 1'!$F$3:$G$34,2,FALSE))=TRUE,0,VLOOKUP(B26,'Regioturnier 1'!$F$3:$G$34,2,FALSE)),IF(ISNA(VLOOKUP(B26,'Regioturnier 1'!$J$3:$K$34,2,FALSE))=TRUE,0,VLOOKUP(B26,'Regioturnier 1'!$J$3:$K$34,2,FALSE)),IF(ISNA(VLOOKUP(B26,'Regioturnier 1'!$N$3:$O$34,2,FALSE))=TRUE,0,VLOOKUP(B26,'Regioturnier 1'!$N$3:$O$34,2,FALSE)),IF(ISNA(VLOOKUP(B26,'Regioturnier 1'!$R$3:$S$34,2,FALSE))=TRUE,0,VLOOKUP(B26,'Regioturnier 1'!$R$3:$S$34,2,FALSE)), IF(ISNA(VLOOKUP(B26,'Regioturnier 1'!$V$3:$W$34,2,FALSE))=TRUE,0,VLOOKUP(B26,'Regioturnier 1'!$V$3:$W$34,2,FALSE)), IF(ISNA(VLOOKUP(B26,'Regioturnier 1'!$Z$3:$AA$34,2,FALSE))=TRUE,0,VLOOKUP(B26,'Regioturnier 1'!$Z$3:$AA$34,2,FALSE)))</f>
        <v>0</v>
      </c>
      <c r="P26" s="15">
        <f>MAX(IF(ISNA(VLOOKUP(B26,'Regioturnier 2'!$B$3:$C$34,2,FALSE))=TRUE,0,VLOOKUP(B26,'Regioturnier 2'!$B$3:$C$34,2,FALSE)),IF(ISNA(VLOOKUP(B26,'Regioturnier 2'!$F$3:$G$34,2,FALSE))=TRUE,0,VLOOKUP(B26,'Regioturnier 2'!$F$3:$G$34,2,FALSE)),IF(ISNA(VLOOKUP(B26,'Regioturnier 2'!$J$3:$K$34,2,FALSE))=TRUE,0,VLOOKUP(B26,'Regioturnier 2'!$J$3:$K$34,2,FALSE)),IF(ISNA(VLOOKUP(B26,'Regioturnier 2'!$N$3:$O$34,2,FALSE))=TRUE,0,VLOOKUP(B26,'Regioturnier 2'!$N$3:$O$34,2,FALSE)),IF(ISNA(VLOOKUP(B26,'Regioturnier 2'!$R$3:$S$34,2,FALSE))=TRUE,0,VLOOKUP(B26,'Regioturnier 2'!$R$3:$S$34,2,FALSE)), IF(ISNA(VLOOKUP(B26,'Regioturnier 2'!$V$3:$W$34,2,FALSE))=TRUE,0,VLOOKUP(B26,'Regioturnier 2'!$V$3:$W$34,2,FALSE)), IF(ISNA(VLOOKUP(B26,'Regioturnier 2'!$Z$3:$AA$34,2,FALSE))=TRUE,0,VLOOKUP(B26,'Regioturnier 2'!$Z$3:$AA$34,2,FALSE)))</f>
        <v>0</v>
      </c>
      <c r="Q26" s="15">
        <f>MAX(IF(ISNA(VLOOKUP(B26,'Regioturnier 3'!$B$3:$C$34,2,FALSE))=TRUE,0,VLOOKUP(B26,'Regioturnier 3'!$B$3:$C$34,2,FALSE)),IF(ISNA(VLOOKUP(B26,'Regioturnier 3'!$F$3:$G$34,2,FALSE))=TRUE,0,VLOOKUP(B26,'Regioturnier 3'!$F$3:$G$34,2,FALSE)),IF(ISNA(VLOOKUP(B26,'Regioturnier 3'!$J$3:$K$34,2,FALSE))=TRUE,0,VLOOKUP(B26,'Regioturnier 3'!$J$3:$K$34,2,FALSE)),IF(ISNA(VLOOKUP(B26,'Regioturnier 3'!$N$3:$O$34,2,FALSE))=TRUE,0,VLOOKUP(B26,'Regioturnier 3'!$N$3:$O$34,2,FALSE)),IF(ISNA(VLOOKUP(B26,'Regioturnier 3'!$R$3:$S$34,2,FALSE))=TRUE,0,VLOOKUP(B26,'Regioturnier 3'!$R$3:$S$34,2,FALSE)), IF(ISNA(VLOOKUP(B26,'Regioturnier 3'!$V$3:$W$34,2,FALSE))=TRUE,0,VLOOKUP(B26,'Regioturnier 3'!$V$3:$W$34,2,FALSE)), IF(ISNA(VLOOKUP(B26,'Regioturnier 3'!$Z$3:$AA$34,2,FALSE))=TRUE,0,VLOOKUP(B26,'Regioturnier 3'!$Z$3:$AA$34,2,FALSE)))</f>
        <v>0</v>
      </c>
      <c r="R26" s="20">
        <f>0.5*INDEX($H26:$N26,MATCH(LARGE($H26:$N26,1),$H26:$N26,0))+0.3*INDEX($H26:$N26,MATCH(LARGE($H26:$N26,2),$H26:$N26,0))+0.2*INDEX($H26:$N26,MATCH(LARGE($H26:$N26,3),$H26:$N26,0))</f>
        <v>169</v>
      </c>
      <c r="S26" s="20">
        <f>0.6*INDEX(O26:Q26,MATCH(LARGE(O26:Q26,1),O26:Q26,0))+0.4*INDEX(O26:Q26,MATCH(LARGE(O26:Q26,2),O26:Q26,0))+0*INDEX(O26:Q26,MATCH(LARGE(O26:Q26,3),O26:Q26,0))</f>
        <v>0</v>
      </c>
      <c r="T26" s="15">
        <f>1*INDEX(R26:S26,MATCH(LARGE(R26:S26,1),R26:S26,0))+0*INDEX(R26:S26,MATCH(LARGE(R26:S26,2),R26:S26,0))</f>
        <v>169</v>
      </c>
      <c r="U26" s="21"/>
      <c r="V26" s="21"/>
      <c r="W26" s="21"/>
      <c r="X26" s="21"/>
      <c r="Y26" s="21"/>
      <c r="Z26" s="21"/>
    </row>
    <row r="27" spans="1:26" ht="12.75" customHeight="1" x14ac:dyDescent="0.3">
      <c r="A27" s="15">
        <v>26</v>
      </c>
      <c r="B27" s="16" t="s">
        <v>224</v>
      </c>
      <c r="C27" s="17" t="s">
        <v>54</v>
      </c>
      <c r="D27" s="15" t="s">
        <v>22</v>
      </c>
      <c r="E27" s="18" t="s">
        <v>23</v>
      </c>
      <c r="F27" s="15">
        <v>208475</v>
      </c>
      <c r="G27" s="22">
        <v>2014</v>
      </c>
      <c r="H27" s="15">
        <f>MAX(IF(ISNA(VLOOKUP(B27,'WBV 1'!$B$3:$C$34,2,FALSE))=TRUE,0,VLOOKUP(B27,'WBV 1'!$B$3:$C$34,2,FALSE)),IF(ISNA(VLOOKUP(B27,'WBV 1'!$F$3:$G$34,2,FALSE))=TRUE,0,VLOOKUP(B27,'WBV 1'!$F$3:$G$34,2,FALSE)),IF(ISNA(VLOOKUP(B27,'WBV 1'!$J$3:$K$34,2,FALSE))=TRUE,0,VLOOKUP(B27,'WBV 1'!$J$3:$K$34,2,FALSE)),IF(ISNA(VLOOKUP(B27,'WBV 1'!$N$3:$O$34,2,FALSE))=TRUE,0,VLOOKUP(B27,'WBV 1'!$N$3:$O$34,2,FALSE)))</f>
        <v>0</v>
      </c>
      <c r="I27" s="15">
        <f>MAX(IF(ISNA(VLOOKUP(B27,'WBV 2'!$B$3:$C$34,2,FALSE))=TRUE,0,VLOOKUP(B27,'WBV 2'!$B$3:$C$34,2,FALSE)),IF(ISNA(VLOOKUP(B27,'WBV 2'!$F$3:$G$34,2,FALSE))=TRUE,0,VLOOKUP(B27,'WBV 2'!$F$3:$G$34,2,FALSE)),IF(ISNA(VLOOKUP(B27,'WBV 2'!$J$3:$K$34,2,FALSE))=TRUE,0,VLOOKUP(B27,'WBV 2'!$J$3:$K$34,2,FALSE)),IF(ISNA(VLOOKUP(B27,'WBV 2'!$N$3:$O$34,2,FALSE))=TRUE,0,VLOOKUP(B27,'WBV 2'!$N$3:$O$34,2,FALSE)))</f>
        <v>0</v>
      </c>
      <c r="J27" s="15">
        <f>MAX(IF(ISNA(VLOOKUP(B27,'WBV 3'!$B$3:$C$34,2,FALSE))=TRUE,0,VLOOKUP(B27,'WBV 3'!$B$3:$C$34,2,FALSE)),IF(ISNA(VLOOKUP(B27,'WBV 3'!$F$3:$G$34,2,FALSE))=TRUE,0,VLOOKUP(B27,'WBV 3'!$F$3:$G$34,2,FALSE)),IF(ISNA(VLOOKUP(B27,'WBV 3'!$J$3:$K$34,2,FALSE))=TRUE,0,VLOOKUP(B27,'WBV 3'!$J$3:$K$34,2,FALSE)),IF(ISNA(VLOOKUP(B27,'WBV 3'!$N$3:$O$34,2,FALSE))=TRUE,0,VLOOKUP(B27,'WBV 3'!$N$3:$O$34,2,FALSE)))</f>
        <v>0</v>
      </c>
      <c r="K27" s="15">
        <f>MAX(IF(ISNA(VLOOKUP(B27,'WBV 4'!$B$3:$C$34,2,FALSE))=TRUE,0,VLOOKUP(B27,'WBV 4'!$B$3:$C$34,2,FALSE)),IF(ISNA(VLOOKUP(B27,'WBV 4'!$F$3:$G$34,2,FALSE))=TRUE,0,VLOOKUP(B27,'WBV 4'!$F$3:$G$34,2,FALSE)),IF(ISNA(VLOOKUP(B27,'WBV 4'!$J$3:$K$34,2,FALSE))=TRUE,0,VLOOKUP(B27,'WBV 4'!$J$3:$K$34,2,FALSE)),IF(ISNA(VLOOKUP(B27,'WBV 4'!$N$3:$O$34,2,FALSE))=TRUE,0,VLOOKUP(B27,'WBV 4'!$N$3:$O$34,2,FALSE)))</f>
        <v>0</v>
      </c>
      <c r="L27" s="19">
        <f>MAX(IF(ISNA(VLOOKUP(B27,'NÖBV 1'!$B$3:$C$34,2,FALSE))=TRUE,0,VLOOKUP(B27,'NÖBV 1'!$B$3:$C$34,2,FALSE)),IF(ISNA(VLOOKUP(B27,'NÖBV 1'!$F$3:$G$34,2,FALSE))=TRUE,0,VLOOKUP(B27,'NÖBV 1'!$F$3:$G$34,2,FALSE)),IF(ISNA(VLOOKUP(B27,'NÖBV 1'!$J$3:$K$34,2,FALSE))=TRUE,0,VLOOKUP(B27,'NÖBV 1'!$J$3:$K$34,2,FALSE)),IF(ISNA(VLOOKUP(B27,'NÖBV 1'!$N$3:$O$34,2,FALSE))=TRUE,0,VLOOKUP(B27,'NÖBV 1'!$N$3:$O$34,2,FALSE)))</f>
        <v>164</v>
      </c>
      <c r="M27" s="19">
        <f>MAX(IF(ISNA(VLOOKUP(B27,'NÖBV 2'!$B$3:$C$34,2,FALSE))=TRUE,0,VLOOKUP(B27,'NÖBV 2'!$B$3:$C$34,2,FALSE)),IF(ISNA(VLOOKUP(B27,'NÖBV 2'!$F$3:$G$34,2,FALSE))=TRUE,0,VLOOKUP(B27,'NÖBV 2'!$F$3:$G$34,2,FALSE)),IF(ISNA(VLOOKUP(B27,'NÖBV 2'!$J$3:$K$34,2,FALSE))=TRUE,0,VLOOKUP(B27,'NÖBV 2'!$J$3:$K$34,2,FALSE)),IF(ISNA(VLOOKUP(B27,'NÖBV 2'!$N$3:$O$34,2,FALSE))=TRUE,0,VLOOKUP(B27,'NÖBV 2'!$N$3:$O$34,2,FALSE)))</f>
        <v>154</v>
      </c>
      <c r="N27" s="19">
        <f>MAX(IF(ISNA(VLOOKUP(B27,'NÖBV 3'!$B$3:$C$34,2,FALSE))=TRUE,0,VLOOKUP(B27,'NÖBV 3'!$B$3:$C$34,2,FALSE)),IF(ISNA(VLOOKUP(B27,'NÖBV 3'!$F$3:$G$34,2,FALSE))=TRUE,0,VLOOKUP(B27,'NÖBV 3'!$F$3:$G$34,2,FALSE)),IF(ISNA(VLOOKUP(B27,'NÖBV 3'!$J$3:$K$34,2,FALSE))=TRUE,0,VLOOKUP(B27,'NÖBV 3'!$J$3:$K$34,2,FALSE)),IF(ISNA(VLOOKUP(B27,'NÖBV 3'!$N$3:$O$34,2,FALSE))=TRUE,0,VLOOKUP(B27,'NÖBV 3'!$N$3:$O$34,2,FALSE)))</f>
        <v>168</v>
      </c>
      <c r="O27" s="15">
        <f>MAX(IF(ISNA(VLOOKUP(B27,'Regioturnier 1'!$B$3:$C$34,2,FALSE))=TRUE,0,VLOOKUP(B27,'Regioturnier 1'!$B$3:$C$34,2,FALSE)),IF(ISNA(VLOOKUP(B27,'Regioturnier 1'!$F$3:$G$34,2,FALSE))=TRUE,0,VLOOKUP(B27,'Regioturnier 1'!$F$3:$G$34,2,FALSE)),IF(ISNA(VLOOKUP(B27,'Regioturnier 1'!$J$3:$K$34,2,FALSE))=TRUE,0,VLOOKUP(B27,'Regioturnier 1'!$J$3:$K$34,2,FALSE)),IF(ISNA(VLOOKUP(B27,'Regioturnier 1'!$N$3:$O$34,2,FALSE))=TRUE,0,VLOOKUP(B27,'Regioturnier 1'!$N$3:$O$34,2,FALSE)),IF(ISNA(VLOOKUP(B27,'Regioturnier 1'!$R$3:$S$34,2,FALSE))=TRUE,0,VLOOKUP(B27,'Regioturnier 1'!$R$3:$S$34,2,FALSE)), IF(ISNA(VLOOKUP(B27,'Regioturnier 1'!$V$3:$W$34,2,FALSE))=TRUE,0,VLOOKUP(B27,'Regioturnier 1'!$V$3:$W$34,2,FALSE)), IF(ISNA(VLOOKUP(B27,'Regioturnier 1'!$Z$3:$AA$34,2,FALSE))=TRUE,0,VLOOKUP(B27,'Regioturnier 1'!$Z$3:$AA$34,2,FALSE)))</f>
        <v>179</v>
      </c>
      <c r="P27" s="15">
        <f>MAX(IF(ISNA(VLOOKUP(B27,'Regioturnier 2'!$B$3:$C$34,2,FALSE))=TRUE,0,VLOOKUP(B27,'Regioturnier 2'!$B$3:$C$34,2,FALSE)),IF(ISNA(VLOOKUP(B27,'Regioturnier 2'!$F$3:$G$34,2,FALSE))=TRUE,0,VLOOKUP(B27,'Regioturnier 2'!$F$3:$G$34,2,FALSE)),IF(ISNA(VLOOKUP(B27,'Regioturnier 2'!$J$3:$K$34,2,FALSE))=TRUE,0,VLOOKUP(B27,'Regioturnier 2'!$J$3:$K$34,2,FALSE)),IF(ISNA(VLOOKUP(B27,'Regioturnier 2'!$N$3:$O$34,2,FALSE))=TRUE,0,VLOOKUP(B27,'Regioturnier 2'!$N$3:$O$34,2,FALSE)),IF(ISNA(VLOOKUP(B27,'Regioturnier 2'!$R$3:$S$34,2,FALSE))=TRUE,0,VLOOKUP(B27,'Regioturnier 2'!$R$3:$S$34,2,FALSE)), IF(ISNA(VLOOKUP(B27,'Regioturnier 2'!$V$3:$W$34,2,FALSE))=TRUE,0,VLOOKUP(B27,'Regioturnier 2'!$V$3:$W$34,2,FALSE)), IF(ISNA(VLOOKUP(B27,'Regioturnier 2'!$Z$3:$AA$34,2,FALSE))=TRUE,0,VLOOKUP(B27,'Regioturnier 2'!$Z$3:$AA$34,2,FALSE)))</f>
        <v>188</v>
      </c>
      <c r="Q27" s="15">
        <f>MAX(IF(ISNA(VLOOKUP(B27,'Regioturnier 3'!$B$3:$C$34,2,FALSE))=TRUE,0,VLOOKUP(B27,'Regioturnier 3'!$B$3:$C$34,2,FALSE)),IF(ISNA(VLOOKUP(B27,'Regioturnier 3'!$F$3:$G$34,2,FALSE))=TRUE,0,VLOOKUP(B27,'Regioturnier 3'!$F$3:$G$34,2,FALSE)),IF(ISNA(VLOOKUP(B27,'Regioturnier 3'!$J$3:$K$34,2,FALSE))=TRUE,0,VLOOKUP(B27,'Regioturnier 3'!$J$3:$K$34,2,FALSE)),IF(ISNA(VLOOKUP(B27,'Regioturnier 3'!$N$3:$O$34,2,FALSE))=TRUE,0,VLOOKUP(B27,'Regioturnier 3'!$N$3:$O$34,2,FALSE)),IF(ISNA(VLOOKUP(B27,'Regioturnier 3'!$R$3:$S$34,2,FALSE))=TRUE,0,VLOOKUP(B27,'Regioturnier 3'!$R$3:$S$34,2,FALSE)), IF(ISNA(VLOOKUP(B27,'Regioturnier 3'!$V$3:$W$34,2,FALSE))=TRUE,0,VLOOKUP(B27,'Regioturnier 3'!$V$3:$W$34,2,FALSE)), IF(ISNA(VLOOKUP(B27,'Regioturnier 3'!$Z$3:$AA$34,2,FALSE))=TRUE,0,VLOOKUP(B27,'Regioturnier 3'!$Z$3:$AA$34,2,FALSE)))</f>
        <v>0</v>
      </c>
      <c r="R27" s="20">
        <f>0.5*INDEX($H27:$N27,MATCH(LARGE($H27:$N27,1),$H27:$N27,0))+0.3*INDEX($H27:$N27,MATCH(LARGE($H27:$N27,2),$H27:$N27,0))+0.2*INDEX($H27:$N27,MATCH(LARGE($H27:$N27,3),$H27:$N27,0))</f>
        <v>164</v>
      </c>
      <c r="S27" s="20">
        <f t="array" ref="S27">0.5*INDEX(O27:Q27,MATCH(LARGE(O27:Q27,1),O27:Q27,0))+0.3*INDEX(O27:Q27,MATCH(LARGE(O27:Q27,2),O27:Q27,0))+0.2*INDEX(O27:Q27,MATCH(LARGE(O27:Q27,3),O27:Q27,0))</f>
        <v>147.69999999999999</v>
      </c>
      <c r="T27" s="15">
        <f>1*INDEX(R27:S27,MATCH(LARGE(R27:S27,1),R27:S27,0))+0*INDEX(R27:S27,MATCH(LARGE(R27:S27,2),R27:S27,0))</f>
        <v>164</v>
      </c>
      <c r="U27" s="21"/>
      <c r="V27" s="21"/>
      <c r="W27" s="21"/>
      <c r="X27" s="21"/>
      <c r="Y27" s="21"/>
      <c r="Z27" s="21"/>
    </row>
    <row r="28" spans="1:26" ht="12.75" customHeight="1" x14ac:dyDescent="0.3">
      <c r="A28" s="15">
        <v>27</v>
      </c>
      <c r="B28" s="16" t="s">
        <v>302</v>
      </c>
      <c r="C28" s="17" t="s">
        <v>25</v>
      </c>
      <c r="D28" s="15" t="s">
        <v>26</v>
      </c>
      <c r="E28" s="18" t="s">
        <v>23</v>
      </c>
      <c r="F28" s="15" t="s">
        <v>634</v>
      </c>
      <c r="G28" s="22">
        <v>2014</v>
      </c>
      <c r="H28" s="15">
        <f>MAX(IF(ISNA(VLOOKUP(B28,'WBV 1'!$B$3:$C$34,2,FALSE))=TRUE,0,VLOOKUP(B28,'WBV 1'!$B$3:$C$34,2,FALSE)),IF(ISNA(VLOOKUP(B28,'WBV 1'!$F$3:$G$34,2,FALSE))=TRUE,0,VLOOKUP(B28,'WBV 1'!$F$3:$G$34,2,FALSE)),IF(ISNA(VLOOKUP(B28,'WBV 1'!$J$3:$K$34,2,FALSE))=TRUE,0,VLOOKUP(B28,'WBV 1'!$J$3:$K$34,2,FALSE)),IF(ISNA(VLOOKUP(B28,'WBV 1'!$N$3:$O$34,2,FALSE))=TRUE,0,VLOOKUP(B28,'WBV 1'!$N$3:$O$34,2,FALSE)))</f>
        <v>169</v>
      </c>
      <c r="I28" s="15">
        <f>MAX(IF(ISNA(VLOOKUP(B28,'WBV 2'!$B$3:$C$34,2,FALSE))=TRUE,0,VLOOKUP(B28,'WBV 2'!$B$3:$C$34,2,FALSE)),IF(ISNA(VLOOKUP(B28,'WBV 2'!$F$3:$G$34,2,FALSE))=TRUE,0,VLOOKUP(B28,'WBV 2'!$F$3:$G$34,2,FALSE)),IF(ISNA(VLOOKUP(B28,'WBV 2'!$J$3:$K$34,2,FALSE))=TRUE,0,VLOOKUP(B28,'WBV 2'!$J$3:$K$34,2,FALSE)),IF(ISNA(VLOOKUP(B28,'WBV 2'!$N$3:$O$34,2,FALSE))=TRUE,0,VLOOKUP(B28,'WBV 2'!$N$3:$O$34,2,FALSE)))</f>
        <v>164</v>
      </c>
      <c r="J28" s="15">
        <f>MAX(IF(ISNA(VLOOKUP(B28,'WBV 3'!$B$3:$C$34,2,FALSE))=TRUE,0,VLOOKUP(B28,'WBV 3'!$B$3:$C$34,2,FALSE)),IF(ISNA(VLOOKUP(B28,'WBV 3'!$F$3:$G$34,2,FALSE))=TRUE,0,VLOOKUP(B28,'WBV 3'!$F$3:$G$34,2,FALSE)),IF(ISNA(VLOOKUP(B28,'WBV 3'!$J$3:$K$34,2,FALSE))=TRUE,0,VLOOKUP(B28,'WBV 3'!$J$3:$K$34,2,FALSE)),IF(ISNA(VLOOKUP(B28,'WBV 3'!$N$3:$O$34,2,FALSE))=TRUE,0,VLOOKUP(B28,'WBV 3'!$N$3:$O$34,2,FALSE)))</f>
        <v>141</v>
      </c>
      <c r="K28" s="15">
        <f>MAX(IF(ISNA(VLOOKUP(B28,'WBV 4'!$B$3:$C$34,2,FALSE))=TRUE,0,VLOOKUP(B28,'WBV 4'!$B$3:$C$34,2,FALSE)),IF(ISNA(VLOOKUP(B28,'WBV 4'!$F$3:$G$34,2,FALSE))=TRUE,0,VLOOKUP(B28,'WBV 4'!$F$3:$G$34,2,FALSE)),IF(ISNA(VLOOKUP(B28,'WBV 4'!$J$3:$K$34,2,FALSE))=TRUE,0,VLOOKUP(B28,'WBV 4'!$J$3:$K$34,2,FALSE)),IF(ISNA(VLOOKUP(B28,'WBV 4'!$N$3:$O$34,2,FALSE))=TRUE,0,VLOOKUP(B28,'WBV 4'!$N$3:$O$34,2,FALSE)))</f>
        <v>0</v>
      </c>
      <c r="L28" s="19">
        <f>MAX(IF(ISNA(VLOOKUP(B28,'NÖBV 1'!$B$3:$C$34,2,FALSE))=TRUE,0,VLOOKUP(B28,'NÖBV 1'!$B$3:$C$34,2,FALSE)),IF(ISNA(VLOOKUP(B28,'NÖBV 1'!$F$3:$G$34,2,FALSE))=TRUE,0,VLOOKUP(B28,'NÖBV 1'!$F$3:$G$34,2,FALSE)),IF(ISNA(VLOOKUP(B28,'NÖBV 1'!$J$3:$K$34,2,FALSE))=TRUE,0,VLOOKUP(B28,'NÖBV 1'!$J$3:$K$34,2,FALSE)),IF(ISNA(VLOOKUP(B28,'NÖBV 1'!$N$3:$O$34,2,FALSE))=TRUE,0,VLOOKUP(B28,'NÖBV 1'!$N$3:$O$34,2,FALSE)))</f>
        <v>0</v>
      </c>
      <c r="M28" s="19">
        <f>MAX(IF(ISNA(VLOOKUP(B28,'NÖBV 2'!$B$3:$C$34,2,FALSE))=TRUE,0,VLOOKUP(B28,'NÖBV 2'!$B$3:$C$34,2,FALSE)),IF(ISNA(VLOOKUP(B28,'NÖBV 2'!$F$3:$G$34,2,FALSE))=TRUE,0,VLOOKUP(B28,'NÖBV 2'!$F$3:$G$34,2,FALSE)),IF(ISNA(VLOOKUP(B28,'NÖBV 2'!$J$3:$K$34,2,FALSE))=TRUE,0,VLOOKUP(B28,'NÖBV 2'!$J$3:$K$34,2,FALSE)),IF(ISNA(VLOOKUP(B28,'NÖBV 2'!$N$3:$O$34,2,FALSE))=TRUE,0,VLOOKUP(B28,'NÖBV 2'!$N$3:$O$34,2,FALSE)))</f>
        <v>0</v>
      </c>
      <c r="N28" s="19">
        <f>MAX(IF(ISNA(VLOOKUP(B28,'NÖBV 3'!$B$3:$C$34,2,FALSE))=TRUE,0,VLOOKUP(B28,'NÖBV 3'!$B$3:$C$34,2,FALSE)),IF(ISNA(VLOOKUP(B28,'NÖBV 3'!$F$3:$G$34,2,FALSE))=TRUE,0,VLOOKUP(B28,'NÖBV 3'!$F$3:$G$34,2,FALSE)),IF(ISNA(VLOOKUP(B28,'NÖBV 3'!$J$3:$K$34,2,FALSE))=TRUE,0,VLOOKUP(B28,'NÖBV 3'!$J$3:$K$34,2,FALSE)),IF(ISNA(VLOOKUP(B28,'NÖBV 3'!$N$3:$O$34,2,FALSE))=TRUE,0,VLOOKUP(B28,'NÖBV 3'!$N$3:$O$34,2,FALSE)))</f>
        <v>0</v>
      </c>
      <c r="O28" s="15">
        <f>MAX(IF(ISNA(VLOOKUP(B28,'Regioturnier 1'!$B$3:$C$34,2,FALSE))=TRUE,0,VLOOKUP(B28,'Regioturnier 1'!$B$3:$C$34,2,FALSE)),IF(ISNA(VLOOKUP(B28,'Regioturnier 1'!$F$3:$G$34,2,FALSE))=TRUE,0,VLOOKUP(B28,'Regioturnier 1'!$F$3:$G$34,2,FALSE)),IF(ISNA(VLOOKUP(B28,'Regioturnier 1'!$J$3:$K$34,2,FALSE))=TRUE,0,VLOOKUP(B28,'Regioturnier 1'!$J$3:$K$34,2,FALSE)),IF(ISNA(VLOOKUP(B28,'Regioturnier 1'!$N$3:$O$34,2,FALSE))=TRUE,0,VLOOKUP(B28,'Regioturnier 1'!$N$3:$O$34,2,FALSE)),IF(ISNA(VLOOKUP(B28,'Regioturnier 1'!$R$3:$S$34,2,FALSE))=TRUE,0,VLOOKUP(B28,'Regioturnier 1'!$R$3:$S$34,2,FALSE)), IF(ISNA(VLOOKUP(B28,'Regioturnier 1'!$V$3:$W$34,2,FALSE))=TRUE,0,VLOOKUP(B28,'Regioturnier 1'!$V$3:$W$34,2,FALSE)), IF(ISNA(VLOOKUP(B28,'Regioturnier 1'!$Z$3:$AA$34,2,FALSE))=TRUE,0,VLOOKUP(B28,'Regioturnier 1'!$Z$3:$AA$34,2,FALSE)))</f>
        <v>0</v>
      </c>
      <c r="P28" s="15">
        <f>MAX(IF(ISNA(VLOOKUP(B28,'Regioturnier 2'!$B$3:$C$34,2,FALSE))=TRUE,0,VLOOKUP(B28,'Regioturnier 2'!$B$3:$C$34,2,FALSE)),IF(ISNA(VLOOKUP(B28,'Regioturnier 2'!$F$3:$G$34,2,FALSE))=TRUE,0,VLOOKUP(B28,'Regioturnier 2'!$F$3:$G$34,2,FALSE)),IF(ISNA(VLOOKUP(B28,'Regioturnier 2'!$J$3:$K$34,2,FALSE))=TRUE,0,VLOOKUP(B28,'Regioturnier 2'!$J$3:$K$34,2,FALSE)),IF(ISNA(VLOOKUP(B28,'Regioturnier 2'!$N$3:$O$34,2,FALSE))=TRUE,0,VLOOKUP(B28,'Regioturnier 2'!$N$3:$O$34,2,FALSE)),IF(ISNA(VLOOKUP(B28,'Regioturnier 2'!$R$3:$S$34,2,FALSE))=TRUE,0,VLOOKUP(B28,'Regioturnier 2'!$R$3:$S$34,2,FALSE)), IF(ISNA(VLOOKUP(B28,'Regioturnier 2'!$V$3:$W$34,2,FALSE))=TRUE,0,VLOOKUP(B28,'Regioturnier 2'!$V$3:$W$34,2,FALSE)), IF(ISNA(VLOOKUP(B28,'Regioturnier 2'!$Z$3:$AA$34,2,FALSE))=TRUE,0,VLOOKUP(B28,'Regioturnier 2'!$Z$3:$AA$34,2,FALSE)))</f>
        <v>186</v>
      </c>
      <c r="Q28" s="15">
        <f>MAX(IF(ISNA(VLOOKUP(B28,'Regioturnier 3'!$B$3:$C$34,2,FALSE))=TRUE,0,VLOOKUP(B28,'Regioturnier 3'!$B$3:$C$34,2,FALSE)),IF(ISNA(VLOOKUP(B28,'Regioturnier 3'!$F$3:$G$34,2,FALSE))=TRUE,0,VLOOKUP(B28,'Regioturnier 3'!$F$3:$G$34,2,FALSE)),IF(ISNA(VLOOKUP(B28,'Regioturnier 3'!$J$3:$K$34,2,FALSE))=TRUE,0,VLOOKUP(B28,'Regioturnier 3'!$J$3:$K$34,2,FALSE)),IF(ISNA(VLOOKUP(B28,'Regioturnier 3'!$N$3:$O$34,2,FALSE))=TRUE,0,VLOOKUP(B28,'Regioturnier 3'!$N$3:$O$34,2,FALSE)),IF(ISNA(VLOOKUP(B28,'Regioturnier 3'!$R$3:$S$34,2,FALSE))=TRUE,0,VLOOKUP(B28,'Regioturnier 3'!$R$3:$S$34,2,FALSE)), IF(ISNA(VLOOKUP(B28,'Regioturnier 3'!$V$3:$W$34,2,FALSE))=TRUE,0,VLOOKUP(B28,'Regioturnier 3'!$V$3:$W$34,2,FALSE)), IF(ISNA(VLOOKUP(B28,'Regioturnier 3'!$Z$3:$AA$34,2,FALSE))=TRUE,0,VLOOKUP(B28,'Regioturnier 3'!$Z$3:$AA$34,2,FALSE)))</f>
        <v>0</v>
      </c>
      <c r="R28" s="20">
        <f>0.5*INDEX($H28:$N28,MATCH(LARGE($H28:$N28,1),$H28:$N28,0))+0.3*INDEX($H28:$N28,MATCH(LARGE($H28:$N28,2),$H28:$N28,0))+0.2*INDEX($H28:$N28,MATCH(LARGE($H28:$N28,3),$H28:$N28,0))</f>
        <v>161.89999999999998</v>
      </c>
      <c r="S28" s="20">
        <f>0.6*INDEX(O28:Q28,MATCH(LARGE(O28:Q28,1),O28:Q28,0))+0.4*INDEX(O28:Q28,MATCH(LARGE(O28:Q28,2),O28:Q28,0))+0*INDEX(O28:Q28,MATCH(LARGE(O28:Q28,3),O28:Q28,0))</f>
        <v>111.6</v>
      </c>
      <c r="T28" s="15">
        <f>1*INDEX(R28:S28,MATCH(LARGE(R28:S28,1),R28:S28,0))+0*INDEX(R28:S28,MATCH(LARGE(R28:S28,2),R28:S28,0))</f>
        <v>161.89999999999998</v>
      </c>
      <c r="U28" s="21"/>
      <c r="V28" s="21"/>
      <c r="W28" s="21"/>
      <c r="X28" s="21"/>
      <c r="Y28" s="21"/>
      <c r="Z28" s="21"/>
    </row>
    <row r="29" spans="1:26" ht="12.75" customHeight="1" x14ac:dyDescent="0.3">
      <c r="A29" s="15">
        <v>28</v>
      </c>
      <c r="B29" s="16" t="s">
        <v>499</v>
      </c>
      <c r="C29" s="17" t="s">
        <v>108</v>
      </c>
      <c r="D29" s="15" t="s">
        <v>22</v>
      </c>
      <c r="E29" s="18" t="s">
        <v>23</v>
      </c>
      <c r="F29" s="15" t="s">
        <v>507</v>
      </c>
      <c r="G29" s="22">
        <v>2013</v>
      </c>
      <c r="H29" s="15">
        <f>MAX(IF(ISNA(VLOOKUP(B29,'WBV 1'!$B$3:$C$34,2,FALSE))=TRUE,0,VLOOKUP(B29,'WBV 1'!$B$3:$C$34,2,FALSE)),IF(ISNA(VLOOKUP(B29,'WBV 1'!$F$3:$G$34,2,FALSE))=TRUE,0,VLOOKUP(B29,'WBV 1'!$F$3:$G$34,2,FALSE)),IF(ISNA(VLOOKUP(B29,'WBV 1'!$J$3:$K$34,2,FALSE))=TRUE,0,VLOOKUP(B29,'WBV 1'!$J$3:$K$34,2,FALSE)),IF(ISNA(VLOOKUP(B29,'WBV 1'!$N$3:$O$34,2,FALSE))=TRUE,0,VLOOKUP(B29,'WBV 1'!$N$3:$O$34,2,FALSE)))</f>
        <v>0</v>
      </c>
      <c r="I29" s="15">
        <f>MAX(IF(ISNA(VLOOKUP(B29,'WBV 2'!$B$3:$C$34,2,FALSE))=TRUE,0,VLOOKUP(B29,'WBV 2'!$B$3:$C$34,2,FALSE)),IF(ISNA(VLOOKUP(B29,'WBV 2'!$F$3:$G$34,2,FALSE))=TRUE,0,VLOOKUP(B29,'WBV 2'!$F$3:$G$34,2,FALSE)),IF(ISNA(VLOOKUP(B29,'WBV 2'!$J$3:$K$34,2,FALSE))=TRUE,0,VLOOKUP(B29,'WBV 2'!$J$3:$K$34,2,FALSE)),IF(ISNA(VLOOKUP(B29,'WBV 2'!$N$3:$O$34,2,FALSE))=TRUE,0,VLOOKUP(B29,'WBV 2'!$N$3:$O$34,2,FALSE)))</f>
        <v>0</v>
      </c>
      <c r="J29" s="15">
        <f>MAX(IF(ISNA(VLOOKUP(B29,'WBV 3'!$B$3:$C$34,2,FALSE))=TRUE,0,VLOOKUP(B29,'WBV 3'!$B$3:$C$34,2,FALSE)),IF(ISNA(VLOOKUP(B29,'WBV 3'!$F$3:$G$34,2,FALSE))=TRUE,0,VLOOKUP(B29,'WBV 3'!$F$3:$G$34,2,FALSE)),IF(ISNA(VLOOKUP(B29,'WBV 3'!$J$3:$K$34,2,FALSE))=TRUE,0,VLOOKUP(B29,'WBV 3'!$J$3:$K$34,2,FALSE)),IF(ISNA(VLOOKUP(B29,'WBV 3'!$N$3:$O$34,2,FALSE))=TRUE,0,VLOOKUP(B29,'WBV 3'!$N$3:$O$34,2,FALSE)))</f>
        <v>0</v>
      </c>
      <c r="K29" s="15">
        <f>MAX(IF(ISNA(VLOOKUP(B29,'WBV 4'!$B$3:$C$34,2,FALSE))=TRUE,0,VLOOKUP(B29,'WBV 4'!$B$3:$C$34,2,FALSE)),IF(ISNA(VLOOKUP(B29,'WBV 4'!$F$3:$G$34,2,FALSE))=TRUE,0,VLOOKUP(B29,'WBV 4'!$F$3:$G$34,2,FALSE)),IF(ISNA(VLOOKUP(B29,'WBV 4'!$J$3:$K$34,2,FALSE))=TRUE,0,VLOOKUP(B29,'WBV 4'!$J$3:$K$34,2,FALSE)),IF(ISNA(VLOOKUP(B29,'WBV 4'!$N$3:$O$34,2,FALSE))=TRUE,0,VLOOKUP(B29,'WBV 4'!$N$3:$O$34,2,FALSE)))</f>
        <v>0</v>
      </c>
      <c r="L29" s="19">
        <f>MAX(IF(ISNA(VLOOKUP(B29,'NÖBV 1'!$B$3:$C$34,2,FALSE))=TRUE,0,VLOOKUP(B29,'NÖBV 1'!$B$3:$C$34,2,FALSE)),IF(ISNA(VLOOKUP(B29,'NÖBV 1'!$F$3:$G$34,2,FALSE))=TRUE,0,VLOOKUP(B29,'NÖBV 1'!$F$3:$G$34,2,FALSE)),IF(ISNA(VLOOKUP(B29,'NÖBV 1'!$J$3:$K$34,2,FALSE))=TRUE,0,VLOOKUP(B29,'NÖBV 1'!$J$3:$K$34,2,FALSE)),IF(ISNA(VLOOKUP(B29,'NÖBV 1'!$N$3:$O$34,2,FALSE))=TRUE,0,VLOOKUP(B29,'NÖBV 1'!$N$3:$O$34,2,FALSE)))</f>
        <v>154</v>
      </c>
      <c r="M29" s="19">
        <f>MAX(IF(ISNA(VLOOKUP(B29,'NÖBV 2'!$B$3:$C$34,2,FALSE))=TRUE,0,VLOOKUP(B29,'NÖBV 2'!$B$3:$C$34,2,FALSE)),IF(ISNA(VLOOKUP(B29,'NÖBV 2'!$F$3:$G$34,2,FALSE))=TRUE,0,VLOOKUP(B29,'NÖBV 2'!$F$3:$G$34,2,FALSE)),IF(ISNA(VLOOKUP(B29,'NÖBV 2'!$J$3:$K$34,2,FALSE))=TRUE,0,VLOOKUP(B29,'NÖBV 2'!$J$3:$K$34,2,FALSE)),IF(ISNA(VLOOKUP(B29,'NÖBV 2'!$N$3:$O$34,2,FALSE))=TRUE,0,VLOOKUP(B29,'NÖBV 2'!$N$3:$O$34,2,FALSE)))</f>
        <v>150</v>
      </c>
      <c r="N29" s="19">
        <f>MAX(IF(ISNA(VLOOKUP(B29,'NÖBV 3'!$B$3:$C$34,2,FALSE))=TRUE,0,VLOOKUP(B29,'NÖBV 3'!$B$3:$C$34,2,FALSE)),IF(ISNA(VLOOKUP(B29,'NÖBV 3'!$F$3:$G$34,2,FALSE))=TRUE,0,VLOOKUP(B29,'NÖBV 3'!$F$3:$G$34,2,FALSE)),IF(ISNA(VLOOKUP(B29,'NÖBV 3'!$J$3:$K$34,2,FALSE))=TRUE,0,VLOOKUP(B29,'NÖBV 3'!$J$3:$K$34,2,FALSE)),IF(ISNA(VLOOKUP(B29,'NÖBV 3'!$N$3:$O$34,2,FALSE))=TRUE,0,VLOOKUP(B29,'NÖBV 3'!$N$3:$O$34,2,FALSE)))</f>
        <v>170</v>
      </c>
      <c r="O29" s="15">
        <f>MAX(IF(ISNA(VLOOKUP(B29,'Regioturnier 1'!$B$3:$C$34,2,FALSE))=TRUE,0,VLOOKUP(B29,'Regioturnier 1'!$B$3:$C$34,2,FALSE)),IF(ISNA(VLOOKUP(B29,'Regioturnier 1'!$F$3:$G$34,2,FALSE))=TRUE,0,VLOOKUP(B29,'Regioturnier 1'!$F$3:$G$34,2,FALSE)),IF(ISNA(VLOOKUP(B29,'Regioturnier 1'!$J$3:$K$34,2,FALSE))=TRUE,0,VLOOKUP(B29,'Regioturnier 1'!$J$3:$K$34,2,FALSE)),IF(ISNA(VLOOKUP(B29,'Regioturnier 1'!$N$3:$O$34,2,FALSE))=TRUE,0,VLOOKUP(B29,'Regioturnier 1'!$N$3:$O$34,2,FALSE)),IF(ISNA(VLOOKUP(B29,'Regioturnier 1'!$R$3:$S$34,2,FALSE))=TRUE,0,VLOOKUP(B29,'Regioturnier 1'!$R$3:$S$34,2,FALSE)), IF(ISNA(VLOOKUP(B29,'Regioturnier 1'!$V$3:$W$34,2,FALSE))=TRUE,0,VLOOKUP(B29,'Regioturnier 1'!$V$3:$W$34,2,FALSE)), IF(ISNA(VLOOKUP(B29,'Regioturnier 1'!$Z$3:$AA$34,2,FALSE))=TRUE,0,VLOOKUP(B29,'Regioturnier 1'!$Z$3:$AA$34,2,FALSE)))</f>
        <v>0</v>
      </c>
      <c r="P29" s="15">
        <f>MAX(IF(ISNA(VLOOKUP(B29,'Regioturnier 2'!$B$3:$C$34,2,FALSE))=TRUE,0,VLOOKUP(B29,'Regioturnier 2'!$B$3:$C$34,2,FALSE)),IF(ISNA(VLOOKUP(B29,'Regioturnier 2'!$F$3:$G$34,2,FALSE))=TRUE,0,VLOOKUP(B29,'Regioturnier 2'!$F$3:$G$34,2,FALSE)),IF(ISNA(VLOOKUP(B29,'Regioturnier 2'!$J$3:$K$34,2,FALSE))=TRUE,0,VLOOKUP(B29,'Regioturnier 2'!$J$3:$K$34,2,FALSE)),IF(ISNA(VLOOKUP(B29,'Regioturnier 2'!$N$3:$O$34,2,FALSE))=TRUE,0,VLOOKUP(B29,'Regioturnier 2'!$N$3:$O$34,2,FALSE)),IF(ISNA(VLOOKUP(B29,'Regioturnier 2'!$R$3:$S$34,2,FALSE))=TRUE,0,VLOOKUP(B29,'Regioturnier 2'!$R$3:$S$34,2,FALSE)), IF(ISNA(VLOOKUP(B29,'Regioturnier 2'!$V$3:$W$34,2,FALSE))=TRUE,0,VLOOKUP(B29,'Regioturnier 2'!$V$3:$W$34,2,FALSE)), IF(ISNA(VLOOKUP(B29,'Regioturnier 2'!$Z$3:$AA$34,2,FALSE))=TRUE,0,VLOOKUP(B29,'Regioturnier 2'!$Z$3:$AA$34,2,FALSE)))</f>
        <v>0</v>
      </c>
      <c r="Q29" s="15">
        <f>MAX(IF(ISNA(VLOOKUP(B29,'Regioturnier 3'!$B$3:$C$34,2,FALSE))=TRUE,0,VLOOKUP(B29,'Regioturnier 3'!$B$3:$C$34,2,FALSE)),IF(ISNA(VLOOKUP(B29,'Regioturnier 3'!$F$3:$G$34,2,FALSE))=TRUE,0,VLOOKUP(B29,'Regioturnier 3'!$F$3:$G$34,2,FALSE)),IF(ISNA(VLOOKUP(B29,'Regioturnier 3'!$J$3:$K$34,2,FALSE))=TRUE,0,VLOOKUP(B29,'Regioturnier 3'!$J$3:$K$34,2,FALSE)),IF(ISNA(VLOOKUP(B29,'Regioturnier 3'!$N$3:$O$34,2,FALSE))=TRUE,0,VLOOKUP(B29,'Regioturnier 3'!$N$3:$O$34,2,FALSE)),IF(ISNA(VLOOKUP(B29,'Regioturnier 3'!$R$3:$S$34,2,FALSE))=TRUE,0,VLOOKUP(B29,'Regioturnier 3'!$R$3:$S$34,2,FALSE)), IF(ISNA(VLOOKUP(B29,'Regioturnier 3'!$V$3:$W$34,2,FALSE))=TRUE,0,VLOOKUP(B29,'Regioturnier 3'!$V$3:$W$34,2,FALSE)), IF(ISNA(VLOOKUP(B29,'Regioturnier 3'!$Z$3:$AA$34,2,FALSE))=TRUE,0,VLOOKUP(B29,'Regioturnier 3'!$Z$3:$AA$34,2,FALSE)))</f>
        <v>0</v>
      </c>
      <c r="R29" s="20">
        <f>0.5*INDEX($H29:$N29,MATCH(LARGE($H29:$N29,1),$H29:$N29,0))+0.3*INDEX($H29:$N29,MATCH(LARGE($H29:$N29,2),$H29:$N29,0))+0.2*INDEX($H29:$N29,MATCH(LARGE($H29:$N29,3),$H29:$N29,0))</f>
        <v>161.19999999999999</v>
      </c>
      <c r="S29" s="20">
        <f>0.6*INDEX(O29:Q29,MATCH(LARGE(O29:Q29,1),O29:Q29,0))+0.4*INDEX(O29:Q29,MATCH(LARGE(O29:Q29,2),O29:Q29,0))+0*INDEX(O29:Q29,MATCH(LARGE(O29:Q29,3),O29:Q29,0))</f>
        <v>0</v>
      </c>
      <c r="T29" s="15">
        <f>1*INDEX(R29:S29,MATCH(LARGE(R29:S29,1),R29:S29,0))+0*INDEX(R29:S29,MATCH(LARGE(R29:S29,2),R29:S29,0))</f>
        <v>161.19999999999999</v>
      </c>
      <c r="U29" s="21"/>
      <c r="V29" s="21"/>
      <c r="W29" s="21"/>
      <c r="X29" s="21"/>
      <c r="Y29" s="21"/>
      <c r="Z29" s="21"/>
    </row>
    <row r="30" spans="1:26" ht="12.75" customHeight="1" x14ac:dyDescent="0.3">
      <c r="A30" s="15">
        <v>29</v>
      </c>
      <c r="B30" s="16" t="s">
        <v>307</v>
      </c>
      <c r="C30" s="17" t="s">
        <v>160</v>
      </c>
      <c r="D30" s="15" t="s">
        <v>26</v>
      </c>
      <c r="E30" s="18" t="s">
        <v>23</v>
      </c>
      <c r="F30" s="15">
        <v>112227</v>
      </c>
      <c r="G30" s="22">
        <v>2016</v>
      </c>
      <c r="H30" s="15">
        <f>MAX(IF(ISNA(VLOOKUP(B30,'WBV 1'!$B$3:$C$34,2,FALSE))=TRUE,0,VLOOKUP(B30,'WBV 1'!$B$3:$C$34,2,FALSE)),IF(ISNA(VLOOKUP(B30,'WBV 1'!$F$3:$G$34,2,FALSE))=TRUE,0,VLOOKUP(B30,'WBV 1'!$F$3:$G$34,2,FALSE)),IF(ISNA(VLOOKUP(B30,'WBV 1'!$J$3:$K$34,2,FALSE))=TRUE,0,VLOOKUP(B30,'WBV 1'!$J$3:$K$34,2,FALSE)),IF(ISNA(VLOOKUP(B30,'WBV 1'!$N$3:$O$34,2,FALSE))=TRUE,0,VLOOKUP(B30,'WBV 1'!$N$3:$O$34,2,FALSE)))</f>
        <v>155</v>
      </c>
      <c r="I30" s="15">
        <f>MAX(IF(ISNA(VLOOKUP(B30,'WBV 2'!$B$3:$C$34,2,FALSE))=TRUE,0,VLOOKUP(B30,'WBV 2'!$B$3:$C$34,2,FALSE)),IF(ISNA(VLOOKUP(B30,'WBV 2'!$F$3:$G$34,2,FALSE))=TRUE,0,VLOOKUP(B30,'WBV 2'!$F$3:$G$34,2,FALSE)),IF(ISNA(VLOOKUP(B30,'WBV 2'!$J$3:$K$34,2,FALSE))=TRUE,0,VLOOKUP(B30,'WBV 2'!$J$3:$K$34,2,FALSE)),IF(ISNA(VLOOKUP(B30,'WBV 2'!$N$3:$O$34,2,FALSE))=TRUE,0,VLOOKUP(B30,'WBV 2'!$N$3:$O$34,2,FALSE)))</f>
        <v>148</v>
      </c>
      <c r="J30" s="15">
        <f>MAX(IF(ISNA(VLOOKUP(B30,'WBV 3'!$B$3:$C$34,2,FALSE))=TRUE,0,VLOOKUP(B30,'WBV 3'!$B$3:$C$34,2,FALSE)),IF(ISNA(VLOOKUP(B30,'WBV 3'!$F$3:$G$34,2,FALSE))=TRUE,0,VLOOKUP(B30,'WBV 3'!$F$3:$G$34,2,FALSE)),IF(ISNA(VLOOKUP(B30,'WBV 3'!$J$3:$K$34,2,FALSE))=TRUE,0,VLOOKUP(B30,'WBV 3'!$J$3:$K$34,2,FALSE)),IF(ISNA(VLOOKUP(B30,'WBV 3'!$N$3:$O$34,2,FALSE))=TRUE,0,VLOOKUP(B30,'WBV 3'!$N$3:$O$34,2,FALSE)))</f>
        <v>168</v>
      </c>
      <c r="K30" s="15">
        <f>MAX(IF(ISNA(VLOOKUP(B30,'WBV 4'!$B$3:$C$34,2,FALSE))=TRUE,0,VLOOKUP(B30,'WBV 4'!$B$3:$C$34,2,FALSE)),IF(ISNA(VLOOKUP(B30,'WBV 4'!$F$3:$G$34,2,FALSE))=TRUE,0,VLOOKUP(B30,'WBV 4'!$F$3:$G$34,2,FALSE)),IF(ISNA(VLOOKUP(B30,'WBV 4'!$J$3:$K$34,2,FALSE))=TRUE,0,VLOOKUP(B30,'WBV 4'!$J$3:$K$34,2,FALSE)),IF(ISNA(VLOOKUP(B30,'WBV 4'!$N$3:$O$34,2,FALSE))=TRUE,0,VLOOKUP(B30,'WBV 4'!$N$3:$O$34,2,FALSE)))</f>
        <v>0</v>
      </c>
      <c r="L30" s="19">
        <f>MAX(IF(ISNA(VLOOKUP(B30,'NÖBV 1'!$B$3:$C$34,2,FALSE))=TRUE,0,VLOOKUP(B30,'NÖBV 1'!$B$3:$C$34,2,FALSE)),IF(ISNA(VLOOKUP(B30,'NÖBV 1'!$F$3:$G$34,2,FALSE))=TRUE,0,VLOOKUP(B30,'NÖBV 1'!$F$3:$G$34,2,FALSE)),IF(ISNA(VLOOKUP(B30,'NÖBV 1'!$J$3:$K$34,2,FALSE))=TRUE,0,VLOOKUP(B30,'NÖBV 1'!$J$3:$K$34,2,FALSE)),IF(ISNA(VLOOKUP(B30,'NÖBV 1'!$N$3:$O$34,2,FALSE))=TRUE,0,VLOOKUP(B30,'NÖBV 1'!$N$3:$O$34,2,FALSE)))</f>
        <v>0</v>
      </c>
      <c r="M30" s="19">
        <f>MAX(IF(ISNA(VLOOKUP(B30,'NÖBV 2'!$B$3:$C$34,2,FALSE))=TRUE,0,VLOOKUP(B30,'NÖBV 2'!$B$3:$C$34,2,FALSE)),IF(ISNA(VLOOKUP(B30,'NÖBV 2'!$F$3:$G$34,2,FALSE))=TRUE,0,VLOOKUP(B30,'NÖBV 2'!$F$3:$G$34,2,FALSE)),IF(ISNA(VLOOKUP(B30,'NÖBV 2'!$J$3:$K$34,2,FALSE))=TRUE,0,VLOOKUP(B30,'NÖBV 2'!$J$3:$K$34,2,FALSE)),IF(ISNA(VLOOKUP(B30,'NÖBV 2'!$N$3:$O$34,2,FALSE))=TRUE,0,VLOOKUP(B30,'NÖBV 2'!$N$3:$O$34,2,FALSE)))</f>
        <v>0</v>
      </c>
      <c r="N30" s="19">
        <f>MAX(IF(ISNA(VLOOKUP(B30,'NÖBV 3'!$B$3:$C$34,2,FALSE))=TRUE,0,VLOOKUP(B30,'NÖBV 3'!$B$3:$C$34,2,FALSE)),IF(ISNA(VLOOKUP(B30,'NÖBV 3'!$F$3:$G$34,2,FALSE))=TRUE,0,VLOOKUP(B30,'NÖBV 3'!$F$3:$G$34,2,FALSE)),IF(ISNA(VLOOKUP(B30,'NÖBV 3'!$J$3:$K$34,2,FALSE))=TRUE,0,VLOOKUP(B30,'NÖBV 3'!$J$3:$K$34,2,FALSE)),IF(ISNA(VLOOKUP(B30,'NÖBV 3'!$N$3:$O$34,2,FALSE))=TRUE,0,VLOOKUP(B30,'NÖBV 3'!$N$3:$O$34,2,FALSE)))</f>
        <v>0</v>
      </c>
      <c r="O30" s="15">
        <f>MAX(IF(ISNA(VLOOKUP(B30,'Regioturnier 1'!$B$3:$C$34,2,FALSE))=TRUE,0,VLOOKUP(B30,'Regioturnier 1'!$B$3:$C$34,2,FALSE)),IF(ISNA(VLOOKUP(B30,'Regioturnier 1'!$F$3:$G$34,2,FALSE))=TRUE,0,VLOOKUP(B30,'Regioturnier 1'!$F$3:$G$34,2,FALSE)),IF(ISNA(VLOOKUP(B30,'Regioturnier 1'!$J$3:$K$34,2,FALSE))=TRUE,0,VLOOKUP(B30,'Regioturnier 1'!$J$3:$K$34,2,FALSE)),IF(ISNA(VLOOKUP(B30,'Regioturnier 1'!$N$3:$O$34,2,FALSE))=TRUE,0,VLOOKUP(B30,'Regioturnier 1'!$N$3:$O$34,2,FALSE)),IF(ISNA(VLOOKUP(B30,'Regioturnier 1'!$R$3:$S$34,2,FALSE))=TRUE,0,VLOOKUP(B30,'Regioturnier 1'!$R$3:$S$34,2,FALSE)), IF(ISNA(VLOOKUP(B30,'Regioturnier 1'!$V$3:$W$34,2,FALSE))=TRUE,0,VLOOKUP(B30,'Regioturnier 1'!$V$3:$W$34,2,FALSE)), IF(ISNA(VLOOKUP(B30,'Regioturnier 1'!$Z$3:$AA$34,2,FALSE))=TRUE,0,VLOOKUP(B30,'Regioturnier 1'!$Z$3:$AA$34,2,FALSE)))</f>
        <v>171</v>
      </c>
      <c r="P30" s="15">
        <f>MAX(IF(ISNA(VLOOKUP(B30,'Regioturnier 2'!$B$3:$C$34,2,FALSE))=TRUE,0,VLOOKUP(B30,'Regioturnier 2'!$B$3:$C$34,2,FALSE)),IF(ISNA(VLOOKUP(B30,'Regioturnier 2'!$F$3:$G$34,2,FALSE))=TRUE,0,VLOOKUP(B30,'Regioturnier 2'!$F$3:$G$34,2,FALSE)),IF(ISNA(VLOOKUP(B30,'Regioturnier 2'!$J$3:$K$34,2,FALSE))=TRUE,0,VLOOKUP(B30,'Regioturnier 2'!$J$3:$K$34,2,FALSE)),IF(ISNA(VLOOKUP(B30,'Regioturnier 2'!$N$3:$O$34,2,FALSE))=TRUE,0,VLOOKUP(B30,'Regioturnier 2'!$N$3:$O$34,2,FALSE)),IF(ISNA(VLOOKUP(B30,'Regioturnier 2'!$R$3:$S$34,2,FALSE))=TRUE,0,VLOOKUP(B30,'Regioturnier 2'!$R$3:$S$34,2,FALSE)), IF(ISNA(VLOOKUP(B30,'Regioturnier 2'!$V$3:$W$34,2,FALSE))=TRUE,0,VLOOKUP(B30,'Regioturnier 2'!$V$3:$W$34,2,FALSE)), IF(ISNA(VLOOKUP(B30,'Regioturnier 2'!$Z$3:$AA$34,2,FALSE))=TRUE,0,VLOOKUP(B30,'Regioturnier 2'!$Z$3:$AA$34,2,FALSE)))</f>
        <v>0</v>
      </c>
      <c r="Q30" s="15">
        <f>MAX(IF(ISNA(VLOOKUP(B30,'Regioturnier 3'!$B$3:$C$34,2,FALSE))=TRUE,0,VLOOKUP(B30,'Regioturnier 3'!$B$3:$C$34,2,FALSE)),IF(ISNA(VLOOKUP(B30,'Regioturnier 3'!$F$3:$G$34,2,FALSE))=TRUE,0,VLOOKUP(B30,'Regioturnier 3'!$F$3:$G$34,2,FALSE)),IF(ISNA(VLOOKUP(B30,'Regioturnier 3'!$J$3:$K$34,2,FALSE))=TRUE,0,VLOOKUP(B30,'Regioturnier 3'!$J$3:$K$34,2,FALSE)),IF(ISNA(VLOOKUP(B30,'Regioturnier 3'!$N$3:$O$34,2,FALSE))=TRUE,0,VLOOKUP(B30,'Regioturnier 3'!$N$3:$O$34,2,FALSE)),IF(ISNA(VLOOKUP(B30,'Regioturnier 3'!$R$3:$S$34,2,FALSE))=TRUE,0,VLOOKUP(B30,'Regioturnier 3'!$R$3:$S$34,2,FALSE)), IF(ISNA(VLOOKUP(B30,'Regioturnier 3'!$V$3:$W$34,2,FALSE))=TRUE,0,VLOOKUP(B30,'Regioturnier 3'!$V$3:$W$34,2,FALSE)), IF(ISNA(VLOOKUP(B30,'Regioturnier 3'!$Z$3:$AA$34,2,FALSE))=TRUE,0,VLOOKUP(B30,'Regioturnier 3'!$Z$3:$AA$34,2,FALSE)))</f>
        <v>0</v>
      </c>
      <c r="R30" s="20">
        <f>0.5*INDEX($H30:$N30,MATCH(LARGE($H30:$N30,1),$H30:$N30,0))+0.3*INDEX($H30:$N30,MATCH(LARGE($H30:$N30,2),$H30:$N30,0))+0.2*INDEX($H30:$N30,MATCH(LARGE($H30:$N30,3),$H30:$N30,0))</f>
        <v>160.1</v>
      </c>
      <c r="S30" s="20">
        <f>0.6*INDEX(O30:Q30,MATCH(LARGE(O30:Q30,1),O30:Q30,0))+0.4*INDEX(O30:Q30,MATCH(LARGE(O30:Q30,2),O30:Q30,0))+0*INDEX(O30:Q30,MATCH(LARGE(O30:Q30,3),O30:Q30,0))</f>
        <v>102.6</v>
      </c>
      <c r="T30" s="15">
        <f>1*INDEX(R30:S30,MATCH(LARGE(R30:S30,1),R30:S30,0))+0*INDEX(R30:S30,MATCH(LARGE(R30:S30,2),R30:S30,0))</f>
        <v>160.1</v>
      </c>
      <c r="U30" s="21"/>
      <c r="V30" s="21"/>
      <c r="W30" s="21"/>
      <c r="X30" s="21"/>
      <c r="Y30" s="21"/>
      <c r="Z30" s="21"/>
    </row>
    <row r="31" spans="1:26" ht="12.75" customHeight="1" x14ac:dyDescent="0.3">
      <c r="A31" s="15">
        <v>30</v>
      </c>
      <c r="B31" s="16" t="s">
        <v>96</v>
      </c>
      <c r="C31" s="17" t="s">
        <v>97</v>
      </c>
      <c r="D31" s="15" t="s">
        <v>26</v>
      </c>
      <c r="E31" s="18" t="s">
        <v>23</v>
      </c>
      <c r="F31" s="15">
        <v>312853</v>
      </c>
      <c r="G31" s="22">
        <v>2013</v>
      </c>
      <c r="H31" s="15">
        <f>MAX(IF(ISNA(VLOOKUP(B31,'WBV 1'!$B$3:$C$34,2,FALSE))=TRUE,0,VLOOKUP(B31,'WBV 1'!$B$3:$C$34,2,FALSE)),IF(ISNA(VLOOKUP(B31,'WBV 1'!$F$3:$G$34,2,FALSE))=TRUE,0,VLOOKUP(B31,'WBV 1'!$F$3:$G$34,2,FALSE)),IF(ISNA(VLOOKUP(B31,'WBV 1'!$J$3:$K$34,2,FALSE))=TRUE,0,VLOOKUP(B31,'WBV 1'!$J$3:$K$34,2,FALSE)),IF(ISNA(VLOOKUP(B31,'WBV 1'!$N$3:$O$34,2,FALSE))=TRUE,0,VLOOKUP(B31,'WBV 1'!$N$3:$O$34,2,FALSE)))</f>
        <v>0</v>
      </c>
      <c r="I31" s="15">
        <f>MAX(IF(ISNA(VLOOKUP(B31,'WBV 2'!$B$3:$C$34,2,FALSE))=TRUE,0,VLOOKUP(B31,'WBV 2'!$B$3:$C$34,2,FALSE)),IF(ISNA(VLOOKUP(B31,'WBV 2'!$F$3:$G$34,2,FALSE))=TRUE,0,VLOOKUP(B31,'WBV 2'!$F$3:$G$34,2,FALSE)),IF(ISNA(VLOOKUP(B31,'WBV 2'!$J$3:$K$34,2,FALSE))=TRUE,0,VLOOKUP(B31,'WBV 2'!$J$3:$K$34,2,FALSE)),IF(ISNA(VLOOKUP(B31,'WBV 2'!$N$3:$O$34,2,FALSE))=TRUE,0,VLOOKUP(B31,'WBV 2'!$N$3:$O$34,2,FALSE)))</f>
        <v>0</v>
      </c>
      <c r="J31" s="15">
        <f>MAX(IF(ISNA(VLOOKUP(B31,'WBV 3'!$B$3:$C$34,2,FALSE))=TRUE,0,VLOOKUP(B31,'WBV 3'!$B$3:$C$34,2,FALSE)),IF(ISNA(VLOOKUP(B31,'WBV 3'!$F$3:$G$34,2,FALSE))=TRUE,0,VLOOKUP(B31,'WBV 3'!$F$3:$G$34,2,FALSE)),IF(ISNA(VLOOKUP(B31,'WBV 3'!$J$3:$K$34,2,FALSE))=TRUE,0,VLOOKUP(B31,'WBV 3'!$J$3:$K$34,2,FALSE)),IF(ISNA(VLOOKUP(B31,'WBV 3'!$N$3:$O$34,2,FALSE))=TRUE,0,VLOOKUP(B31,'WBV 3'!$N$3:$O$34,2,FALSE)))</f>
        <v>0</v>
      </c>
      <c r="K31" s="15">
        <f>MAX(IF(ISNA(VLOOKUP(B31,'WBV 4'!$B$3:$C$34,2,FALSE))=TRUE,0,VLOOKUP(B31,'WBV 4'!$B$3:$C$34,2,FALSE)),IF(ISNA(VLOOKUP(B31,'WBV 4'!$F$3:$G$34,2,FALSE))=TRUE,0,VLOOKUP(B31,'WBV 4'!$F$3:$G$34,2,FALSE)),IF(ISNA(VLOOKUP(B31,'WBV 4'!$J$3:$K$34,2,FALSE))=TRUE,0,VLOOKUP(B31,'WBV 4'!$J$3:$K$34,2,FALSE)),IF(ISNA(VLOOKUP(B31,'WBV 4'!$N$3:$O$34,2,FALSE))=TRUE,0,VLOOKUP(B31,'WBV 4'!$N$3:$O$34,2,FALSE)))</f>
        <v>0</v>
      </c>
      <c r="L31" s="19">
        <f>MAX(IF(ISNA(VLOOKUP(B31,'NÖBV 1'!$B$3:$C$34,2,FALSE))=TRUE,0,VLOOKUP(B31,'NÖBV 1'!$B$3:$C$34,2,FALSE)),IF(ISNA(VLOOKUP(B31,'NÖBV 1'!$F$3:$G$34,2,FALSE))=TRUE,0,VLOOKUP(B31,'NÖBV 1'!$F$3:$G$34,2,FALSE)),IF(ISNA(VLOOKUP(B31,'NÖBV 1'!$J$3:$K$34,2,FALSE))=TRUE,0,VLOOKUP(B31,'NÖBV 1'!$J$3:$K$34,2,FALSE)),IF(ISNA(VLOOKUP(B31,'NÖBV 1'!$N$3:$O$34,2,FALSE))=TRUE,0,VLOOKUP(B31,'NÖBV 1'!$N$3:$O$34,2,FALSE)))</f>
        <v>193</v>
      </c>
      <c r="M31" s="19">
        <f>MAX(IF(ISNA(VLOOKUP(B31,'NÖBV 2'!$B$3:$C$34,2,FALSE))=TRUE,0,VLOOKUP(B31,'NÖBV 2'!$B$3:$C$34,2,FALSE)),IF(ISNA(VLOOKUP(B31,'NÖBV 2'!$F$3:$G$34,2,FALSE))=TRUE,0,VLOOKUP(B31,'NÖBV 2'!$F$3:$G$34,2,FALSE)),IF(ISNA(VLOOKUP(B31,'NÖBV 2'!$J$3:$K$34,2,FALSE))=TRUE,0,VLOOKUP(B31,'NÖBV 2'!$J$3:$K$34,2,FALSE)),IF(ISNA(VLOOKUP(B31,'NÖBV 2'!$N$3:$O$34,2,FALSE))=TRUE,0,VLOOKUP(B31,'NÖBV 2'!$N$3:$O$34,2,FALSE)))</f>
        <v>0</v>
      </c>
      <c r="N31" s="19">
        <f>MAX(IF(ISNA(VLOOKUP(B31,'NÖBV 3'!$B$3:$C$34,2,FALSE))=TRUE,0,VLOOKUP(B31,'NÖBV 3'!$B$3:$C$34,2,FALSE)),IF(ISNA(VLOOKUP(B31,'NÖBV 3'!$F$3:$G$34,2,FALSE))=TRUE,0,VLOOKUP(B31,'NÖBV 3'!$F$3:$G$34,2,FALSE)),IF(ISNA(VLOOKUP(B31,'NÖBV 3'!$J$3:$K$34,2,FALSE))=TRUE,0,VLOOKUP(B31,'NÖBV 3'!$J$3:$K$34,2,FALSE)),IF(ISNA(VLOOKUP(B31,'NÖBV 3'!$N$3:$O$34,2,FALSE))=TRUE,0,VLOOKUP(B31,'NÖBV 3'!$N$3:$O$34,2,FALSE)))</f>
        <v>198</v>
      </c>
      <c r="O31" s="15">
        <f>MAX(IF(ISNA(VLOOKUP(B31,'Regioturnier 1'!$B$3:$C$34,2,FALSE))=TRUE,0,VLOOKUP(B31,'Regioturnier 1'!$B$3:$C$34,2,FALSE)),IF(ISNA(VLOOKUP(B31,'Regioturnier 1'!$F$3:$G$34,2,FALSE))=TRUE,0,VLOOKUP(B31,'Regioturnier 1'!$F$3:$G$34,2,FALSE)),IF(ISNA(VLOOKUP(B31,'Regioturnier 1'!$J$3:$K$34,2,FALSE))=TRUE,0,VLOOKUP(B31,'Regioturnier 1'!$J$3:$K$34,2,FALSE)),IF(ISNA(VLOOKUP(B31,'Regioturnier 1'!$N$3:$O$34,2,FALSE))=TRUE,0,VLOOKUP(B31,'Regioturnier 1'!$N$3:$O$34,2,FALSE)),IF(ISNA(VLOOKUP(B31,'Regioturnier 1'!$R$3:$S$34,2,FALSE))=TRUE,0,VLOOKUP(B31,'Regioturnier 1'!$R$3:$S$34,2,FALSE)), IF(ISNA(VLOOKUP(B31,'Regioturnier 1'!$V$3:$W$34,2,FALSE))=TRUE,0,VLOOKUP(B31,'Regioturnier 1'!$V$3:$W$34,2,FALSE)), IF(ISNA(VLOOKUP(B31,'Regioturnier 1'!$Z$3:$AA$34,2,FALSE))=TRUE,0,VLOOKUP(B31,'Regioturnier 1'!$Z$3:$AA$34,2,FALSE)))</f>
        <v>204</v>
      </c>
      <c r="P31" s="15">
        <f>MAX(IF(ISNA(VLOOKUP(B31,'Regioturnier 2'!$B$3:$C$34,2,FALSE))=TRUE,0,VLOOKUP(B31,'Regioturnier 2'!$B$3:$C$34,2,FALSE)),IF(ISNA(VLOOKUP(B31,'Regioturnier 2'!$F$3:$G$34,2,FALSE))=TRUE,0,VLOOKUP(B31,'Regioturnier 2'!$F$3:$G$34,2,FALSE)),IF(ISNA(VLOOKUP(B31,'Regioturnier 2'!$J$3:$K$34,2,FALSE))=TRUE,0,VLOOKUP(B31,'Regioturnier 2'!$J$3:$K$34,2,FALSE)),IF(ISNA(VLOOKUP(B31,'Regioturnier 2'!$N$3:$O$34,2,FALSE))=TRUE,0,VLOOKUP(B31,'Regioturnier 2'!$N$3:$O$34,2,FALSE)),IF(ISNA(VLOOKUP(B31,'Regioturnier 2'!$R$3:$S$34,2,FALSE))=TRUE,0,VLOOKUP(B31,'Regioturnier 2'!$R$3:$S$34,2,FALSE)), IF(ISNA(VLOOKUP(B31,'Regioturnier 2'!$V$3:$W$34,2,FALSE))=TRUE,0,VLOOKUP(B31,'Regioturnier 2'!$V$3:$W$34,2,FALSE)), IF(ISNA(VLOOKUP(B31,'Regioturnier 2'!$Z$3:$AA$34,2,FALSE))=TRUE,0,VLOOKUP(B31,'Regioturnier 2'!$Z$3:$AA$34,2,FALSE)))</f>
        <v>0</v>
      </c>
      <c r="Q31" s="15">
        <f>MAX(IF(ISNA(VLOOKUP(B31,'Regioturnier 3'!$B$3:$C$34,2,FALSE))=TRUE,0,VLOOKUP(B31,'Regioturnier 3'!$B$3:$C$34,2,FALSE)),IF(ISNA(VLOOKUP(B31,'Regioturnier 3'!$F$3:$G$34,2,FALSE))=TRUE,0,VLOOKUP(B31,'Regioturnier 3'!$F$3:$G$34,2,FALSE)),IF(ISNA(VLOOKUP(B31,'Regioturnier 3'!$J$3:$K$34,2,FALSE))=TRUE,0,VLOOKUP(B31,'Regioturnier 3'!$J$3:$K$34,2,FALSE)),IF(ISNA(VLOOKUP(B31,'Regioturnier 3'!$N$3:$O$34,2,FALSE))=TRUE,0,VLOOKUP(B31,'Regioturnier 3'!$N$3:$O$34,2,FALSE)),IF(ISNA(VLOOKUP(B31,'Regioturnier 3'!$R$3:$S$34,2,FALSE))=TRUE,0,VLOOKUP(B31,'Regioturnier 3'!$R$3:$S$34,2,FALSE)), IF(ISNA(VLOOKUP(B31,'Regioturnier 3'!$V$3:$W$34,2,FALSE))=TRUE,0,VLOOKUP(B31,'Regioturnier 3'!$V$3:$W$34,2,FALSE)), IF(ISNA(VLOOKUP(B31,'Regioturnier 3'!$Z$3:$AA$34,2,FALSE))=TRUE,0,VLOOKUP(B31,'Regioturnier 3'!$Z$3:$AA$34,2,FALSE)))</f>
        <v>0</v>
      </c>
      <c r="R31" s="20">
        <f>0.5*INDEX($H31:$N31,MATCH(LARGE($H31:$N31,1),$H31:$N31,0))+0.3*INDEX($H31:$N31,MATCH(LARGE($H31:$N31,2),$H31:$N31,0))+0.2*INDEX($H31:$N31,MATCH(LARGE($H31:$N31,3),$H31:$N31,0))</f>
        <v>156.9</v>
      </c>
      <c r="S31" s="20">
        <f>0.6*INDEX(O31:Q31,MATCH(LARGE(O31:Q31,1),O31:Q31,0))+0.4*INDEX(O31:Q31,MATCH(LARGE(O31:Q31,2),O31:Q31,0))+0*INDEX(O31:Q31,MATCH(LARGE(O31:Q31,3),O31:Q31,0))</f>
        <v>122.39999999999999</v>
      </c>
      <c r="T31" s="15">
        <f>1*INDEX(R31:S31,MATCH(LARGE(R31:S31,1),R31:S31,0))+0*INDEX(R31:S31,MATCH(LARGE(R31:S31,2),R31:S31,0))</f>
        <v>156.9</v>
      </c>
      <c r="U31" s="21"/>
      <c r="V31" s="21"/>
      <c r="W31" s="21"/>
      <c r="X31" s="21"/>
      <c r="Y31" s="21"/>
      <c r="Z31" s="21"/>
    </row>
    <row r="32" spans="1:26" ht="12.75" customHeight="1" x14ac:dyDescent="0.3">
      <c r="A32" s="15">
        <v>31</v>
      </c>
      <c r="B32" s="16" t="s">
        <v>74</v>
      </c>
      <c r="C32" s="17" t="s">
        <v>57</v>
      </c>
      <c r="D32" s="15" t="s">
        <v>26</v>
      </c>
      <c r="E32" s="18" t="s">
        <v>23</v>
      </c>
      <c r="F32" s="15">
        <v>109707</v>
      </c>
      <c r="G32" s="22">
        <v>2013</v>
      </c>
      <c r="H32" s="15">
        <f>MAX(IF(ISNA(VLOOKUP(B32,'WBV 1'!$B$3:$C$34,2,FALSE))=TRUE,0,VLOOKUP(B32,'WBV 1'!$B$3:$C$34,2,FALSE)),IF(ISNA(VLOOKUP(B32,'WBV 1'!$F$3:$G$34,2,FALSE))=TRUE,0,VLOOKUP(B32,'WBV 1'!$F$3:$G$34,2,FALSE)),IF(ISNA(VLOOKUP(B32,'WBV 1'!$J$3:$K$34,2,FALSE))=TRUE,0,VLOOKUP(B32,'WBV 1'!$J$3:$K$34,2,FALSE)),IF(ISNA(VLOOKUP(B32,'WBV 1'!$N$3:$O$34,2,FALSE))=TRUE,0,VLOOKUP(B32,'WBV 1'!$N$3:$O$34,2,FALSE)))</f>
        <v>0</v>
      </c>
      <c r="I32" s="15">
        <f>MAX(IF(ISNA(VLOOKUP(B32,'WBV 2'!$B$3:$C$34,2,FALSE))=TRUE,0,VLOOKUP(B32,'WBV 2'!$B$3:$C$34,2,FALSE)),IF(ISNA(VLOOKUP(B32,'WBV 2'!$F$3:$G$34,2,FALSE))=TRUE,0,VLOOKUP(B32,'WBV 2'!$F$3:$G$34,2,FALSE)),IF(ISNA(VLOOKUP(B32,'WBV 2'!$J$3:$K$34,2,FALSE))=TRUE,0,VLOOKUP(B32,'WBV 2'!$J$3:$K$34,2,FALSE)),IF(ISNA(VLOOKUP(B32,'WBV 2'!$N$3:$O$34,2,FALSE))=TRUE,0,VLOOKUP(B32,'WBV 2'!$N$3:$O$34,2,FALSE)))</f>
        <v>191</v>
      </c>
      <c r="J32" s="15">
        <f>MAX(IF(ISNA(VLOOKUP(B32,'WBV 3'!$B$3:$C$34,2,FALSE))=TRUE,0,VLOOKUP(B32,'WBV 3'!$B$3:$C$34,2,FALSE)),IF(ISNA(VLOOKUP(B32,'WBV 3'!$F$3:$G$34,2,FALSE))=TRUE,0,VLOOKUP(B32,'WBV 3'!$F$3:$G$34,2,FALSE)),IF(ISNA(VLOOKUP(B32,'WBV 3'!$J$3:$K$34,2,FALSE))=TRUE,0,VLOOKUP(B32,'WBV 3'!$J$3:$K$34,2,FALSE)),IF(ISNA(VLOOKUP(B32,'WBV 3'!$N$3:$O$34,2,FALSE))=TRUE,0,VLOOKUP(B32,'WBV 3'!$N$3:$O$34,2,FALSE)))</f>
        <v>0</v>
      </c>
      <c r="K32" s="15">
        <f>MAX(IF(ISNA(VLOOKUP(B32,'WBV 4'!$B$3:$C$34,2,FALSE))=TRUE,0,VLOOKUP(B32,'WBV 4'!$B$3:$C$34,2,FALSE)),IF(ISNA(VLOOKUP(B32,'WBV 4'!$F$3:$G$34,2,FALSE))=TRUE,0,VLOOKUP(B32,'WBV 4'!$F$3:$G$34,2,FALSE)),IF(ISNA(VLOOKUP(B32,'WBV 4'!$J$3:$K$34,2,FALSE))=TRUE,0,VLOOKUP(B32,'WBV 4'!$J$3:$K$34,2,FALSE)),IF(ISNA(VLOOKUP(B32,'WBV 4'!$N$3:$O$34,2,FALSE))=TRUE,0,VLOOKUP(B32,'WBV 4'!$N$3:$O$34,2,FALSE)))</f>
        <v>0</v>
      </c>
      <c r="L32" s="19">
        <f>MAX(IF(ISNA(VLOOKUP(B32,'NÖBV 1'!$B$3:$C$34,2,FALSE))=TRUE,0,VLOOKUP(B32,'NÖBV 1'!$B$3:$C$34,2,FALSE)),IF(ISNA(VLOOKUP(B32,'NÖBV 1'!$F$3:$G$34,2,FALSE))=TRUE,0,VLOOKUP(B32,'NÖBV 1'!$F$3:$G$34,2,FALSE)),IF(ISNA(VLOOKUP(B32,'NÖBV 1'!$J$3:$K$34,2,FALSE))=TRUE,0,VLOOKUP(B32,'NÖBV 1'!$J$3:$K$34,2,FALSE)),IF(ISNA(VLOOKUP(B32,'NÖBV 1'!$N$3:$O$34,2,FALSE))=TRUE,0,VLOOKUP(B32,'NÖBV 1'!$N$3:$O$34,2,FALSE)))</f>
        <v>0</v>
      </c>
      <c r="M32" s="19">
        <f>MAX(IF(ISNA(VLOOKUP(B32,'NÖBV 2'!$B$3:$C$34,2,FALSE))=TRUE,0,VLOOKUP(B32,'NÖBV 2'!$B$3:$C$34,2,FALSE)),IF(ISNA(VLOOKUP(B32,'NÖBV 2'!$F$3:$G$34,2,FALSE))=TRUE,0,VLOOKUP(B32,'NÖBV 2'!$F$3:$G$34,2,FALSE)),IF(ISNA(VLOOKUP(B32,'NÖBV 2'!$J$3:$K$34,2,FALSE))=TRUE,0,VLOOKUP(B32,'NÖBV 2'!$J$3:$K$34,2,FALSE)),IF(ISNA(VLOOKUP(B32,'NÖBV 2'!$N$3:$O$34,2,FALSE))=TRUE,0,VLOOKUP(B32,'NÖBV 2'!$N$3:$O$34,2,FALSE)))</f>
        <v>0</v>
      </c>
      <c r="N32" s="19">
        <f>MAX(IF(ISNA(VLOOKUP(B32,'NÖBV 3'!$B$3:$C$34,2,FALSE))=TRUE,0,VLOOKUP(B32,'NÖBV 3'!$B$3:$C$34,2,FALSE)),IF(ISNA(VLOOKUP(B32,'NÖBV 3'!$F$3:$G$34,2,FALSE))=TRUE,0,VLOOKUP(B32,'NÖBV 3'!$F$3:$G$34,2,FALSE)),IF(ISNA(VLOOKUP(B32,'NÖBV 3'!$J$3:$K$34,2,FALSE))=TRUE,0,VLOOKUP(B32,'NÖBV 3'!$J$3:$K$34,2,FALSE)),IF(ISNA(VLOOKUP(B32,'NÖBV 3'!$N$3:$O$34,2,FALSE))=TRUE,0,VLOOKUP(B32,'NÖBV 3'!$N$3:$O$34,2,FALSE)))</f>
        <v>196</v>
      </c>
      <c r="O32" s="15">
        <f>MAX(IF(ISNA(VLOOKUP(B32,'Regioturnier 1'!$B$3:$C$34,2,FALSE))=TRUE,0,VLOOKUP(B32,'Regioturnier 1'!$B$3:$C$34,2,FALSE)),IF(ISNA(VLOOKUP(B32,'Regioturnier 1'!$F$3:$G$34,2,FALSE))=TRUE,0,VLOOKUP(B32,'Regioturnier 1'!$F$3:$G$34,2,FALSE)),IF(ISNA(VLOOKUP(B32,'Regioturnier 1'!$J$3:$K$34,2,FALSE))=TRUE,0,VLOOKUP(B32,'Regioturnier 1'!$J$3:$K$34,2,FALSE)),IF(ISNA(VLOOKUP(B32,'Regioturnier 1'!$N$3:$O$34,2,FALSE))=TRUE,0,VLOOKUP(B32,'Regioturnier 1'!$N$3:$O$34,2,FALSE)),IF(ISNA(VLOOKUP(B32,'Regioturnier 1'!$R$3:$S$34,2,FALSE))=TRUE,0,VLOOKUP(B32,'Regioturnier 1'!$R$3:$S$34,2,FALSE)), IF(ISNA(VLOOKUP(B32,'Regioturnier 1'!$V$3:$W$34,2,FALSE))=TRUE,0,VLOOKUP(B32,'Regioturnier 1'!$V$3:$W$34,2,FALSE)), IF(ISNA(VLOOKUP(B32,'Regioturnier 1'!$Z$3:$AA$34,2,FALSE))=TRUE,0,VLOOKUP(B32,'Regioturnier 1'!$Z$3:$AA$34,2,FALSE)))</f>
        <v>0</v>
      </c>
      <c r="P32" s="15">
        <f>MAX(IF(ISNA(VLOOKUP(B32,'Regioturnier 2'!$B$3:$C$34,2,FALSE))=TRUE,0,VLOOKUP(B32,'Regioturnier 2'!$B$3:$C$34,2,FALSE)),IF(ISNA(VLOOKUP(B32,'Regioturnier 2'!$F$3:$G$34,2,FALSE))=TRUE,0,VLOOKUP(B32,'Regioturnier 2'!$F$3:$G$34,2,FALSE)),IF(ISNA(VLOOKUP(B32,'Regioturnier 2'!$J$3:$K$34,2,FALSE))=TRUE,0,VLOOKUP(B32,'Regioturnier 2'!$J$3:$K$34,2,FALSE)),IF(ISNA(VLOOKUP(B32,'Regioturnier 2'!$N$3:$O$34,2,FALSE))=TRUE,0,VLOOKUP(B32,'Regioturnier 2'!$N$3:$O$34,2,FALSE)),IF(ISNA(VLOOKUP(B32,'Regioturnier 2'!$R$3:$S$34,2,FALSE))=TRUE,0,VLOOKUP(B32,'Regioturnier 2'!$R$3:$S$34,2,FALSE)), IF(ISNA(VLOOKUP(B32,'Regioturnier 2'!$V$3:$W$34,2,FALSE))=TRUE,0,VLOOKUP(B32,'Regioturnier 2'!$V$3:$W$34,2,FALSE)), IF(ISNA(VLOOKUP(B32,'Regioturnier 2'!$Z$3:$AA$34,2,FALSE))=TRUE,0,VLOOKUP(B32,'Regioturnier 2'!$Z$3:$AA$34,2,FALSE)))</f>
        <v>0</v>
      </c>
      <c r="Q32" s="15">
        <f>MAX(IF(ISNA(VLOOKUP(B32,'Regioturnier 3'!$B$3:$C$34,2,FALSE))=TRUE,0,VLOOKUP(B32,'Regioturnier 3'!$B$3:$C$34,2,FALSE)),IF(ISNA(VLOOKUP(B32,'Regioturnier 3'!$F$3:$G$34,2,FALSE))=TRUE,0,VLOOKUP(B32,'Regioturnier 3'!$F$3:$G$34,2,FALSE)),IF(ISNA(VLOOKUP(B32,'Regioturnier 3'!$J$3:$K$34,2,FALSE))=TRUE,0,VLOOKUP(B32,'Regioturnier 3'!$J$3:$K$34,2,FALSE)),IF(ISNA(VLOOKUP(B32,'Regioturnier 3'!$N$3:$O$34,2,FALSE))=TRUE,0,VLOOKUP(B32,'Regioturnier 3'!$N$3:$O$34,2,FALSE)),IF(ISNA(VLOOKUP(B32,'Regioturnier 3'!$R$3:$S$34,2,FALSE))=TRUE,0,VLOOKUP(B32,'Regioturnier 3'!$R$3:$S$34,2,FALSE)), IF(ISNA(VLOOKUP(B32,'Regioturnier 3'!$V$3:$W$34,2,FALSE))=TRUE,0,VLOOKUP(B32,'Regioturnier 3'!$V$3:$W$34,2,FALSE)), IF(ISNA(VLOOKUP(B32,'Regioturnier 3'!$Z$3:$AA$34,2,FALSE))=TRUE,0,VLOOKUP(B32,'Regioturnier 3'!$Z$3:$AA$34,2,FALSE)))</f>
        <v>0</v>
      </c>
      <c r="R32" s="20">
        <f>0.5*INDEX($H32:$N32,MATCH(LARGE($H32:$N32,1),$H32:$N32,0))+0.3*INDEX($H32:$N32,MATCH(LARGE($H32:$N32,2),$H32:$N32,0))+0.2*INDEX($H32:$N32,MATCH(LARGE($H32:$N32,3),$H32:$N32,0))</f>
        <v>155.30000000000001</v>
      </c>
      <c r="S32" s="20">
        <f>0.6*INDEX(O32:Q32,MATCH(LARGE(O32:Q32,1),O32:Q32,0))+0.4*INDEX(O32:Q32,MATCH(LARGE(O32:Q32,2),O32:Q32,0))+0*INDEX(O32:Q32,MATCH(LARGE(O32:Q32,3),O32:Q32,0))</f>
        <v>0</v>
      </c>
      <c r="T32" s="15">
        <f>1*INDEX(R32:S32,MATCH(LARGE(R32:S32,1),R32:S32,0))+0*INDEX(R32:S32,MATCH(LARGE(R32:S32,2),R32:S32,0))</f>
        <v>155.30000000000001</v>
      </c>
      <c r="U32" s="21"/>
      <c r="V32" s="21"/>
      <c r="W32" s="21"/>
      <c r="X32" s="21"/>
      <c r="Y32" s="21"/>
      <c r="Z32" s="21"/>
    </row>
    <row r="33" spans="1:26" ht="12.75" customHeight="1" x14ac:dyDescent="0.3">
      <c r="A33" s="15">
        <v>32</v>
      </c>
      <c r="B33" s="16" t="s">
        <v>42</v>
      </c>
      <c r="C33" s="17" t="s">
        <v>43</v>
      </c>
      <c r="D33" s="15" t="s">
        <v>26</v>
      </c>
      <c r="E33" s="18" t="s">
        <v>23</v>
      </c>
      <c r="F33" s="15">
        <v>109507</v>
      </c>
      <c r="G33" s="22">
        <v>2013</v>
      </c>
      <c r="H33" s="15">
        <f>MAX(IF(ISNA(VLOOKUP(B33,'WBV 1'!$B$3:$C$34,2,FALSE))=TRUE,0,VLOOKUP(B33,'WBV 1'!$B$3:$C$34,2,FALSE)),IF(ISNA(VLOOKUP(B33,'WBV 1'!$F$3:$G$34,2,FALSE))=TRUE,0,VLOOKUP(B33,'WBV 1'!$F$3:$G$34,2,FALSE)),IF(ISNA(VLOOKUP(B33,'WBV 1'!$J$3:$K$34,2,FALSE))=TRUE,0,VLOOKUP(B33,'WBV 1'!$J$3:$K$34,2,FALSE)),IF(ISNA(VLOOKUP(B33,'WBV 1'!$N$3:$O$34,2,FALSE))=TRUE,0,VLOOKUP(B33,'WBV 1'!$N$3:$O$34,2,FALSE)))</f>
        <v>0</v>
      </c>
      <c r="I33" s="15">
        <f>MAX(IF(ISNA(VLOOKUP(B33,'WBV 2'!$B$3:$C$34,2,FALSE))=TRUE,0,VLOOKUP(B33,'WBV 2'!$B$3:$C$34,2,FALSE)),IF(ISNA(VLOOKUP(B33,'WBV 2'!$F$3:$G$34,2,FALSE))=TRUE,0,VLOOKUP(B33,'WBV 2'!$F$3:$G$34,2,FALSE)),IF(ISNA(VLOOKUP(B33,'WBV 2'!$J$3:$K$34,2,FALSE))=TRUE,0,VLOOKUP(B33,'WBV 2'!$J$3:$K$34,2,FALSE)),IF(ISNA(VLOOKUP(B33,'WBV 2'!$N$3:$O$34,2,FALSE))=TRUE,0,VLOOKUP(B33,'WBV 2'!$N$3:$O$34,2,FALSE)))</f>
        <v>0</v>
      </c>
      <c r="J33" s="15">
        <f>MAX(IF(ISNA(VLOOKUP(B33,'WBV 3'!$B$3:$C$34,2,FALSE))=TRUE,0,VLOOKUP(B33,'WBV 3'!$B$3:$C$34,2,FALSE)),IF(ISNA(VLOOKUP(B33,'WBV 3'!$F$3:$G$34,2,FALSE))=TRUE,0,VLOOKUP(B33,'WBV 3'!$F$3:$G$34,2,FALSE)),IF(ISNA(VLOOKUP(B33,'WBV 3'!$J$3:$K$34,2,FALSE))=TRUE,0,VLOOKUP(B33,'WBV 3'!$J$3:$K$34,2,FALSE)),IF(ISNA(VLOOKUP(B33,'WBV 3'!$N$3:$O$34,2,FALSE))=TRUE,0,VLOOKUP(B33,'WBV 3'!$N$3:$O$34,2,FALSE)))</f>
        <v>0</v>
      </c>
      <c r="K33" s="15">
        <f>MAX(IF(ISNA(VLOOKUP(B33,'WBV 4'!$B$3:$C$34,2,FALSE))=TRUE,0,VLOOKUP(B33,'WBV 4'!$B$3:$C$34,2,FALSE)),IF(ISNA(VLOOKUP(B33,'WBV 4'!$F$3:$G$34,2,FALSE))=TRUE,0,VLOOKUP(B33,'WBV 4'!$F$3:$G$34,2,FALSE)),IF(ISNA(VLOOKUP(B33,'WBV 4'!$J$3:$K$34,2,FALSE))=TRUE,0,VLOOKUP(B33,'WBV 4'!$J$3:$K$34,2,FALSE)),IF(ISNA(VLOOKUP(B33,'WBV 4'!$N$3:$O$34,2,FALSE))=TRUE,0,VLOOKUP(B33,'WBV 4'!$N$3:$O$34,2,FALSE)))</f>
        <v>0</v>
      </c>
      <c r="L33" s="19">
        <f>MAX(IF(ISNA(VLOOKUP(B33,'NÖBV 1'!$B$3:$C$34,2,FALSE))=TRUE,0,VLOOKUP(B33,'NÖBV 1'!$B$3:$C$34,2,FALSE)),IF(ISNA(VLOOKUP(B33,'NÖBV 1'!$F$3:$G$34,2,FALSE))=TRUE,0,VLOOKUP(B33,'NÖBV 1'!$F$3:$G$34,2,FALSE)),IF(ISNA(VLOOKUP(B33,'NÖBV 1'!$J$3:$K$34,2,FALSE))=TRUE,0,VLOOKUP(B33,'NÖBV 1'!$J$3:$K$34,2,FALSE)),IF(ISNA(VLOOKUP(B33,'NÖBV 1'!$N$3:$O$34,2,FALSE))=TRUE,0,VLOOKUP(B33,'NÖBV 1'!$N$3:$O$34,2,FALSE)))</f>
        <v>196</v>
      </c>
      <c r="M33" s="19">
        <f>MAX(IF(ISNA(VLOOKUP(B33,'NÖBV 2'!$B$3:$C$34,2,FALSE))=TRUE,0,VLOOKUP(B33,'NÖBV 2'!$B$3:$C$34,2,FALSE)),IF(ISNA(VLOOKUP(B33,'NÖBV 2'!$F$3:$G$34,2,FALSE))=TRUE,0,VLOOKUP(B33,'NÖBV 2'!$F$3:$G$34,2,FALSE)),IF(ISNA(VLOOKUP(B33,'NÖBV 2'!$J$3:$K$34,2,FALSE))=TRUE,0,VLOOKUP(B33,'NÖBV 2'!$J$3:$K$34,2,FALSE)),IF(ISNA(VLOOKUP(B33,'NÖBV 2'!$N$3:$O$34,2,FALSE))=TRUE,0,VLOOKUP(B33,'NÖBV 2'!$N$3:$O$34,2,FALSE)))</f>
        <v>190</v>
      </c>
      <c r="N33" s="19">
        <f>MAX(IF(ISNA(VLOOKUP(B33,'NÖBV 3'!$B$3:$C$34,2,FALSE))=TRUE,0,VLOOKUP(B33,'NÖBV 3'!$B$3:$C$34,2,FALSE)),IF(ISNA(VLOOKUP(B33,'NÖBV 3'!$F$3:$G$34,2,FALSE))=TRUE,0,VLOOKUP(B33,'NÖBV 3'!$F$3:$G$34,2,FALSE)),IF(ISNA(VLOOKUP(B33,'NÖBV 3'!$J$3:$K$34,2,FALSE))=TRUE,0,VLOOKUP(B33,'NÖBV 3'!$J$3:$K$34,2,FALSE)),IF(ISNA(VLOOKUP(B33,'NÖBV 3'!$N$3:$O$34,2,FALSE))=TRUE,0,VLOOKUP(B33,'NÖBV 3'!$N$3:$O$34,2,FALSE)))</f>
        <v>0</v>
      </c>
      <c r="O33" s="15">
        <f>MAX(IF(ISNA(VLOOKUP(B33,'Regioturnier 1'!$B$3:$C$34,2,FALSE))=TRUE,0,VLOOKUP(B33,'Regioturnier 1'!$B$3:$C$34,2,FALSE)),IF(ISNA(VLOOKUP(B33,'Regioturnier 1'!$F$3:$G$34,2,FALSE))=TRUE,0,VLOOKUP(B33,'Regioturnier 1'!$F$3:$G$34,2,FALSE)),IF(ISNA(VLOOKUP(B33,'Regioturnier 1'!$J$3:$K$34,2,FALSE))=TRUE,0,VLOOKUP(B33,'Regioturnier 1'!$J$3:$K$34,2,FALSE)),IF(ISNA(VLOOKUP(B33,'Regioturnier 1'!$N$3:$O$34,2,FALSE))=TRUE,0,VLOOKUP(B33,'Regioturnier 1'!$N$3:$O$34,2,FALSE)),IF(ISNA(VLOOKUP(B33,'Regioturnier 1'!$R$3:$S$34,2,FALSE))=TRUE,0,VLOOKUP(B33,'Regioturnier 1'!$R$3:$S$34,2,FALSE)), IF(ISNA(VLOOKUP(B33,'Regioturnier 1'!$V$3:$W$34,2,FALSE))=TRUE,0,VLOOKUP(B33,'Regioturnier 1'!$V$3:$W$34,2,FALSE)), IF(ISNA(VLOOKUP(B33,'Regioturnier 1'!$Z$3:$AA$34,2,FALSE))=TRUE,0,VLOOKUP(B33,'Regioturnier 1'!$Z$3:$AA$34,2,FALSE)))</f>
        <v>0</v>
      </c>
      <c r="P33" s="15">
        <f>MAX(IF(ISNA(VLOOKUP(B33,'Regioturnier 2'!$B$3:$C$34,2,FALSE))=TRUE,0,VLOOKUP(B33,'Regioturnier 2'!$B$3:$C$34,2,FALSE)),IF(ISNA(VLOOKUP(B33,'Regioturnier 2'!$F$3:$G$34,2,FALSE))=TRUE,0,VLOOKUP(B33,'Regioturnier 2'!$F$3:$G$34,2,FALSE)),IF(ISNA(VLOOKUP(B33,'Regioturnier 2'!$J$3:$K$34,2,FALSE))=TRUE,0,VLOOKUP(B33,'Regioturnier 2'!$J$3:$K$34,2,FALSE)),IF(ISNA(VLOOKUP(B33,'Regioturnier 2'!$N$3:$O$34,2,FALSE))=TRUE,0,VLOOKUP(B33,'Regioturnier 2'!$N$3:$O$34,2,FALSE)),IF(ISNA(VLOOKUP(B33,'Regioturnier 2'!$R$3:$S$34,2,FALSE))=TRUE,0,VLOOKUP(B33,'Regioturnier 2'!$R$3:$S$34,2,FALSE)), IF(ISNA(VLOOKUP(B33,'Regioturnier 2'!$V$3:$W$34,2,FALSE))=TRUE,0,VLOOKUP(B33,'Regioturnier 2'!$V$3:$W$34,2,FALSE)), IF(ISNA(VLOOKUP(B33,'Regioturnier 2'!$Z$3:$AA$34,2,FALSE))=TRUE,0,VLOOKUP(B33,'Regioturnier 2'!$Z$3:$AA$34,2,FALSE)))</f>
        <v>206</v>
      </c>
      <c r="Q33" s="15">
        <f>MAX(IF(ISNA(VLOOKUP(B33,'Regioturnier 3'!$B$3:$C$34,2,FALSE))=TRUE,0,VLOOKUP(B33,'Regioturnier 3'!$B$3:$C$34,2,FALSE)),IF(ISNA(VLOOKUP(B33,'Regioturnier 3'!$F$3:$G$34,2,FALSE))=TRUE,0,VLOOKUP(B33,'Regioturnier 3'!$F$3:$G$34,2,FALSE)),IF(ISNA(VLOOKUP(B33,'Regioturnier 3'!$J$3:$K$34,2,FALSE))=TRUE,0,VLOOKUP(B33,'Regioturnier 3'!$J$3:$K$34,2,FALSE)),IF(ISNA(VLOOKUP(B33,'Regioturnier 3'!$N$3:$O$34,2,FALSE))=TRUE,0,VLOOKUP(B33,'Regioturnier 3'!$N$3:$O$34,2,FALSE)),IF(ISNA(VLOOKUP(B33,'Regioturnier 3'!$R$3:$S$34,2,FALSE))=TRUE,0,VLOOKUP(B33,'Regioturnier 3'!$R$3:$S$34,2,FALSE)), IF(ISNA(VLOOKUP(B33,'Regioturnier 3'!$V$3:$W$34,2,FALSE))=TRUE,0,VLOOKUP(B33,'Regioturnier 3'!$V$3:$W$34,2,FALSE)), IF(ISNA(VLOOKUP(B33,'Regioturnier 3'!$Z$3:$AA$34,2,FALSE))=TRUE,0,VLOOKUP(B33,'Regioturnier 3'!$Z$3:$AA$34,2,FALSE)))</f>
        <v>0</v>
      </c>
      <c r="R33" s="20">
        <f>0.5*INDEX($H33:$N33,MATCH(LARGE($H33:$N33,1),$H33:$N33,0))+0.3*INDEX($H33:$N33,MATCH(LARGE($H33:$N33,2),$H33:$N33,0))+0.2*INDEX($H33:$N33,MATCH(LARGE($H33:$N33,3),$H33:$N33,0))</f>
        <v>155</v>
      </c>
      <c r="S33" s="20">
        <f>0.6*INDEX(O33:Q33,MATCH(LARGE(O33:Q33,1),O33:Q33,0))+0.4*INDEX(O33:Q33,MATCH(LARGE(O33:Q33,2),O33:Q33,0))+0*INDEX(O33:Q33,MATCH(LARGE(O33:Q33,3),O33:Q33,0))</f>
        <v>123.6</v>
      </c>
      <c r="T33" s="15">
        <f>1*INDEX(R33:S33,MATCH(LARGE(R33:S33,1),R33:S33,0))+0*INDEX(R33:S33,MATCH(LARGE(R33:S33,2),R33:S33,0))</f>
        <v>155</v>
      </c>
      <c r="U33" s="21"/>
      <c r="V33" s="21"/>
      <c r="W33" s="21"/>
      <c r="X33" s="21"/>
      <c r="Y33" s="21"/>
      <c r="Z33" s="21"/>
    </row>
    <row r="34" spans="1:26" ht="12.75" customHeight="1" x14ac:dyDescent="0.3">
      <c r="A34" s="15">
        <v>33</v>
      </c>
      <c r="B34" s="16" t="s">
        <v>201</v>
      </c>
      <c r="C34" s="17" t="s">
        <v>97</v>
      </c>
      <c r="D34" s="15" t="s">
        <v>102</v>
      </c>
      <c r="E34" s="18" t="s">
        <v>40</v>
      </c>
      <c r="F34" s="15">
        <v>312834</v>
      </c>
      <c r="G34" s="22">
        <v>2012</v>
      </c>
      <c r="H34" s="15">
        <f>MAX(IF(ISNA(VLOOKUP(B34,'WBV 1'!$B$3:$C$34,2,FALSE))=TRUE,0,VLOOKUP(B34,'WBV 1'!$B$3:$C$34,2,FALSE)),IF(ISNA(VLOOKUP(B34,'WBV 1'!$F$3:$G$34,2,FALSE))=TRUE,0,VLOOKUP(B34,'WBV 1'!$F$3:$G$34,2,FALSE)),IF(ISNA(VLOOKUP(B34,'WBV 1'!$J$3:$K$34,2,FALSE))=TRUE,0,VLOOKUP(B34,'WBV 1'!$J$3:$K$34,2,FALSE)),IF(ISNA(VLOOKUP(B34,'WBV 1'!$N$3:$O$34,2,FALSE))=TRUE,0,VLOOKUP(B34,'WBV 1'!$N$3:$O$34,2,FALSE)))</f>
        <v>0</v>
      </c>
      <c r="I34" s="15">
        <f>MAX(IF(ISNA(VLOOKUP(B34,'WBV 2'!$B$3:$C$34,2,FALSE))=TRUE,0,VLOOKUP(B34,'WBV 2'!$B$3:$C$34,2,FALSE)),IF(ISNA(VLOOKUP(B34,'WBV 2'!$F$3:$G$34,2,FALSE))=TRUE,0,VLOOKUP(B34,'WBV 2'!$F$3:$G$34,2,FALSE)),IF(ISNA(VLOOKUP(B34,'WBV 2'!$J$3:$K$34,2,FALSE))=TRUE,0,VLOOKUP(B34,'WBV 2'!$J$3:$K$34,2,FALSE)),IF(ISNA(VLOOKUP(B34,'WBV 2'!$N$3:$O$34,2,FALSE))=TRUE,0,VLOOKUP(B34,'WBV 2'!$N$3:$O$34,2,FALSE)))</f>
        <v>0</v>
      </c>
      <c r="J34" s="15">
        <f>MAX(IF(ISNA(VLOOKUP(B34,'WBV 3'!$B$3:$C$34,2,FALSE))=TRUE,0,VLOOKUP(B34,'WBV 3'!$B$3:$C$34,2,FALSE)),IF(ISNA(VLOOKUP(B34,'WBV 3'!$F$3:$G$34,2,FALSE))=TRUE,0,VLOOKUP(B34,'WBV 3'!$F$3:$G$34,2,FALSE)),IF(ISNA(VLOOKUP(B34,'WBV 3'!$J$3:$K$34,2,FALSE))=TRUE,0,VLOOKUP(B34,'WBV 3'!$J$3:$K$34,2,FALSE)),IF(ISNA(VLOOKUP(B34,'WBV 3'!$N$3:$O$34,2,FALSE))=TRUE,0,VLOOKUP(B34,'WBV 3'!$N$3:$O$34,2,FALSE)))</f>
        <v>0</v>
      </c>
      <c r="K34" s="15">
        <f>MAX(IF(ISNA(VLOOKUP(B34,'WBV 4'!$B$3:$C$34,2,FALSE))=TRUE,0,VLOOKUP(B34,'WBV 4'!$B$3:$C$34,2,FALSE)),IF(ISNA(VLOOKUP(B34,'WBV 4'!$F$3:$G$34,2,FALSE))=TRUE,0,VLOOKUP(B34,'WBV 4'!$F$3:$G$34,2,FALSE)),IF(ISNA(VLOOKUP(B34,'WBV 4'!$J$3:$K$34,2,FALSE))=TRUE,0,VLOOKUP(B34,'WBV 4'!$J$3:$K$34,2,FALSE)),IF(ISNA(VLOOKUP(B34,'WBV 4'!$N$3:$O$34,2,FALSE))=TRUE,0,VLOOKUP(B34,'WBV 4'!$N$3:$O$34,2,FALSE)))</f>
        <v>0</v>
      </c>
      <c r="L34" s="19">
        <f>MAX(IF(ISNA(VLOOKUP(B34,'NÖBV 1'!$B$3:$C$34,2,FALSE))=TRUE,0,VLOOKUP(B34,'NÖBV 1'!$B$3:$C$34,2,FALSE)),IF(ISNA(VLOOKUP(B34,'NÖBV 1'!$F$3:$G$34,2,FALSE))=TRUE,0,VLOOKUP(B34,'NÖBV 1'!$F$3:$G$34,2,FALSE)),IF(ISNA(VLOOKUP(B34,'NÖBV 1'!$J$3:$K$34,2,FALSE))=TRUE,0,VLOOKUP(B34,'NÖBV 1'!$J$3:$K$34,2,FALSE)),IF(ISNA(VLOOKUP(B34,'NÖBV 1'!$N$3:$O$34,2,FALSE))=TRUE,0,VLOOKUP(B34,'NÖBV 1'!$N$3:$O$34,2,FALSE)))</f>
        <v>191</v>
      </c>
      <c r="M34" s="19">
        <f>MAX(IF(ISNA(VLOOKUP(B34,'NÖBV 2'!$B$3:$C$34,2,FALSE))=TRUE,0,VLOOKUP(B34,'NÖBV 2'!$B$3:$C$34,2,FALSE)),IF(ISNA(VLOOKUP(B34,'NÖBV 2'!$F$3:$G$34,2,FALSE))=TRUE,0,VLOOKUP(B34,'NÖBV 2'!$F$3:$G$34,2,FALSE)),IF(ISNA(VLOOKUP(B34,'NÖBV 2'!$J$3:$K$34,2,FALSE))=TRUE,0,VLOOKUP(B34,'NÖBV 2'!$J$3:$K$34,2,FALSE)),IF(ISNA(VLOOKUP(B34,'NÖBV 2'!$N$3:$O$34,2,FALSE))=TRUE,0,VLOOKUP(B34,'NÖBV 2'!$N$3:$O$34,2,FALSE)))</f>
        <v>0</v>
      </c>
      <c r="N34" s="19">
        <f>MAX(IF(ISNA(VLOOKUP(B34,'NÖBV 3'!$B$3:$C$34,2,FALSE))=TRUE,0,VLOOKUP(B34,'NÖBV 3'!$B$3:$C$34,2,FALSE)),IF(ISNA(VLOOKUP(B34,'NÖBV 3'!$F$3:$G$34,2,FALSE))=TRUE,0,VLOOKUP(B34,'NÖBV 3'!$F$3:$G$34,2,FALSE)),IF(ISNA(VLOOKUP(B34,'NÖBV 3'!$J$3:$K$34,2,FALSE))=TRUE,0,VLOOKUP(B34,'NÖBV 3'!$J$3:$K$34,2,FALSE)),IF(ISNA(VLOOKUP(B34,'NÖBV 3'!$N$3:$O$34,2,FALSE))=TRUE,0,VLOOKUP(B34,'NÖBV 3'!$N$3:$O$34,2,FALSE)))</f>
        <v>195</v>
      </c>
      <c r="O34" s="15">
        <f>MAX(IF(ISNA(VLOOKUP(B34,'Regioturnier 1'!$B$3:$C$34,2,FALSE))=TRUE,0,VLOOKUP(B34,'Regioturnier 1'!$B$3:$C$34,2,FALSE)),IF(ISNA(VLOOKUP(B34,'Regioturnier 1'!$F$3:$G$34,2,FALSE))=TRUE,0,VLOOKUP(B34,'Regioturnier 1'!$F$3:$G$34,2,FALSE)),IF(ISNA(VLOOKUP(B34,'Regioturnier 1'!$J$3:$K$34,2,FALSE))=TRUE,0,VLOOKUP(B34,'Regioturnier 1'!$J$3:$K$34,2,FALSE)),IF(ISNA(VLOOKUP(B34,'Regioturnier 1'!$N$3:$O$34,2,FALSE))=TRUE,0,VLOOKUP(B34,'Regioturnier 1'!$N$3:$O$34,2,FALSE)),IF(ISNA(VLOOKUP(B34,'Regioturnier 1'!$R$3:$S$34,2,FALSE))=TRUE,0,VLOOKUP(B34,'Regioturnier 1'!$R$3:$S$34,2,FALSE)), IF(ISNA(VLOOKUP(B34,'Regioturnier 1'!$V$3:$W$34,2,FALSE))=TRUE,0,VLOOKUP(B34,'Regioturnier 1'!$V$3:$W$34,2,FALSE)), IF(ISNA(VLOOKUP(B34,'Regioturnier 1'!$Z$3:$AA$34,2,FALSE))=TRUE,0,VLOOKUP(B34,'Regioturnier 1'!$Z$3:$AA$34,2,FALSE)))</f>
        <v>190</v>
      </c>
      <c r="P34" s="15">
        <f>MAX(IF(ISNA(VLOOKUP(B34,'Regioturnier 2'!$B$3:$C$34,2,FALSE))=TRUE,0,VLOOKUP(B34,'Regioturnier 2'!$B$3:$C$34,2,FALSE)),IF(ISNA(VLOOKUP(B34,'Regioturnier 2'!$F$3:$G$34,2,FALSE))=TRUE,0,VLOOKUP(B34,'Regioturnier 2'!$F$3:$G$34,2,FALSE)),IF(ISNA(VLOOKUP(B34,'Regioturnier 2'!$J$3:$K$34,2,FALSE))=TRUE,0,VLOOKUP(B34,'Regioturnier 2'!$J$3:$K$34,2,FALSE)),IF(ISNA(VLOOKUP(B34,'Regioturnier 2'!$N$3:$O$34,2,FALSE))=TRUE,0,VLOOKUP(B34,'Regioturnier 2'!$N$3:$O$34,2,FALSE)),IF(ISNA(VLOOKUP(B34,'Regioturnier 2'!$R$3:$S$34,2,FALSE))=TRUE,0,VLOOKUP(B34,'Regioturnier 2'!$R$3:$S$34,2,FALSE)), IF(ISNA(VLOOKUP(B34,'Regioturnier 2'!$V$3:$W$34,2,FALSE))=TRUE,0,VLOOKUP(B34,'Regioturnier 2'!$V$3:$W$34,2,FALSE)), IF(ISNA(VLOOKUP(B34,'Regioturnier 2'!$Z$3:$AA$34,2,FALSE))=TRUE,0,VLOOKUP(B34,'Regioturnier 2'!$Z$3:$AA$34,2,FALSE)))</f>
        <v>0</v>
      </c>
      <c r="Q34" s="15">
        <f>MAX(IF(ISNA(VLOOKUP(B34,'Regioturnier 3'!$B$3:$C$34,2,FALSE))=TRUE,0,VLOOKUP(B34,'Regioturnier 3'!$B$3:$C$34,2,FALSE)),IF(ISNA(VLOOKUP(B34,'Regioturnier 3'!$F$3:$G$34,2,FALSE))=TRUE,0,VLOOKUP(B34,'Regioturnier 3'!$F$3:$G$34,2,FALSE)),IF(ISNA(VLOOKUP(B34,'Regioturnier 3'!$J$3:$K$34,2,FALSE))=TRUE,0,VLOOKUP(B34,'Regioturnier 3'!$J$3:$K$34,2,FALSE)),IF(ISNA(VLOOKUP(B34,'Regioturnier 3'!$N$3:$O$34,2,FALSE))=TRUE,0,VLOOKUP(B34,'Regioturnier 3'!$N$3:$O$34,2,FALSE)),IF(ISNA(VLOOKUP(B34,'Regioturnier 3'!$R$3:$S$34,2,FALSE))=TRUE,0,VLOOKUP(B34,'Regioturnier 3'!$R$3:$S$34,2,FALSE)), IF(ISNA(VLOOKUP(B34,'Regioturnier 3'!$V$3:$W$34,2,FALSE))=TRUE,0,VLOOKUP(B34,'Regioturnier 3'!$V$3:$W$34,2,FALSE)), IF(ISNA(VLOOKUP(B34,'Regioturnier 3'!$Z$3:$AA$34,2,FALSE))=TRUE,0,VLOOKUP(B34,'Regioturnier 3'!$Z$3:$AA$34,2,FALSE)))</f>
        <v>0</v>
      </c>
      <c r="R34" s="20">
        <f>0.5*INDEX($H34:$N34,MATCH(LARGE($H34:$N34,1),$H34:$N34,0))+0.3*INDEX($H34:$N34,MATCH(LARGE($H34:$N34,2),$H34:$N34,0))+0.2*INDEX($H34:$N34,MATCH(LARGE($H34:$N34,3),$H34:$N34,0))</f>
        <v>154.80000000000001</v>
      </c>
      <c r="S34" s="20">
        <f>0.6*INDEX(O34:Q34,MATCH(LARGE(O34:Q34,1),O34:Q34,0))+0.4*INDEX(O34:Q34,MATCH(LARGE(O34:Q34,2),O34:Q34,0))+0*INDEX(O34:Q34,MATCH(LARGE(O34:Q34,3),O34:Q34,0))</f>
        <v>114</v>
      </c>
      <c r="T34" s="15">
        <f>1*INDEX(R34:S34,MATCH(LARGE(R34:S34,1),R34:S34,0))+0*INDEX(R34:S34,MATCH(LARGE(R34:S34,2),R34:S34,0))</f>
        <v>154.80000000000001</v>
      </c>
      <c r="U34" s="21"/>
      <c r="V34" s="21"/>
      <c r="W34" s="21"/>
      <c r="X34" s="21"/>
      <c r="Y34" s="21"/>
      <c r="Z34" s="21"/>
    </row>
    <row r="35" spans="1:26" ht="12.75" customHeight="1" x14ac:dyDescent="0.3">
      <c r="A35" s="15">
        <v>34</v>
      </c>
      <c r="B35" s="16" t="s">
        <v>247</v>
      </c>
      <c r="C35" s="17" t="s">
        <v>57</v>
      </c>
      <c r="D35" s="15" t="s">
        <v>26</v>
      </c>
      <c r="E35" s="18" t="s">
        <v>23</v>
      </c>
      <c r="F35" s="15">
        <v>112047</v>
      </c>
      <c r="G35" s="22">
        <v>2014</v>
      </c>
      <c r="H35" s="15">
        <f>MAX(IF(ISNA(VLOOKUP(B35,'WBV 1'!$B$3:$C$34,2,FALSE))=TRUE,0,VLOOKUP(B35,'WBV 1'!$B$3:$C$34,2,FALSE)),IF(ISNA(VLOOKUP(B35,'WBV 1'!$F$3:$G$34,2,FALSE))=TRUE,0,VLOOKUP(B35,'WBV 1'!$F$3:$G$34,2,FALSE)),IF(ISNA(VLOOKUP(B35,'WBV 1'!$J$3:$K$34,2,FALSE))=TRUE,0,VLOOKUP(B35,'WBV 1'!$J$3:$K$34,2,FALSE)),IF(ISNA(VLOOKUP(B35,'WBV 1'!$N$3:$O$34,2,FALSE))=TRUE,0,VLOOKUP(B35,'WBV 1'!$N$3:$O$34,2,FALSE)))</f>
        <v>163</v>
      </c>
      <c r="I35" s="15">
        <f>MAX(IF(ISNA(VLOOKUP(B35,'WBV 2'!$B$3:$C$34,2,FALSE))=TRUE,0,VLOOKUP(B35,'WBV 2'!$B$3:$C$34,2,FALSE)),IF(ISNA(VLOOKUP(B35,'WBV 2'!$F$3:$G$34,2,FALSE))=TRUE,0,VLOOKUP(B35,'WBV 2'!$F$3:$G$34,2,FALSE)),IF(ISNA(VLOOKUP(B35,'WBV 2'!$J$3:$K$34,2,FALSE))=TRUE,0,VLOOKUP(B35,'WBV 2'!$J$3:$K$34,2,FALSE)),IF(ISNA(VLOOKUP(B35,'WBV 2'!$N$3:$O$34,2,FALSE))=TRUE,0,VLOOKUP(B35,'WBV 2'!$N$3:$O$34,2,FALSE)))</f>
        <v>139</v>
      </c>
      <c r="J35" s="15">
        <f>MAX(IF(ISNA(VLOOKUP(B35,'WBV 3'!$B$3:$C$34,2,FALSE))=TRUE,0,VLOOKUP(B35,'WBV 3'!$B$3:$C$34,2,FALSE)),IF(ISNA(VLOOKUP(B35,'WBV 3'!$F$3:$G$34,2,FALSE))=TRUE,0,VLOOKUP(B35,'WBV 3'!$F$3:$G$34,2,FALSE)),IF(ISNA(VLOOKUP(B35,'WBV 3'!$J$3:$K$34,2,FALSE))=TRUE,0,VLOOKUP(B35,'WBV 3'!$J$3:$K$34,2,FALSE)),IF(ISNA(VLOOKUP(B35,'WBV 3'!$N$3:$O$34,2,FALSE))=TRUE,0,VLOOKUP(B35,'WBV 3'!$N$3:$O$34,2,FALSE)))</f>
        <v>146</v>
      </c>
      <c r="K35" s="15">
        <f>MAX(IF(ISNA(VLOOKUP(B35,'WBV 4'!$B$3:$C$34,2,FALSE))=TRUE,0,VLOOKUP(B35,'WBV 4'!$B$3:$C$34,2,FALSE)),IF(ISNA(VLOOKUP(B35,'WBV 4'!$F$3:$G$34,2,FALSE))=TRUE,0,VLOOKUP(B35,'WBV 4'!$F$3:$G$34,2,FALSE)),IF(ISNA(VLOOKUP(B35,'WBV 4'!$J$3:$K$34,2,FALSE))=TRUE,0,VLOOKUP(B35,'WBV 4'!$J$3:$K$34,2,FALSE)),IF(ISNA(VLOOKUP(B35,'WBV 4'!$N$3:$O$34,2,FALSE))=TRUE,0,VLOOKUP(B35,'WBV 4'!$N$3:$O$34,2,FALSE)))</f>
        <v>0</v>
      </c>
      <c r="L35" s="19">
        <f>MAX(IF(ISNA(VLOOKUP(B35,'NÖBV 1'!$B$3:$C$34,2,FALSE))=TRUE,0,VLOOKUP(B35,'NÖBV 1'!$B$3:$C$34,2,FALSE)),IF(ISNA(VLOOKUP(B35,'NÖBV 1'!$F$3:$G$34,2,FALSE))=TRUE,0,VLOOKUP(B35,'NÖBV 1'!$F$3:$G$34,2,FALSE)),IF(ISNA(VLOOKUP(B35,'NÖBV 1'!$J$3:$K$34,2,FALSE))=TRUE,0,VLOOKUP(B35,'NÖBV 1'!$J$3:$K$34,2,FALSE)),IF(ISNA(VLOOKUP(B35,'NÖBV 1'!$N$3:$O$34,2,FALSE))=TRUE,0,VLOOKUP(B35,'NÖBV 1'!$N$3:$O$34,2,FALSE)))</f>
        <v>0</v>
      </c>
      <c r="M35" s="19">
        <f>MAX(IF(ISNA(VLOOKUP(B35,'NÖBV 2'!$B$3:$C$34,2,FALSE))=TRUE,0,VLOOKUP(B35,'NÖBV 2'!$B$3:$C$34,2,FALSE)),IF(ISNA(VLOOKUP(B35,'NÖBV 2'!$F$3:$G$34,2,FALSE))=TRUE,0,VLOOKUP(B35,'NÖBV 2'!$F$3:$G$34,2,FALSE)),IF(ISNA(VLOOKUP(B35,'NÖBV 2'!$J$3:$K$34,2,FALSE))=TRUE,0,VLOOKUP(B35,'NÖBV 2'!$J$3:$K$34,2,FALSE)),IF(ISNA(VLOOKUP(B35,'NÖBV 2'!$N$3:$O$34,2,FALSE))=TRUE,0,VLOOKUP(B35,'NÖBV 2'!$N$3:$O$34,2,FALSE)))</f>
        <v>0</v>
      </c>
      <c r="N35" s="19">
        <f>MAX(IF(ISNA(VLOOKUP(B35,'NÖBV 3'!$B$3:$C$34,2,FALSE))=TRUE,0,VLOOKUP(B35,'NÖBV 3'!$B$3:$C$34,2,FALSE)),IF(ISNA(VLOOKUP(B35,'NÖBV 3'!$F$3:$G$34,2,FALSE))=TRUE,0,VLOOKUP(B35,'NÖBV 3'!$F$3:$G$34,2,FALSE)),IF(ISNA(VLOOKUP(B35,'NÖBV 3'!$J$3:$K$34,2,FALSE))=TRUE,0,VLOOKUP(B35,'NÖBV 3'!$J$3:$K$34,2,FALSE)),IF(ISNA(VLOOKUP(B35,'NÖBV 3'!$N$3:$O$34,2,FALSE))=TRUE,0,VLOOKUP(B35,'NÖBV 3'!$N$3:$O$34,2,FALSE)))</f>
        <v>0</v>
      </c>
      <c r="O35" s="15">
        <f>MAX(IF(ISNA(VLOOKUP(B35,'Regioturnier 1'!$B$3:$C$34,2,FALSE))=TRUE,0,VLOOKUP(B35,'Regioturnier 1'!$B$3:$C$34,2,FALSE)),IF(ISNA(VLOOKUP(B35,'Regioturnier 1'!$F$3:$G$34,2,FALSE))=TRUE,0,VLOOKUP(B35,'Regioturnier 1'!$F$3:$G$34,2,FALSE)),IF(ISNA(VLOOKUP(B35,'Regioturnier 1'!$J$3:$K$34,2,FALSE))=TRUE,0,VLOOKUP(B35,'Regioturnier 1'!$J$3:$K$34,2,FALSE)),IF(ISNA(VLOOKUP(B35,'Regioturnier 1'!$N$3:$O$34,2,FALSE))=TRUE,0,VLOOKUP(B35,'Regioturnier 1'!$N$3:$O$34,2,FALSE)),IF(ISNA(VLOOKUP(B35,'Regioturnier 1'!$R$3:$S$34,2,FALSE))=TRUE,0,VLOOKUP(B35,'Regioturnier 1'!$R$3:$S$34,2,FALSE)), IF(ISNA(VLOOKUP(B35,'Regioturnier 1'!$V$3:$W$34,2,FALSE))=TRUE,0,VLOOKUP(B35,'Regioturnier 1'!$V$3:$W$34,2,FALSE)), IF(ISNA(VLOOKUP(B35,'Regioturnier 1'!$Z$3:$AA$34,2,FALSE))=TRUE,0,VLOOKUP(B35,'Regioturnier 1'!$Z$3:$AA$34,2,FALSE)))</f>
        <v>0</v>
      </c>
      <c r="P35" s="15">
        <f>MAX(IF(ISNA(VLOOKUP(B35,'Regioturnier 2'!$B$3:$C$34,2,FALSE))=TRUE,0,VLOOKUP(B35,'Regioturnier 2'!$B$3:$C$34,2,FALSE)),IF(ISNA(VLOOKUP(B35,'Regioturnier 2'!$F$3:$G$34,2,FALSE))=TRUE,0,VLOOKUP(B35,'Regioturnier 2'!$F$3:$G$34,2,FALSE)),IF(ISNA(VLOOKUP(B35,'Regioturnier 2'!$J$3:$K$34,2,FALSE))=TRUE,0,VLOOKUP(B35,'Regioturnier 2'!$J$3:$K$34,2,FALSE)),IF(ISNA(VLOOKUP(B35,'Regioturnier 2'!$N$3:$O$34,2,FALSE))=TRUE,0,VLOOKUP(B35,'Regioturnier 2'!$N$3:$O$34,2,FALSE)),IF(ISNA(VLOOKUP(B35,'Regioturnier 2'!$R$3:$S$34,2,FALSE))=TRUE,0,VLOOKUP(B35,'Regioturnier 2'!$R$3:$S$34,2,FALSE)), IF(ISNA(VLOOKUP(B35,'Regioturnier 2'!$V$3:$W$34,2,FALSE))=TRUE,0,VLOOKUP(B35,'Regioturnier 2'!$V$3:$W$34,2,FALSE)), IF(ISNA(VLOOKUP(B35,'Regioturnier 2'!$Z$3:$AA$34,2,FALSE))=TRUE,0,VLOOKUP(B35,'Regioturnier 2'!$Z$3:$AA$34,2,FALSE)))</f>
        <v>0</v>
      </c>
      <c r="Q35" s="15">
        <f>MAX(IF(ISNA(VLOOKUP(B35,'Regioturnier 3'!$B$3:$C$34,2,FALSE))=TRUE,0,VLOOKUP(B35,'Regioturnier 3'!$B$3:$C$34,2,FALSE)),IF(ISNA(VLOOKUP(B35,'Regioturnier 3'!$F$3:$G$34,2,FALSE))=TRUE,0,VLOOKUP(B35,'Regioturnier 3'!$F$3:$G$34,2,FALSE)),IF(ISNA(VLOOKUP(B35,'Regioturnier 3'!$J$3:$K$34,2,FALSE))=TRUE,0,VLOOKUP(B35,'Regioturnier 3'!$J$3:$K$34,2,FALSE)),IF(ISNA(VLOOKUP(B35,'Regioturnier 3'!$N$3:$O$34,2,FALSE))=TRUE,0,VLOOKUP(B35,'Regioturnier 3'!$N$3:$O$34,2,FALSE)),IF(ISNA(VLOOKUP(B35,'Regioturnier 3'!$R$3:$S$34,2,FALSE))=TRUE,0,VLOOKUP(B35,'Regioturnier 3'!$R$3:$S$34,2,FALSE)), IF(ISNA(VLOOKUP(B35,'Regioturnier 3'!$V$3:$W$34,2,FALSE))=TRUE,0,VLOOKUP(B35,'Regioturnier 3'!$V$3:$W$34,2,FALSE)), IF(ISNA(VLOOKUP(B35,'Regioturnier 3'!$Z$3:$AA$34,2,FALSE))=TRUE,0,VLOOKUP(B35,'Regioturnier 3'!$Z$3:$AA$34,2,FALSE)))</f>
        <v>0</v>
      </c>
      <c r="R35" s="20">
        <f>0.5*INDEX($H35:$N35,MATCH(LARGE($H35:$N35,1),$H35:$N35,0))+0.3*INDEX($H35:$N35,MATCH(LARGE($H35:$N35,2),$H35:$N35,0))+0.2*INDEX($H35:$N35,MATCH(LARGE($H35:$N35,3),$H35:$N35,0))</f>
        <v>153.1</v>
      </c>
      <c r="S35" s="20">
        <f>0.6*INDEX(O35:Q35,MATCH(LARGE(O35:Q35,1),O35:Q35,0))+0.4*INDEX(O35:Q35,MATCH(LARGE(O35:Q35,2),O35:Q35,0))+0*INDEX(O35:Q35,MATCH(LARGE(O35:Q35,3),O35:Q35,0))</f>
        <v>0</v>
      </c>
      <c r="T35" s="15">
        <f>1*INDEX(R35:S35,MATCH(LARGE(R35:S35,1),R35:S35,0))+0*INDEX(R35:S35,MATCH(LARGE(R35:S35,2),R35:S35,0))</f>
        <v>153.1</v>
      </c>
      <c r="U35" s="21"/>
      <c r="V35" s="21"/>
      <c r="W35" s="21"/>
      <c r="X35" s="21"/>
      <c r="Y35" s="21"/>
      <c r="Z35" s="21"/>
    </row>
    <row r="36" spans="1:26" ht="12.75" customHeight="1" x14ac:dyDescent="0.3">
      <c r="A36" s="15">
        <v>35</v>
      </c>
      <c r="B36" s="16" t="s">
        <v>92</v>
      </c>
      <c r="C36" s="17" t="s">
        <v>93</v>
      </c>
      <c r="D36" s="15" t="s">
        <v>26</v>
      </c>
      <c r="E36" s="18" t="s">
        <v>23</v>
      </c>
      <c r="F36" s="15">
        <v>208153</v>
      </c>
      <c r="G36" s="22">
        <v>2010</v>
      </c>
      <c r="H36" s="15">
        <f>MAX(IF(ISNA(VLOOKUP(B36,'WBV 1'!$B$3:$C$34,2,FALSE))=TRUE,0,VLOOKUP(B36,'WBV 1'!$B$3:$C$34,2,FALSE)),IF(ISNA(VLOOKUP(B36,'WBV 1'!$F$3:$G$34,2,FALSE))=TRUE,0,VLOOKUP(B36,'WBV 1'!$F$3:$G$34,2,FALSE)),IF(ISNA(VLOOKUP(B36,'WBV 1'!$J$3:$K$34,2,FALSE))=TRUE,0,VLOOKUP(B36,'WBV 1'!$J$3:$K$34,2,FALSE)),IF(ISNA(VLOOKUP(B36,'WBV 1'!$N$3:$O$34,2,FALSE))=TRUE,0,VLOOKUP(B36,'WBV 1'!$N$3:$O$34,2,FALSE)))</f>
        <v>0</v>
      </c>
      <c r="I36" s="15">
        <f>MAX(IF(ISNA(VLOOKUP(B36,'WBV 2'!$B$3:$C$34,2,FALSE))=TRUE,0,VLOOKUP(B36,'WBV 2'!$B$3:$C$34,2,FALSE)),IF(ISNA(VLOOKUP(B36,'WBV 2'!$F$3:$G$34,2,FALSE))=TRUE,0,VLOOKUP(B36,'WBV 2'!$F$3:$G$34,2,FALSE)),IF(ISNA(VLOOKUP(B36,'WBV 2'!$J$3:$K$34,2,FALSE))=TRUE,0,VLOOKUP(B36,'WBV 2'!$J$3:$K$34,2,FALSE)),IF(ISNA(VLOOKUP(B36,'WBV 2'!$N$3:$O$34,2,FALSE))=TRUE,0,VLOOKUP(B36,'WBV 2'!$N$3:$O$34,2,FALSE)))</f>
        <v>0</v>
      </c>
      <c r="J36" s="15">
        <f>MAX(IF(ISNA(VLOOKUP(B36,'WBV 3'!$B$3:$C$34,2,FALSE))=TRUE,0,VLOOKUP(B36,'WBV 3'!$B$3:$C$34,2,FALSE)),IF(ISNA(VLOOKUP(B36,'WBV 3'!$F$3:$G$34,2,FALSE))=TRUE,0,VLOOKUP(B36,'WBV 3'!$F$3:$G$34,2,FALSE)),IF(ISNA(VLOOKUP(B36,'WBV 3'!$J$3:$K$34,2,FALSE))=TRUE,0,VLOOKUP(B36,'WBV 3'!$J$3:$K$34,2,FALSE)),IF(ISNA(VLOOKUP(B36,'WBV 3'!$N$3:$O$34,2,FALSE))=TRUE,0,VLOOKUP(B36,'WBV 3'!$N$3:$O$34,2,FALSE)))</f>
        <v>0</v>
      </c>
      <c r="K36" s="15">
        <f>MAX(IF(ISNA(VLOOKUP(B36,'WBV 4'!$B$3:$C$34,2,FALSE))=TRUE,0,VLOOKUP(B36,'WBV 4'!$B$3:$C$34,2,FALSE)),IF(ISNA(VLOOKUP(B36,'WBV 4'!$F$3:$G$34,2,FALSE))=TRUE,0,VLOOKUP(B36,'WBV 4'!$F$3:$G$34,2,FALSE)),IF(ISNA(VLOOKUP(B36,'WBV 4'!$J$3:$K$34,2,FALSE))=TRUE,0,VLOOKUP(B36,'WBV 4'!$J$3:$K$34,2,FALSE)),IF(ISNA(VLOOKUP(B36,'WBV 4'!$N$3:$O$34,2,FALSE))=TRUE,0,VLOOKUP(B36,'WBV 4'!$N$3:$O$34,2,FALSE)))</f>
        <v>0</v>
      </c>
      <c r="L36" s="19">
        <f>MAX(IF(ISNA(VLOOKUP(B36,'NÖBV 1'!$B$3:$C$34,2,FALSE))=TRUE,0,VLOOKUP(B36,'NÖBV 1'!$B$3:$C$34,2,FALSE)),IF(ISNA(VLOOKUP(B36,'NÖBV 1'!$F$3:$G$34,2,FALSE))=TRUE,0,VLOOKUP(B36,'NÖBV 1'!$F$3:$G$34,2,FALSE)),IF(ISNA(VLOOKUP(B36,'NÖBV 1'!$J$3:$K$34,2,FALSE))=TRUE,0,VLOOKUP(B36,'NÖBV 1'!$J$3:$K$34,2,FALSE)),IF(ISNA(VLOOKUP(B36,'NÖBV 1'!$N$3:$O$34,2,FALSE))=TRUE,0,VLOOKUP(B36,'NÖBV 1'!$N$3:$O$34,2,FALSE)))</f>
        <v>187</v>
      </c>
      <c r="M36" s="19">
        <f>MAX(IF(ISNA(VLOOKUP(B36,'NÖBV 2'!$B$3:$C$34,2,FALSE))=TRUE,0,VLOOKUP(B36,'NÖBV 2'!$B$3:$C$34,2,FALSE)),IF(ISNA(VLOOKUP(B36,'NÖBV 2'!$F$3:$G$34,2,FALSE))=TRUE,0,VLOOKUP(B36,'NÖBV 2'!$F$3:$G$34,2,FALSE)),IF(ISNA(VLOOKUP(B36,'NÖBV 2'!$J$3:$K$34,2,FALSE))=TRUE,0,VLOOKUP(B36,'NÖBV 2'!$J$3:$K$34,2,FALSE)),IF(ISNA(VLOOKUP(B36,'NÖBV 2'!$N$3:$O$34,2,FALSE))=TRUE,0,VLOOKUP(B36,'NÖBV 2'!$N$3:$O$34,2,FALSE)))</f>
        <v>0</v>
      </c>
      <c r="N36" s="19">
        <f>MAX(IF(ISNA(VLOOKUP(B36,'NÖBV 3'!$B$3:$C$34,2,FALSE))=TRUE,0,VLOOKUP(B36,'NÖBV 3'!$B$3:$C$34,2,FALSE)),IF(ISNA(VLOOKUP(B36,'NÖBV 3'!$F$3:$G$34,2,FALSE))=TRUE,0,VLOOKUP(B36,'NÖBV 3'!$F$3:$G$34,2,FALSE)),IF(ISNA(VLOOKUP(B36,'NÖBV 3'!$J$3:$K$34,2,FALSE))=TRUE,0,VLOOKUP(B36,'NÖBV 3'!$J$3:$K$34,2,FALSE)),IF(ISNA(VLOOKUP(B36,'NÖBV 3'!$N$3:$O$34,2,FALSE))=TRUE,0,VLOOKUP(B36,'NÖBV 3'!$N$3:$O$34,2,FALSE)))</f>
        <v>194</v>
      </c>
      <c r="O36" s="15">
        <f>MAX(IF(ISNA(VLOOKUP(B36,'Regioturnier 1'!$B$3:$C$34,2,FALSE))=TRUE,0,VLOOKUP(B36,'Regioturnier 1'!$B$3:$C$34,2,FALSE)),IF(ISNA(VLOOKUP(B36,'Regioturnier 1'!$F$3:$G$34,2,FALSE))=TRUE,0,VLOOKUP(B36,'Regioturnier 1'!$F$3:$G$34,2,FALSE)),IF(ISNA(VLOOKUP(B36,'Regioturnier 1'!$J$3:$K$34,2,FALSE))=TRUE,0,VLOOKUP(B36,'Regioturnier 1'!$J$3:$K$34,2,FALSE)),IF(ISNA(VLOOKUP(B36,'Regioturnier 1'!$N$3:$O$34,2,FALSE))=TRUE,0,VLOOKUP(B36,'Regioturnier 1'!$N$3:$O$34,2,FALSE)),IF(ISNA(VLOOKUP(B36,'Regioturnier 1'!$R$3:$S$34,2,FALSE))=TRUE,0,VLOOKUP(B36,'Regioturnier 1'!$R$3:$S$34,2,FALSE)), IF(ISNA(VLOOKUP(B36,'Regioturnier 1'!$V$3:$W$34,2,FALSE))=TRUE,0,VLOOKUP(B36,'Regioturnier 1'!$V$3:$W$34,2,FALSE)), IF(ISNA(VLOOKUP(B36,'Regioturnier 1'!$Z$3:$AA$34,2,FALSE))=TRUE,0,VLOOKUP(B36,'Regioturnier 1'!$Z$3:$AA$34,2,FALSE)))</f>
        <v>0</v>
      </c>
      <c r="P36" s="15">
        <f>MAX(IF(ISNA(VLOOKUP(B36,'Regioturnier 2'!$B$3:$C$34,2,FALSE))=TRUE,0,VLOOKUP(B36,'Regioturnier 2'!$B$3:$C$34,2,FALSE)),IF(ISNA(VLOOKUP(B36,'Regioturnier 2'!$F$3:$G$34,2,FALSE))=TRUE,0,VLOOKUP(B36,'Regioturnier 2'!$F$3:$G$34,2,FALSE)),IF(ISNA(VLOOKUP(B36,'Regioturnier 2'!$J$3:$K$34,2,FALSE))=TRUE,0,VLOOKUP(B36,'Regioturnier 2'!$J$3:$K$34,2,FALSE)),IF(ISNA(VLOOKUP(B36,'Regioturnier 2'!$N$3:$O$34,2,FALSE))=TRUE,0,VLOOKUP(B36,'Regioturnier 2'!$N$3:$O$34,2,FALSE)),IF(ISNA(VLOOKUP(B36,'Regioturnier 2'!$R$3:$S$34,2,FALSE))=TRUE,0,VLOOKUP(B36,'Regioturnier 2'!$R$3:$S$34,2,FALSE)), IF(ISNA(VLOOKUP(B36,'Regioturnier 2'!$V$3:$W$34,2,FALSE))=TRUE,0,VLOOKUP(B36,'Regioturnier 2'!$V$3:$W$34,2,FALSE)), IF(ISNA(VLOOKUP(B36,'Regioturnier 2'!$Z$3:$AA$34,2,FALSE))=TRUE,0,VLOOKUP(B36,'Regioturnier 2'!$Z$3:$AA$34,2,FALSE)))</f>
        <v>0</v>
      </c>
      <c r="Q36" s="15">
        <f>MAX(IF(ISNA(VLOOKUP(B36,'Regioturnier 3'!$B$3:$C$34,2,FALSE))=TRUE,0,VLOOKUP(B36,'Regioturnier 3'!$B$3:$C$34,2,FALSE)),IF(ISNA(VLOOKUP(B36,'Regioturnier 3'!$F$3:$G$34,2,FALSE))=TRUE,0,VLOOKUP(B36,'Regioturnier 3'!$F$3:$G$34,2,FALSE)),IF(ISNA(VLOOKUP(B36,'Regioturnier 3'!$J$3:$K$34,2,FALSE))=TRUE,0,VLOOKUP(B36,'Regioturnier 3'!$J$3:$K$34,2,FALSE)),IF(ISNA(VLOOKUP(B36,'Regioturnier 3'!$N$3:$O$34,2,FALSE))=TRUE,0,VLOOKUP(B36,'Regioturnier 3'!$N$3:$O$34,2,FALSE)),IF(ISNA(VLOOKUP(B36,'Regioturnier 3'!$R$3:$S$34,2,FALSE))=TRUE,0,VLOOKUP(B36,'Regioturnier 3'!$R$3:$S$34,2,FALSE)), IF(ISNA(VLOOKUP(B36,'Regioturnier 3'!$V$3:$W$34,2,FALSE))=TRUE,0,VLOOKUP(B36,'Regioturnier 3'!$V$3:$W$34,2,FALSE)), IF(ISNA(VLOOKUP(B36,'Regioturnier 3'!$Z$3:$AA$34,2,FALSE))=TRUE,0,VLOOKUP(B36,'Regioturnier 3'!$Z$3:$AA$34,2,FALSE)))</f>
        <v>0</v>
      </c>
      <c r="R36" s="20">
        <f>0.5*INDEX($H36:$N36,MATCH(LARGE($H36:$N36,1),$H36:$N36,0))+0.3*INDEX($H36:$N36,MATCH(LARGE($H36:$N36,2),$H36:$N36,0))+0.2*INDEX($H36:$N36,MATCH(LARGE($H36:$N36,3),$H36:$N36,0))</f>
        <v>153.1</v>
      </c>
      <c r="S36" s="20">
        <f>0.6*INDEX(O36:Q36,MATCH(LARGE(O36:Q36,1),O36:Q36,0))+0.4*INDEX(O36:Q36,MATCH(LARGE(O36:Q36,2),O36:Q36,0))+0*INDEX(O36:Q36,MATCH(LARGE(O36:Q36,3),O36:Q36,0))</f>
        <v>0</v>
      </c>
      <c r="T36" s="15">
        <f>1*INDEX(R36:S36,MATCH(LARGE(R36:S36,1),R36:S36,0))+0*INDEX(R36:S36,MATCH(LARGE(R36:S36,2),R36:S36,0))</f>
        <v>153.1</v>
      </c>
      <c r="U36" s="21"/>
      <c r="V36" s="21"/>
      <c r="W36" s="21"/>
      <c r="X36" s="21"/>
      <c r="Y36" s="21"/>
      <c r="Z36" s="21"/>
    </row>
    <row r="37" spans="1:26" ht="12.75" customHeight="1" x14ac:dyDescent="0.3">
      <c r="A37" s="15">
        <v>36</v>
      </c>
      <c r="B37" s="16" t="s">
        <v>297</v>
      </c>
      <c r="C37" s="17" t="s">
        <v>25</v>
      </c>
      <c r="D37" s="15" t="s">
        <v>26</v>
      </c>
      <c r="E37" s="18" t="s">
        <v>23</v>
      </c>
      <c r="F37" s="15">
        <v>112009</v>
      </c>
      <c r="G37" s="22"/>
      <c r="H37" s="15">
        <f>MAX(IF(ISNA(VLOOKUP(B37,'WBV 1'!$B$3:$C$34,2,FALSE))=TRUE,0,VLOOKUP(B37,'WBV 1'!$B$3:$C$34,2,FALSE)),IF(ISNA(VLOOKUP(B37,'WBV 1'!$F$3:$G$34,2,FALSE))=TRUE,0,VLOOKUP(B37,'WBV 1'!$F$3:$G$34,2,FALSE)),IF(ISNA(VLOOKUP(B37,'WBV 1'!$J$3:$K$34,2,FALSE))=TRUE,0,VLOOKUP(B37,'WBV 1'!$J$3:$K$34,2,FALSE)),IF(ISNA(VLOOKUP(B37,'WBV 1'!$N$3:$O$34,2,FALSE))=TRUE,0,VLOOKUP(B37,'WBV 1'!$N$3:$O$34,2,FALSE)))</f>
        <v>182</v>
      </c>
      <c r="I37" s="15">
        <f>MAX(IF(ISNA(VLOOKUP(B37,'WBV 2'!$B$3:$C$34,2,FALSE))=TRUE,0,VLOOKUP(B37,'WBV 2'!$B$3:$C$34,2,FALSE)),IF(ISNA(VLOOKUP(B37,'WBV 2'!$F$3:$G$34,2,FALSE))=TRUE,0,VLOOKUP(B37,'WBV 2'!$F$3:$G$34,2,FALSE)),IF(ISNA(VLOOKUP(B37,'WBV 2'!$J$3:$K$34,2,FALSE))=TRUE,0,VLOOKUP(B37,'WBV 2'!$J$3:$K$34,2,FALSE)),IF(ISNA(VLOOKUP(B37,'WBV 2'!$N$3:$O$34,2,FALSE))=TRUE,0,VLOOKUP(B37,'WBV 2'!$N$3:$O$34,2,FALSE)))</f>
        <v>194</v>
      </c>
      <c r="J37" s="15">
        <f>MAX(IF(ISNA(VLOOKUP(B37,'WBV 3'!$B$3:$C$34,2,FALSE))=TRUE,0,VLOOKUP(B37,'WBV 3'!$B$3:$C$34,2,FALSE)),IF(ISNA(VLOOKUP(B37,'WBV 3'!$F$3:$G$34,2,FALSE))=TRUE,0,VLOOKUP(B37,'WBV 3'!$F$3:$G$34,2,FALSE)),IF(ISNA(VLOOKUP(B37,'WBV 3'!$J$3:$K$34,2,FALSE))=TRUE,0,VLOOKUP(B37,'WBV 3'!$J$3:$K$34,2,FALSE)),IF(ISNA(VLOOKUP(B37,'WBV 3'!$N$3:$O$34,2,FALSE))=TRUE,0,VLOOKUP(B37,'WBV 3'!$N$3:$O$34,2,FALSE)))</f>
        <v>0</v>
      </c>
      <c r="K37" s="15">
        <f>MAX(IF(ISNA(VLOOKUP(B37,'WBV 4'!$B$3:$C$34,2,FALSE))=TRUE,0,VLOOKUP(B37,'WBV 4'!$B$3:$C$34,2,FALSE)),IF(ISNA(VLOOKUP(B37,'WBV 4'!$F$3:$G$34,2,FALSE))=TRUE,0,VLOOKUP(B37,'WBV 4'!$F$3:$G$34,2,FALSE)),IF(ISNA(VLOOKUP(B37,'WBV 4'!$J$3:$K$34,2,FALSE))=TRUE,0,VLOOKUP(B37,'WBV 4'!$J$3:$K$34,2,FALSE)),IF(ISNA(VLOOKUP(B37,'WBV 4'!$N$3:$O$34,2,FALSE))=TRUE,0,VLOOKUP(B37,'WBV 4'!$N$3:$O$34,2,FALSE)))</f>
        <v>0</v>
      </c>
      <c r="L37" s="19">
        <f>MAX(IF(ISNA(VLOOKUP(B37,'NÖBV 1'!$B$3:$C$34,2,FALSE))=TRUE,0,VLOOKUP(B37,'NÖBV 1'!$B$3:$C$34,2,FALSE)),IF(ISNA(VLOOKUP(B37,'NÖBV 1'!$F$3:$G$34,2,FALSE))=TRUE,0,VLOOKUP(B37,'NÖBV 1'!$F$3:$G$34,2,FALSE)),IF(ISNA(VLOOKUP(B37,'NÖBV 1'!$J$3:$K$34,2,FALSE))=TRUE,0,VLOOKUP(B37,'NÖBV 1'!$J$3:$K$34,2,FALSE)),IF(ISNA(VLOOKUP(B37,'NÖBV 1'!$N$3:$O$34,2,FALSE))=TRUE,0,VLOOKUP(B37,'NÖBV 1'!$N$3:$O$34,2,FALSE)))</f>
        <v>0</v>
      </c>
      <c r="M37" s="19">
        <f>MAX(IF(ISNA(VLOOKUP(B37,'NÖBV 2'!$B$3:$C$34,2,FALSE))=TRUE,0,VLOOKUP(B37,'NÖBV 2'!$B$3:$C$34,2,FALSE)),IF(ISNA(VLOOKUP(B37,'NÖBV 2'!$F$3:$G$34,2,FALSE))=TRUE,0,VLOOKUP(B37,'NÖBV 2'!$F$3:$G$34,2,FALSE)),IF(ISNA(VLOOKUP(B37,'NÖBV 2'!$J$3:$K$34,2,FALSE))=TRUE,0,VLOOKUP(B37,'NÖBV 2'!$J$3:$K$34,2,FALSE)),IF(ISNA(VLOOKUP(B37,'NÖBV 2'!$N$3:$O$34,2,FALSE))=TRUE,0,VLOOKUP(B37,'NÖBV 2'!$N$3:$O$34,2,FALSE)))</f>
        <v>0</v>
      </c>
      <c r="N37" s="19">
        <f>MAX(IF(ISNA(VLOOKUP(B37,'NÖBV 3'!$B$3:$C$34,2,FALSE))=TRUE,0,VLOOKUP(B37,'NÖBV 3'!$B$3:$C$34,2,FALSE)),IF(ISNA(VLOOKUP(B37,'NÖBV 3'!$F$3:$G$34,2,FALSE))=TRUE,0,VLOOKUP(B37,'NÖBV 3'!$F$3:$G$34,2,FALSE)),IF(ISNA(VLOOKUP(B37,'NÖBV 3'!$J$3:$K$34,2,FALSE))=TRUE,0,VLOOKUP(B37,'NÖBV 3'!$J$3:$K$34,2,FALSE)),IF(ISNA(VLOOKUP(B37,'NÖBV 3'!$N$3:$O$34,2,FALSE))=TRUE,0,VLOOKUP(B37,'NÖBV 3'!$N$3:$O$34,2,FALSE)))</f>
        <v>0</v>
      </c>
      <c r="O37" s="15">
        <f>MAX(IF(ISNA(VLOOKUP(B37,'Regioturnier 1'!$B$3:$C$34,2,FALSE))=TRUE,0,VLOOKUP(B37,'Regioturnier 1'!$B$3:$C$34,2,FALSE)),IF(ISNA(VLOOKUP(B37,'Regioturnier 1'!$F$3:$G$34,2,FALSE))=TRUE,0,VLOOKUP(B37,'Regioturnier 1'!$F$3:$G$34,2,FALSE)),IF(ISNA(VLOOKUP(B37,'Regioturnier 1'!$J$3:$K$34,2,FALSE))=TRUE,0,VLOOKUP(B37,'Regioturnier 1'!$J$3:$K$34,2,FALSE)),IF(ISNA(VLOOKUP(B37,'Regioturnier 1'!$N$3:$O$34,2,FALSE))=TRUE,0,VLOOKUP(B37,'Regioturnier 1'!$N$3:$O$34,2,FALSE)),IF(ISNA(VLOOKUP(B37,'Regioturnier 1'!$R$3:$S$34,2,FALSE))=TRUE,0,VLOOKUP(B37,'Regioturnier 1'!$R$3:$S$34,2,FALSE)), IF(ISNA(VLOOKUP(B37,'Regioturnier 1'!$V$3:$W$34,2,FALSE))=TRUE,0,VLOOKUP(B37,'Regioturnier 1'!$V$3:$W$34,2,FALSE)), IF(ISNA(VLOOKUP(B37,'Regioturnier 1'!$Z$3:$AA$34,2,FALSE))=TRUE,0,VLOOKUP(B37,'Regioturnier 1'!$Z$3:$AA$34,2,FALSE)))</f>
        <v>0</v>
      </c>
      <c r="P37" s="15">
        <f>MAX(IF(ISNA(VLOOKUP(B37,'Regioturnier 2'!$B$3:$C$34,2,FALSE))=TRUE,0,VLOOKUP(B37,'Regioturnier 2'!$B$3:$C$34,2,FALSE)),IF(ISNA(VLOOKUP(B37,'Regioturnier 2'!$F$3:$G$34,2,FALSE))=TRUE,0,VLOOKUP(B37,'Regioturnier 2'!$F$3:$G$34,2,FALSE)),IF(ISNA(VLOOKUP(B37,'Regioturnier 2'!$J$3:$K$34,2,FALSE))=TRUE,0,VLOOKUP(B37,'Regioturnier 2'!$J$3:$K$34,2,FALSE)),IF(ISNA(VLOOKUP(B37,'Regioturnier 2'!$N$3:$O$34,2,FALSE))=TRUE,0,VLOOKUP(B37,'Regioturnier 2'!$N$3:$O$34,2,FALSE)),IF(ISNA(VLOOKUP(B37,'Regioturnier 2'!$R$3:$S$34,2,FALSE))=TRUE,0,VLOOKUP(B37,'Regioturnier 2'!$R$3:$S$34,2,FALSE)), IF(ISNA(VLOOKUP(B37,'Regioturnier 2'!$V$3:$W$34,2,FALSE))=TRUE,0,VLOOKUP(B37,'Regioturnier 2'!$V$3:$W$34,2,FALSE)), IF(ISNA(VLOOKUP(B37,'Regioturnier 2'!$Z$3:$AA$34,2,FALSE))=TRUE,0,VLOOKUP(B37,'Regioturnier 2'!$Z$3:$AA$34,2,FALSE)))</f>
        <v>0</v>
      </c>
      <c r="Q37" s="15">
        <f>MAX(IF(ISNA(VLOOKUP(B37,'Regioturnier 3'!$B$3:$C$34,2,FALSE))=TRUE,0,VLOOKUP(B37,'Regioturnier 3'!$B$3:$C$34,2,FALSE)),IF(ISNA(VLOOKUP(B37,'Regioturnier 3'!$F$3:$G$34,2,FALSE))=TRUE,0,VLOOKUP(B37,'Regioturnier 3'!$F$3:$G$34,2,FALSE)),IF(ISNA(VLOOKUP(B37,'Regioturnier 3'!$J$3:$K$34,2,FALSE))=TRUE,0,VLOOKUP(B37,'Regioturnier 3'!$J$3:$K$34,2,FALSE)),IF(ISNA(VLOOKUP(B37,'Regioturnier 3'!$N$3:$O$34,2,FALSE))=TRUE,0,VLOOKUP(B37,'Regioturnier 3'!$N$3:$O$34,2,FALSE)),IF(ISNA(VLOOKUP(B37,'Regioturnier 3'!$R$3:$S$34,2,FALSE))=TRUE,0,VLOOKUP(B37,'Regioturnier 3'!$R$3:$S$34,2,FALSE)), IF(ISNA(VLOOKUP(B37,'Regioturnier 3'!$V$3:$W$34,2,FALSE))=TRUE,0,VLOOKUP(B37,'Regioturnier 3'!$V$3:$W$34,2,FALSE)), IF(ISNA(VLOOKUP(B37,'Regioturnier 3'!$Z$3:$AA$34,2,FALSE))=TRUE,0,VLOOKUP(B37,'Regioturnier 3'!$Z$3:$AA$34,2,FALSE)))</f>
        <v>0</v>
      </c>
      <c r="R37" s="20">
        <f>0.5*INDEX($H37:$N37,MATCH(LARGE($H37:$N37,1),$H37:$N37,0))+0.3*INDEX($H37:$N37,MATCH(LARGE($H37:$N37,2),$H37:$N37,0))+0.2*INDEX($H37:$N37,MATCH(LARGE($H37:$N37,3),$H37:$N37,0))</f>
        <v>151.6</v>
      </c>
      <c r="S37" s="20">
        <f>0.6*INDEX(O37:Q37,MATCH(LARGE(O37:Q37,1),O37:Q37,0))+0.4*INDEX(O37:Q37,MATCH(LARGE(O37:Q37,2),O37:Q37,0))+0*INDEX(O37:Q37,MATCH(LARGE(O37:Q37,3),O37:Q37,0))</f>
        <v>0</v>
      </c>
      <c r="T37" s="15">
        <f>1*INDEX(R37:S37,MATCH(LARGE(R37:S37,1),R37:S37,0))+0*INDEX(R37:S37,MATCH(LARGE(R37:S37,2),R37:S37,0))</f>
        <v>151.6</v>
      </c>
      <c r="U37" s="21"/>
      <c r="V37" s="21"/>
      <c r="W37" s="21"/>
      <c r="X37" s="21"/>
      <c r="Y37" s="21"/>
      <c r="Z37" s="21"/>
    </row>
    <row r="38" spans="1:26" ht="12.75" customHeight="1" x14ac:dyDescent="0.3">
      <c r="A38" s="15">
        <v>37</v>
      </c>
      <c r="B38" s="16" t="s">
        <v>151</v>
      </c>
      <c r="C38" s="17" t="s">
        <v>25</v>
      </c>
      <c r="D38" s="15" t="s">
        <v>26</v>
      </c>
      <c r="E38" s="18" t="s">
        <v>23</v>
      </c>
      <c r="F38" s="15">
        <v>108669</v>
      </c>
      <c r="G38" s="22">
        <v>2012</v>
      </c>
      <c r="H38" s="15">
        <f>MAX(IF(ISNA(VLOOKUP(B38,'WBV 1'!$B$3:$C$34,2,FALSE))=TRUE,0,VLOOKUP(B38,'WBV 1'!$B$3:$C$34,2,FALSE)),IF(ISNA(VLOOKUP(B38,'WBV 1'!$F$3:$G$34,2,FALSE))=TRUE,0,VLOOKUP(B38,'WBV 1'!$F$3:$G$34,2,FALSE)),IF(ISNA(VLOOKUP(B38,'WBV 1'!$J$3:$K$34,2,FALSE))=TRUE,0,VLOOKUP(B38,'WBV 1'!$J$3:$K$34,2,FALSE)),IF(ISNA(VLOOKUP(B38,'WBV 1'!$N$3:$O$34,2,FALSE))=TRUE,0,VLOOKUP(B38,'WBV 1'!$N$3:$O$34,2,FALSE)))</f>
        <v>0</v>
      </c>
      <c r="I38" s="15">
        <f>MAX(IF(ISNA(VLOOKUP(B38,'WBV 2'!$B$3:$C$34,2,FALSE))=TRUE,0,VLOOKUP(B38,'WBV 2'!$B$3:$C$34,2,FALSE)),IF(ISNA(VLOOKUP(B38,'WBV 2'!$F$3:$G$34,2,FALSE))=TRUE,0,VLOOKUP(B38,'WBV 2'!$F$3:$G$34,2,FALSE)),IF(ISNA(VLOOKUP(B38,'WBV 2'!$J$3:$K$34,2,FALSE))=TRUE,0,VLOOKUP(B38,'WBV 2'!$J$3:$K$34,2,FALSE)),IF(ISNA(VLOOKUP(B38,'WBV 2'!$N$3:$O$34,2,FALSE))=TRUE,0,VLOOKUP(B38,'WBV 2'!$N$3:$O$34,2,FALSE)))</f>
        <v>187</v>
      </c>
      <c r="J38" s="15">
        <f>MAX(IF(ISNA(VLOOKUP(B38,'WBV 3'!$B$3:$C$34,2,FALSE))=TRUE,0,VLOOKUP(B38,'WBV 3'!$B$3:$C$34,2,FALSE)),IF(ISNA(VLOOKUP(B38,'WBV 3'!$F$3:$G$34,2,FALSE))=TRUE,0,VLOOKUP(B38,'WBV 3'!$F$3:$G$34,2,FALSE)),IF(ISNA(VLOOKUP(B38,'WBV 3'!$J$3:$K$34,2,FALSE))=TRUE,0,VLOOKUP(B38,'WBV 3'!$J$3:$K$34,2,FALSE)),IF(ISNA(VLOOKUP(B38,'WBV 3'!$N$3:$O$34,2,FALSE))=TRUE,0,VLOOKUP(B38,'WBV 3'!$N$3:$O$34,2,FALSE)))</f>
        <v>183</v>
      </c>
      <c r="K38" s="15">
        <f>MAX(IF(ISNA(VLOOKUP(B38,'WBV 4'!$B$3:$C$34,2,FALSE))=TRUE,0,VLOOKUP(B38,'WBV 4'!$B$3:$C$34,2,FALSE)),IF(ISNA(VLOOKUP(B38,'WBV 4'!$F$3:$G$34,2,FALSE))=TRUE,0,VLOOKUP(B38,'WBV 4'!$F$3:$G$34,2,FALSE)),IF(ISNA(VLOOKUP(B38,'WBV 4'!$J$3:$K$34,2,FALSE))=TRUE,0,VLOOKUP(B38,'WBV 4'!$J$3:$K$34,2,FALSE)),IF(ISNA(VLOOKUP(B38,'WBV 4'!$N$3:$O$34,2,FALSE))=TRUE,0,VLOOKUP(B38,'WBV 4'!$N$3:$O$34,2,FALSE)))</f>
        <v>0</v>
      </c>
      <c r="L38" s="19">
        <f>MAX(IF(ISNA(VLOOKUP(B38,'NÖBV 1'!$B$3:$C$34,2,FALSE))=TRUE,0,VLOOKUP(B38,'NÖBV 1'!$B$3:$C$34,2,FALSE)),IF(ISNA(VLOOKUP(B38,'NÖBV 1'!$F$3:$G$34,2,FALSE))=TRUE,0,VLOOKUP(B38,'NÖBV 1'!$F$3:$G$34,2,FALSE)),IF(ISNA(VLOOKUP(B38,'NÖBV 1'!$J$3:$K$34,2,FALSE))=TRUE,0,VLOOKUP(B38,'NÖBV 1'!$J$3:$K$34,2,FALSE)),IF(ISNA(VLOOKUP(B38,'NÖBV 1'!$N$3:$O$34,2,FALSE))=TRUE,0,VLOOKUP(B38,'NÖBV 1'!$N$3:$O$34,2,FALSE)))</f>
        <v>0</v>
      </c>
      <c r="M38" s="19">
        <f>MAX(IF(ISNA(VLOOKUP(B38,'NÖBV 2'!$B$3:$C$34,2,FALSE))=TRUE,0,VLOOKUP(B38,'NÖBV 2'!$B$3:$C$34,2,FALSE)),IF(ISNA(VLOOKUP(B38,'NÖBV 2'!$F$3:$G$34,2,FALSE))=TRUE,0,VLOOKUP(B38,'NÖBV 2'!$F$3:$G$34,2,FALSE)),IF(ISNA(VLOOKUP(B38,'NÖBV 2'!$J$3:$K$34,2,FALSE))=TRUE,0,VLOOKUP(B38,'NÖBV 2'!$J$3:$K$34,2,FALSE)),IF(ISNA(VLOOKUP(B38,'NÖBV 2'!$N$3:$O$34,2,FALSE))=TRUE,0,VLOOKUP(B38,'NÖBV 2'!$N$3:$O$34,2,FALSE)))</f>
        <v>0</v>
      </c>
      <c r="N38" s="19">
        <f>MAX(IF(ISNA(VLOOKUP(B38,'NÖBV 3'!$B$3:$C$34,2,FALSE))=TRUE,0,VLOOKUP(B38,'NÖBV 3'!$B$3:$C$34,2,FALSE)),IF(ISNA(VLOOKUP(B38,'NÖBV 3'!$F$3:$G$34,2,FALSE))=TRUE,0,VLOOKUP(B38,'NÖBV 3'!$F$3:$G$34,2,FALSE)),IF(ISNA(VLOOKUP(B38,'NÖBV 3'!$J$3:$K$34,2,FALSE))=TRUE,0,VLOOKUP(B38,'NÖBV 3'!$J$3:$K$34,2,FALSE)),IF(ISNA(VLOOKUP(B38,'NÖBV 3'!$N$3:$O$34,2,FALSE))=TRUE,0,VLOOKUP(B38,'NÖBV 3'!$N$3:$O$34,2,FALSE)))</f>
        <v>0</v>
      </c>
      <c r="O38" s="15">
        <f>MAX(IF(ISNA(VLOOKUP(B38,'Regioturnier 1'!$B$3:$C$34,2,FALSE))=TRUE,0,VLOOKUP(B38,'Regioturnier 1'!$B$3:$C$34,2,FALSE)),IF(ISNA(VLOOKUP(B38,'Regioturnier 1'!$F$3:$G$34,2,FALSE))=TRUE,0,VLOOKUP(B38,'Regioturnier 1'!$F$3:$G$34,2,FALSE)),IF(ISNA(VLOOKUP(B38,'Regioturnier 1'!$J$3:$K$34,2,FALSE))=TRUE,0,VLOOKUP(B38,'Regioturnier 1'!$J$3:$K$34,2,FALSE)),IF(ISNA(VLOOKUP(B38,'Regioturnier 1'!$N$3:$O$34,2,FALSE))=TRUE,0,VLOOKUP(B38,'Regioturnier 1'!$N$3:$O$34,2,FALSE)),IF(ISNA(VLOOKUP(B38,'Regioturnier 1'!$R$3:$S$34,2,FALSE))=TRUE,0,VLOOKUP(B38,'Regioturnier 1'!$R$3:$S$34,2,FALSE)), IF(ISNA(VLOOKUP(B38,'Regioturnier 1'!$V$3:$W$34,2,FALSE))=TRUE,0,VLOOKUP(B38,'Regioturnier 1'!$V$3:$W$34,2,FALSE)), IF(ISNA(VLOOKUP(B38,'Regioturnier 1'!$Z$3:$AA$34,2,FALSE))=TRUE,0,VLOOKUP(B38,'Regioturnier 1'!$Z$3:$AA$34,2,FALSE)))</f>
        <v>0</v>
      </c>
      <c r="P38" s="15">
        <f>MAX(IF(ISNA(VLOOKUP(B38,'Regioturnier 2'!$B$3:$C$34,2,FALSE))=TRUE,0,VLOOKUP(B38,'Regioturnier 2'!$B$3:$C$34,2,FALSE)),IF(ISNA(VLOOKUP(B38,'Regioturnier 2'!$F$3:$G$34,2,FALSE))=TRUE,0,VLOOKUP(B38,'Regioturnier 2'!$F$3:$G$34,2,FALSE)),IF(ISNA(VLOOKUP(B38,'Regioturnier 2'!$J$3:$K$34,2,FALSE))=TRUE,0,VLOOKUP(B38,'Regioturnier 2'!$J$3:$K$34,2,FALSE)),IF(ISNA(VLOOKUP(B38,'Regioturnier 2'!$N$3:$O$34,2,FALSE))=TRUE,0,VLOOKUP(B38,'Regioturnier 2'!$N$3:$O$34,2,FALSE)),IF(ISNA(VLOOKUP(B38,'Regioturnier 2'!$R$3:$S$34,2,FALSE))=TRUE,0,VLOOKUP(B38,'Regioturnier 2'!$R$3:$S$34,2,FALSE)), IF(ISNA(VLOOKUP(B38,'Regioturnier 2'!$V$3:$W$34,2,FALSE))=TRUE,0,VLOOKUP(B38,'Regioturnier 2'!$V$3:$W$34,2,FALSE)), IF(ISNA(VLOOKUP(B38,'Regioturnier 2'!$Z$3:$AA$34,2,FALSE))=TRUE,0,VLOOKUP(B38,'Regioturnier 2'!$Z$3:$AA$34,2,FALSE)))</f>
        <v>0</v>
      </c>
      <c r="Q38" s="15">
        <f>MAX(IF(ISNA(VLOOKUP(B38,'Regioturnier 3'!$B$3:$C$34,2,FALSE))=TRUE,0,VLOOKUP(B38,'Regioturnier 3'!$B$3:$C$34,2,FALSE)),IF(ISNA(VLOOKUP(B38,'Regioturnier 3'!$F$3:$G$34,2,FALSE))=TRUE,0,VLOOKUP(B38,'Regioturnier 3'!$F$3:$G$34,2,FALSE)),IF(ISNA(VLOOKUP(B38,'Regioturnier 3'!$J$3:$K$34,2,FALSE))=TRUE,0,VLOOKUP(B38,'Regioturnier 3'!$J$3:$K$34,2,FALSE)),IF(ISNA(VLOOKUP(B38,'Regioturnier 3'!$N$3:$O$34,2,FALSE))=TRUE,0,VLOOKUP(B38,'Regioturnier 3'!$N$3:$O$34,2,FALSE)),IF(ISNA(VLOOKUP(B38,'Regioturnier 3'!$R$3:$S$34,2,FALSE))=TRUE,0,VLOOKUP(B38,'Regioturnier 3'!$R$3:$S$34,2,FALSE)), IF(ISNA(VLOOKUP(B38,'Regioturnier 3'!$V$3:$W$34,2,FALSE))=TRUE,0,VLOOKUP(B38,'Regioturnier 3'!$V$3:$W$34,2,FALSE)), IF(ISNA(VLOOKUP(B38,'Regioturnier 3'!$Z$3:$AA$34,2,FALSE))=TRUE,0,VLOOKUP(B38,'Regioturnier 3'!$Z$3:$AA$34,2,FALSE)))</f>
        <v>0</v>
      </c>
      <c r="R38" s="20">
        <f>0.5*INDEX($H38:$N38,MATCH(LARGE($H38:$N38,1),$H38:$N38,0))+0.3*INDEX($H38:$N38,MATCH(LARGE($H38:$N38,2),$H38:$N38,0))+0.2*INDEX($H38:$N38,MATCH(LARGE($H38:$N38,3),$H38:$N38,0))</f>
        <v>148.4</v>
      </c>
      <c r="S38" s="20">
        <f>0.6*INDEX(O38:Q38,MATCH(LARGE(O38:Q38,1),O38:Q38,0))+0.4*INDEX(O38:Q38,MATCH(LARGE(O38:Q38,2),O38:Q38,0))+0*INDEX(O38:Q38,MATCH(LARGE(O38:Q38,3),O38:Q38,0))</f>
        <v>0</v>
      </c>
      <c r="T38" s="15">
        <f>1*INDEX(R38:S38,MATCH(LARGE(R38:S38,1),R38:S38,0))+0*INDEX(R38:S38,MATCH(LARGE(R38:S38,2),R38:S38,0))</f>
        <v>148.4</v>
      </c>
      <c r="U38" s="21"/>
      <c r="V38" s="21"/>
      <c r="W38" s="21"/>
      <c r="X38" s="21"/>
      <c r="Y38" s="21"/>
      <c r="Z38" s="21"/>
    </row>
    <row r="39" spans="1:26" ht="12.75" customHeight="1" x14ac:dyDescent="0.3">
      <c r="A39" s="15">
        <v>38</v>
      </c>
      <c r="B39" s="16" t="s">
        <v>516</v>
      </c>
      <c r="C39" s="17" t="s">
        <v>25</v>
      </c>
      <c r="D39" s="15" t="s">
        <v>26</v>
      </c>
      <c r="E39" s="18" t="s">
        <v>23</v>
      </c>
      <c r="F39" s="15" t="s">
        <v>555</v>
      </c>
      <c r="G39" s="22">
        <v>2011</v>
      </c>
      <c r="H39" s="15">
        <f>MAX(IF(ISNA(VLOOKUP(B39,'WBV 1'!$B$3:$C$34,2,FALSE))=TRUE,0,VLOOKUP(B39,'WBV 1'!$B$3:$C$34,2,FALSE)),IF(ISNA(VLOOKUP(B39,'WBV 1'!$F$3:$G$34,2,FALSE))=TRUE,0,VLOOKUP(B39,'WBV 1'!$F$3:$G$34,2,FALSE)),IF(ISNA(VLOOKUP(B39,'WBV 1'!$J$3:$K$34,2,FALSE))=TRUE,0,VLOOKUP(B39,'WBV 1'!$J$3:$K$34,2,FALSE)),IF(ISNA(VLOOKUP(B39,'WBV 1'!$N$3:$O$34,2,FALSE))=TRUE,0,VLOOKUP(B39,'WBV 1'!$N$3:$O$34,2,FALSE)))</f>
        <v>0</v>
      </c>
      <c r="I39" s="15">
        <f>MAX(IF(ISNA(VLOOKUP(B39,'WBV 2'!$B$3:$C$34,2,FALSE))=TRUE,0,VLOOKUP(B39,'WBV 2'!$B$3:$C$34,2,FALSE)),IF(ISNA(VLOOKUP(B39,'WBV 2'!$F$3:$G$34,2,FALSE))=TRUE,0,VLOOKUP(B39,'WBV 2'!$F$3:$G$34,2,FALSE)),IF(ISNA(VLOOKUP(B39,'WBV 2'!$J$3:$K$34,2,FALSE))=TRUE,0,VLOOKUP(B39,'WBV 2'!$J$3:$K$34,2,FALSE)),IF(ISNA(VLOOKUP(B39,'WBV 2'!$N$3:$O$34,2,FALSE))=TRUE,0,VLOOKUP(B39,'WBV 2'!$N$3:$O$34,2,FALSE)))</f>
        <v>171</v>
      </c>
      <c r="J39" s="15">
        <f>MAX(IF(ISNA(VLOOKUP(B39,'WBV 3'!$B$3:$C$34,2,FALSE))=TRUE,0,VLOOKUP(B39,'WBV 3'!$B$3:$C$34,2,FALSE)),IF(ISNA(VLOOKUP(B39,'WBV 3'!$F$3:$G$34,2,FALSE))=TRUE,0,VLOOKUP(B39,'WBV 3'!$F$3:$G$34,2,FALSE)),IF(ISNA(VLOOKUP(B39,'WBV 3'!$J$3:$K$34,2,FALSE))=TRUE,0,VLOOKUP(B39,'WBV 3'!$J$3:$K$34,2,FALSE)),IF(ISNA(VLOOKUP(B39,'WBV 3'!$N$3:$O$34,2,FALSE))=TRUE,0,VLOOKUP(B39,'WBV 3'!$N$3:$O$34,2,FALSE)))</f>
        <v>193</v>
      </c>
      <c r="K39" s="15">
        <f>MAX(IF(ISNA(VLOOKUP(B39,'WBV 4'!$B$3:$C$34,2,FALSE))=TRUE,0,VLOOKUP(B39,'WBV 4'!$B$3:$C$34,2,FALSE)),IF(ISNA(VLOOKUP(B39,'WBV 4'!$F$3:$G$34,2,FALSE))=TRUE,0,VLOOKUP(B39,'WBV 4'!$F$3:$G$34,2,FALSE)),IF(ISNA(VLOOKUP(B39,'WBV 4'!$J$3:$K$34,2,FALSE))=TRUE,0,VLOOKUP(B39,'WBV 4'!$J$3:$K$34,2,FALSE)),IF(ISNA(VLOOKUP(B39,'WBV 4'!$N$3:$O$34,2,FALSE))=TRUE,0,VLOOKUP(B39,'WBV 4'!$N$3:$O$34,2,FALSE)))</f>
        <v>0</v>
      </c>
      <c r="L39" s="19">
        <f>MAX(IF(ISNA(VLOOKUP(B39,'NÖBV 1'!$B$3:$C$34,2,FALSE))=TRUE,0,VLOOKUP(B39,'NÖBV 1'!$B$3:$C$34,2,FALSE)),IF(ISNA(VLOOKUP(B39,'NÖBV 1'!$F$3:$G$34,2,FALSE))=TRUE,0,VLOOKUP(B39,'NÖBV 1'!$F$3:$G$34,2,FALSE)),IF(ISNA(VLOOKUP(B39,'NÖBV 1'!$J$3:$K$34,2,FALSE))=TRUE,0,VLOOKUP(B39,'NÖBV 1'!$J$3:$K$34,2,FALSE)),IF(ISNA(VLOOKUP(B39,'NÖBV 1'!$N$3:$O$34,2,FALSE))=TRUE,0,VLOOKUP(B39,'NÖBV 1'!$N$3:$O$34,2,FALSE)))</f>
        <v>0</v>
      </c>
      <c r="M39" s="19">
        <f>MAX(IF(ISNA(VLOOKUP(B39,'NÖBV 2'!$B$3:$C$34,2,FALSE))=TRUE,0,VLOOKUP(B39,'NÖBV 2'!$B$3:$C$34,2,FALSE)),IF(ISNA(VLOOKUP(B39,'NÖBV 2'!$F$3:$G$34,2,FALSE))=TRUE,0,VLOOKUP(B39,'NÖBV 2'!$F$3:$G$34,2,FALSE)),IF(ISNA(VLOOKUP(B39,'NÖBV 2'!$J$3:$K$34,2,FALSE))=TRUE,0,VLOOKUP(B39,'NÖBV 2'!$J$3:$K$34,2,FALSE)),IF(ISNA(VLOOKUP(B39,'NÖBV 2'!$N$3:$O$34,2,FALSE))=TRUE,0,VLOOKUP(B39,'NÖBV 2'!$N$3:$O$34,2,FALSE)))</f>
        <v>0</v>
      </c>
      <c r="N39" s="19">
        <f>MAX(IF(ISNA(VLOOKUP(B39,'NÖBV 3'!$B$3:$C$34,2,FALSE))=TRUE,0,VLOOKUP(B39,'NÖBV 3'!$B$3:$C$34,2,FALSE)),IF(ISNA(VLOOKUP(B39,'NÖBV 3'!$F$3:$G$34,2,FALSE))=TRUE,0,VLOOKUP(B39,'NÖBV 3'!$F$3:$G$34,2,FALSE)),IF(ISNA(VLOOKUP(B39,'NÖBV 3'!$J$3:$K$34,2,FALSE))=TRUE,0,VLOOKUP(B39,'NÖBV 3'!$J$3:$K$34,2,FALSE)),IF(ISNA(VLOOKUP(B39,'NÖBV 3'!$N$3:$O$34,2,FALSE))=TRUE,0,VLOOKUP(B39,'NÖBV 3'!$N$3:$O$34,2,FALSE)))</f>
        <v>0</v>
      </c>
      <c r="O39" s="15">
        <f>MAX(IF(ISNA(VLOOKUP(B39,'Regioturnier 1'!$B$3:$C$34,2,FALSE))=TRUE,0,VLOOKUP(B39,'Regioturnier 1'!$B$3:$C$34,2,FALSE)),IF(ISNA(VLOOKUP(B39,'Regioturnier 1'!$F$3:$G$34,2,FALSE))=TRUE,0,VLOOKUP(B39,'Regioturnier 1'!$F$3:$G$34,2,FALSE)),IF(ISNA(VLOOKUP(B39,'Regioturnier 1'!$J$3:$K$34,2,FALSE))=TRUE,0,VLOOKUP(B39,'Regioturnier 1'!$J$3:$K$34,2,FALSE)),IF(ISNA(VLOOKUP(B39,'Regioturnier 1'!$N$3:$O$34,2,FALSE))=TRUE,0,VLOOKUP(B39,'Regioturnier 1'!$N$3:$O$34,2,FALSE)),IF(ISNA(VLOOKUP(B39,'Regioturnier 1'!$R$3:$S$34,2,FALSE))=TRUE,0,VLOOKUP(B39,'Regioturnier 1'!$R$3:$S$34,2,FALSE)), IF(ISNA(VLOOKUP(B39,'Regioturnier 1'!$V$3:$W$34,2,FALSE))=TRUE,0,VLOOKUP(B39,'Regioturnier 1'!$V$3:$W$34,2,FALSE)), IF(ISNA(VLOOKUP(B39,'Regioturnier 1'!$Z$3:$AA$34,2,FALSE))=TRUE,0,VLOOKUP(B39,'Regioturnier 1'!$Z$3:$AA$34,2,FALSE)))</f>
        <v>0</v>
      </c>
      <c r="P39" s="15">
        <f>MAX(IF(ISNA(VLOOKUP(B39,'Regioturnier 2'!$B$3:$C$34,2,FALSE))=TRUE,0,VLOOKUP(B39,'Regioturnier 2'!$B$3:$C$34,2,FALSE)),IF(ISNA(VLOOKUP(B39,'Regioturnier 2'!$F$3:$G$34,2,FALSE))=TRUE,0,VLOOKUP(B39,'Regioturnier 2'!$F$3:$G$34,2,FALSE)),IF(ISNA(VLOOKUP(B39,'Regioturnier 2'!$J$3:$K$34,2,FALSE))=TRUE,0,VLOOKUP(B39,'Regioturnier 2'!$J$3:$K$34,2,FALSE)),IF(ISNA(VLOOKUP(B39,'Regioturnier 2'!$N$3:$O$34,2,FALSE))=TRUE,0,VLOOKUP(B39,'Regioturnier 2'!$N$3:$O$34,2,FALSE)),IF(ISNA(VLOOKUP(B39,'Regioturnier 2'!$R$3:$S$34,2,FALSE))=TRUE,0,VLOOKUP(B39,'Regioturnier 2'!$R$3:$S$34,2,FALSE)), IF(ISNA(VLOOKUP(B39,'Regioturnier 2'!$V$3:$W$34,2,FALSE))=TRUE,0,VLOOKUP(B39,'Regioturnier 2'!$V$3:$W$34,2,FALSE)), IF(ISNA(VLOOKUP(B39,'Regioturnier 2'!$Z$3:$AA$34,2,FALSE))=TRUE,0,VLOOKUP(B39,'Regioturnier 2'!$Z$3:$AA$34,2,FALSE)))</f>
        <v>0</v>
      </c>
      <c r="Q39" s="15">
        <f>MAX(IF(ISNA(VLOOKUP(B39,'Regioturnier 3'!$B$3:$C$34,2,FALSE))=TRUE,0,VLOOKUP(B39,'Regioturnier 3'!$B$3:$C$34,2,FALSE)),IF(ISNA(VLOOKUP(B39,'Regioturnier 3'!$F$3:$G$34,2,FALSE))=TRUE,0,VLOOKUP(B39,'Regioturnier 3'!$F$3:$G$34,2,FALSE)),IF(ISNA(VLOOKUP(B39,'Regioturnier 3'!$J$3:$K$34,2,FALSE))=TRUE,0,VLOOKUP(B39,'Regioturnier 3'!$J$3:$K$34,2,FALSE)),IF(ISNA(VLOOKUP(B39,'Regioturnier 3'!$N$3:$O$34,2,FALSE))=TRUE,0,VLOOKUP(B39,'Regioturnier 3'!$N$3:$O$34,2,FALSE)),IF(ISNA(VLOOKUP(B39,'Regioturnier 3'!$R$3:$S$34,2,FALSE))=TRUE,0,VLOOKUP(B39,'Regioturnier 3'!$R$3:$S$34,2,FALSE)), IF(ISNA(VLOOKUP(B39,'Regioturnier 3'!$V$3:$W$34,2,FALSE))=TRUE,0,VLOOKUP(B39,'Regioturnier 3'!$V$3:$W$34,2,FALSE)), IF(ISNA(VLOOKUP(B39,'Regioturnier 3'!$Z$3:$AA$34,2,FALSE))=TRUE,0,VLOOKUP(B39,'Regioturnier 3'!$Z$3:$AA$34,2,FALSE)))</f>
        <v>0</v>
      </c>
      <c r="R39" s="20">
        <f>0.5*INDEX($H39:$N39,MATCH(LARGE($H39:$N39,1),$H39:$N39,0))+0.3*INDEX($H39:$N39,MATCH(LARGE($H39:$N39,2),$H39:$N39,0))+0.2*INDEX($H39:$N39,MATCH(LARGE($H39:$N39,3),$H39:$N39,0))</f>
        <v>147.80000000000001</v>
      </c>
      <c r="S39" s="20">
        <f>0.6*INDEX(O39:Q39,MATCH(LARGE(O39:Q39,1),O39:Q39,0))+0.4*INDEX(O39:Q39,MATCH(LARGE(O39:Q39,2),O39:Q39,0))+0*INDEX(O39:Q39,MATCH(LARGE(O39:Q39,3),O39:Q39,0))</f>
        <v>0</v>
      </c>
      <c r="T39" s="15">
        <f>1*INDEX(R39:S39,MATCH(LARGE(R39:S39,1),R39:S39,0))+0*INDEX(R39:S39,MATCH(LARGE(R39:S39,2),R39:S39,0))</f>
        <v>147.80000000000001</v>
      </c>
      <c r="U39" s="21"/>
      <c r="V39" s="21"/>
      <c r="W39" s="21"/>
      <c r="X39" s="21"/>
      <c r="Y39" s="21"/>
      <c r="Z39" s="21"/>
    </row>
    <row r="40" spans="1:26" ht="12.75" customHeight="1" x14ac:dyDescent="0.3">
      <c r="A40" s="15">
        <v>39</v>
      </c>
      <c r="B40" s="16" t="s">
        <v>119</v>
      </c>
      <c r="C40" s="17" t="s">
        <v>31</v>
      </c>
      <c r="D40" s="15" t="s">
        <v>26</v>
      </c>
      <c r="E40" s="18" t="s">
        <v>23</v>
      </c>
      <c r="F40" s="15">
        <v>110927</v>
      </c>
      <c r="G40" s="22">
        <v>2009</v>
      </c>
      <c r="H40" s="15">
        <f>MAX(IF(ISNA(VLOOKUP(B40,'WBV 1'!$B$3:$C$34,2,FALSE))=TRUE,0,VLOOKUP(B40,'WBV 1'!$B$3:$C$34,2,FALSE)),IF(ISNA(VLOOKUP(B40,'WBV 1'!$F$3:$G$34,2,FALSE))=TRUE,0,VLOOKUP(B40,'WBV 1'!$F$3:$G$34,2,FALSE)),IF(ISNA(VLOOKUP(B40,'WBV 1'!$J$3:$K$34,2,FALSE))=TRUE,0,VLOOKUP(B40,'WBV 1'!$J$3:$K$34,2,FALSE)),IF(ISNA(VLOOKUP(B40,'WBV 1'!$N$3:$O$34,2,FALSE))=TRUE,0,VLOOKUP(B40,'WBV 1'!$N$3:$O$34,2,FALSE)))</f>
        <v>183</v>
      </c>
      <c r="I40" s="15">
        <f>MAX(IF(ISNA(VLOOKUP(B40,'WBV 2'!$B$3:$C$34,2,FALSE))=TRUE,0,VLOOKUP(B40,'WBV 2'!$B$3:$C$34,2,FALSE)),IF(ISNA(VLOOKUP(B40,'WBV 2'!$F$3:$G$34,2,FALSE))=TRUE,0,VLOOKUP(B40,'WBV 2'!$F$3:$G$34,2,FALSE)),IF(ISNA(VLOOKUP(B40,'WBV 2'!$J$3:$K$34,2,FALSE))=TRUE,0,VLOOKUP(B40,'WBV 2'!$J$3:$K$34,2,FALSE)),IF(ISNA(VLOOKUP(B40,'WBV 2'!$N$3:$O$34,2,FALSE))=TRUE,0,VLOOKUP(B40,'WBV 2'!$N$3:$O$34,2,FALSE)))</f>
        <v>0</v>
      </c>
      <c r="J40" s="15">
        <f>MAX(IF(ISNA(VLOOKUP(B40,'WBV 3'!$B$3:$C$34,2,FALSE))=TRUE,0,VLOOKUP(B40,'WBV 3'!$B$3:$C$34,2,FALSE)),IF(ISNA(VLOOKUP(B40,'WBV 3'!$F$3:$G$34,2,FALSE))=TRUE,0,VLOOKUP(B40,'WBV 3'!$F$3:$G$34,2,FALSE)),IF(ISNA(VLOOKUP(B40,'WBV 3'!$J$3:$K$34,2,FALSE))=TRUE,0,VLOOKUP(B40,'WBV 3'!$J$3:$K$34,2,FALSE)),IF(ISNA(VLOOKUP(B40,'WBV 3'!$N$3:$O$34,2,FALSE))=TRUE,0,VLOOKUP(B40,'WBV 3'!$N$3:$O$34,2,FALSE)))</f>
        <v>0</v>
      </c>
      <c r="K40" s="15">
        <f>MAX(IF(ISNA(VLOOKUP(B40,'WBV 4'!$B$3:$C$34,2,FALSE))=TRUE,0,VLOOKUP(B40,'WBV 4'!$B$3:$C$34,2,FALSE)),IF(ISNA(VLOOKUP(B40,'WBV 4'!$F$3:$G$34,2,FALSE))=TRUE,0,VLOOKUP(B40,'WBV 4'!$F$3:$G$34,2,FALSE)),IF(ISNA(VLOOKUP(B40,'WBV 4'!$J$3:$K$34,2,FALSE))=TRUE,0,VLOOKUP(B40,'WBV 4'!$J$3:$K$34,2,FALSE)),IF(ISNA(VLOOKUP(B40,'WBV 4'!$N$3:$O$34,2,FALSE))=TRUE,0,VLOOKUP(B40,'WBV 4'!$N$3:$O$34,2,FALSE)))</f>
        <v>0</v>
      </c>
      <c r="L40" s="19">
        <f>MAX(IF(ISNA(VLOOKUP(B40,'NÖBV 1'!$B$3:$C$34,2,FALSE))=TRUE,0,VLOOKUP(B40,'NÖBV 1'!$B$3:$C$34,2,FALSE)),IF(ISNA(VLOOKUP(B40,'NÖBV 1'!$F$3:$G$34,2,FALSE))=TRUE,0,VLOOKUP(B40,'NÖBV 1'!$F$3:$G$34,2,FALSE)),IF(ISNA(VLOOKUP(B40,'NÖBV 1'!$J$3:$K$34,2,FALSE))=TRUE,0,VLOOKUP(B40,'NÖBV 1'!$J$3:$K$34,2,FALSE)),IF(ISNA(VLOOKUP(B40,'NÖBV 1'!$N$3:$O$34,2,FALSE))=TRUE,0,VLOOKUP(B40,'NÖBV 1'!$N$3:$O$34,2,FALSE)))</f>
        <v>185</v>
      </c>
      <c r="M40" s="19">
        <f>MAX(IF(ISNA(VLOOKUP(B40,'NÖBV 2'!$B$3:$C$34,2,FALSE))=TRUE,0,VLOOKUP(B40,'NÖBV 2'!$B$3:$C$34,2,FALSE)),IF(ISNA(VLOOKUP(B40,'NÖBV 2'!$F$3:$G$34,2,FALSE))=TRUE,0,VLOOKUP(B40,'NÖBV 2'!$F$3:$G$34,2,FALSE)),IF(ISNA(VLOOKUP(B40,'NÖBV 2'!$J$3:$K$34,2,FALSE))=TRUE,0,VLOOKUP(B40,'NÖBV 2'!$J$3:$K$34,2,FALSE)),IF(ISNA(VLOOKUP(B40,'NÖBV 2'!$N$3:$O$34,2,FALSE))=TRUE,0,VLOOKUP(B40,'NÖBV 2'!$N$3:$O$34,2,FALSE)))</f>
        <v>0</v>
      </c>
      <c r="N40" s="19">
        <f>MAX(IF(ISNA(VLOOKUP(B40,'NÖBV 3'!$B$3:$C$34,2,FALSE))=TRUE,0,VLOOKUP(B40,'NÖBV 3'!$B$3:$C$34,2,FALSE)),IF(ISNA(VLOOKUP(B40,'NÖBV 3'!$F$3:$G$34,2,FALSE))=TRUE,0,VLOOKUP(B40,'NÖBV 3'!$F$3:$G$34,2,FALSE)),IF(ISNA(VLOOKUP(B40,'NÖBV 3'!$J$3:$K$34,2,FALSE))=TRUE,0,VLOOKUP(B40,'NÖBV 3'!$J$3:$K$34,2,FALSE)),IF(ISNA(VLOOKUP(B40,'NÖBV 3'!$N$3:$O$34,2,FALSE))=TRUE,0,VLOOKUP(B40,'NÖBV 3'!$N$3:$O$34,2,FALSE)))</f>
        <v>0</v>
      </c>
      <c r="O40" s="15">
        <f>MAX(IF(ISNA(VLOOKUP(B40,'Regioturnier 1'!$B$3:$C$34,2,FALSE))=TRUE,0,VLOOKUP(B40,'Regioturnier 1'!$B$3:$C$34,2,FALSE)),IF(ISNA(VLOOKUP(B40,'Regioturnier 1'!$F$3:$G$34,2,FALSE))=TRUE,0,VLOOKUP(B40,'Regioturnier 1'!$F$3:$G$34,2,FALSE)),IF(ISNA(VLOOKUP(B40,'Regioturnier 1'!$J$3:$K$34,2,FALSE))=TRUE,0,VLOOKUP(B40,'Regioturnier 1'!$J$3:$K$34,2,FALSE)),IF(ISNA(VLOOKUP(B40,'Regioturnier 1'!$N$3:$O$34,2,FALSE))=TRUE,0,VLOOKUP(B40,'Regioturnier 1'!$N$3:$O$34,2,FALSE)),IF(ISNA(VLOOKUP(B40,'Regioturnier 1'!$R$3:$S$34,2,FALSE))=TRUE,0,VLOOKUP(B40,'Regioturnier 1'!$R$3:$S$34,2,FALSE)), IF(ISNA(VLOOKUP(B40,'Regioturnier 1'!$V$3:$W$34,2,FALSE))=TRUE,0,VLOOKUP(B40,'Regioturnier 1'!$V$3:$W$34,2,FALSE)), IF(ISNA(VLOOKUP(B40,'Regioturnier 1'!$Z$3:$AA$34,2,FALSE))=TRUE,0,VLOOKUP(B40,'Regioturnier 1'!$Z$3:$AA$34,2,FALSE)))</f>
        <v>0</v>
      </c>
      <c r="P40" s="15">
        <f>MAX(IF(ISNA(VLOOKUP(B40,'Regioturnier 2'!$B$3:$C$34,2,FALSE))=TRUE,0,VLOOKUP(B40,'Regioturnier 2'!$B$3:$C$34,2,FALSE)),IF(ISNA(VLOOKUP(B40,'Regioturnier 2'!$F$3:$G$34,2,FALSE))=TRUE,0,VLOOKUP(B40,'Regioturnier 2'!$F$3:$G$34,2,FALSE)),IF(ISNA(VLOOKUP(B40,'Regioturnier 2'!$J$3:$K$34,2,FALSE))=TRUE,0,VLOOKUP(B40,'Regioturnier 2'!$J$3:$K$34,2,FALSE)),IF(ISNA(VLOOKUP(B40,'Regioturnier 2'!$N$3:$O$34,2,FALSE))=TRUE,0,VLOOKUP(B40,'Regioturnier 2'!$N$3:$O$34,2,FALSE)),IF(ISNA(VLOOKUP(B40,'Regioturnier 2'!$R$3:$S$34,2,FALSE))=TRUE,0,VLOOKUP(B40,'Regioturnier 2'!$R$3:$S$34,2,FALSE)), IF(ISNA(VLOOKUP(B40,'Regioturnier 2'!$V$3:$W$34,2,FALSE))=TRUE,0,VLOOKUP(B40,'Regioturnier 2'!$V$3:$W$34,2,FALSE)), IF(ISNA(VLOOKUP(B40,'Regioturnier 2'!$Z$3:$AA$34,2,FALSE))=TRUE,0,VLOOKUP(B40,'Regioturnier 2'!$Z$3:$AA$34,2,FALSE)))</f>
        <v>0</v>
      </c>
      <c r="Q40" s="15">
        <f>MAX(IF(ISNA(VLOOKUP(B40,'Regioturnier 3'!$B$3:$C$34,2,FALSE))=TRUE,0,VLOOKUP(B40,'Regioturnier 3'!$B$3:$C$34,2,FALSE)),IF(ISNA(VLOOKUP(B40,'Regioturnier 3'!$F$3:$G$34,2,FALSE))=TRUE,0,VLOOKUP(B40,'Regioturnier 3'!$F$3:$G$34,2,FALSE)),IF(ISNA(VLOOKUP(B40,'Regioturnier 3'!$J$3:$K$34,2,FALSE))=TRUE,0,VLOOKUP(B40,'Regioturnier 3'!$J$3:$K$34,2,FALSE)),IF(ISNA(VLOOKUP(B40,'Regioturnier 3'!$N$3:$O$34,2,FALSE))=TRUE,0,VLOOKUP(B40,'Regioturnier 3'!$N$3:$O$34,2,FALSE)),IF(ISNA(VLOOKUP(B40,'Regioturnier 3'!$R$3:$S$34,2,FALSE))=TRUE,0,VLOOKUP(B40,'Regioturnier 3'!$R$3:$S$34,2,FALSE)), IF(ISNA(VLOOKUP(B40,'Regioturnier 3'!$V$3:$W$34,2,FALSE))=TRUE,0,VLOOKUP(B40,'Regioturnier 3'!$V$3:$W$34,2,FALSE)), IF(ISNA(VLOOKUP(B40,'Regioturnier 3'!$Z$3:$AA$34,2,FALSE))=TRUE,0,VLOOKUP(B40,'Regioturnier 3'!$Z$3:$AA$34,2,FALSE)))</f>
        <v>0</v>
      </c>
      <c r="R40" s="20">
        <f>0.5*INDEX($H40:$N40,MATCH(LARGE($H40:$N40,1),$H40:$N40,0))+0.3*INDEX($H40:$N40,MATCH(LARGE($H40:$N40,2),$H40:$N40,0))+0.2*INDEX($H40:$N40,MATCH(LARGE($H40:$N40,3),$H40:$N40,0))</f>
        <v>147.4</v>
      </c>
      <c r="S40" s="20">
        <f t="array" ref="S40">0.5*INDEX(O40:Q40,MATCH(LARGE(O40:Q40,1),O40:Q40,0))+0.3*INDEX(O40:Q40,MATCH(LARGE(O40:Q40,2),O40:Q40,0))+0.2*INDEX(O40:Q40,MATCH(LARGE(O40:Q40,3),O40:Q40,0))</f>
        <v>0</v>
      </c>
      <c r="T40" s="15">
        <f>1*INDEX(R40:S40,MATCH(LARGE(R40:S40,1),R40:S40,0))+0*INDEX(R40:S40,MATCH(LARGE(R40:S40,2),R40:S40,0))</f>
        <v>147.4</v>
      </c>
      <c r="U40" s="21"/>
      <c r="V40" s="21"/>
      <c r="W40" s="21"/>
      <c r="X40" s="21"/>
      <c r="Y40" s="21"/>
      <c r="Z40" s="21"/>
    </row>
    <row r="41" spans="1:26" ht="12.75" customHeight="1" x14ac:dyDescent="0.3">
      <c r="A41" s="15">
        <v>40</v>
      </c>
      <c r="B41" s="16" t="s">
        <v>71</v>
      </c>
      <c r="C41" s="17" t="s">
        <v>72</v>
      </c>
      <c r="D41" s="15" t="s">
        <v>22</v>
      </c>
      <c r="E41" s="18" t="s">
        <v>23</v>
      </c>
      <c r="F41" s="15">
        <v>208574</v>
      </c>
      <c r="G41" s="22">
        <v>2018</v>
      </c>
      <c r="H41" s="15">
        <f>MAX(IF(ISNA(VLOOKUP(B41,'WBV 1'!$B$3:$C$34,2,FALSE))=TRUE,0,VLOOKUP(B41,'WBV 1'!$B$3:$C$34,2,FALSE)),IF(ISNA(VLOOKUP(B41,'WBV 1'!$F$3:$G$34,2,FALSE))=TRUE,0,VLOOKUP(B41,'WBV 1'!$F$3:$G$34,2,FALSE)),IF(ISNA(VLOOKUP(B41,'WBV 1'!$J$3:$K$34,2,FALSE))=TRUE,0,VLOOKUP(B41,'WBV 1'!$J$3:$K$34,2,FALSE)),IF(ISNA(VLOOKUP(B41,'WBV 1'!$N$3:$O$34,2,FALSE))=TRUE,0,VLOOKUP(B41,'WBV 1'!$N$3:$O$34,2,FALSE)))</f>
        <v>0</v>
      </c>
      <c r="I41" s="15">
        <f>MAX(IF(ISNA(VLOOKUP(B41,'WBV 2'!$B$3:$C$34,2,FALSE))=TRUE,0,VLOOKUP(B41,'WBV 2'!$B$3:$C$34,2,FALSE)),IF(ISNA(VLOOKUP(B41,'WBV 2'!$F$3:$G$34,2,FALSE))=TRUE,0,VLOOKUP(B41,'WBV 2'!$F$3:$G$34,2,FALSE)),IF(ISNA(VLOOKUP(B41,'WBV 2'!$J$3:$K$34,2,FALSE))=TRUE,0,VLOOKUP(B41,'WBV 2'!$J$3:$K$34,2,FALSE)),IF(ISNA(VLOOKUP(B41,'WBV 2'!$N$3:$O$34,2,FALSE))=TRUE,0,VLOOKUP(B41,'WBV 2'!$N$3:$O$34,2,FALSE)))</f>
        <v>0</v>
      </c>
      <c r="J41" s="15">
        <f>MAX(IF(ISNA(VLOOKUP(B41,'WBV 3'!$B$3:$C$34,2,FALSE))=TRUE,0,VLOOKUP(B41,'WBV 3'!$B$3:$C$34,2,FALSE)),IF(ISNA(VLOOKUP(B41,'WBV 3'!$F$3:$G$34,2,FALSE))=TRUE,0,VLOOKUP(B41,'WBV 3'!$F$3:$G$34,2,FALSE)),IF(ISNA(VLOOKUP(B41,'WBV 3'!$J$3:$K$34,2,FALSE))=TRUE,0,VLOOKUP(B41,'WBV 3'!$J$3:$K$34,2,FALSE)),IF(ISNA(VLOOKUP(B41,'WBV 3'!$N$3:$O$34,2,FALSE))=TRUE,0,VLOOKUP(B41,'WBV 3'!$N$3:$O$34,2,FALSE)))</f>
        <v>0</v>
      </c>
      <c r="K41" s="15">
        <f>MAX(IF(ISNA(VLOOKUP(B41,'WBV 4'!$B$3:$C$34,2,FALSE))=TRUE,0,VLOOKUP(B41,'WBV 4'!$B$3:$C$34,2,FALSE)),IF(ISNA(VLOOKUP(B41,'WBV 4'!$F$3:$G$34,2,FALSE))=TRUE,0,VLOOKUP(B41,'WBV 4'!$F$3:$G$34,2,FALSE)),IF(ISNA(VLOOKUP(B41,'WBV 4'!$J$3:$K$34,2,FALSE))=TRUE,0,VLOOKUP(B41,'WBV 4'!$J$3:$K$34,2,FALSE)),IF(ISNA(VLOOKUP(B41,'WBV 4'!$N$3:$O$34,2,FALSE))=TRUE,0,VLOOKUP(B41,'WBV 4'!$N$3:$O$34,2,FALSE)))</f>
        <v>0</v>
      </c>
      <c r="L41" s="19">
        <f>MAX(IF(ISNA(VLOOKUP(B41,'NÖBV 1'!$B$3:$C$34,2,FALSE))=TRUE,0,VLOOKUP(B41,'NÖBV 1'!$B$3:$C$34,2,FALSE)),IF(ISNA(VLOOKUP(B41,'NÖBV 1'!$F$3:$G$34,2,FALSE))=TRUE,0,VLOOKUP(B41,'NÖBV 1'!$F$3:$G$34,2,FALSE)),IF(ISNA(VLOOKUP(B41,'NÖBV 1'!$J$3:$K$34,2,FALSE))=TRUE,0,VLOOKUP(B41,'NÖBV 1'!$J$3:$K$34,2,FALSE)),IF(ISNA(VLOOKUP(B41,'NÖBV 1'!$N$3:$O$34,2,FALSE))=TRUE,0,VLOOKUP(B41,'NÖBV 1'!$N$3:$O$34,2,FALSE)))</f>
        <v>184</v>
      </c>
      <c r="M41" s="19">
        <f>MAX(IF(ISNA(VLOOKUP(B41,'NÖBV 2'!$B$3:$C$34,2,FALSE))=TRUE,0,VLOOKUP(B41,'NÖBV 2'!$B$3:$C$34,2,FALSE)),IF(ISNA(VLOOKUP(B41,'NÖBV 2'!$F$3:$G$34,2,FALSE))=TRUE,0,VLOOKUP(B41,'NÖBV 2'!$F$3:$G$34,2,FALSE)),IF(ISNA(VLOOKUP(B41,'NÖBV 2'!$J$3:$K$34,2,FALSE))=TRUE,0,VLOOKUP(B41,'NÖBV 2'!$J$3:$K$34,2,FALSE)),IF(ISNA(VLOOKUP(B41,'NÖBV 2'!$N$3:$O$34,2,FALSE))=TRUE,0,VLOOKUP(B41,'NÖBV 2'!$N$3:$O$34,2,FALSE)))</f>
        <v>183</v>
      </c>
      <c r="N41" s="19">
        <f>MAX(IF(ISNA(VLOOKUP(B41,'NÖBV 3'!$B$3:$C$34,2,FALSE))=TRUE,0,VLOOKUP(B41,'NÖBV 3'!$B$3:$C$34,2,FALSE)),IF(ISNA(VLOOKUP(B41,'NÖBV 3'!$F$3:$G$34,2,FALSE))=TRUE,0,VLOOKUP(B41,'NÖBV 3'!$F$3:$G$34,2,FALSE)),IF(ISNA(VLOOKUP(B41,'NÖBV 3'!$J$3:$K$34,2,FALSE))=TRUE,0,VLOOKUP(B41,'NÖBV 3'!$J$3:$K$34,2,FALSE)),IF(ISNA(VLOOKUP(B41,'NÖBV 3'!$N$3:$O$34,2,FALSE))=TRUE,0,VLOOKUP(B41,'NÖBV 3'!$N$3:$O$34,2,FALSE)))</f>
        <v>0</v>
      </c>
      <c r="O41" s="15">
        <f>MAX(IF(ISNA(VLOOKUP(B41,'Regioturnier 1'!$B$3:$C$34,2,FALSE))=TRUE,0,VLOOKUP(B41,'Regioturnier 1'!$B$3:$C$34,2,FALSE)),IF(ISNA(VLOOKUP(B41,'Regioturnier 1'!$F$3:$G$34,2,FALSE))=TRUE,0,VLOOKUP(B41,'Regioturnier 1'!$F$3:$G$34,2,FALSE)),IF(ISNA(VLOOKUP(B41,'Regioturnier 1'!$J$3:$K$34,2,FALSE))=TRUE,0,VLOOKUP(B41,'Regioturnier 1'!$J$3:$K$34,2,FALSE)),IF(ISNA(VLOOKUP(B41,'Regioturnier 1'!$N$3:$O$34,2,FALSE))=TRUE,0,VLOOKUP(B41,'Regioturnier 1'!$N$3:$O$34,2,FALSE)),IF(ISNA(VLOOKUP(B41,'Regioturnier 1'!$R$3:$S$34,2,FALSE))=TRUE,0,VLOOKUP(B41,'Regioturnier 1'!$R$3:$S$34,2,FALSE)), IF(ISNA(VLOOKUP(B41,'Regioturnier 1'!$V$3:$W$34,2,FALSE))=TRUE,0,VLOOKUP(B41,'Regioturnier 1'!$V$3:$W$34,2,FALSE)), IF(ISNA(VLOOKUP(B41,'Regioturnier 1'!$Z$3:$AA$34,2,FALSE))=TRUE,0,VLOOKUP(B41,'Regioturnier 1'!$Z$3:$AA$34,2,FALSE)))</f>
        <v>0</v>
      </c>
      <c r="P41" s="15">
        <f>MAX(IF(ISNA(VLOOKUP(B41,'Regioturnier 2'!$B$3:$C$34,2,FALSE))=TRUE,0,VLOOKUP(B41,'Regioturnier 2'!$B$3:$C$34,2,FALSE)),IF(ISNA(VLOOKUP(B41,'Regioturnier 2'!$F$3:$G$34,2,FALSE))=TRUE,0,VLOOKUP(B41,'Regioturnier 2'!$F$3:$G$34,2,FALSE)),IF(ISNA(VLOOKUP(B41,'Regioturnier 2'!$J$3:$K$34,2,FALSE))=TRUE,0,VLOOKUP(B41,'Regioturnier 2'!$J$3:$K$34,2,FALSE)),IF(ISNA(VLOOKUP(B41,'Regioturnier 2'!$N$3:$O$34,2,FALSE))=TRUE,0,VLOOKUP(B41,'Regioturnier 2'!$N$3:$O$34,2,FALSE)),IF(ISNA(VLOOKUP(B41,'Regioturnier 2'!$R$3:$S$34,2,FALSE))=TRUE,0,VLOOKUP(B41,'Regioturnier 2'!$R$3:$S$34,2,FALSE)), IF(ISNA(VLOOKUP(B41,'Regioturnier 2'!$V$3:$W$34,2,FALSE))=TRUE,0,VLOOKUP(B41,'Regioturnier 2'!$V$3:$W$34,2,FALSE)), IF(ISNA(VLOOKUP(B41,'Regioturnier 2'!$Z$3:$AA$34,2,FALSE))=TRUE,0,VLOOKUP(B41,'Regioturnier 2'!$Z$3:$AA$34,2,FALSE)))</f>
        <v>199</v>
      </c>
      <c r="Q41" s="15">
        <f>MAX(IF(ISNA(VLOOKUP(B41,'Regioturnier 3'!$B$3:$C$34,2,FALSE))=TRUE,0,VLOOKUP(B41,'Regioturnier 3'!$B$3:$C$34,2,FALSE)),IF(ISNA(VLOOKUP(B41,'Regioturnier 3'!$F$3:$G$34,2,FALSE))=TRUE,0,VLOOKUP(B41,'Regioturnier 3'!$F$3:$G$34,2,FALSE)),IF(ISNA(VLOOKUP(B41,'Regioturnier 3'!$J$3:$K$34,2,FALSE))=TRUE,0,VLOOKUP(B41,'Regioturnier 3'!$J$3:$K$34,2,FALSE)),IF(ISNA(VLOOKUP(B41,'Regioturnier 3'!$N$3:$O$34,2,FALSE))=TRUE,0,VLOOKUP(B41,'Regioturnier 3'!$N$3:$O$34,2,FALSE)),IF(ISNA(VLOOKUP(B41,'Regioturnier 3'!$R$3:$S$34,2,FALSE))=TRUE,0,VLOOKUP(B41,'Regioturnier 3'!$R$3:$S$34,2,FALSE)), IF(ISNA(VLOOKUP(B41,'Regioturnier 3'!$V$3:$W$34,2,FALSE))=TRUE,0,VLOOKUP(B41,'Regioturnier 3'!$V$3:$W$34,2,FALSE)), IF(ISNA(VLOOKUP(B41,'Regioturnier 3'!$Z$3:$AA$34,2,FALSE))=TRUE,0,VLOOKUP(B41,'Regioturnier 3'!$Z$3:$AA$34,2,FALSE)))</f>
        <v>0</v>
      </c>
      <c r="R41" s="20">
        <f>0.5*INDEX($H41:$N41,MATCH(LARGE($H41:$N41,1),$H41:$N41,0))+0.3*INDEX($H41:$N41,MATCH(LARGE($H41:$N41,2),$H41:$N41,0))+0.2*INDEX($H41:$N41,MATCH(LARGE($H41:$N41,3),$H41:$N41,0))</f>
        <v>146.9</v>
      </c>
      <c r="S41" s="20">
        <f>0.6*INDEX(O41:Q41,MATCH(LARGE(O41:Q41,1),O41:Q41,0))+0.4*INDEX(O41:Q41,MATCH(LARGE(O41:Q41,2),O41:Q41,0))+0*INDEX(O41:Q41,MATCH(LARGE(O41:Q41,3),O41:Q41,0))</f>
        <v>119.39999999999999</v>
      </c>
      <c r="T41" s="15">
        <f>1*INDEX(R41:S41,MATCH(LARGE(R41:S41,1),R41:S41,0))+0*INDEX(R41:S41,MATCH(LARGE(R41:S41,2),R41:S41,0))</f>
        <v>146.9</v>
      </c>
      <c r="U41" s="21"/>
      <c r="V41" s="21"/>
      <c r="W41" s="21"/>
      <c r="X41" s="21"/>
      <c r="Y41" s="21"/>
      <c r="Z41" s="21"/>
    </row>
    <row r="42" spans="1:26" ht="12.75" customHeight="1" x14ac:dyDescent="0.3">
      <c r="A42" s="15">
        <v>41</v>
      </c>
      <c r="B42" s="106" t="s">
        <v>568</v>
      </c>
      <c r="C42" s="106" t="s">
        <v>586</v>
      </c>
      <c r="D42" s="106" t="s">
        <v>587</v>
      </c>
      <c r="E42" s="106" t="s">
        <v>23</v>
      </c>
      <c r="F42" s="106" t="s">
        <v>593</v>
      </c>
      <c r="G42" s="107">
        <v>2013</v>
      </c>
      <c r="H42" s="105">
        <f>MAX(IF(ISNA(VLOOKUP(B42,'WBV 1'!$B$3:$C$34,2,FALSE))=TRUE,0,VLOOKUP(B42,'WBV 1'!$B$3:$C$34,2,FALSE)),IF(ISNA(VLOOKUP(B42,'WBV 1'!$F$3:$G$34,2,FALSE))=TRUE,0,VLOOKUP(B42,'WBV 1'!$F$3:$G$34,2,FALSE)),IF(ISNA(VLOOKUP(B42,'WBV 1'!$J$3:$K$34,2,FALSE))=TRUE,0,VLOOKUP(B42,'WBV 1'!$J$3:$K$34,2,FALSE)),IF(ISNA(VLOOKUP(B42,'WBV 1'!$N$3:$O$34,2,FALSE))=TRUE,0,VLOOKUP(B42,'WBV 1'!$N$3:$O$34,2,FALSE)))</f>
        <v>0</v>
      </c>
      <c r="I42" s="105">
        <f>MAX(IF(ISNA(VLOOKUP(B42,'WBV 2'!$B$3:$C$34,2,FALSE))=TRUE,0,VLOOKUP(B42,'WBV 2'!$B$3:$C$34,2,FALSE)),IF(ISNA(VLOOKUP(B42,'WBV 2'!$F$3:$G$34,2,FALSE))=TRUE,0,VLOOKUP(B42,'WBV 2'!$F$3:$G$34,2,FALSE)),IF(ISNA(VLOOKUP(B42,'WBV 2'!$J$3:$K$34,2,FALSE))=TRUE,0,VLOOKUP(B42,'WBV 2'!$J$3:$K$34,2,FALSE)),IF(ISNA(VLOOKUP(B42,'WBV 2'!$N$3:$O$34,2,FALSE))=TRUE,0,VLOOKUP(B42,'WBV 2'!$N$3:$O$34,2,FALSE)))</f>
        <v>0</v>
      </c>
      <c r="J42" s="105">
        <f>MAX(IF(ISNA(VLOOKUP(B42,'WBV 3'!$B$3:$C$34,2,FALSE))=TRUE,0,VLOOKUP(B42,'WBV 3'!$B$3:$C$34,2,FALSE)),IF(ISNA(VLOOKUP(B42,'WBV 3'!$F$3:$G$34,2,FALSE))=TRUE,0,VLOOKUP(B42,'WBV 3'!$F$3:$G$34,2,FALSE)),IF(ISNA(VLOOKUP(B42,'WBV 3'!$J$3:$K$34,2,FALSE))=TRUE,0,VLOOKUP(B42,'WBV 3'!$J$3:$K$34,2,FALSE)),IF(ISNA(VLOOKUP(B42,'WBV 3'!$N$3:$O$34,2,FALSE))=TRUE,0,VLOOKUP(B42,'WBV 3'!$N$3:$O$34,2,FALSE)))</f>
        <v>0</v>
      </c>
      <c r="K42" s="105">
        <f>MAX(IF(ISNA(VLOOKUP(B42,'WBV 4'!$B$3:$C$34,2,FALSE))=TRUE,0,VLOOKUP(B42,'WBV 4'!$B$3:$C$34,2,FALSE)),IF(ISNA(VLOOKUP(B42,'WBV 4'!$F$3:$G$34,2,FALSE))=TRUE,0,VLOOKUP(B42,'WBV 4'!$F$3:$G$34,2,FALSE)),IF(ISNA(VLOOKUP(B42,'WBV 4'!$J$3:$K$34,2,FALSE))=TRUE,0,VLOOKUP(B42,'WBV 4'!$J$3:$K$34,2,FALSE)),IF(ISNA(VLOOKUP(B42,'WBV 4'!$N$3:$O$34,2,FALSE))=TRUE,0,VLOOKUP(B42,'WBV 4'!$N$3:$O$34,2,FALSE)))</f>
        <v>0</v>
      </c>
      <c r="L42" s="105">
        <f>MAX(IF(ISNA(VLOOKUP(B42,'NÖBV 1'!$B$3:$C$34,2,FALSE))=TRUE,0,VLOOKUP(B42,'NÖBV 1'!$B$3:$C$34,2,FALSE)),IF(ISNA(VLOOKUP(B42,'NÖBV 1'!$F$3:$G$34,2,FALSE))=TRUE,0,VLOOKUP(B42,'NÖBV 1'!$F$3:$G$34,2,FALSE)),IF(ISNA(VLOOKUP(B42,'NÖBV 1'!$J$3:$K$34,2,FALSE))=TRUE,0,VLOOKUP(B42,'NÖBV 1'!$J$3:$K$34,2,FALSE)),IF(ISNA(VLOOKUP(B42,'NÖBV 1'!$N$3:$O$34,2,FALSE))=TRUE,0,VLOOKUP(B42,'NÖBV 1'!$N$3:$O$34,2,FALSE)))</f>
        <v>0</v>
      </c>
      <c r="M42" s="105">
        <f>MAX(IF(ISNA(VLOOKUP(B42,'NÖBV 2'!$B$3:$C$34,2,FALSE))=TRUE,0,VLOOKUP(B42,'NÖBV 2'!$B$3:$C$34,2,FALSE)),IF(ISNA(VLOOKUP(B42,'NÖBV 2'!$F$3:$G$34,2,FALSE))=TRUE,0,VLOOKUP(B42,'NÖBV 2'!$F$3:$G$34,2,FALSE)),IF(ISNA(VLOOKUP(B42,'NÖBV 2'!$J$3:$K$34,2,FALSE))=TRUE,0,VLOOKUP(B42,'NÖBV 2'!$J$3:$K$34,2,FALSE)),IF(ISNA(VLOOKUP(B42,'NÖBV 2'!$N$3:$O$34,2,FALSE))=TRUE,0,VLOOKUP(B42,'NÖBV 2'!$N$3:$O$34,2,FALSE)))</f>
        <v>171</v>
      </c>
      <c r="N42" s="105">
        <f>MAX(IF(ISNA(VLOOKUP(B42,'NÖBV 3'!$B$3:$C$34,2,FALSE))=TRUE,0,VLOOKUP(B42,'NÖBV 3'!$B$3:$C$34,2,FALSE)),IF(ISNA(VLOOKUP(B42,'NÖBV 3'!$F$3:$G$34,2,FALSE))=TRUE,0,VLOOKUP(B42,'NÖBV 3'!$F$3:$G$34,2,FALSE)),IF(ISNA(VLOOKUP(B42,'NÖBV 3'!$J$3:$K$34,2,FALSE))=TRUE,0,VLOOKUP(B42,'NÖBV 3'!$J$3:$K$34,2,FALSE)),IF(ISNA(VLOOKUP(B42,'NÖBV 3'!$N$3:$O$34,2,FALSE))=TRUE,0,VLOOKUP(B42,'NÖBV 3'!$N$3:$O$34,2,FALSE)))</f>
        <v>191</v>
      </c>
      <c r="O42" s="105">
        <f>MAX(IF(ISNA(VLOOKUP(B42,'Regioturnier 1'!$B$3:$C$34,2,FALSE))=TRUE,0,VLOOKUP(B42,'Regioturnier 1'!$B$3:$C$34,2,FALSE)),IF(ISNA(VLOOKUP(B42,'Regioturnier 1'!$F$3:$G$34,2,FALSE))=TRUE,0,VLOOKUP(B42,'Regioturnier 1'!$F$3:$G$34,2,FALSE)),IF(ISNA(VLOOKUP(B42,'Regioturnier 1'!$J$3:$K$34,2,FALSE))=TRUE,0,VLOOKUP(B42,'Regioturnier 1'!$J$3:$K$34,2,FALSE)),IF(ISNA(VLOOKUP(B42,'Regioturnier 1'!$N$3:$O$34,2,FALSE))=TRUE,0,VLOOKUP(B42,'Regioturnier 1'!$N$3:$O$34,2,FALSE)),IF(ISNA(VLOOKUP(B42,'Regioturnier 1'!$R$3:$S$34,2,FALSE))=TRUE,0,VLOOKUP(B42,'Regioturnier 1'!$R$3:$S$34,2,FALSE)), IF(ISNA(VLOOKUP(B42,'Regioturnier 1'!$V$3:$W$34,2,FALSE))=TRUE,0,VLOOKUP(B42,'Regioturnier 1'!$V$3:$W$34,2,FALSE)), IF(ISNA(VLOOKUP(B42,'Regioturnier 1'!$Z$3:$AA$34,2,FALSE))=TRUE,0,VLOOKUP(B42,'Regioturnier 1'!$Z$3:$AA$34,2,FALSE)))</f>
        <v>0</v>
      </c>
      <c r="P42" s="105">
        <f>MAX(IF(ISNA(VLOOKUP(B42,'Regioturnier 2'!$B$3:$C$34,2,FALSE))=TRUE,0,VLOOKUP(B42,'Regioturnier 2'!$B$3:$C$34,2,FALSE)),IF(ISNA(VLOOKUP(B42,'Regioturnier 2'!$F$3:$G$34,2,FALSE))=TRUE,0,VLOOKUP(B42,'Regioturnier 2'!$F$3:$G$34,2,FALSE)),IF(ISNA(VLOOKUP(B42,'Regioturnier 2'!$J$3:$K$34,2,FALSE))=TRUE,0,VLOOKUP(B42,'Regioturnier 2'!$J$3:$K$34,2,FALSE)),IF(ISNA(VLOOKUP(B42,'Regioturnier 2'!$N$3:$O$34,2,FALSE))=TRUE,0,VLOOKUP(B42,'Regioturnier 2'!$N$3:$O$34,2,FALSE)),IF(ISNA(VLOOKUP(B42,'Regioturnier 2'!$R$3:$S$34,2,FALSE))=TRUE,0,VLOOKUP(B42,'Regioturnier 2'!$R$3:$S$34,2,FALSE)), IF(ISNA(VLOOKUP(B42,'Regioturnier 2'!$V$3:$W$34,2,FALSE))=TRUE,0,VLOOKUP(B42,'Regioturnier 2'!$V$3:$W$34,2,FALSE)), IF(ISNA(VLOOKUP(B42,'Regioturnier 2'!$Z$3:$AA$34,2,FALSE))=TRUE,0,VLOOKUP(B42,'Regioturnier 2'!$Z$3:$AA$34,2,FALSE)))</f>
        <v>194</v>
      </c>
      <c r="Q42" s="105">
        <f>MAX(IF(ISNA(VLOOKUP(B42,'Regioturnier 3'!$B$3:$C$34,2,FALSE))=TRUE,0,VLOOKUP(B42,'Regioturnier 3'!$B$3:$C$34,2,FALSE)),IF(ISNA(VLOOKUP(B42,'Regioturnier 3'!$F$3:$G$34,2,FALSE))=TRUE,0,VLOOKUP(B42,'Regioturnier 3'!$F$3:$G$34,2,FALSE)),IF(ISNA(VLOOKUP(B42,'Regioturnier 3'!$J$3:$K$34,2,FALSE))=TRUE,0,VLOOKUP(B42,'Regioturnier 3'!$J$3:$K$34,2,FALSE)),IF(ISNA(VLOOKUP(B42,'Regioturnier 3'!$N$3:$O$34,2,FALSE))=TRUE,0,VLOOKUP(B42,'Regioturnier 3'!$N$3:$O$34,2,FALSE)),IF(ISNA(VLOOKUP(B42,'Regioturnier 3'!$R$3:$S$34,2,FALSE))=TRUE,0,VLOOKUP(B42,'Regioturnier 3'!$R$3:$S$34,2,FALSE)), IF(ISNA(VLOOKUP(B42,'Regioturnier 3'!$V$3:$W$34,2,FALSE))=TRUE,0,VLOOKUP(B42,'Regioturnier 3'!$V$3:$W$34,2,FALSE)), IF(ISNA(VLOOKUP(B42,'Regioturnier 3'!$Z$3:$AA$34,2,FALSE))=TRUE,0,VLOOKUP(B42,'Regioturnier 3'!$Z$3:$AA$34,2,FALSE)))</f>
        <v>0</v>
      </c>
      <c r="R42" s="108">
        <f>0.5*INDEX($H42:$N42,MATCH(LARGE($H42:$N42,1),$H42:$N42,0))+0.3*INDEX($H42:$N42,MATCH(LARGE($H42:$N42,2),$H42:$N42,0))+0.2*INDEX($H42:$N42,MATCH(LARGE($H42:$N42,3),$H42:$N42,0))</f>
        <v>146.80000000000001</v>
      </c>
      <c r="S42" s="108">
        <f>0.6*INDEX(O42:Q42,MATCH(LARGE(O42:Q42,1),O42:Q42,0))+0.4*INDEX(O42:Q42,MATCH(LARGE(O42:Q42,2),O42:Q42,0))+0*INDEX(O42:Q42,MATCH(LARGE(O42:Q42,3),O42:Q42,0))</f>
        <v>116.39999999999999</v>
      </c>
      <c r="T42" s="105">
        <f>1*INDEX(R42:S42,MATCH(LARGE(R42:S42,1),R42:S42,0))+0*INDEX(R42:S42,MATCH(LARGE(R42:S42,2),R42:S42,0))</f>
        <v>146.80000000000001</v>
      </c>
      <c r="U42" s="21"/>
      <c r="V42" s="21"/>
      <c r="W42" s="21"/>
      <c r="X42" s="21"/>
      <c r="Y42" s="21"/>
      <c r="Z42" s="21"/>
    </row>
    <row r="43" spans="1:26" ht="12.75" customHeight="1" x14ac:dyDescent="0.3">
      <c r="A43" s="15">
        <v>42</v>
      </c>
      <c r="B43" s="16" t="s">
        <v>132</v>
      </c>
      <c r="C43" s="17" t="s">
        <v>25</v>
      </c>
      <c r="D43" s="15" t="s">
        <v>26</v>
      </c>
      <c r="E43" s="18" t="s">
        <v>23</v>
      </c>
      <c r="F43" s="15">
        <v>110347</v>
      </c>
      <c r="G43" s="22">
        <v>2012</v>
      </c>
      <c r="H43" s="15">
        <f>MAX(IF(ISNA(VLOOKUP(B43,'WBV 1'!$B$3:$C$34,2,FALSE))=TRUE,0,VLOOKUP(B43,'WBV 1'!$B$3:$C$34,2,FALSE)),IF(ISNA(VLOOKUP(B43,'WBV 1'!$F$3:$G$34,2,FALSE))=TRUE,0,VLOOKUP(B43,'WBV 1'!$F$3:$G$34,2,FALSE)),IF(ISNA(VLOOKUP(B43,'WBV 1'!$J$3:$K$34,2,FALSE))=TRUE,0,VLOOKUP(B43,'WBV 1'!$J$3:$K$34,2,FALSE)),IF(ISNA(VLOOKUP(B43,'WBV 1'!$N$3:$O$34,2,FALSE))=TRUE,0,VLOOKUP(B43,'WBV 1'!$N$3:$O$34,2,FALSE)))</f>
        <v>0</v>
      </c>
      <c r="I43" s="15">
        <f>MAX(IF(ISNA(VLOOKUP(B43,'WBV 2'!$B$3:$C$34,2,FALSE))=TRUE,0,VLOOKUP(B43,'WBV 2'!$B$3:$C$34,2,FALSE)),IF(ISNA(VLOOKUP(B43,'WBV 2'!$F$3:$G$34,2,FALSE))=TRUE,0,VLOOKUP(B43,'WBV 2'!$F$3:$G$34,2,FALSE)),IF(ISNA(VLOOKUP(B43,'WBV 2'!$J$3:$K$34,2,FALSE))=TRUE,0,VLOOKUP(B43,'WBV 2'!$J$3:$K$34,2,FALSE)),IF(ISNA(VLOOKUP(B43,'WBV 2'!$N$3:$O$34,2,FALSE))=TRUE,0,VLOOKUP(B43,'WBV 2'!$N$3:$O$34,2,FALSE)))</f>
        <v>185</v>
      </c>
      <c r="J43" s="15">
        <f>MAX(IF(ISNA(VLOOKUP(B43,'WBV 3'!$B$3:$C$34,2,FALSE))=TRUE,0,VLOOKUP(B43,'WBV 3'!$B$3:$C$34,2,FALSE)),IF(ISNA(VLOOKUP(B43,'WBV 3'!$F$3:$G$34,2,FALSE))=TRUE,0,VLOOKUP(B43,'WBV 3'!$F$3:$G$34,2,FALSE)),IF(ISNA(VLOOKUP(B43,'WBV 3'!$J$3:$K$34,2,FALSE))=TRUE,0,VLOOKUP(B43,'WBV 3'!$J$3:$K$34,2,FALSE)),IF(ISNA(VLOOKUP(B43,'WBV 3'!$N$3:$O$34,2,FALSE))=TRUE,0,VLOOKUP(B43,'WBV 3'!$N$3:$O$34,2,FALSE)))</f>
        <v>175</v>
      </c>
      <c r="K43" s="15">
        <f>MAX(IF(ISNA(VLOOKUP(B43,'WBV 4'!$B$3:$C$34,2,FALSE))=TRUE,0,VLOOKUP(B43,'WBV 4'!$B$3:$C$34,2,FALSE)),IF(ISNA(VLOOKUP(B43,'WBV 4'!$F$3:$G$34,2,FALSE))=TRUE,0,VLOOKUP(B43,'WBV 4'!$F$3:$G$34,2,FALSE)),IF(ISNA(VLOOKUP(B43,'WBV 4'!$J$3:$K$34,2,FALSE))=TRUE,0,VLOOKUP(B43,'WBV 4'!$J$3:$K$34,2,FALSE)),IF(ISNA(VLOOKUP(B43,'WBV 4'!$N$3:$O$34,2,FALSE))=TRUE,0,VLOOKUP(B43,'WBV 4'!$N$3:$O$34,2,FALSE)))</f>
        <v>0</v>
      </c>
      <c r="L43" s="19">
        <f>MAX(IF(ISNA(VLOOKUP(B43,'NÖBV 1'!$B$3:$C$34,2,FALSE))=TRUE,0,VLOOKUP(B43,'NÖBV 1'!$B$3:$C$34,2,FALSE)),IF(ISNA(VLOOKUP(B43,'NÖBV 1'!$F$3:$G$34,2,FALSE))=TRUE,0,VLOOKUP(B43,'NÖBV 1'!$F$3:$G$34,2,FALSE)),IF(ISNA(VLOOKUP(B43,'NÖBV 1'!$J$3:$K$34,2,FALSE))=TRUE,0,VLOOKUP(B43,'NÖBV 1'!$J$3:$K$34,2,FALSE)),IF(ISNA(VLOOKUP(B43,'NÖBV 1'!$N$3:$O$34,2,FALSE))=TRUE,0,VLOOKUP(B43,'NÖBV 1'!$N$3:$O$34,2,FALSE)))</f>
        <v>0</v>
      </c>
      <c r="M43" s="19">
        <f>MAX(IF(ISNA(VLOOKUP(B43,'NÖBV 2'!$B$3:$C$34,2,FALSE))=TRUE,0,VLOOKUP(B43,'NÖBV 2'!$B$3:$C$34,2,FALSE)),IF(ISNA(VLOOKUP(B43,'NÖBV 2'!$F$3:$G$34,2,FALSE))=TRUE,0,VLOOKUP(B43,'NÖBV 2'!$F$3:$G$34,2,FALSE)),IF(ISNA(VLOOKUP(B43,'NÖBV 2'!$J$3:$K$34,2,FALSE))=TRUE,0,VLOOKUP(B43,'NÖBV 2'!$J$3:$K$34,2,FALSE)),IF(ISNA(VLOOKUP(B43,'NÖBV 2'!$N$3:$O$34,2,FALSE))=TRUE,0,VLOOKUP(B43,'NÖBV 2'!$N$3:$O$34,2,FALSE)))</f>
        <v>0</v>
      </c>
      <c r="N43" s="19">
        <f>MAX(IF(ISNA(VLOOKUP(B43,'NÖBV 3'!$B$3:$C$34,2,FALSE))=TRUE,0,VLOOKUP(B43,'NÖBV 3'!$B$3:$C$34,2,FALSE)),IF(ISNA(VLOOKUP(B43,'NÖBV 3'!$F$3:$G$34,2,FALSE))=TRUE,0,VLOOKUP(B43,'NÖBV 3'!$F$3:$G$34,2,FALSE)),IF(ISNA(VLOOKUP(B43,'NÖBV 3'!$J$3:$K$34,2,FALSE))=TRUE,0,VLOOKUP(B43,'NÖBV 3'!$J$3:$K$34,2,FALSE)),IF(ISNA(VLOOKUP(B43,'NÖBV 3'!$N$3:$O$34,2,FALSE))=TRUE,0,VLOOKUP(B43,'NÖBV 3'!$N$3:$O$34,2,FALSE)))</f>
        <v>0</v>
      </c>
      <c r="O43" s="15">
        <f>MAX(IF(ISNA(VLOOKUP(B43,'Regioturnier 1'!$B$3:$C$34,2,FALSE))=TRUE,0,VLOOKUP(B43,'Regioturnier 1'!$B$3:$C$34,2,FALSE)),IF(ISNA(VLOOKUP(B43,'Regioturnier 1'!$F$3:$G$34,2,FALSE))=TRUE,0,VLOOKUP(B43,'Regioturnier 1'!$F$3:$G$34,2,FALSE)),IF(ISNA(VLOOKUP(B43,'Regioturnier 1'!$J$3:$K$34,2,FALSE))=TRUE,0,VLOOKUP(B43,'Regioturnier 1'!$J$3:$K$34,2,FALSE)),IF(ISNA(VLOOKUP(B43,'Regioturnier 1'!$N$3:$O$34,2,FALSE))=TRUE,0,VLOOKUP(B43,'Regioturnier 1'!$N$3:$O$34,2,FALSE)),IF(ISNA(VLOOKUP(B43,'Regioturnier 1'!$R$3:$S$34,2,FALSE))=TRUE,0,VLOOKUP(B43,'Regioturnier 1'!$R$3:$S$34,2,FALSE)), IF(ISNA(VLOOKUP(B43,'Regioturnier 1'!$V$3:$W$34,2,FALSE))=TRUE,0,VLOOKUP(B43,'Regioturnier 1'!$V$3:$W$34,2,FALSE)), IF(ISNA(VLOOKUP(B43,'Regioturnier 1'!$Z$3:$AA$34,2,FALSE))=TRUE,0,VLOOKUP(B43,'Regioturnier 1'!$Z$3:$AA$34,2,FALSE)))</f>
        <v>0</v>
      </c>
      <c r="P43" s="15">
        <f>MAX(IF(ISNA(VLOOKUP(B43,'Regioturnier 2'!$B$3:$C$34,2,FALSE))=TRUE,0,VLOOKUP(B43,'Regioturnier 2'!$B$3:$C$34,2,FALSE)),IF(ISNA(VLOOKUP(B43,'Regioturnier 2'!$F$3:$G$34,2,FALSE))=TRUE,0,VLOOKUP(B43,'Regioturnier 2'!$F$3:$G$34,2,FALSE)),IF(ISNA(VLOOKUP(B43,'Regioturnier 2'!$J$3:$K$34,2,FALSE))=TRUE,0,VLOOKUP(B43,'Regioturnier 2'!$J$3:$K$34,2,FALSE)),IF(ISNA(VLOOKUP(B43,'Regioturnier 2'!$N$3:$O$34,2,FALSE))=TRUE,0,VLOOKUP(B43,'Regioturnier 2'!$N$3:$O$34,2,FALSE)),IF(ISNA(VLOOKUP(B43,'Regioturnier 2'!$R$3:$S$34,2,FALSE))=TRUE,0,VLOOKUP(B43,'Regioturnier 2'!$R$3:$S$34,2,FALSE)), IF(ISNA(VLOOKUP(B43,'Regioturnier 2'!$V$3:$W$34,2,FALSE))=TRUE,0,VLOOKUP(B43,'Regioturnier 2'!$V$3:$W$34,2,FALSE)), IF(ISNA(VLOOKUP(B43,'Regioturnier 2'!$Z$3:$AA$34,2,FALSE))=TRUE,0,VLOOKUP(B43,'Regioturnier 2'!$Z$3:$AA$34,2,FALSE)))</f>
        <v>0</v>
      </c>
      <c r="Q43" s="15">
        <f>MAX(IF(ISNA(VLOOKUP(B43,'Regioturnier 3'!$B$3:$C$34,2,FALSE))=TRUE,0,VLOOKUP(B43,'Regioturnier 3'!$B$3:$C$34,2,FALSE)),IF(ISNA(VLOOKUP(B43,'Regioturnier 3'!$F$3:$G$34,2,FALSE))=TRUE,0,VLOOKUP(B43,'Regioturnier 3'!$F$3:$G$34,2,FALSE)),IF(ISNA(VLOOKUP(B43,'Regioturnier 3'!$J$3:$K$34,2,FALSE))=TRUE,0,VLOOKUP(B43,'Regioturnier 3'!$J$3:$K$34,2,FALSE)),IF(ISNA(VLOOKUP(B43,'Regioturnier 3'!$N$3:$O$34,2,FALSE))=TRUE,0,VLOOKUP(B43,'Regioturnier 3'!$N$3:$O$34,2,FALSE)),IF(ISNA(VLOOKUP(B43,'Regioturnier 3'!$R$3:$S$34,2,FALSE))=TRUE,0,VLOOKUP(B43,'Regioturnier 3'!$R$3:$S$34,2,FALSE)), IF(ISNA(VLOOKUP(B43,'Regioturnier 3'!$V$3:$W$34,2,FALSE))=TRUE,0,VLOOKUP(B43,'Regioturnier 3'!$V$3:$W$34,2,FALSE)), IF(ISNA(VLOOKUP(B43,'Regioturnier 3'!$Z$3:$AA$34,2,FALSE))=TRUE,0,VLOOKUP(B43,'Regioturnier 3'!$Z$3:$AA$34,2,FALSE)))</f>
        <v>0</v>
      </c>
      <c r="R43" s="20">
        <f>0.5*INDEX($H43:$N43,MATCH(LARGE($H43:$N43,1),$H43:$N43,0))+0.3*INDEX($H43:$N43,MATCH(LARGE($H43:$N43,2),$H43:$N43,0))+0.2*INDEX($H43:$N43,MATCH(LARGE($H43:$N43,3),$H43:$N43,0))</f>
        <v>145</v>
      </c>
      <c r="S43" s="20">
        <f>0.6*INDEX(O43:Q43,MATCH(LARGE(O43:Q43,1),O43:Q43,0))+0.4*INDEX(O43:Q43,MATCH(LARGE(O43:Q43,2),O43:Q43,0))+0*INDEX(O43:Q43,MATCH(LARGE(O43:Q43,3),O43:Q43,0))</f>
        <v>0</v>
      </c>
      <c r="T43" s="15">
        <f>1*INDEX(R43:S43,MATCH(LARGE(R43:S43,1),R43:S43,0))+0*INDEX(R43:S43,MATCH(LARGE(R43:S43,2),R43:S43,0))</f>
        <v>145</v>
      </c>
      <c r="U43" s="21"/>
      <c r="V43" s="21"/>
      <c r="W43" s="21"/>
      <c r="X43" s="21"/>
      <c r="Y43" s="21"/>
      <c r="Z43" s="21"/>
    </row>
    <row r="44" spans="1:26" ht="12.75" customHeight="1" x14ac:dyDescent="0.3">
      <c r="A44" s="15">
        <v>43</v>
      </c>
      <c r="B44" s="16" t="s">
        <v>107</v>
      </c>
      <c r="C44" s="17" t="s">
        <v>108</v>
      </c>
      <c r="D44" s="15" t="s">
        <v>22</v>
      </c>
      <c r="E44" s="18" t="s">
        <v>23</v>
      </c>
      <c r="F44" s="15">
        <v>207514</v>
      </c>
      <c r="G44" s="22">
        <v>2012</v>
      </c>
      <c r="H44" s="15">
        <f>MAX(IF(ISNA(VLOOKUP(B44,'WBV 1'!$B$3:$C$34,2,FALSE))=TRUE,0,VLOOKUP(B44,'WBV 1'!$B$3:$C$34,2,FALSE)),IF(ISNA(VLOOKUP(B44,'WBV 1'!$F$3:$G$34,2,FALSE))=TRUE,0,VLOOKUP(B44,'WBV 1'!$F$3:$G$34,2,FALSE)),IF(ISNA(VLOOKUP(B44,'WBV 1'!$J$3:$K$34,2,FALSE))=TRUE,0,VLOOKUP(B44,'WBV 1'!$J$3:$K$34,2,FALSE)),IF(ISNA(VLOOKUP(B44,'WBV 1'!$N$3:$O$34,2,FALSE))=TRUE,0,VLOOKUP(B44,'WBV 1'!$N$3:$O$34,2,FALSE)))</f>
        <v>0</v>
      </c>
      <c r="I44" s="15">
        <f>MAX(IF(ISNA(VLOOKUP(B44,'WBV 2'!$B$3:$C$34,2,FALSE))=TRUE,0,VLOOKUP(B44,'WBV 2'!$B$3:$C$34,2,FALSE)),IF(ISNA(VLOOKUP(B44,'WBV 2'!$F$3:$G$34,2,FALSE))=TRUE,0,VLOOKUP(B44,'WBV 2'!$F$3:$G$34,2,FALSE)),IF(ISNA(VLOOKUP(B44,'WBV 2'!$J$3:$K$34,2,FALSE))=TRUE,0,VLOOKUP(B44,'WBV 2'!$J$3:$K$34,2,FALSE)),IF(ISNA(VLOOKUP(B44,'WBV 2'!$N$3:$O$34,2,FALSE))=TRUE,0,VLOOKUP(B44,'WBV 2'!$N$3:$O$34,2,FALSE)))</f>
        <v>0</v>
      </c>
      <c r="J44" s="15">
        <f>MAX(IF(ISNA(VLOOKUP(B44,'WBV 3'!$B$3:$C$34,2,FALSE))=TRUE,0,VLOOKUP(B44,'WBV 3'!$B$3:$C$34,2,FALSE)),IF(ISNA(VLOOKUP(B44,'WBV 3'!$F$3:$G$34,2,FALSE))=TRUE,0,VLOOKUP(B44,'WBV 3'!$F$3:$G$34,2,FALSE)),IF(ISNA(VLOOKUP(B44,'WBV 3'!$J$3:$K$34,2,FALSE))=TRUE,0,VLOOKUP(B44,'WBV 3'!$J$3:$K$34,2,FALSE)),IF(ISNA(VLOOKUP(B44,'WBV 3'!$N$3:$O$34,2,FALSE))=TRUE,0,VLOOKUP(B44,'WBV 3'!$N$3:$O$34,2,FALSE)))</f>
        <v>0</v>
      </c>
      <c r="K44" s="15">
        <f>MAX(IF(ISNA(VLOOKUP(B44,'WBV 4'!$B$3:$C$34,2,FALSE))=TRUE,0,VLOOKUP(B44,'WBV 4'!$B$3:$C$34,2,FALSE)),IF(ISNA(VLOOKUP(B44,'WBV 4'!$F$3:$G$34,2,FALSE))=TRUE,0,VLOOKUP(B44,'WBV 4'!$F$3:$G$34,2,FALSE)),IF(ISNA(VLOOKUP(B44,'WBV 4'!$J$3:$K$34,2,FALSE))=TRUE,0,VLOOKUP(B44,'WBV 4'!$J$3:$K$34,2,FALSE)),IF(ISNA(VLOOKUP(B44,'WBV 4'!$N$3:$O$34,2,FALSE))=TRUE,0,VLOOKUP(B44,'WBV 4'!$N$3:$O$34,2,FALSE)))</f>
        <v>0</v>
      </c>
      <c r="L44" s="19">
        <f>MAX(IF(ISNA(VLOOKUP(B44,'NÖBV 1'!$B$3:$C$34,2,FALSE))=TRUE,0,VLOOKUP(B44,'NÖBV 1'!$B$3:$C$34,2,FALSE)),IF(ISNA(VLOOKUP(B44,'NÖBV 1'!$F$3:$G$34,2,FALSE))=TRUE,0,VLOOKUP(B44,'NÖBV 1'!$F$3:$G$34,2,FALSE)),IF(ISNA(VLOOKUP(B44,'NÖBV 1'!$J$3:$K$34,2,FALSE))=TRUE,0,VLOOKUP(B44,'NÖBV 1'!$J$3:$K$34,2,FALSE)),IF(ISNA(VLOOKUP(B44,'NÖBV 1'!$N$3:$O$34,2,FALSE))=TRUE,0,VLOOKUP(B44,'NÖBV 1'!$N$3:$O$34,2,FALSE)))</f>
        <v>0</v>
      </c>
      <c r="M44" s="19">
        <f>MAX(IF(ISNA(VLOOKUP(B44,'NÖBV 2'!$B$3:$C$34,2,FALSE))=TRUE,0,VLOOKUP(B44,'NÖBV 2'!$B$3:$C$34,2,FALSE)),IF(ISNA(VLOOKUP(B44,'NÖBV 2'!$F$3:$G$34,2,FALSE))=TRUE,0,VLOOKUP(B44,'NÖBV 2'!$F$3:$G$34,2,FALSE)),IF(ISNA(VLOOKUP(B44,'NÖBV 2'!$J$3:$K$34,2,FALSE))=TRUE,0,VLOOKUP(B44,'NÖBV 2'!$J$3:$K$34,2,FALSE)),IF(ISNA(VLOOKUP(B44,'NÖBV 2'!$N$3:$O$34,2,FALSE))=TRUE,0,VLOOKUP(B44,'NÖBV 2'!$N$3:$O$34,2,FALSE)))</f>
        <v>167</v>
      </c>
      <c r="N44" s="19">
        <f>MAX(IF(ISNA(VLOOKUP(B44,'NÖBV 3'!$B$3:$C$34,2,FALSE))=TRUE,0,VLOOKUP(B44,'NÖBV 3'!$B$3:$C$34,2,FALSE)),IF(ISNA(VLOOKUP(B44,'NÖBV 3'!$F$3:$G$34,2,FALSE))=TRUE,0,VLOOKUP(B44,'NÖBV 3'!$F$3:$G$34,2,FALSE)),IF(ISNA(VLOOKUP(B44,'NÖBV 3'!$J$3:$K$34,2,FALSE))=TRUE,0,VLOOKUP(B44,'NÖBV 3'!$J$3:$K$34,2,FALSE)),IF(ISNA(VLOOKUP(B44,'NÖBV 3'!$N$3:$O$34,2,FALSE))=TRUE,0,VLOOKUP(B44,'NÖBV 3'!$N$3:$O$34,2,FALSE)))</f>
        <v>189</v>
      </c>
      <c r="O44" s="15">
        <f>MAX(IF(ISNA(VLOOKUP(B44,'Regioturnier 1'!$B$3:$C$34,2,FALSE))=TRUE,0,VLOOKUP(B44,'Regioturnier 1'!$B$3:$C$34,2,FALSE)),IF(ISNA(VLOOKUP(B44,'Regioturnier 1'!$F$3:$G$34,2,FALSE))=TRUE,0,VLOOKUP(B44,'Regioturnier 1'!$F$3:$G$34,2,FALSE)),IF(ISNA(VLOOKUP(B44,'Regioturnier 1'!$J$3:$K$34,2,FALSE))=TRUE,0,VLOOKUP(B44,'Regioturnier 1'!$J$3:$K$34,2,FALSE)),IF(ISNA(VLOOKUP(B44,'Regioturnier 1'!$N$3:$O$34,2,FALSE))=TRUE,0,VLOOKUP(B44,'Regioturnier 1'!$N$3:$O$34,2,FALSE)),IF(ISNA(VLOOKUP(B44,'Regioturnier 1'!$R$3:$S$34,2,FALSE))=TRUE,0,VLOOKUP(B44,'Regioturnier 1'!$R$3:$S$34,2,FALSE)), IF(ISNA(VLOOKUP(B44,'Regioturnier 1'!$V$3:$W$34,2,FALSE))=TRUE,0,VLOOKUP(B44,'Regioturnier 1'!$V$3:$W$34,2,FALSE)), IF(ISNA(VLOOKUP(B44,'Regioturnier 1'!$Z$3:$AA$34,2,FALSE))=TRUE,0,VLOOKUP(B44,'Regioturnier 1'!$Z$3:$AA$34,2,FALSE)))</f>
        <v>0</v>
      </c>
      <c r="P44" s="15">
        <f>MAX(IF(ISNA(VLOOKUP(B44,'Regioturnier 2'!$B$3:$C$34,2,FALSE))=TRUE,0,VLOOKUP(B44,'Regioturnier 2'!$B$3:$C$34,2,FALSE)),IF(ISNA(VLOOKUP(B44,'Regioturnier 2'!$F$3:$G$34,2,FALSE))=TRUE,0,VLOOKUP(B44,'Regioturnier 2'!$F$3:$G$34,2,FALSE)),IF(ISNA(VLOOKUP(B44,'Regioturnier 2'!$J$3:$K$34,2,FALSE))=TRUE,0,VLOOKUP(B44,'Regioturnier 2'!$J$3:$K$34,2,FALSE)),IF(ISNA(VLOOKUP(B44,'Regioturnier 2'!$N$3:$O$34,2,FALSE))=TRUE,0,VLOOKUP(B44,'Regioturnier 2'!$N$3:$O$34,2,FALSE)),IF(ISNA(VLOOKUP(B44,'Regioturnier 2'!$R$3:$S$34,2,FALSE))=TRUE,0,VLOOKUP(B44,'Regioturnier 2'!$R$3:$S$34,2,FALSE)), IF(ISNA(VLOOKUP(B44,'Regioturnier 2'!$V$3:$W$34,2,FALSE))=TRUE,0,VLOOKUP(B44,'Regioturnier 2'!$V$3:$W$34,2,FALSE)), IF(ISNA(VLOOKUP(B44,'Regioturnier 2'!$Z$3:$AA$34,2,FALSE))=TRUE,0,VLOOKUP(B44,'Regioturnier 2'!$Z$3:$AA$34,2,FALSE)))</f>
        <v>195</v>
      </c>
      <c r="Q44" s="15">
        <f>MAX(IF(ISNA(VLOOKUP(B44,'Regioturnier 3'!$B$3:$C$34,2,FALSE))=TRUE,0,VLOOKUP(B44,'Regioturnier 3'!$B$3:$C$34,2,FALSE)),IF(ISNA(VLOOKUP(B44,'Regioturnier 3'!$F$3:$G$34,2,FALSE))=TRUE,0,VLOOKUP(B44,'Regioturnier 3'!$F$3:$G$34,2,FALSE)),IF(ISNA(VLOOKUP(B44,'Regioturnier 3'!$J$3:$K$34,2,FALSE))=TRUE,0,VLOOKUP(B44,'Regioturnier 3'!$J$3:$K$34,2,FALSE)),IF(ISNA(VLOOKUP(B44,'Regioturnier 3'!$N$3:$O$34,2,FALSE))=TRUE,0,VLOOKUP(B44,'Regioturnier 3'!$N$3:$O$34,2,FALSE)),IF(ISNA(VLOOKUP(B44,'Regioturnier 3'!$R$3:$S$34,2,FALSE))=TRUE,0,VLOOKUP(B44,'Regioturnier 3'!$R$3:$S$34,2,FALSE)), IF(ISNA(VLOOKUP(B44,'Regioturnier 3'!$V$3:$W$34,2,FALSE))=TRUE,0,VLOOKUP(B44,'Regioturnier 3'!$V$3:$W$34,2,FALSE)), IF(ISNA(VLOOKUP(B44,'Regioturnier 3'!$Z$3:$AA$34,2,FALSE))=TRUE,0,VLOOKUP(B44,'Regioturnier 3'!$Z$3:$AA$34,2,FALSE)))</f>
        <v>0</v>
      </c>
      <c r="R44" s="20">
        <f>0.5*INDEX($H44:$N44,MATCH(LARGE($H44:$N44,1),$H44:$N44,0))+0.3*INDEX($H44:$N44,MATCH(LARGE($H44:$N44,2),$H44:$N44,0))+0.2*INDEX($H44:$N44,MATCH(LARGE($H44:$N44,3),$H44:$N44,0))</f>
        <v>144.6</v>
      </c>
      <c r="S44" s="20">
        <f t="array" ref="S44">0.5*INDEX(O44:Q44,MATCH(LARGE(O44:Q44,1),O44:Q44,0))+0.3*INDEX(O44:Q44,MATCH(LARGE(O44:Q44,2),O44:Q44,0))+0.2*INDEX(O44:Q44,MATCH(LARGE(O44:Q44,3),O44:Q44,0))</f>
        <v>97.5</v>
      </c>
      <c r="T44" s="15">
        <f>1*INDEX(R44:S44,MATCH(LARGE(R44:S44,1),R44:S44,0))+0*INDEX(R44:S44,MATCH(LARGE(R44:S44,2),R44:S44,0))</f>
        <v>144.6</v>
      </c>
      <c r="U44" s="21"/>
      <c r="V44" s="21"/>
      <c r="W44" s="21"/>
      <c r="X44" s="21"/>
      <c r="Y44" s="21"/>
      <c r="Z44" s="21"/>
    </row>
    <row r="45" spans="1:26" ht="12.75" customHeight="1" x14ac:dyDescent="0.3">
      <c r="A45" s="15">
        <v>44</v>
      </c>
      <c r="B45" s="106" t="s">
        <v>565</v>
      </c>
      <c r="C45" s="106" t="s">
        <v>97</v>
      </c>
      <c r="D45" s="106" t="s">
        <v>102</v>
      </c>
      <c r="E45" s="106" t="s">
        <v>23</v>
      </c>
      <c r="F45" s="106" t="s">
        <v>585</v>
      </c>
      <c r="G45" s="107">
        <v>2015</v>
      </c>
      <c r="H45" s="105">
        <f>MAX(IF(ISNA(VLOOKUP(B45,'WBV 1'!$B$3:$C$34,2,FALSE))=TRUE,0,VLOOKUP(B45,'WBV 1'!$B$3:$C$34,2,FALSE)),IF(ISNA(VLOOKUP(B45,'WBV 1'!$F$3:$G$34,2,FALSE))=TRUE,0,VLOOKUP(B45,'WBV 1'!$F$3:$G$34,2,FALSE)),IF(ISNA(VLOOKUP(B45,'WBV 1'!$J$3:$K$34,2,FALSE))=TRUE,0,VLOOKUP(B45,'WBV 1'!$J$3:$K$34,2,FALSE)),IF(ISNA(VLOOKUP(B45,'WBV 1'!$N$3:$O$34,2,FALSE))=TRUE,0,VLOOKUP(B45,'WBV 1'!$N$3:$O$34,2,FALSE)))</f>
        <v>0</v>
      </c>
      <c r="I45" s="105">
        <f>MAX(IF(ISNA(VLOOKUP(B45,'WBV 2'!$B$3:$C$34,2,FALSE))=TRUE,0,VLOOKUP(B45,'WBV 2'!$B$3:$C$34,2,FALSE)),IF(ISNA(VLOOKUP(B45,'WBV 2'!$F$3:$G$34,2,FALSE))=TRUE,0,VLOOKUP(B45,'WBV 2'!$F$3:$G$34,2,FALSE)),IF(ISNA(VLOOKUP(B45,'WBV 2'!$J$3:$K$34,2,FALSE))=TRUE,0,VLOOKUP(B45,'WBV 2'!$J$3:$K$34,2,FALSE)),IF(ISNA(VLOOKUP(B45,'WBV 2'!$N$3:$O$34,2,FALSE))=TRUE,0,VLOOKUP(B45,'WBV 2'!$N$3:$O$34,2,FALSE)))</f>
        <v>0</v>
      </c>
      <c r="J45" s="105">
        <f>MAX(IF(ISNA(VLOOKUP(B45,'WBV 3'!$B$3:$C$34,2,FALSE))=TRUE,0,VLOOKUP(B45,'WBV 3'!$B$3:$C$34,2,FALSE)),IF(ISNA(VLOOKUP(B45,'WBV 3'!$F$3:$G$34,2,FALSE))=TRUE,0,VLOOKUP(B45,'WBV 3'!$F$3:$G$34,2,FALSE)),IF(ISNA(VLOOKUP(B45,'WBV 3'!$J$3:$K$34,2,FALSE))=TRUE,0,VLOOKUP(B45,'WBV 3'!$J$3:$K$34,2,FALSE)),IF(ISNA(VLOOKUP(B45,'WBV 3'!$N$3:$O$34,2,FALSE))=TRUE,0,VLOOKUP(B45,'WBV 3'!$N$3:$O$34,2,FALSE)))</f>
        <v>0</v>
      </c>
      <c r="K45" s="105">
        <f>MAX(IF(ISNA(VLOOKUP(B45,'WBV 4'!$B$3:$C$34,2,FALSE))=TRUE,0,VLOOKUP(B45,'WBV 4'!$B$3:$C$34,2,FALSE)),IF(ISNA(VLOOKUP(B45,'WBV 4'!$F$3:$G$34,2,FALSE))=TRUE,0,VLOOKUP(B45,'WBV 4'!$F$3:$G$34,2,FALSE)),IF(ISNA(VLOOKUP(B45,'WBV 4'!$J$3:$K$34,2,FALSE))=TRUE,0,VLOOKUP(B45,'WBV 4'!$J$3:$K$34,2,FALSE)),IF(ISNA(VLOOKUP(B45,'WBV 4'!$N$3:$O$34,2,FALSE))=TRUE,0,VLOOKUP(B45,'WBV 4'!$N$3:$O$34,2,FALSE)))</f>
        <v>0</v>
      </c>
      <c r="L45" s="105">
        <f>MAX(IF(ISNA(VLOOKUP(B45,'NÖBV 1'!$B$3:$C$34,2,FALSE))=TRUE,0,VLOOKUP(B45,'NÖBV 1'!$B$3:$C$34,2,FALSE)),IF(ISNA(VLOOKUP(B45,'NÖBV 1'!$F$3:$G$34,2,FALSE))=TRUE,0,VLOOKUP(B45,'NÖBV 1'!$F$3:$G$34,2,FALSE)),IF(ISNA(VLOOKUP(B45,'NÖBV 1'!$J$3:$K$34,2,FALSE))=TRUE,0,VLOOKUP(B45,'NÖBV 1'!$J$3:$K$34,2,FALSE)),IF(ISNA(VLOOKUP(B45,'NÖBV 1'!$N$3:$O$34,2,FALSE))=TRUE,0,VLOOKUP(B45,'NÖBV 1'!$N$3:$O$34,2,FALSE)))</f>
        <v>0</v>
      </c>
      <c r="M45" s="105">
        <f>MAX(IF(ISNA(VLOOKUP(B45,'NÖBV 2'!$B$3:$C$34,2,FALSE))=TRUE,0,VLOOKUP(B45,'NÖBV 2'!$B$3:$C$34,2,FALSE)),IF(ISNA(VLOOKUP(B45,'NÖBV 2'!$F$3:$G$34,2,FALSE))=TRUE,0,VLOOKUP(B45,'NÖBV 2'!$F$3:$G$34,2,FALSE)),IF(ISNA(VLOOKUP(B45,'NÖBV 2'!$J$3:$K$34,2,FALSE))=TRUE,0,VLOOKUP(B45,'NÖBV 2'!$J$3:$K$34,2,FALSE)),IF(ISNA(VLOOKUP(B45,'NÖBV 2'!$N$3:$O$34,2,FALSE))=TRUE,0,VLOOKUP(B45,'NÖBV 2'!$N$3:$O$34,2,FALSE)))</f>
        <v>177</v>
      </c>
      <c r="N45" s="105">
        <f>MAX(IF(ISNA(VLOOKUP(B45,'NÖBV 3'!$B$3:$C$34,2,FALSE))=TRUE,0,VLOOKUP(B45,'NÖBV 3'!$B$3:$C$34,2,FALSE)),IF(ISNA(VLOOKUP(B45,'NÖBV 3'!$F$3:$G$34,2,FALSE))=TRUE,0,VLOOKUP(B45,'NÖBV 3'!$F$3:$G$34,2,FALSE)),IF(ISNA(VLOOKUP(B45,'NÖBV 3'!$J$3:$K$34,2,FALSE))=TRUE,0,VLOOKUP(B45,'NÖBV 3'!$J$3:$K$34,2,FALSE)),IF(ISNA(VLOOKUP(B45,'NÖBV 3'!$N$3:$O$34,2,FALSE))=TRUE,0,VLOOKUP(B45,'NÖBV 3'!$N$3:$O$34,2,FALSE)))</f>
        <v>182</v>
      </c>
      <c r="O45" s="105">
        <f>MAX(IF(ISNA(VLOOKUP(B45,'Regioturnier 1'!$B$3:$C$34,2,FALSE))=TRUE,0,VLOOKUP(B45,'Regioturnier 1'!$B$3:$C$34,2,FALSE)),IF(ISNA(VLOOKUP(B45,'Regioturnier 1'!$F$3:$G$34,2,FALSE))=TRUE,0,VLOOKUP(B45,'Regioturnier 1'!$F$3:$G$34,2,FALSE)),IF(ISNA(VLOOKUP(B45,'Regioturnier 1'!$J$3:$K$34,2,FALSE))=TRUE,0,VLOOKUP(B45,'Regioturnier 1'!$J$3:$K$34,2,FALSE)),IF(ISNA(VLOOKUP(B45,'Regioturnier 1'!$N$3:$O$34,2,FALSE))=TRUE,0,VLOOKUP(B45,'Regioturnier 1'!$N$3:$O$34,2,FALSE)),IF(ISNA(VLOOKUP(B45,'Regioturnier 1'!$R$3:$S$34,2,FALSE))=TRUE,0,VLOOKUP(B45,'Regioturnier 1'!$R$3:$S$34,2,FALSE)), IF(ISNA(VLOOKUP(B45,'Regioturnier 1'!$V$3:$W$34,2,FALSE))=TRUE,0,VLOOKUP(B45,'Regioturnier 1'!$V$3:$W$34,2,FALSE)), IF(ISNA(VLOOKUP(B45,'Regioturnier 1'!$Z$3:$AA$34,2,FALSE))=TRUE,0,VLOOKUP(B45,'Regioturnier 1'!$Z$3:$AA$34,2,FALSE)))</f>
        <v>0</v>
      </c>
      <c r="P45" s="105">
        <f>MAX(IF(ISNA(VLOOKUP(B45,'Regioturnier 2'!$B$3:$C$34,2,FALSE))=TRUE,0,VLOOKUP(B45,'Regioturnier 2'!$B$3:$C$34,2,FALSE)),IF(ISNA(VLOOKUP(B45,'Regioturnier 2'!$F$3:$G$34,2,FALSE))=TRUE,0,VLOOKUP(B45,'Regioturnier 2'!$F$3:$G$34,2,FALSE)),IF(ISNA(VLOOKUP(B45,'Regioturnier 2'!$J$3:$K$34,2,FALSE))=TRUE,0,VLOOKUP(B45,'Regioturnier 2'!$J$3:$K$34,2,FALSE)),IF(ISNA(VLOOKUP(B45,'Regioturnier 2'!$N$3:$O$34,2,FALSE))=TRUE,0,VLOOKUP(B45,'Regioturnier 2'!$N$3:$O$34,2,FALSE)),IF(ISNA(VLOOKUP(B45,'Regioturnier 2'!$R$3:$S$34,2,FALSE))=TRUE,0,VLOOKUP(B45,'Regioturnier 2'!$R$3:$S$34,2,FALSE)), IF(ISNA(VLOOKUP(B45,'Regioturnier 2'!$V$3:$W$34,2,FALSE))=TRUE,0,VLOOKUP(B45,'Regioturnier 2'!$V$3:$W$34,2,FALSE)), IF(ISNA(VLOOKUP(B45,'Regioturnier 2'!$Z$3:$AA$34,2,FALSE))=TRUE,0,VLOOKUP(B45,'Regioturnier 2'!$Z$3:$AA$34,2,FALSE)))</f>
        <v>0</v>
      </c>
      <c r="Q45" s="105">
        <f>MAX(IF(ISNA(VLOOKUP(B45,'Regioturnier 3'!$B$3:$C$34,2,FALSE))=TRUE,0,VLOOKUP(B45,'Regioturnier 3'!$B$3:$C$34,2,FALSE)),IF(ISNA(VLOOKUP(B45,'Regioturnier 3'!$F$3:$G$34,2,FALSE))=TRUE,0,VLOOKUP(B45,'Regioturnier 3'!$F$3:$G$34,2,FALSE)),IF(ISNA(VLOOKUP(B45,'Regioturnier 3'!$J$3:$K$34,2,FALSE))=TRUE,0,VLOOKUP(B45,'Regioturnier 3'!$J$3:$K$34,2,FALSE)),IF(ISNA(VLOOKUP(B45,'Regioturnier 3'!$N$3:$O$34,2,FALSE))=TRUE,0,VLOOKUP(B45,'Regioturnier 3'!$N$3:$O$34,2,FALSE)),IF(ISNA(VLOOKUP(B45,'Regioturnier 3'!$R$3:$S$34,2,FALSE))=TRUE,0,VLOOKUP(B45,'Regioturnier 3'!$R$3:$S$34,2,FALSE)), IF(ISNA(VLOOKUP(B45,'Regioturnier 3'!$V$3:$W$34,2,FALSE))=TRUE,0,VLOOKUP(B45,'Regioturnier 3'!$V$3:$W$34,2,FALSE)), IF(ISNA(VLOOKUP(B45,'Regioturnier 3'!$Z$3:$AA$34,2,FALSE))=TRUE,0,VLOOKUP(B45,'Regioturnier 3'!$Z$3:$AA$34,2,FALSE)))</f>
        <v>0</v>
      </c>
      <c r="R45" s="108">
        <f>0.5*INDEX($H45:$N45,MATCH(LARGE($H45:$N45,1),$H45:$N45,0))+0.3*INDEX($H45:$N45,MATCH(LARGE($H45:$N45,2),$H45:$N45,0))+0.2*INDEX($H45:$N45,MATCH(LARGE($H45:$N45,3),$H45:$N45,0))</f>
        <v>144.1</v>
      </c>
      <c r="S45" s="108">
        <f>0.6*INDEX(O45:Q45,MATCH(LARGE(O45:Q45,1),O45:Q45,0))+0.4*INDEX(O45:Q45,MATCH(LARGE(O45:Q45,2),O45:Q45,0))+0*INDEX(O45:Q45,MATCH(LARGE(O45:Q45,3),O45:Q45,0))</f>
        <v>0</v>
      </c>
      <c r="T45" s="105">
        <f>1*INDEX(R45:S45,MATCH(LARGE(R45:S45,1),R45:S45,0))+0*INDEX(R45:S45,MATCH(LARGE(R45:S45,2),R45:S45,0))</f>
        <v>144.1</v>
      </c>
      <c r="U45" s="21"/>
      <c r="V45" s="21"/>
      <c r="W45" s="21"/>
      <c r="X45" s="21"/>
      <c r="Y45" s="21"/>
      <c r="Z45" s="21"/>
    </row>
    <row r="46" spans="1:26" ht="12.75" customHeight="1" x14ac:dyDescent="0.3">
      <c r="A46" s="15">
        <v>45</v>
      </c>
      <c r="B46" s="16" t="s">
        <v>104</v>
      </c>
      <c r="C46" s="17" t="s">
        <v>93</v>
      </c>
      <c r="D46" s="15" t="s">
        <v>22</v>
      </c>
      <c r="E46" s="18" t="s">
        <v>23</v>
      </c>
      <c r="F46" s="15">
        <v>208174</v>
      </c>
      <c r="G46" s="22">
        <v>2013</v>
      </c>
      <c r="H46" s="15">
        <f>MAX(IF(ISNA(VLOOKUP(B46,'WBV 1'!$B$3:$C$34,2,FALSE))=TRUE,0,VLOOKUP(B46,'WBV 1'!$B$3:$C$34,2,FALSE)),IF(ISNA(VLOOKUP(B46,'WBV 1'!$F$3:$G$34,2,FALSE))=TRUE,0,VLOOKUP(B46,'WBV 1'!$F$3:$G$34,2,FALSE)),IF(ISNA(VLOOKUP(B46,'WBV 1'!$J$3:$K$34,2,FALSE))=TRUE,0,VLOOKUP(B46,'WBV 1'!$J$3:$K$34,2,FALSE)),IF(ISNA(VLOOKUP(B46,'WBV 1'!$N$3:$O$34,2,FALSE))=TRUE,0,VLOOKUP(B46,'WBV 1'!$N$3:$O$34,2,FALSE)))</f>
        <v>0</v>
      </c>
      <c r="I46" s="15">
        <f>MAX(IF(ISNA(VLOOKUP(B46,'WBV 2'!$B$3:$C$34,2,FALSE))=TRUE,0,VLOOKUP(B46,'WBV 2'!$B$3:$C$34,2,FALSE)),IF(ISNA(VLOOKUP(B46,'WBV 2'!$F$3:$G$34,2,FALSE))=TRUE,0,VLOOKUP(B46,'WBV 2'!$F$3:$G$34,2,FALSE)),IF(ISNA(VLOOKUP(B46,'WBV 2'!$J$3:$K$34,2,FALSE))=TRUE,0,VLOOKUP(B46,'WBV 2'!$J$3:$K$34,2,FALSE)),IF(ISNA(VLOOKUP(B46,'WBV 2'!$N$3:$O$34,2,FALSE))=TRUE,0,VLOOKUP(B46,'WBV 2'!$N$3:$O$34,2,FALSE)))</f>
        <v>0</v>
      </c>
      <c r="J46" s="15">
        <f>MAX(IF(ISNA(VLOOKUP(B46,'WBV 3'!$B$3:$C$34,2,FALSE))=TRUE,0,VLOOKUP(B46,'WBV 3'!$B$3:$C$34,2,FALSE)),IF(ISNA(VLOOKUP(B46,'WBV 3'!$F$3:$G$34,2,FALSE))=TRUE,0,VLOOKUP(B46,'WBV 3'!$F$3:$G$34,2,FALSE)),IF(ISNA(VLOOKUP(B46,'WBV 3'!$J$3:$K$34,2,FALSE))=TRUE,0,VLOOKUP(B46,'WBV 3'!$J$3:$K$34,2,FALSE)),IF(ISNA(VLOOKUP(B46,'WBV 3'!$N$3:$O$34,2,FALSE))=TRUE,0,VLOOKUP(B46,'WBV 3'!$N$3:$O$34,2,FALSE)))</f>
        <v>0</v>
      </c>
      <c r="K46" s="15">
        <f>MAX(IF(ISNA(VLOOKUP(B46,'WBV 4'!$B$3:$C$34,2,FALSE))=TRUE,0,VLOOKUP(B46,'WBV 4'!$B$3:$C$34,2,FALSE)),IF(ISNA(VLOOKUP(B46,'WBV 4'!$F$3:$G$34,2,FALSE))=TRUE,0,VLOOKUP(B46,'WBV 4'!$F$3:$G$34,2,FALSE)),IF(ISNA(VLOOKUP(B46,'WBV 4'!$J$3:$K$34,2,FALSE))=TRUE,0,VLOOKUP(B46,'WBV 4'!$J$3:$K$34,2,FALSE)),IF(ISNA(VLOOKUP(B46,'WBV 4'!$N$3:$O$34,2,FALSE))=TRUE,0,VLOOKUP(B46,'WBV 4'!$N$3:$O$34,2,FALSE)))</f>
        <v>0</v>
      </c>
      <c r="L46" s="19">
        <f>MAX(IF(ISNA(VLOOKUP(B46,'NÖBV 1'!$B$3:$C$34,2,FALSE))=TRUE,0,VLOOKUP(B46,'NÖBV 1'!$B$3:$C$34,2,FALSE)),IF(ISNA(VLOOKUP(B46,'NÖBV 1'!$F$3:$G$34,2,FALSE))=TRUE,0,VLOOKUP(B46,'NÖBV 1'!$F$3:$G$34,2,FALSE)),IF(ISNA(VLOOKUP(B46,'NÖBV 1'!$J$3:$K$34,2,FALSE))=TRUE,0,VLOOKUP(B46,'NÖBV 1'!$J$3:$K$34,2,FALSE)),IF(ISNA(VLOOKUP(B46,'NÖBV 1'!$N$3:$O$34,2,FALSE))=TRUE,0,VLOOKUP(B46,'NÖBV 1'!$N$3:$O$34,2,FALSE)))</f>
        <v>182</v>
      </c>
      <c r="M46" s="19">
        <f>MAX(IF(ISNA(VLOOKUP(B46,'NÖBV 2'!$B$3:$C$34,2,FALSE))=TRUE,0,VLOOKUP(B46,'NÖBV 2'!$B$3:$C$34,2,FALSE)),IF(ISNA(VLOOKUP(B46,'NÖBV 2'!$F$3:$G$34,2,FALSE))=TRUE,0,VLOOKUP(B46,'NÖBV 2'!$F$3:$G$34,2,FALSE)),IF(ISNA(VLOOKUP(B46,'NÖBV 2'!$J$3:$K$34,2,FALSE))=TRUE,0,VLOOKUP(B46,'NÖBV 2'!$J$3:$K$34,2,FALSE)),IF(ISNA(VLOOKUP(B46,'NÖBV 2'!$N$3:$O$34,2,FALSE))=TRUE,0,VLOOKUP(B46,'NÖBV 2'!$N$3:$O$34,2,FALSE)))</f>
        <v>0</v>
      </c>
      <c r="N46" s="19">
        <f>MAX(IF(ISNA(VLOOKUP(B46,'NÖBV 3'!$B$3:$C$34,2,FALSE))=TRUE,0,VLOOKUP(B46,'NÖBV 3'!$B$3:$C$34,2,FALSE)),IF(ISNA(VLOOKUP(B46,'NÖBV 3'!$F$3:$G$34,2,FALSE))=TRUE,0,VLOOKUP(B46,'NÖBV 3'!$F$3:$G$34,2,FALSE)),IF(ISNA(VLOOKUP(B46,'NÖBV 3'!$J$3:$K$34,2,FALSE))=TRUE,0,VLOOKUP(B46,'NÖBV 3'!$J$3:$K$34,2,FALSE)),IF(ISNA(VLOOKUP(B46,'NÖBV 3'!$N$3:$O$34,2,FALSE))=TRUE,0,VLOOKUP(B46,'NÖBV 3'!$N$3:$O$34,2,FALSE)))</f>
        <v>172</v>
      </c>
      <c r="O46" s="15">
        <f>MAX(IF(ISNA(VLOOKUP(B46,'Regioturnier 1'!$B$3:$C$34,2,FALSE))=TRUE,0,VLOOKUP(B46,'Regioturnier 1'!$B$3:$C$34,2,FALSE)),IF(ISNA(VLOOKUP(B46,'Regioturnier 1'!$F$3:$G$34,2,FALSE))=TRUE,0,VLOOKUP(B46,'Regioturnier 1'!$F$3:$G$34,2,FALSE)),IF(ISNA(VLOOKUP(B46,'Regioturnier 1'!$J$3:$K$34,2,FALSE))=TRUE,0,VLOOKUP(B46,'Regioturnier 1'!$J$3:$K$34,2,FALSE)),IF(ISNA(VLOOKUP(B46,'Regioturnier 1'!$N$3:$O$34,2,FALSE))=TRUE,0,VLOOKUP(B46,'Regioturnier 1'!$N$3:$O$34,2,FALSE)),IF(ISNA(VLOOKUP(B46,'Regioturnier 1'!$R$3:$S$34,2,FALSE))=TRUE,0,VLOOKUP(B46,'Regioturnier 1'!$R$3:$S$34,2,FALSE)), IF(ISNA(VLOOKUP(B46,'Regioturnier 1'!$V$3:$W$34,2,FALSE))=TRUE,0,VLOOKUP(B46,'Regioturnier 1'!$V$3:$W$34,2,FALSE)), IF(ISNA(VLOOKUP(B46,'Regioturnier 1'!$Z$3:$AA$34,2,FALSE))=TRUE,0,VLOOKUP(B46,'Regioturnier 1'!$Z$3:$AA$34,2,FALSE)))</f>
        <v>0</v>
      </c>
      <c r="P46" s="15">
        <f>MAX(IF(ISNA(VLOOKUP(B46,'Regioturnier 2'!$B$3:$C$34,2,FALSE))=TRUE,0,VLOOKUP(B46,'Regioturnier 2'!$B$3:$C$34,2,FALSE)),IF(ISNA(VLOOKUP(B46,'Regioturnier 2'!$F$3:$G$34,2,FALSE))=TRUE,0,VLOOKUP(B46,'Regioturnier 2'!$F$3:$G$34,2,FALSE)),IF(ISNA(VLOOKUP(B46,'Regioturnier 2'!$J$3:$K$34,2,FALSE))=TRUE,0,VLOOKUP(B46,'Regioturnier 2'!$J$3:$K$34,2,FALSE)),IF(ISNA(VLOOKUP(B46,'Regioturnier 2'!$N$3:$O$34,2,FALSE))=TRUE,0,VLOOKUP(B46,'Regioturnier 2'!$N$3:$O$34,2,FALSE)),IF(ISNA(VLOOKUP(B46,'Regioturnier 2'!$R$3:$S$34,2,FALSE))=TRUE,0,VLOOKUP(B46,'Regioturnier 2'!$R$3:$S$34,2,FALSE)), IF(ISNA(VLOOKUP(B46,'Regioturnier 2'!$V$3:$W$34,2,FALSE))=TRUE,0,VLOOKUP(B46,'Regioturnier 2'!$V$3:$W$34,2,FALSE)), IF(ISNA(VLOOKUP(B46,'Regioturnier 2'!$Z$3:$AA$34,2,FALSE))=TRUE,0,VLOOKUP(B46,'Regioturnier 2'!$Z$3:$AA$34,2,FALSE)))</f>
        <v>0</v>
      </c>
      <c r="Q46" s="15">
        <f>MAX(IF(ISNA(VLOOKUP(B46,'Regioturnier 3'!$B$3:$C$34,2,FALSE))=TRUE,0,VLOOKUP(B46,'Regioturnier 3'!$B$3:$C$34,2,FALSE)),IF(ISNA(VLOOKUP(B46,'Regioturnier 3'!$F$3:$G$34,2,FALSE))=TRUE,0,VLOOKUP(B46,'Regioturnier 3'!$F$3:$G$34,2,FALSE)),IF(ISNA(VLOOKUP(B46,'Regioturnier 3'!$J$3:$K$34,2,FALSE))=TRUE,0,VLOOKUP(B46,'Regioturnier 3'!$J$3:$K$34,2,FALSE)),IF(ISNA(VLOOKUP(B46,'Regioturnier 3'!$N$3:$O$34,2,FALSE))=TRUE,0,VLOOKUP(B46,'Regioturnier 3'!$N$3:$O$34,2,FALSE)),IF(ISNA(VLOOKUP(B46,'Regioturnier 3'!$R$3:$S$34,2,FALSE))=TRUE,0,VLOOKUP(B46,'Regioturnier 3'!$R$3:$S$34,2,FALSE)), IF(ISNA(VLOOKUP(B46,'Regioturnier 3'!$V$3:$W$34,2,FALSE))=TRUE,0,VLOOKUP(B46,'Regioturnier 3'!$V$3:$W$34,2,FALSE)), IF(ISNA(VLOOKUP(B46,'Regioturnier 3'!$Z$3:$AA$34,2,FALSE))=TRUE,0,VLOOKUP(B46,'Regioturnier 3'!$Z$3:$AA$34,2,FALSE)))</f>
        <v>0</v>
      </c>
      <c r="R46" s="20">
        <f>0.5*INDEX($H46:$N46,MATCH(LARGE($H46:$N46,1),$H46:$N46,0))+0.3*INDEX($H46:$N46,MATCH(LARGE($H46:$N46,2),$H46:$N46,0))+0.2*INDEX($H46:$N46,MATCH(LARGE($H46:$N46,3),$H46:$N46,0))</f>
        <v>142.6</v>
      </c>
      <c r="S46" s="20">
        <f>0.6*INDEX(O46:Q46,MATCH(LARGE(O46:Q46,1),O46:Q46,0))+0.4*INDEX(O46:Q46,MATCH(LARGE(O46:Q46,2),O46:Q46,0))+0*INDEX(O46:Q46,MATCH(LARGE(O46:Q46,3),O46:Q46,0))</f>
        <v>0</v>
      </c>
      <c r="T46" s="15">
        <f>1*INDEX(R46:S46,MATCH(LARGE(R46:S46,1),R46:S46,0))+0*INDEX(R46:S46,MATCH(LARGE(R46:S46,2),R46:S46,0))</f>
        <v>142.6</v>
      </c>
      <c r="U46" s="21"/>
      <c r="V46" s="21"/>
      <c r="W46" s="21"/>
      <c r="X46" s="21"/>
      <c r="Y46" s="21"/>
      <c r="Z46" s="21"/>
    </row>
    <row r="47" spans="1:26" ht="12.75" customHeight="1" x14ac:dyDescent="0.3">
      <c r="A47" s="15">
        <v>46</v>
      </c>
      <c r="B47" s="16" t="s">
        <v>229</v>
      </c>
      <c r="C47" s="17" t="s">
        <v>54</v>
      </c>
      <c r="D47" s="15" t="s">
        <v>22</v>
      </c>
      <c r="E47" s="18" t="s">
        <v>23</v>
      </c>
      <c r="F47" s="15">
        <v>209013</v>
      </c>
      <c r="G47" s="22">
        <v>2013</v>
      </c>
      <c r="H47" s="15">
        <f>MAX(IF(ISNA(VLOOKUP(B47,'WBV 1'!$B$3:$C$34,2,FALSE))=TRUE,0,VLOOKUP(B47,'WBV 1'!$B$3:$C$34,2,FALSE)),IF(ISNA(VLOOKUP(B47,'WBV 1'!$F$3:$G$34,2,FALSE))=TRUE,0,VLOOKUP(B47,'WBV 1'!$F$3:$G$34,2,FALSE)),IF(ISNA(VLOOKUP(B47,'WBV 1'!$J$3:$K$34,2,FALSE))=TRUE,0,VLOOKUP(B47,'WBV 1'!$J$3:$K$34,2,FALSE)),IF(ISNA(VLOOKUP(B47,'WBV 1'!$N$3:$O$34,2,FALSE))=TRUE,0,VLOOKUP(B47,'WBV 1'!$N$3:$O$34,2,FALSE)))</f>
        <v>0</v>
      </c>
      <c r="I47" s="15">
        <f>MAX(IF(ISNA(VLOOKUP(B47,'WBV 2'!$B$3:$C$34,2,FALSE))=TRUE,0,VLOOKUP(B47,'WBV 2'!$B$3:$C$34,2,FALSE)),IF(ISNA(VLOOKUP(B47,'WBV 2'!$F$3:$G$34,2,FALSE))=TRUE,0,VLOOKUP(B47,'WBV 2'!$F$3:$G$34,2,FALSE)),IF(ISNA(VLOOKUP(B47,'WBV 2'!$J$3:$K$34,2,FALSE))=TRUE,0,VLOOKUP(B47,'WBV 2'!$J$3:$K$34,2,FALSE)),IF(ISNA(VLOOKUP(B47,'WBV 2'!$N$3:$O$34,2,FALSE))=TRUE,0,VLOOKUP(B47,'WBV 2'!$N$3:$O$34,2,FALSE)))</f>
        <v>0</v>
      </c>
      <c r="J47" s="15">
        <f>MAX(IF(ISNA(VLOOKUP(B47,'WBV 3'!$B$3:$C$34,2,FALSE))=TRUE,0,VLOOKUP(B47,'WBV 3'!$B$3:$C$34,2,FALSE)),IF(ISNA(VLOOKUP(B47,'WBV 3'!$F$3:$G$34,2,FALSE))=TRUE,0,VLOOKUP(B47,'WBV 3'!$F$3:$G$34,2,FALSE)),IF(ISNA(VLOOKUP(B47,'WBV 3'!$J$3:$K$34,2,FALSE))=TRUE,0,VLOOKUP(B47,'WBV 3'!$J$3:$K$34,2,FALSE)),IF(ISNA(VLOOKUP(B47,'WBV 3'!$N$3:$O$34,2,FALSE))=TRUE,0,VLOOKUP(B47,'WBV 3'!$N$3:$O$34,2,FALSE)))</f>
        <v>0</v>
      </c>
      <c r="K47" s="15">
        <f>MAX(IF(ISNA(VLOOKUP(B47,'WBV 4'!$B$3:$C$34,2,FALSE))=TRUE,0,VLOOKUP(B47,'WBV 4'!$B$3:$C$34,2,FALSE)),IF(ISNA(VLOOKUP(B47,'WBV 4'!$F$3:$G$34,2,FALSE))=TRUE,0,VLOOKUP(B47,'WBV 4'!$F$3:$G$34,2,FALSE)),IF(ISNA(VLOOKUP(B47,'WBV 4'!$J$3:$K$34,2,FALSE))=TRUE,0,VLOOKUP(B47,'WBV 4'!$J$3:$K$34,2,FALSE)),IF(ISNA(VLOOKUP(B47,'WBV 4'!$N$3:$O$34,2,FALSE))=TRUE,0,VLOOKUP(B47,'WBV 4'!$N$3:$O$34,2,FALSE)))</f>
        <v>0</v>
      </c>
      <c r="L47" s="19">
        <f>MAX(IF(ISNA(VLOOKUP(B47,'NÖBV 1'!$B$3:$C$34,2,FALSE))=TRUE,0,VLOOKUP(B47,'NÖBV 1'!$B$3:$C$34,2,FALSE)),IF(ISNA(VLOOKUP(B47,'NÖBV 1'!$F$3:$G$34,2,FALSE))=TRUE,0,VLOOKUP(B47,'NÖBV 1'!$F$3:$G$34,2,FALSE)),IF(ISNA(VLOOKUP(B47,'NÖBV 1'!$J$3:$K$34,2,FALSE))=TRUE,0,VLOOKUP(B47,'NÖBV 1'!$J$3:$K$34,2,FALSE)),IF(ISNA(VLOOKUP(B47,'NÖBV 1'!$N$3:$O$34,2,FALSE))=TRUE,0,VLOOKUP(B47,'NÖBV 1'!$N$3:$O$34,2,FALSE)))</f>
        <v>178</v>
      </c>
      <c r="M47" s="19">
        <f>MAX(IF(ISNA(VLOOKUP(B47,'NÖBV 2'!$B$3:$C$34,2,FALSE))=TRUE,0,VLOOKUP(B47,'NÖBV 2'!$B$3:$C$34,2,FALSE)),IF(ISNA(VLOOKUP(B47,'NÖBV 2'!$F$3:$G$34,2,FALSE))=TRUE,0,VLOOKUP(B47,'NÖBV 2'!$F$3:$G$34,2,FALSE)),IF(ISNA(VLOOKUP(B47,'NÖBV 2'!$J$3:$K$34,2,FALSE))=TRUE,0,VLOOKUP(B47,'NÖBV 2'!$J$3:$K$34,2,FALSE)),IF(ISNA(VLOOKUP(B47,'NÖBV 2'!$N$3:$O$34,2,FALSE))=TRUE,0,VLOOKUP(B47,'NÖBV 2'!$N$3:$O$34,2,FALSE)))</f>
        <v>0</v>
      </c>
      <c r="N47" s="19">
        <f>MAX(IF(ISNA(VLOOKUP(B47,'NÖBV 3'!$B$3:$C$34,2,FALSE))=TRUE,0,VLOOKUP(B47,'NÖBV 3'!$B$3:$C$34,2,FALSE)),IF(ISNA(VLOOKUP(B47,'NÖBV 3'!$F$3:$G$34,2,FALSE))=TRUE,0,VLOOKUP(B47,'NÖBV 3'!$F$3:$G$34,2,FALSE)),IF(ISNA(VLOOKUP(B47,'NÖBV 3'!$J$3:$K$34,2,FALSE))=TRUE,0,VLOOKUP(B47,'NÖBV 3'!$J$3:$K$34,2,FALSE)),IF(ISNA(VLOOKUP(B47,'NÖBV 3'!$N$3:$O$34,2,FALSE))=TRUE,0,VLOOKUP(B47,'NÖBV 3'!$N$3:$O$34,2,FALSE)))</f>
        <v>176</v>
      </c>
      <c r="O47" s="15">
        <f>MAX(IF(ISNA(VLOOKUP(B47,'Regioturnier 1'!$B$3:$C$34,2,FALSE))=TRUE,0,VLOOKUP(B47,'Regioturnier 1'!$B$3:$C$34,2,FALSE)),IF(ISNA(VLOOKUP(B47,'Regioturnier 1'!$F$3:$G$34,2,FALSE))=TRUE,0,VLOOKUP(B47,'Regioturnier 1'!$F$3:$G$34,2,FALSE)),IF(ISNA(VLOOKUP(B47,'Regioturnier 1'!$J$3:$K$34,2,FALSE))=TRUE,0,VLOOKUP(B47,'Regioturnier 1'!$J$3:$K$34,2,FALSE)),IF(ISNA(VLOOKUP(B47,'Regioturnier 1'!$N$3:$O$34,2,FALSE))=TRUE,0,VLOOKUP(B47,'Regioturnier 1'!$N$3:$O$34,2,FALSE)),IF(ISNA(VLOOKUP(B47,'Regioturnier 1'!$R$3:$S$34,2,FALSE))=TRUE,0,VLOOKUP(B47,'Regioturnier 1'!$R$3:$S$34,2,FALSE)), IF(ISNA(VLOOKUP(B47,'Regioturnier 1'!$V$3:$W$34,2,FALSE))=TRUE,0,VLOOKUP(B47,'Regioturnier 1'!$V$3:$W$34,2,FALSE)), IF(ISNA(VLOOKUP(B47,'Regioturnier 1'!$Z$3:$AA$34,2,FALSE))=TRUE,0,VLOOKUP(B47,'Regioturnier 1'!$Z$3:$AA$34,2,FALSE)))</f>
        <v>0</v>
      </c>
      <c r="P47" s="15">
        <f>MAX(IF(ISNA(VLOOKUP(B47,'Regioturnier 2'!$B$3:$C$34,2,FALSE))=TRUE,0,VLOOKUP(B47,'Regioturnier 2'!$B$3:$C$34,2,FALSE)),IF(ISNA(VLOOKUP(B47,'Regioturnier 2'!$F$3:$G$34,2,FALSE))=TRUE,0,VLOOKUP(B47,'Regioturnier 2'!$F$3:$G$34,2,FALSE)),IF(ISNA(VLOOKUP(B47,'Regioturnier 2'!$J$3:$K$34,2,FALSE))=TRUE,0,VLOOKUP(B47,'Regioturnier 2'!$J$3:$K$34,2,FALSE)),IF(ISNA(VLOOKUP(B47,'Regioturnier 2'!$N$3:$O$34,2,FALSE))=TRUE,0,VLOOKUP(B47,'Regioturnier 2'!$N$3:$O$34,2,FALSE)),IF(ISNA(VLOOKUP(B47,'Regioturnier 2'!$R$3:$S$34,2,FALSE))=TRUE,0,VLOOKUP(B47,'Regioturnier 2'!$R$3:$S$34,2,FALSE)), IF(ISNA(VLOOKUP(B47,'Regioturnier 2'!$V$3:$W$34,2,FALSE))=TRUE,0,VLOOKUP(B47,'Regioturnier 2'!$V$3:$W$34,2,FALSE)), IF(ISNA(VLOOKUP(B47,'Regioturnier 2'!$Z$3:$AA$34,2,FALSE))=TRUE,0,VLOOKUP(B47,'Regioturnier 2'!$Z$3:$AA$34,2,FALSE)))</f>
        <v>0</v>
      </c>
      <c r="Q47" s="15">
        <f>MAX(IF(ISNA(VLOOKUP(B47,'Regioturnier 3'!$B$3:$C$34,2,FALSE))=TRUE,0,VLOOKUP(B47,'Regioturnier 3'!$B$3:$C$34,2,FALSE)),IF(ISNA(VLOOKUP(B47,'Regioturnier 3'!$F$3:$G$34,2,FALSE))=TRUE,0,VLOOKUP(B47,'Regioturnier 3'!$F$3:$G$34,2,FALSE)),IF(ISNA(VLOOKUP(B47,'Regioturnier 3'!$J$3:$K$34,2,FALSE))=TRUE,0,VLOOKUP(B47,'Regioturnier 3'!$J$3:$K$34,2,FALSE)),IF(ISNA(VLOOKUP(B47,'Regioturnier 3'!$N$3:$O$34,2,FALSE))=TRUE,0,VLOOKUP(B47,'Regioturnier 3'!$N$3:$O$34,2,FALSE)),IF(ISNA(VLOOKUP(B47,'Regioturnier 3'!$R$3:$S$34,2,FALSE))=TRUE,0,VLOOKUP(B47,'Regioturnier 3'!$R$3:$S$34,2,FALSE)), IF(ISNA(VLOOKUP(B47,'Regioturnier 3'!$V$3:$W$34,2,FALSE))=TRUE,0,VLOOKUP(B47,'Regioturnier 3'!$V$3:$W$34,2,FALSE)), IF(ISNA(VLOOKUP(B47,'Regioturnier 3'!$Z$3:$AA$34,2,FALSE))=TRUE,0,VLOOKUP(B47,'Regioturnier 3'!$Z$3:$AA$34,2,FALSE)))</f>
        <v>0</v>
      </c>
      <c r="R47" s="20">
        <f>0.5*INDEX($H47:$N47,MATCH(LARGE($H47:$N47,1),$H47:$N47,0))+0.3*INDEX($H47:$N47,MATCH(LARGE($H47:$N47,2),$H47:$N47,0))+0.2*INDEX($H47:$N47,MATCH(LARGE($H47:$N47,3),$H47:$N47,0))</f>
        <v>141.80000000000001</v>
      </c>
      <c r="S47" s="20">
        <f>0.6*INDEX(O47:Q47,MATCH(LARGE(O47:Q47,1),O47:Q47,0))+0.4*INDEX(O47:Q47,MATCH(LARGE(O47:Q47,2),O47:Q47,0))+0*INDEX(O47:Q47,MATCH(LARGE(O47:Q47,3),O47:Q47,0))</f>
        <v>0</v>
      </c>
      <c r="T47" s="15">
        <f>1*INDEX(R47:S47,MATCH(LARGE(R47:S47,1),R47:S47,0))+0*INDEX(R47:S47,MATCH(LARGE(R47:S47,2),R47:S47,0))</f>
        <v>141.80000000000001</v>
      </c>
      <c r="U47" s="21"/>
      <c r="V47" s="21"/>
      <c r="W47" s="21"/>
      <c r="X47" s="21"/>
      <c r="Y47" s="21"/>
      <c r="Z47" s="21"/>
    </row>
    <row r="48" spans="1:26" ht="12.75" customHeight="1" x14ac:dyDescent="0.3">
      <c r="A48" s="15">
        <v>47</v>
      </c>
      <c r="B48" s="16" t="s">
        <v>512</v>
      </c>
      <c r="C48" s="17" t="s">
        <v>46</v>
      </c>
      <c r="D48" s="15" t="s">
        <v>26</v>
      </c>
      <c r="E48" s="18" t="s">
        <v>23</v>
      </c>
      <c r="F48" s="15" t="s">
        <v>544</v>
      </c>
      <c r="G48" s="22">
        <v>2015</v>
      </c>
      <c r="H48" s="15">
        <f>MAX(IF(ISNA(VLOOKUP(B48,'WBV 1'!$B$3:$C$34,2,FALSE))=TRUE,0,VLOOKUP(B48,'WBV 1'!$B$3:$C$34,2,FALSE)),IF(ISNA(VLOOKUP(B48,'WBV 1'!$F$3:$G$34,2,FALSE))=TRUE,0,VLOOKUP(B48,'WBV 1'!$F$3:$G$34,2,FALSE)),IF(ISNA(VLOOKUP(B48,'WBV 1'!$J$3:$K$34,2,FALSE))=TRUE,0,VLOOKUP(B48,'WBV 1'!$J$3:$K$34,2,FALSE)),IF(ISNA(VLOOKUP(B48,'WBV 1'!$N$3:$O$34,2,FALSE))=TRUE,0,VLOOKUP(B48,'WBV 1'!$N$3:$O$34,2,FALSE)))</f>
        <v>0</v>
      </c>
      <c r="I48" s="15">
        <f>MAX(IF(ISNA(VLOOKUP(B48,'WBV 2'!$B$3:$C$34,2,FALSE))=TRUE,0,VLOOKUP(B48,'WBV 2'!$B$3:$C$34,2,FALSE)),IF(ISNA(VLOOKUP(B48,'WBV 2'!$F$3:$G$34,2,FALSE))=TRUE,0,VLOOKUP(B48,'WBV 2'!$F$3:$G$34,2,FALSE)),IF(ISNA(VLOOKUP(B48,'WBV 2'!$J$3:$K$34,2,FALSE))=TRUE,0,VLOOKUP(B48,'WBV 2'!$J$3:$K$34,2,FALSE)),IF(ISNA(VLOOKUP(B48,'WBV 2'!$N$3:$O$34,2,FALSE))=TRUE,0,VLOOKUP(B48,'WBV 2'!$N$3:$O$34,2,FALSE)))</f>
        <v>168</v>
      </c>
      <c r="J48" s="15">
        <f>MAX(IF(ISNA(VLOOKUP(B48,'WBV 3'!$B$3:$C$34,2,FALSE))=TRUE,0,VLOOKUP(B48,'WBV 3'!$B$3:$C$34,2,FALSE)),IF(ISNA(VLOOKUP(B48,'WBV 3'!$F$3:$G$34,2,FALSE))=TRUE,0,VLOOKUP(B48,'WBV 3'!$F$3:$G$34,2,FALSE)),IF(ISNA(VLOOKUP(B48,'WBV 3'!$J$3:$K$34,2,FALSE))=TRUE,0,VLOOKUP(B48,'WBV 3'!$J$3:$K$34,2,FALSE)),IF(ISNA(VLOOKUP(B48,'WBV 3'!$N$3:$O$34,2,FALSE))=TRUE,0,VLOOKUP(B48,'WBV 3'!$N$3:$O$34,2,FALSE)))</f>
        <v>179</v>
      </c>
      <c r="K48" s="15">
        <f>MAX(IF(ISNA(VLOOKUP(B48,'WBV 4'!$B$3:$C$34,2,FALSE))=TRUE,0,VLOOKUP(B48,'WBV 4'!$B$3:$C$34,2,FALSE)),IF(ISNA(VLOOKUP(B48,'WBV 4'!$F$3:$G$34,2,FALSE))=TRUE,0,VLOOKUP(B48,'WBV 4'!$F$3:$G$34,2,FALSE)),IF(ISNA(VLOOKUP(B48,'WBV 4'!$J$3:$K$34,2,FALSE))=TRUE,0,VLOOKUP(B48,'WBV 4'!$J$3:$K$34,2,FALSE)),IF(ISNA(VLOOKUP(B48,'WBV 4'!$N$3:$O$34,2,FALSE))=TRUE,0,VLOOKUP(B48,'WBV 4'!$N$3:$O$34,2,FALSE)))</f>
        <v>0</v>
      </c>
      <c r="L48" s="19">
        <f>MAX(IF(ISNA(VLOOKUP(B48,'NÖBV 1'!$B$3:$C$34,2,FALSE))=TRUE,0,VLOOKUP(B48,'NÖBV 1'!$B$3:$C$34,2,FALSE)),IF(ISNA(VLOOKUP(B48,'NÖBV 1'!$F$3:$G$34,2,FALSE))=TRUE,0,VLOOKUP(B48,'NÖBV 1'!$F$3:$G$34,2,FALSE)),IF(ISNA(VLOOKUP(B48,'NÖBV 1'!$J$3:$K$34,2,FALSE))=TRUE,0,VLOOKUP(B48,'NÖBV 1'!$J$3:$K$34,2,FALSE)),IF(ISNA(VLOOKUP(B48,'NÖBV 1'!$N$3:$O$34,2,FALSE))=TRUE,0,VLOOKUP(B48,'NÖBV 1'!$N$3:$O$34,2,FALSE)))</f>
        <v>0</v>
      </c>
      <c r="M48" s="19">
        <f>MAX(IF(ISNA(VLOOKUP(B48,'NÖBV 2'!$B$3:$C$34,2,FALSE))=TRUE,0,VLOOKUP(B48,'NÖBV 2'!$B$3:$C$34,2,FALSE)),IF(ISNA(VLOOKUP(B48,'NÖBV 2'!$F$3:$G$34,2,FALSE))=TRUE,0,VLOOKUP(B48,'NÖBV 2'!$F$3:$G$34,2,FALSE)),IF(ISNA(VLOOKUP(B48,'NÖBV 2'!$J$3:$K$34,2,FALSE))=TRUE,0,VLOOKUP(B48,'NÖBV 2'!$J$3:$K$34,2,FALSE)),IF(ISNA(VLOOKUP(B48,'NÖBV 2'!$N$3:$O$34,2,FALSE))=TRUE,0,VLOOKUP(B48,'NÖBV 2'!$N$3:$O$34,2,FALSE)))</f>
        <v>0</v>
      </c>
      <c r="N48" s="19">
        <f>MAX(IF(ISNA(VLOOKUP(B48,'NÖBV 3'!$B$3:$C$34,2,FALSE))=TRUE,0,VLOOKUP(B48,'NÖBV 3'!$B$3:$C$34,2,FALSE)),IF(ISNA(VLOOKUP(B48,'NÖBV 3'!$F$3:$G$34,2,FALSE))=TRUE,0,VLOOKUP(B48,'NÖBV 3'!$F$3:$G$34,2,FALSE)),IF(ISNA(VLOOKUP(B48,'NÖBV 3'!$J$3:$K$34,2,FALSE))=TRUE,0,VLOOKUP(B48,'NÖBV 3'!$J$3:$K$34,2,FALSE)),IF(ISNA(VLOOKUP(B48,'NÖBV 3'!$N$3:$O$34,2,FALSE))=TRUE,0,VLOOKUP(B48,'NÖBV 3'!$N$3:$O$34,2,FALSE)))</f>
        <v>0</v>
      </c>
      <c r="O48" s="15">
        <f>MAX(IF(ISNA(VLOOKUP(B48,'Regioturnier 1'!$B$3:$C$34,2,FALSE))=TRUE,0,VLOOKUP(B48,'Regioturnier 1'!$B$3:$C$34,2,FALSE)),IF(ISNA(VLOOKUP(B48,'Regioturnier 1'!$F$3:$G$34,2,FALSE))=TRUE,0,VLOOKUP(B48,'Regioturnier 1'!$F$3:$G$34,2,FALSE)),IF(ISNA(VLOOKUP(B48,'Regioturnier 1'!$J$3:$K$34,2,FALSE))=TRUE,0,VLOOKUP(B48,'Regioturnier 1'!$J$3:$K$34,2,FALSE)),IF(ISNA(VLOOKUP(B48,'Regioturnier 1'!$N$3:$O$34,2,FALSE))=TRUE,0,VLOOKUP(B48,'Regioturnier 1'!$N$3:$O$34,2,FALSE)),IF(ISNA(VLOOKUP(B48,'Regioturnier 1'!$R$3:$S$34,2,FALSE))=TRUE,0,VLOOKUP(B48,'Regioturnier 1'!$R$3:$S$34,2,FALSE)), IF(ISNA(VLOOKUP(B48,'Regioturnier 1'!$V$3:$W$34,2,FALSE))=TRUE,0,VLOOKUP(B48,'Regioturnier 1'!$V$3:$W$34,2,FALSE)), IF(ISNA(VLOOKUP(B48,'Regioturnier 1'!$Z$3:$AA$34,2,FALSE))=TRUE,0,VLOOKUP(B48,'Regioturnier 1'!$Z$3:$AA$34,2,FALSE)))</f>
        <v>187</v>
      </c>
      <c r="P48" s="15">
        <f>MAX(IF(ISNA(VLOOKUP(B48,'Regioturnier 2'!$B$3:$C$34,2,FALSE))=TRUE,0,VLOOKUP(B48,'Regioturnier 2'!$B$3:$C$34,2,FALSE)),IF(ISNA(VLOOKUP(B48,'Regioturnier 2'!$F$3:$G$34,2,FALSE))=TRUE,0,VLOOKUP(B48,'Regioturnier 2'!$F$3:$G$34,2,FALSE)),IF(ISNA(VLOOKUP(B48,'Regioturnier 2'!$J$3:$K$34,2,FALSE))=TRUE,0,VLOOKUP(B48,'Regioturnier 2'!$J$3:$K$34,2,FALSE)),IF(ISNA(VLOOKUP(B48,'Regioturnier 2'!$N$3:$O$34,2,FALSE))=TRUE,0,VLOOKUP(B48,'Regioturnier 2'!$N$3:$O$34,2,FALSE)),IF(ISNA(VLOOKUP(B48,'Regioturnier 2'!$R$3:$S$34,2,FALSE))=TRUE,0,VLOOKUP(B48,'Regioturnier 2'!$R$3:$S$34,2,FALSE)), IF(ISNA(VLOOKUP(B48,'Regioturnier 2'!$V$3:$W$34,2,FALSE))=TRUE,0,VLOOKUP(B48,'Regioturnier 2'!$V$3:$W$34,2,FALSE)), IF(ISNA(VLOOKUP(B48,'Regioturnier 2'!$Z$3:$AA$34,2,FALSE))=TRUE,0,VLOOKUP(B48,'Regioturnier 2'!$Z$3:$AA$34,2,FALSE)))</f>
        <v>0</v>
      </c>
      <c r="Q48" s="15">
        <f>MAX(IF(ISNA(VLOOKUP(B48,'Regioturnier 3'!$B$3:$C$34,2,FALSE))=TRUE,0,VLOOKUP(B48,'Regioturnier 3'!$B$3:$C$34,2,FALSE)),IF(ISNA(VLOOKUP(B48,'Regioturnier 3'!$F$3:$G$34,2,FALSE))=TRUE,0,VLOOKUP(B48,'Regioturnier 3'!$F$3:$G$34,2,FALSE)),IF(ISNA(VLOOKUP(B48,'Regioturnier 3'!$J$3:$K$34,2,FALSE))=TRUE,0,VLOOKUP(B48,'Regioturnier 3'!$J$3:$K$34,2,FALSE)),IF(ISNA(VLOOKUP(B48,'Regioturnier 3'!$N$3:$O$34,2,FALSE))=TRUE,0,VLOOKUP(B48,'Regioturnier 3'!$N$3:$O$34,2,FALSE)),IF(ISNA(VLOOKUP(B48,'Regioturnier 3'!$R$3:$S$34,2,FALSE))=TRUE,0,VLOOKUP(B48,'Regioturnier 3'!$R$3:$S$34,2,FALSE)), IF(ISNA(VLOOKUP(B48,'Regioturnier 3'!$V$3:$W$34,2,FALSE))=TRUE,0,VLOOKUP(B48,'Regioturnier 3'!$V$3:$W$34,2,FALSE)), IF(ISNA(VLOOKUP(B48,'Regioturnier 3'!$Z$3:$AA$34,2,FALSE))=TRUE,0,VLOOKUP(B48,'Regioturnier 3'!$Z$3:$AA$34,2,FALSE)))</f>
        <v>0</v>
      </c>
      <c r="R48" s="20">
        <f>0.5*INDEX($H48:$N48,MATCH(LARGE($H48:$N48,1),$H48:$N48,0))+0.3*INDEX($H48:$N48,MATCH(LARGE($H48:$N48,2),$H48:$N48,0))+0.2*INDEX($H48:$N48,MATCH(LARGE($H48:$N48,3),$H48:$N48,0))</f>
        <v>139.9</v>
      </c>
      <c r="S48" s="20">
        <f>0.6*INDEX(O48:Q48,MATCH(LARGE(O48:Q48,1),O48:Q48,0))+0.4*INDEX(O48:Q48,MATCH(LARGE(O48:Q48,2),O48:Q48,0))+0*INDEX(O48:Q48,MATCH(LARGE(O48:Q48,3),O48:Q48,0))</f>
        <v>112.2</v>
      </c>
      <c r="T48" s="15">
        <f>1*INDEX(R48:S48,MATCH(LARGE(R48:S48,1),R48:S48,0))+0*INDEX(R48:S48,MATCH(LARGE(R48:S48,2),R48:S48,0))</f>
        <v>139.9</v>
      </c>
      <c r="U48" s="21"/>
      <c r="V48" s="21"/>
      <c r="W48" s="21"/>
      <c r="X48" s="21"/>
      <c r="Y48" s="21"/>
      <c r="Z48" s="21"/>
    </row>
    <row r="49" spans="1:26" ht="12.75" customHeight="1" x14ac:dyDescent="0.3">
      <c r="A49" s="15">
        <v>48</v>
      </c>
      <c r="B49" s="16" t="s">
        <v>209</v>
      </c>
      <c r="C49" s="17" t="s">
        <v>54</v>
      </c>
      <c r="D49" s="15" t="s">
        <v>22</v>
      </c>
      <c r="E49" s="18" t="s">
        <v>23</v>
      </c>
      <c r="F49" s="15" t="s">
        <v>210</v>
      </c>
      <c r="G49" s="22">
        <v>2013</v>
      </c>
      <c r="H49" s="15">
        <f>MAX(IF(ISNA(VLOOKUP(B49,'WBV 1'!$B$3:$C$34,2,FALSE))=TRUE,0,VLOOKUP(B49,'WBV 1'!$B$3:$C$34,2,FALSE)),IF(ISNA(VLOOKUP(B49,'WBV 1'!$F$3:$G$34,2,FALSE))=TRUE,0,VLOOKUP(B49,'WBV 1'!$F$3:$G$34,2,FALSE)),IF(ISNA(VLOOKUP(B49,'WBV 1'!$J$3:$K$34,2,FALSE))=TRUE,0,VLOOKUP(B49,'WBV 1'!$J$3:$K$34,2,FALSE)),IF(ISNA(VLOOKUP(B49,'WBV 1'!$N$3:$O$34,2,FALSE))=TRUE,0,VLOOKUP(B49,'WBV 1'!$N$3:$O$34,2,FALSE)))</f>
        <v>0</v>
      </c>
      <c r="I49" s="15">
        <f>MAX(IF(ISNA(VLOOKUP(B49,'WBV 2'!$B$3:$C$34,2,FALSE))=TRUE,0,VLOOKUP(B49,'WBV 2'!$B$3:$C$34,2,FALSE)),IF(ISNA(VLOOKUP(B49,'WBV 2'!$F$3:$G$34,2,FALSE))=TRUE,0,VLOOKUP(B49,'WBV 2'!$F$3:$G$34,2,FALSE)),IF(ISNA(VLOOKUP(B49,'WBV 2'!$J$3:$K$34,2,FALSE))=TRUE,0,VLOOKUP(B49,'WBV 2'!$J$3:$K$34,2,FALSE)),IF(ISNA(VLOOKUP(B49,'WBV 2'!$N$3:$O$34,2,FALSE))=TRUE,0,VLOOKUP(B49,'WBV 2'!$N$3:$O$34,2,FALSE)))</f>
        <v>0</v>
      </c>
      <c r="J49" s="15">
        <f>MAX(IF(ISNA(VLOOKUP(B49,'WBV 3'!$B$3:$C$34,2,FALSE))=TRUE,0,VLOOKUP(B49,'WBV 3'!$B$3:$C$34,2,FALSE)),IF(ISNA(VLOOKUP(B49,'WBV 3'!$F$3:$G$34,2,FALSE))=TRUE,0,VLOOKUP(B49,'WBV 3'!$F$3:$G$34,2,FALSE)),IF(ISNA(VLOOKUP(B49,'WBV 3'!$J$3:$K$34,2,FALSE))=TRUE,0,VLOOKUP(B49,'WBV 3'!$J$3:$K$34,2,FALSE)),IF(ISNA(VLOOKUP(B49,'WBV 3'!$N$3:$O$34,2,FALSE))=TRUE,0,VLOOKUP(B49,'WBV 3'!$N$3:$O$34,2,FALSE)))</f>
        <v>0</v>
      </c>
      <c r="K49" s="15">
        <f>MAX(IF(ISNA(VLOOKUP(B49,'WBV 4'!$B$3:$C$34,2,FALSE))=TRUE,0,VLOOKUP(B49,'WBV 4'!$B$3:$C$34,2,FALSE)),IF(ISNA(VLOOKUP(B49,'WBV 4'!$F$3:$G$34,2,FALSE))=TRUE,0,VLOOKUP(B49,'WBV 4'!$F$3:$G$34,2,FALSE)),IF(ISNA(VLOOKUP(B49,'WBV 4'!$J$3:$K$34,2,FALSE))=TRUE,0,VLOOKUP(B49,'WBV 4'!$J$3:$K$34,2,FALSE)),IF(ISNA(VLOOKUP(B49,'WBV 4'!$N$3:$O$34,2,FALSE))=TRUE,0,VLOOKUP(B49,'WBV 4'!$N$3:$O$34,2,FALSE)))</f>
        <v>0</v>
      </c>
      <c r="L49" s="19">
        <f>MAX(IF(ISNA(VLOOKUP(B49,'NÖBV 1'!$B$3:$C$34,2,FALSE))=TRUE,0,VLOOKUP(B49,'NÖBV 1'!$B$3:$C$34,2,FALSE)),IF(ISNA(VLOOKUP(B49,'NÖBV 1'!$F$3:$G$34,2,FALSE))=TRUE,0,VLOOKUP(B49,'NÖBV 1'!$F$3:$G$34,2,FALSE)),IF(ISNA(VLOOKUP(B49,'NÖBV 1'!$J$3:$K$34,2,FALSE))=TRUE,0,VLOOKUP(B49,'NÖBV 1'!$J$3:$K$34,2,FALSE)),IF(ISNA(VLOOKUP(B49,'NÖBV 1'!$N$3:$O$34,2,FALSE))=TRUE,0,VLOOKUP(B49,'NÖBV 1'!$N$3:$O$34,2,FALSE)))</f>
        <v>0</v>
      </c>
      <c r="M49" s="19">
        <f>MAX(IF(ISNA(VLOOKUP(B49,'NÖBV 2'!$B$3:$C$34,2,FALSE))=TRUE,0,VLOOKUP(B49,'NÖBV 2'!$B$3:$C$34,2,FALSE)),IF(ISNA(VLOOKUP(B49,'NÖBV 2'!$F$3:$G$34,2,FALSE))=TRUE,0,VLOOKUP(B49,'NÖBV 2'!$F$3:$G$34,2,FALSE)),IF(ISNA(VLOOKUP(B49,'NÖBV 2'!$J$3:$K$34,2,FALSE))=TRUE,0,VLOOKUP(B49,'NÖBV 2'!$J$3:$K$34,2,FALSE)),IF(ISNA(VLOOKUP(B49,'NÖBV 2'!$N$3:$O$34,2,FALSE))=TRUE,0,VLOOKUP(B49,'NÖBV 2'!$N$3:$O$34,2,FALSE)))</f>
        <v>168</v>
      </c>
      <c r="N49" s="19">
        <f>MAX(IF(ISNA(VLOOKUP(B49,'NÖBV 3'!$B$3:$C$34,2,FALSE))=TRUE,0,VLOOKUP(B49,'NÖBV 3'!$B$3:$C$34,2,FALSE)),IF(ISNA(VLOOKUP(B49,'NÖBV 3'!$F$3:$G$34,2,FALSE))=TRUE,0,VLOOKUP(B49,'NÖBV 3'!$F$3:$G$34,2,FALSE)),IF(ISNA(VLOOKUP(B49,'NÖBV 3'!$J$3:$K$34,2,FALSE))=TRUE,0,VLOOKUP(B49,'NÖBV 3'!$J$3:$K$34,2,FALSE)),IF(ISNA(VLOOKUP(B49,'NÖBV 3'!$N$3:$O$34,2,FALSE))=TRUE,0,VLOOKUP(B49,'NÖBV 3'!$N$3:$O$34,2,FALSE)))</f>
        <v>178</v>
      </c>
      <c r="O49" s="15">
        <f>MAX(IF(ISNA(VLOOKUP(B49,'Regioturnier 1'!$B$3:$C$34,2,FALSE))=TRUE,0,VLOOKUP(B49,'Regioturnier 1'!$B$3:$C$34,2,FALSE)),IF(ISNA(VLOOKUP(B49,'Regioturnier 1'!$F$3:$G$34,2,FALSE))=TRUE,0,VLOOKUP(B49,'Regioturnier 1'!$F$3:$G$34,2,FALSE)),IF(ISNA(VLOOKUP(B49,'Regioturnier 1'!$J$3:$K$34,2,FALSE))=TRUE,0,VLOOKUP(B49,'Regioturnier 1'!$J$3:$K$34,2,FALSE)),IF(ISNA(VLOOKUP(B49,'Regioturnier 1'!$N$3:$O$34,2,FALSE))=TRUE,0,VLOOKUP(B49,'Regioturnier 1'!$N$3:$O$34,2,FALSE)),IF(ISNA(VLOOKUP(B49,'Regioturnier 1'!$R$3:$S$34,2,FALSE))=TRUE,0,VLOOKUP(B49,'Regioturnier 1'!$R$3:$S$34,2,FALSE)), IF(ISNA(VLOOKUP(B49,'Regioturnier 1'!$V$3:$W$34,2,FALSE))=TRUE,0,VLOOKUP(B49,'Regioturnier 1'!$V$3:$W$34,2,FALSE)), IF(ISNA(VLOOKUP(B49,'Regioturnier 1'!$Z$3:$AA$34,2,FALSE))=TRUE,0,VLOOKUP(B49,'Regioturnier 1'!$Z$3:$AA$34,2,FALSE)))</f>
        <v>0</v>
      </c>
      <c r="P49" s="15">
        <f>MAX(IF(ISNA(VLOOKUP(B49,'Regioturnier 2'!$B$3:$C$34,2,FALSE))=TRUE,0,VLOOKUP(B49,'Regioturnier 2'!$B$3:$C$34,2,FALSE)),IF(ISNA(VLOOKUP(B49,'Regioturnier 2'!$F$3:$G$34,2,FALSE))=TRUE,0,VLOOKUP(B49,'Regioturnier 2'!$F$3:$G$34,2,FALSE)),IF(ISNA(VLOOKUP(B49,'Regioturnier 2'!$J$3:$K$34,2,FALSE))=TRUE,0,VLOOKUP(B49,'Regioturnier 2'!$J$3:$K$34,2,FALSE)),IF(ISNA(VLOOKUP(B49,'Regioturnier 2'!$N$3:$O$34,2,FALSE))=TRUE,0,VLOOKUP(B49,'Regioturnier 2'!$N$3:$O$34,2,FALSE)),IF(ISNA(VLOOKUP(B49,'Regioturnier 2'!$R$3:$S$34,2,FALSE))=TRUE,0,VLOOKUP(B49,'Regioturnier 2'!$R$3:$S$34,2,FALSE)), IF(ISNA(VLOOKUP(B49,'Regioturnier 2'!$V$3:$W$34,2,FALSE))=TRUE,0,VLOOKUP(B49,'Regioturnier 2'!$V$3:$W$34,2,FALSE)), IF(ISNA(VLOOKUP(B49,'Regioturnier 2'!$Z$3:$AA$34,2,FALSE))=TRUE,0,VLOOKUP(B49,'Regioturnier 2'!$Z$3:$AA$34,2,FALSE)))</f>
        <v>0</v>
      </c>
      <c r="Q49" s="15">
        <f>MAX(IF(ISNA(VLOOKUP(B49,'Regioturnier 3'!$B$3:$C$34,2,FALSE))=TRUE,0,VLOOKUP(B49,'Regioturnier 3'!$B$3:$C$34,2,FALSE)),IF(ISNA(VLOOKUP(B49,'Regioturnier 3'!$F$3:$G$34,2,FALSE))=TRUE,0,VLOOKUP(B49,'Regioturnier 3'!$F$3:$G$34,2,FALSE)),IF(ISNA(VLOOKUP(B49,'Regioturnier 3'!$J$3:$K$34,2,FALSE))=TRUE,0,VLOOKUP(B49,'Regioturnier 3'!$J$3:$K$34,2,FALSE)),IF(ISNA(VLOOKUP(B49,'Regioturnier 3'!$N$3:$O$34,2,FALSE))=TRUE,0,VLOOKUP(B49,'Regioturnier 3'!$N$3:$O$34,2,FALSE)),IF(ISNA(VLOOKUP(B49,'Regioturnier 3'!$R$3:$S$34,2,FALSE))=TRUE,0,VLOOKUP(B49,'Regioturnier 3'!$R$3:$S$34,2,FALSE)), IF(ISNA(VLOOKUP(B49,'Regioturnier 3'!$V$3:$W$34,2,FALSE))=TRUE,0,VLOOKUP(B49,'Regioturnier 3'!$V$3:$W$34,2,FALSE)), IF(ISNA(VLOOKUP(B49,'Regioturnier 3'!$Z$3:$AA$34,2,FALSE))=TRUE,0,VLOOKUP(B49,'Regioturnier 3'!$Z$3:$AA$34,2,FALSE)))</f>
        <v>0</v>
      </c>
      <c r="R49" s="20">
        <f>0.5*INDEX($H49:$N49,MATCH(LARGE($H49:$N49,1),$H49:$N49,0))+0.3*INDEX($H49:$N49,MATCH(LARGE($H49:$N49,2),$H49:$N49,0))+0.2*INDEX($H49:$N49,MATCH(LARGE($H49:$N49,3),$H49:$N49,0))</f>
        <v>139.4</v>
      </c>
      <c r="S49" s="20">
        <f>0.6*INDEX(O49:Q49,MATCH(LARGE(O49:Q49,1),O49:Q49,0))+0.4*INDEX(O49:Q49,MATCH(LARGE(O49:Q49,2),O49:Q49,0))+0*INDEX(O49:Q49,MATCH(LARGE(O49:Q49,3),O49:Q49,0))</f>
        <v>0</v>
      </c>
      <c r="T49" s="15">
        <f>1*INDEX(R49:S49,MATCH(LARGE(R49:S49,1),R49:S49,0))+0*INDEX(R49:S49,MATCH(LARGE(R49:S49,2),R49:S49,0))</f>
        <v>139.4</v>
      </c>
      <c r="U49" s="21"/>
      <c r="V49" s="21"/>
      <c r="W49" s="21"/>
      <c r="X49" s="21"/>
      <c r="Y49" s="21"/>
      <c r="Z49" s="21"/>
    </row>
    <row r="50" spans="1:26" ht="12.75" customHeight="1" x14ac:dyDescent="0.3">
      <c r="A50" s="15">
        <v>49</v>
      </c>
      <c r="B50" s="16" t="s">
        <v>308</v>
      </c>
      <c r="C50" s="17" t="s">
        <v>25</v>
      </c>
      <c r="D50" s="15" t="s">
        <v>26</v>
      </c>
      <c r="E50" s="18" t="s">
        <v>23</v>
      </c>
      <c r="F50" s="15" t="s">
        <v>542</v>
      </c>
      <c r="G50" s="22">
        <v>2017</v>
      </c>
      <c r="H50" s="15">
        <f>MAX(IF(ISNA(VLOOKUP(B50,'WBV 1'!$B$3:$C$34,2,FALSE))=TRUE,0,VLOOKUP(B50,'WBV 1'!$B$3:$C$34,2,FALSE)),IF(ISNA(VLOOKUP(B50,'WBV 1'!$F$3:$G$34,2,FALSE))=TRUE,0,VLOOKUP(B50,'WBV 1'!$F$3:$G$34,2,FALSE)),IF(ISNA(VLOOKUP(B50,'WBV 1'!$J$3:$K$34,2,FALSE))=TRUE,0,VLOOKUP(B50,'WBV 1'!$J$3:$K$34,2,FALSE)),IF(ISNA(VLOOKUP(B50,'WBV 1'!$N$3:$O$34,2,FALSE))=TRUE,0,VLOOKUP(B50,'WBV 1'!$N$3:$O$34,2,FALSE)))</f>
        <v>153</v>
      </c>
      <c r="I50" s="15">
        <f>MAX(IF(ISNA(VLOOKUP(B50,'WBV 2'!$B$3:$C$34,2,FALSE))=TRUE,0,VLOOKUP(B50,'WBV 2'!$B$3:$C$34,2,FALSE)),IF(ISNA(VLOOKUP(B50,'WBV 2'!$F$3:$G$34,2,FALSE))=TRUE,0,VLOOKUP(B50,'WBV 2'!$F$3:$G$34,2,FALSE)),IF(ISNA(VLOOKUP(B50,'WBV 2'!$J$3:$K$34,2,FALSE))=TRUE,0,VLOOKUP(B50,'WBV 2'!$J$3:$K$34,2,FALSE)),IF(ISNA(VLOOKUP(B50,'WBV 2'!$N$3:$O$34,2,FALSE))=TRUE,0,VLOOKUP(B50,'WBV 2'!$N$3:$O$34,2,FALSE)))</f>
        <v>121</v>
      </c>
      <c r="J50" s="15">
        <f>MAX(IF(ISNA(VLOOKUP(B50,'WBV 3'!$B$3:$C$34,2,FALSE))=TRUE,0,VLOOKUP(B50,'WBV 3'!$B$3:$C$34,2,FALSE)),IF(ISNA(VLOOKUP(B50,'WBV 3'!$F$3:$G$34,2,FALSE))=TRUE,0,VLOOKUP(B50,'WBV 3'!$F$3:$G$34,2,FALSE)),IF(ISNA(VLOOKUP(B50,'WBV 3'!$J$3:$K$34,2,FALSE))=TRUE,0,VLOOKUP(B50,'WBV 3'!$J$3:$K$34,2,FALSE)),IF(ISNA(VLOOKUP(B50,'WBV 3'!$N$3:$O$34,2,FALSE))=TRUE,0,VLOOKUP(B50,'WBV 3'!$N$3:$O$34,2,FALSE)))</f>
        <v>129</v>
      </c>
      <c r="K50" s="15">
        <f>MAX(IF(ISNA(VLOOKUP(B50,'WBV 4'!$B$3:$C$34,2,FALSE))=TRUE,0,VLOOKUP(B50,'WBV 4'!$B$3:$C$34,2,FALSE)),IF(ISNA(VLOOKUP(B50,'WBV 4'!$F$3:$G$34,2,FALSE))=TRUE,0,VLOOKUP(B50,'WBV 4'!$F$3:$G$34,2,FALSE)),IF(ISNA(VLOOKUP(B50,'WBV 4'!$J$3:$K$34,2,FALSE))=TRUE,0,VLOOKUP(B50,'WBV 4'!$J$3:$K$34,2,FALSE)),IF(ISNA(VLOOKUP(B50,'WBV 4'!$N$3:$O$34,2,FALSE))=TRUE,0,VLOOKUP(B50,'WBV 4'!$N$3:$O$34,2,FALSE)))</f>
        <v>0</v>
      </c>
      <c r="L50" s="19">
        <f>MAX(IF(ISNA(VLOOKUP(B50,'NÖBV 1'!$B$3:$C$34,2,FALSE))=TRUE,0,VLOOKUP(B50,'NÖBV 1'!$B$3:$C$34,2,FALSE)),IF(ISNA(VLOOKUP(B50,'NÖBV 1'!$F$3:$G$34,2,FALSE))=TRUE,0,VLOOKUP(B50,'NÖBV 1'!$F$3:$G$34,2,FALSE)),IF(ISNA(VLOOKUP(B50,'NÖBV 1'!$J$3:$K$34,2,FALSE))=TRUE,0,VLOOKUP(B50,'NÖBV 1'!$J$3:$K$34,2,FALSE)),IF(ISNA(VLOOKUP(B50,'NÖBV 1'!$N$3:$O$34,2,FALSE))=TRUE,0,VLOOKUP(B50,'NÖBV 1'!$N$3:$O$34,2,FALSE)))</f>
        <v>0</v>
      </c>
      <c r="M50" s="19">
        <f>MAX(IF(ISNA(VLOOKUP(B50,'NÖBV 2'!$B$3:$C$34,2,FALSE))=TRUE,0,VLOOKUP(B50,'NÖBV 2'!$B$3:$C$34,2,FALSE)),IF(ISNA(VLOOKUP(B50,'NÖBV 2'!$F$3:$G$34,2,FALSE))=TRUE,0,VLOOKUP(B50,'NÖBV 2'!$F$3:$G$34,2,FALSE)),IF(ISNA(VLOOKUP(B50,'NÖBV 2'!$J$3:$K$34,2,FALSE))=TRUE,0,VLOOKUP(B50,'NÖBV 2'!$J$3:$K$34,2,FALSE)),IF(ISNA(VLOOKUP(B50,'NÖBV 2'!$N$3:$O$34,2,FALSE))=TRUE,0,VLOOKUP(B50,'NÖBV 2'!$N$3:$O$34,2,FALSE)))</f>
        <v>0</v>
      </c>
      <c r="N50" s="19">
        <f>MAX(IF(ISNA(VLOOKUP(B50,'NÖBV 3'!$B$3:$C$34,2,FALSE))=TRUE,0,VLOOKUP(B50,'NÖBV 3'!$B$3:$C$34,2,FALSE)),IF(ISNA(VLOOKUP(B50,'NÖBV 3'!$F$3:$G$34,2,FALSE))=TRUE,0,VLOOKUP(B50,'NÖBV 3'!$F$3:$G$34,2,FALSE)),IF(ISNA(VLOOKUP(B50,'NÖBV 3'!$J$3:$K$34,2,FALSE))=TRUE,0,VLOOKUP(B50,'NÖBV 3'!$J$3:$K$34,2,FALSE)),IF(ISNA(VLOOKUP(B50,'NÖBV 3'!$N$3:$O$34,2,FALSE))=TRUE,0,VLOOKUP(B50,'NÖBV 3'!$N$3:$O$34,2,FALSE)))</f>
        <v>0</v>
      </c>
      <c r="O50" s="15">
        <f>MAX(IF(ISNA(VLOOKUP(B50,'Regioturnier 1'!$B$3:$C$34,2,FALSE))=TRUE,0,VLOOKUP(B50,'Regioturnier 1'!$B$3:$C$34,2,FALSE)),IF(ISNA(VLOOKUP(B50,'Regioturnier 1'!$F$3:$G$34,2,FALSE))=TRUE,0,VLOOKUP(B50,'Regioturnier 1'!$F$3:$G$34,2,FALSE)),IF(ISNA(VLOOKUP(B50,'Regioturnier 1'!$J$3:$K$34,2,FALSE))=TRUE,0,VLOOKUP(B50,'Regioturnier 1'!$J$3:$K$34,2,FALSE)),IF(ISNA(VLOOKUP(B50,'Regioturnier 1'!$N$3:$O$34,2,FALSE))=TRUE,0,VLOOKUP(B50,'Regioturnier 1'!$N$3:$O$34,2,FALSE)),IF(ISNA(VLOOKUP(B50,'Regioturnier 1'!$R$3:$S$34,2,FALSE))=TRUE,0,VLOOKUP(B50,'Regioturnier 1'!$R$3:$S$34,2,FALSE)), IF(ISNA(VLOOKUP(B50,'Regioturnier 1'!$V$3:$W$34,2,FALSE))=TRUE,0,VLOOKUP(B50,'Regioturnier 1'!$V$3:$W$34,2,FALSE)), IF(ISNA(VLOOKUP(B50,'Regioturnier 1'!$Z$3:$AA$34,2,FALSE))=TRUE,0,VLOOKUP(B50,'Regioturnier 1'!$Z$3:$AA$34,2,FALSE)))</f>
        <v>0</v>
      </c>
      <c r="P50" s="15">
        <f>MAX(IF(ISNA(VLOOKUP(B50,'Regioturnier 2'!$B$3:$C$34,2,FALSE))=TRUE,0,VLOOKUP(B50,'Regioturnier 2'!$B$3:$C$34,2,FALSE)),IF(ISNA(VLOOKUP(B50,'Regioturnier 2'!$F$3:$G$34,2,FALSE))=TRUE,0,VLOOKUP(B50,'Regioturnier 2'!$F$3:$G$34,2,FALSE)),IF(ISNA(VLOOKUP(B50,'Regioturnier 2'!$J$3:$K$34,2,FALSE))=TRUE,0,VLOOKUP(B50,'Regioturnier 2'!$J$3:$K$34,2,FALSE)),IF(ISNA(VLOOKUP(B50,'Regioturnier 2'!$N$3:$O$34,2,FALSE))=TRUE,0,VLOOKUP(B50,'Regioturnier 2'!$N$3:$O$34,2,FALSE)),IF(ISNA(VLOOKUP(B50,'Regioturnier 2'!$R$3:$S$34,2,FALSE))=TRUE,0,VLOOKUP(B50,'Regioturnier 2'!$R$3:$S$34,2,FALSE)), IF(ISNA(VLOOKUP(B50,'Regioturnier 2'!$V$3:$W$34,2,FALSE))=TRUE,0,VLOOKUP(B50,'Regioturnier 2'!$V$3:$W$34,2,FALSE)), IF(ISNA(VLOOKUP(B50,'Regioturnier 2'!$Z$3:$AA$34,2,FALSE))=TRUE,0,VLOOKUP(B50,'Regioturnier 2'!$Z$3:$AA$34,2,FALSE)))</f>
        <v>0</v>
      </c>
      <c r="Q50" s="15">
        <f>MAX(IF(ISNA(VLOOKUP(B50,'Regioturnier 3'!$B$3:$C$34,2,FALSE))=TRUE,0,VLOOKUP(B50,'Regioturnier 3'!$B$3:$C$34,2,FALSE)),IF(ISNA(VLOOKUP(B50,'Regioturnier 3'!$F$3:$G$34,2,FALSE))=TRUE,0,VLOOKUP(B50,'Regioturnier 3'!$F$3:$G$34,2,FALSE)),IF(ISNA(VLOOKUP(B50,'Regioturnier 3'!$J$3:$K$34,2,FALSE))=TRUE,0,VLOOKUP(B50,'Regioturnier 3'!$J$3:$K$34,2,FALSE)),IF(ISNA(VLOOKUP(B50,'Regioturnier 3'!$N$3:$O$34,2,FALSE))=TRUE,0,VLOOKUP(B50,'Regioturnier 3'!$N$3:$O$34,2,FALSE)),IF(ISNA(VLOOKUP(B50,'Regioturnier 3'!$R$3:$S$34,2,FALSE))=TRUE,0,VLOOKUP(B50,'Regioturnier 3'!$R$3:$S$34,2,FALSE)), IF(ISNA(VLOOKUP(B50,'Regioturnier 3'!$V$3:$W$34,2,FALSE))=TRUE,0,VLOOKUP(B50,'Regioturnier 3'!$V$3:$W$34,2,FALSE)), IF(ISNA(VLOOKUP(B50,'Regioturnier 3'!$Z$3:$AA$34,2,FALSE))=TRUE,0,VLOOKUP(B50,'Regioturnier 3'!$Z$3:$AA$34,2,FALSE)))</f>
        <v>0</v>
      </c>
      <c r="R50" s="20">
        <f>0.5*INDEX($H50:$N50,MATCH(LARGE($H50:$N50,1),$H50:$N50,0))+0.3*INDEX($H50:$N50,MATCH(LARGE($H50:$N50,2),$H50:$N50,0))+0.2*INDEX($H50:$N50,MATCH(LARGE($H50:$N50,3),$H50:$N50,0))</f>
        <v>139.39999999999998</v>
      </c>
      <c r="S50" s="20">
        <f>0.6*INDEX(O50:Q50,MATCH(LARGE(O50:Q50,1),O50:Q50,0))+0.4*INDEX(O50:Q50,MATCH(LARGE(O50:Q50,2),O50:Q50,0))+0*INDEX(O50:Q50,MATCH(LARGE(O50:Q50,3),O50:Q50,0))</f>
        <v>0</v>
      </c>
      <c r="T50" s="15">
        <f>1*INDEX(R50:S50,MATCH(LARGE(R50:S50,1),R50:S50,0))+0*INDEX(R50:S50,MATCH(LARGE(R50:S50,2),R50:S50,0))</f>
        <v>139.39999999999998</v>
      </c>
      <c r="U50" s="21"/>
      <c r="V50" s="21"/>
      <c r="W50" s="21"/>
      <c r="X50" s="21"/>
      <c r="Y50" s="21"/>
      <c r="Z50" s="21"/>
    </row>
    <row r="51" spans="1:26" ht="12.75" customHeight="1" x14ac:dyDescent="0.3">
      <c r="A51" s="15">
        <v>50</v>
      </c>
      <c r="B51" s="16" t="s">
        <v>112</v>
      </c>
      <c r="C51" s="17" t="s">
        <v>97</v>
      </c>
      <c r="D51" s="15" t="s">
        <v>102</v>
      </c>
      <c r="E51" s="18" t="s">
        <v>23</v>
      </c>
      <c r="F51" s="15" t="s">
        <v>113</v>
      </c>
      <c r="G51" s="22">
        <v>2016</v>
      </c>
      <c r="H51" s="15">
        <f>MAX(IF(ISNA(VLOOKUP(B51,'WBV 1'!$B$3:$C$34,2,FALSE))=TRUE,0,VLOOKUP(B51,'WBV 1'!$B$3:$C$34,2,FALSE)),IF(ISNA(VLOOKUP(B51,'WBV 1'!$F$3:$G$34,2,FALSE))=TRUE,0,VLOOKUP(B51,'WBV 1'!$F$3:$G$34,2,FALSE)),IF(ISNA(VLOOKUP(B51,'WBV 1'!$J$3:$K$34,2,FALSE))=TRUE,0,VLOOKUP(B51,'WBV 1'!$J$3:$K$34,2,FALSE)),IF(ISNA(VLOOKUP(B51,'WBV 1'!$N$3:$O$34,2,FALSE))=TRUE,0,VLOOKUP(B51,'WBV 1'!$N$3:$O$34,2,FALSE)))</f>
        <v>0</v>
      </c>
      <c r="I51" s="15">
        <f>MAX(IF(ISNA(VLOOKUP(B51,'WBV 2'!$B$3:$C$34,2,FALSE))=TRUE,0,VLOOKUP(B51,'WBV 2'!$B$3:$C$34,2,FALSE)),IF(ISNA(VLOOKUP(B51,'WBV 2'!$F$3:$G$34,2,FALSE))=TRUE,0,VLOOKUP(B51,'WBV 2'!$F$3:$G$34,2,FALSE)),IF(ISNA(VLOOKUP(B51,'WBV 2'!$J$3:$K$34,2,FALSE))=TRUE,0,VLOOKUP(B51,'WBV 2'!$J$3:$K$34,2,FALSE)),IF(ISNA(VLOOKUP(B51,'WBV 2'!$N$3:$O$34,2,FALSE))=TRUE,0,VLOOKUP(B51,'WBV 2'!$N$3:$O$34,2,FALSE)))</f>
        <v>0</v>
      </c>
      <c r="J51" s="15">
        <f>MAX(IF(ISNA(VLOOKUP(B51,'WBV 3'!$B$3:$C$34,2,FALSE))=TRUE,0,VLOOKUP(B51,'WBV 3'!$B$3:$C$34,2,FALSE)),IF(ISNA(VLOOKUP(B51,'WBV 3'!$F$3:$G$34,2,FALSE))=TRUE,0,VLOOKUP(B51,'WBV 3'!$F$3:$G$34,2,FALSE)),IF(ISNA(VLOOKUP(B51,'WBV 3'!$J$3:$K$34,2,FALSE))=TRUE,0,VLOOKUP(B51,'WBV 3'!$J$3:$K$34,2,FALSE)),IF(ISNA(VLOOKUP(B51,'WBV 3'!$N$3:$O$34,2,FALSE))=TRUE,0,VLOOKUP(B51,'WBV 3'!$N$3:$O$34,2,FALSE)))</f>
        <v>0</v>
      </c>
      <c r="K51" s="15">
        <f>MAX(IF(ISNA(VLOOKUP(B51,'WBV 4'!$B$3:$C$34,2,FALSE))=TRUE,0,VLOOKUP(B51,'WBV 4'!$B$3:$C$34,2,FALSE)),IF(ISNA(VLOOKUP(B51,'WBV 4'!$F$3:$G$34,2,FALSE))=TRUE,0,VLOOKUP(B51,'WBV 4'!$F$3:$G$34,2,FALSE)),IF(ISNA(VLOOKUP(B51,'WBV 4'!$J$3:$K$34,2,FALSE))=TRUE,0,VLOOKUP(B51,'WBV 4'!$J$3:$K$34,2,FALSE)),IF(ISNA(VLOOKUP(B51,'WBV 4'!$N$3:$O$34,2,FALSE))=TRUE,0,VLOOKUP(B51,'WBV 4'!$N$3:$O$34,2,FALSE)))</f>
        <v>0</v>
      </c>
      <c r="L51" s="19">
        <f>MAX(IF(ISNA(VLOOKUP(B51,'NÖBV 1'!$B$3:$C$34,2,FALSE))=TRUE,0,VLOOKUP(B51,'NÖBV 1'!$B$3:$C$34,2,FALSE)),IF(ISNA(VLOOKUP(B51,'NÖBV 1'!$F$3:$G$34,2,FALSE))=TRUE,0,VLOOKUP(B51,'NÖBV 1'!$F$3:$G$34,2,FALSE)),IF(ISNA(VLOOKUP(B51,'NÖBV 1'!$J$3:$K$34,2,FALSE))=TRUE,0,VLOOKUP(B51,'NÖBV 1'!$J$3:$K$34,2,FALSE)),IF(ISNA(VLOOKUP(B51,'NÖBV 1'!$N$3:$O$34,2,FALSE))=TRUE,0,VLOOKUP(B51,'NÖBV 1'!$N$3:$O$34,2,FALSE)))</f>
        <v>174</v>
      </c>
      <c r="M51" s="19">
        <f>MAX(IF(ISNA(VLOOKUP(B51,'NÖBV 2'!$B$3:$C$34,2,FALSE))=TRUE,0,VLOOKUP(B51,'NÖBV 2'!$B$3:$C$34,2,FALSE)),IF(ISNA(VLOOKUP(B51,'NÖBV 2'!$F$3:$G$34,2,FALSE))=TRUE,0,VLOOKUP(B51,'NÖBV 2'!$F$3:$G$34,2,FALSE)),IF(ISNA(VLOOKUP(B51,'NÖBV 2'!$J$3:$K$34,2,FALSE))=TRUE,0,VLOOKUP(B51,'NÖBV 2'!$J$3:$K$34,2,FALSE)),IF(ISNA(VLOOKUP(B51,'NÖBV 2'!$N$3:$O$34,2,FALSE))=TRUE,0,VLOOKUP(B51,'NÖBV 2'!$N$3:$O$34,2,FALSE)))</f>
        <v>0</v>
      </c>
      <c r="N51" s="19">
        <f>MAX(IF(ISNA(VLOOKUP(B51,'NÖBV 3'!$B$3:$C$34,2,FALSE))=TRUE,0,VLOOKUP(B51,'NÖBV 3'!$B$3:$C$34,2,FALSE)),IF(ISNA(VLOOKUP(B51,'NÖBV 3'!$F$3:$G$34,2,FALSE))=TRUE,0,VLOOKUP(B51,'NÖBV 3'!$F$3:$G$34,2,FALSE)),IF(ISNA(VLOOKUP(B51,'NÖBV 3'!$J$3:$K$34,2,FALSE))=TRUE,0,VLOOKUP(B51,'NÖBV 3'!$J$3:$K$34,2,FALSE)),IF(ISNA(VLOOKUP(B51,'NÖBV 3'!$N$3:$O$34,2,FALSE))=TRUE,0,VLOOKUP(B51,'NÖBV 3'!$N$3:$O$34,2,FALSE)))</f>
        <v>174</v>
      </c>
      <c r="O51" s="15">
        <f>MAX(IF(ISNA(VLOOKUP(B51,'Regioturnier 1'!$B$3:$C$34,2,FALSE))=TRUE,0,VLOOKUP(B51,'Regioturnier 1'!$B$3:$C$34,2,FALSE)),IF(ISNA(VLOOKUP(B51,'Regioturnier 1'!$F$3:$G$34,2,FALSE))=TRUE,0,VLOOKUP(B51,'Regioturnier 1'!$F$3:$G$34,2,FALSE)),IF(ISNA(VLOOKUP(B51,'Regioturnier 1'!$J$3:$K$34,2,FALSE))=TRUE,0,VLOOKUP(B51,'Regioturnier 1'!$J$3:$K$34,2,FALSE)),IF(ISNA(VLOOKUP(B51,'Regioturnier 1'!$N$3:$O$34,2,FALSE))=TRUE,0,VLOOKUP(B51,'Regioturnier 1'!$N$3:$O$34,2,FALSE)),IF(ISNA(VLOOKUP(B51,'Regioturnier 1'!$R$3:$S$34,2,FALSE))=TRUE,0,VLOOKUP(B51,'Regioturnier 1'!$R$3:$S$34,2,FALSE)), IF(ISNA(VLOOKUP(B51,'Regioturnier 1'!$V$3:$W$34,2,FALSE))=TRUE,0,VLOOKUP(B51,'Regioturnier 1'!$V$3:$W$34,2,FALSE)), IF(ISNA(VLOOKUP(B51,'Regioturnier 1'!$Z$3:$AA$34,2,FALSE))=TRUE,0,VLOOKUP(B51,'Regioturnier 1'!$Z$3:$AA$34,2,FALSE)))</f>
        <v>181</v>
      </c>
      <c r="P51" s="15">
        <f>MAX(IF(ISNA(VLOOKUP(B51,'Regioturnier 2'!$B$3:$C$34,2,FALSE))=TRUE,0,VLOOKUP(B51,'Regioturnier 2'!$B$3:$C$34,2,FALSE)),IF(ISNA(VLOOKUP(B51,'Regioturnier 2'!$F$3:$G$34,2,FALSE))=TRUE,0,VLOOKUP(B51,'Regioturnier 2'!$F$3:$G$34,2,FALSE)),IF(ISNA(VLOOKUP(B51,'Regioturnier 2'!$J$3:$K$34,2,FALSE))=TRUE,0,VLOOKUP(B51,'Regioturnier 2'!$J$3:$K$34,2,FALSE)),IF(ISNA(VLOOKUP(B51,'Regioturnier 2'!$N$3:$O$34,2,FALSE))=TRUE,0,VLOOKUP(B51,'Regioturnier 2'!$N$3:$O$34,2,FALSE)),IF(ISNA(VLOOKUP(B51,'Regioturnier 2'!$R$3:$S$34,2,FALSE))=TRUE,0,VLOOKUP(B51,'Regioturnier 2'!$R$3:$S$34,2,FALSE)), IF(ISNA(VLOOKUP(B51,'Regioturnier 2'!$V$3:$W$34,2,FALSE))=TRUE,0,VLOOKUP(B51,'Regioturnier 2'!$V$3:$W$34,2,FALSE)), IF(ISNA(VLOOKUP(B51,'Regioturnier 2'!$Z$3:$AA$34,2,FALSE))=TRUE,0,VLOOKUP(B51,'Regioturnier 2'!$Z$3:$AA$34,2,FALSE)))</f>
        <v>0</v>
      </c>
      <c r="Q51" s="15">
        <f>MAX(IF(ISNA(VLOOKUP(B51,'Regioturnier 3'!$B$3:$C$34,2,FALSE))=TRUE,0,VLOOKUP(B51,'Regioturnier 3'!$B$3:$C$34,2,FALSE)),IF(ISNA(VLOOKUP(B51,'Regioturnier 3'!$F$3:$G$34,2,FALSE))=TRUE,0,VLOOKUP(B51,'Regioturnier 3'!$F$3:$G$34,2,FALSE)),IF(ISNA(VLOOKUP(B51,'Regioturnier 3'!$J$3:$K$34,2,FALSE))=TRUE,0,VLOOKUP(B51,'Regioturnier 3'!$J$3:$K$34,2,FALSE)),IF(ISNA(VLOOKUP(B51,'Regioturnier 3'!$N$3:$O$34,2,FALSE))=TRUE,0,VLOOKUP(B51,'Regioturnier 3'!$N$3:$O$34,2,FALSE)),IF(ISNA(VLOOKUP(B51,'Regioturnier 3'!$R$3:$S$34,2,FALSE))=TRUE,0,VLOOKUP(B51,'Regioturnier 3'!$R$3:$S$34,2,FALSE)), IF(ISNA(VLOOKUP(B51,'Regioturnier 3'!$V$3:$W$34,2,FALSE))=TRUE,0,VLOOKUP(B51,'Regioturnier 3'!$V$3:$W$34,2,FALSE)), IF(ISNA(VLOOKUP(B51,'Regioturnier 3'!$Z$3:$AA$34,2,FALSE))=TRUE,0,VLOOKUP(B51,'Regioturnier 3'!$Z$3:$AA$34,2,FALSE)))</f>
        <v>0</v>
      </c>
      <c r="R51" s="20">
        <f>0.5*INDEX($H51:$N51,MATCH(LARGE($H51:$N51,1),$H51:$N51,0))+0.3*INDEX($H51:$N51,MATCH(LARGE($H51:$N51,2),$H51:$N51,0))+0.2*INDEX($H51:$N51,MATCH(LARGE($H51:$N51,3),$H51:$N51,0))</f>
        <v>139.19999999999999</v>
      </c>
      <c r="S51" s="20">
        <f>0.6*INDEX(O51:Q51,MATCH(LARGE(O51:Q51,1),O51:Q51,0))+0.4*INDEX(O51:Q51,MATCH(LARGE(O51:Q51,2),O51:Q51,0))+0*INDEX(O51:Q51,MATCH(LARGE(O51:Q51,3),O51:Q51,0))</f>
        <v>108.6</v>
      </c>
      <c r="T51" s="15">
        <f>1*INDEX(R51:S51,MATCH(LARGE(R51:S51,1),R51:S51,0))+0*INDEX(R51:S51,MATCH(LARGE(R51:S51,2),R51:S51,0))</f>
        <v>139.19999999999999</v>
      </c>
      <c r="U51" s="21"/>
      <c r="V51" s="21"/>
      <c r="W51" s="21"/>
      <c r="X51" s="21"/>
      <c r="Y51" s="21"/>
      <c r="Z51" s="21"/>
    </row>
    <row r="52" spans="1:26" ht="12.75" customHeight="1" x14ac:dyDescent="0.3">
      <c r="A52" s="15">
        <v>51</v>
      </c>
      <c r="B52" s="16" t="s">
        <v>67</v>
      </c>
      <c r="C52" s="17" t="s">
        <v>25</v>
      </c>
      <c r="D52" s="15" t="s">
        <v>26</v>
      </c>
      <c r="E52" s="18" t="s">
        <v>40</v>
      </c>
      <c r="F52" s="15">
        <v>109448</v>
      </c>
      <c r="G52" s="22">
        <v>2012</v>
      </c>
      <c r="H52" s="15">
        <f>MAX(IF(ISNA(VLOOKUP(B52,'WBV 1'!$B$3:$C$34,2,FALSE))=TRUE,0,VLOOKUP(B52,'WBV 1'!$B$3:$C$34,2,FALSE)),IF(ISNA(VLOOKUP(B52,'WBV 1'!$F$3:$G$34,2,FALSE))=TRUE,0,VLOOKUP(B52,'WBV 1'!$F$3:$G$34,2,FALSE)),IF(ISNA(VLOOKUP(B52,'WBV 1'!$J$3:$K$34,2,FALSE))=TRUE,0,VLOOKUP(B52,'WBV 1'!$J$3:$K$34,2,FALSE)),IF(ISNA(VLOOKUP(B52,'WBV 1'!$N$3:$O$34,2,FALSE))=TRUE,0,VLOOKUP(B52,'WBV 1'!$N$3:$O$34,2,FALSE)))</f>
        <v>0</v>
      </c>
      <c r="I52" s="15">
        <f>MAX(IF(ISNA(VLOOKUP(B52,'WBV 2'!$B$3:$C$34,2,FALSE))=TRUE,0,VLOOKUP(B52,'WBV 2'!$B$3:$C$34,2,FALSE)),IF(ISNA(VLOOKUP(B52,'WBV 2'!$F$3:$G$34,2,FALSE))=TRUE,0,VLOOKUP(B52,'WBV 2'!$F$3:$G$34,2,FALSE)),IF(ISNA(VLOOKUP(B52,'WBV 2'!$J$3:$K$34,2,FALSE))=TRUE,0,VLOOKUP(B52,'WBV 2'!$J$3:$K$34,2,FALSE)),IF(ISNA(VLOOKUP(B52,'WBV 2'!$N$3:$O$34,2,FALSE))=TRUE,0,VLOOKUP(B52,'WBV 2'!$N$3:$O$34,2,FALSE)))</f>
        <v>175</v>
      </c>
      <c r="J52" s="15">
        <f>MAX(IF(ISNA(VLOOKUP(B52,'WBV 3'!$B$3:$C$34,2,FALSE))=TRUE,0,VLOOKUP(B52,'WBV 3'!$B$3:$C$34,2,FALSE)),IF(ISNA(VLOOKUP(B52,'WBV 3'!$F$3:$G$34,2,FALSE))=TRUE,0,VLOOKUP(B52,'WBV 3'!$F$3:$G$34,2,FALSE)),IF(ISNA(VLOOKUP(B52,'WBV 3'!$J$3:$K$34,2,FALSE))=TRUE,0,VLOOKUP(B52,'WBV 3'!$J$3:$K$34,2,FALSE)),IF(ISNA(VLOOKUP(B52,'WBV 3'!$N$3:$O$34,2,FALSE))=TRUE,0,VLOOKUP(B52,'WBV 3'!$N$3:$O$34,2,FALSE)))</f>
        <v>171</v>
      </c>
      <c r="K52" s="15">
        <f>MAX(IF(ISNA(VLOOKUP(B52,'WBV 4'!$B$3:$C$34,2,FALSE))=TRUE,0,VLOOKUP(B52,'WBV 4'!$B$3:$C$34,2,FALSE)),IF(ISNA(VLOOKUP(B52,'WBV 4'!$F$3:$G$34,2,FALSE))=TRUE,0,VLOOKUP(B52,'WBV 4'!$F$3:$G$34,2,FALSE)),IF(ISNA(VLOOKUP(B52,'WBV 4'!$J$3:$K$34,2,FALSE))=TRUE,0,VLOOKUP(B52,'WBV 4'!$J$3:$K$34,2,FALSE)),IF(ISNA(VLOOKUP(B52,'WBV 4'!$N$3:$O$34,2,FALSE))=TRUE,0,VLOOKUP(B52,'WBV 4'!$N$3:$O$34,2,FALSE)))</f>
        <v>0</v>
      </c>
      <c r="L52" s="19">
        <f>MAX(IF(ISNA(VLOOKUP(B52,'NÖBV 1'!$B$3:$C$34,2,FALSE))=TRUE,0,VLOOKUP(B52,'NÖBV 1'!$B$3:$C$34,2,FALSE)),IF(ISNA(VLOOKUP(B52,'NÖBV 1'!$F$3:$G$34,2,FALSE))=TRUE,0,VLOOKUP(B52,'NÖBV 1'!$F$3:$G$34,2,FALSE)),IF(ISNA(VLOOKUP(B52,'NÖBV 1'!$J$3:$K$34,2,FALSE))=TRUE,0,VLOOKUP(B52,'NÖBV 1'!$J$3:$K$34,2,FALSE)),IF(ISNA(VLOOKUP(B52,'NÖBV 1'!$N$3:$O$34,2,FALSE))=TRUE,0,VLOOKUP(B52,'NÖBV 1'!$N$3:$O$34,2,FALSE)))</f>
        <v>0</v>
      </c>
      <c r="M52" s="19">
        <f>MAX(IF(ISNA(VLOOKUP(B52,'NÖBV 2'!$B$3:$C$34,2,FALSE))=TRUE,0,VLOOKUP(B52,'NÖBV 2'!$B$3:$C$34,2,FALSE)),IF(ISNA(VLOOKUP(B52,'NÖBV 2'!$F$3:$G$34,2,FALSE))=TRUE,0,VLOOKUP(B52,'NÖBV 2'!$F$3:$G$34,2,FALSE)),IF(ISNA(VLOOKUP(B52,'NÖBV 2'!$J$3:$K$34,2,FALSE))=TRUE,0,VLOOKUP(B52,'NÖBV 2'!$J$3:$K$34,2,FALSE)),IF(ISNA(VLOOKUP(B52,'NÖBV 2'!$N$3:$O$34,2,FALSE))=TRUE,0,VLOOKUP(B52,'NÖBV 2'!$N$3:$O$34,2,FALSE)))</f>
        <v>0</v>
      </c>
      <c r="N52" s="19">
        <f>MAX(IF(ISNA(VLOOKUP(B52,'NÖBV 3'!$B$3:$C$34,2,FALSE))=TRUE,0,VLOOKUP(B52,'NÖBV 3'!$B$3:$C$34,2,FALSE)),IF(ISNA(VLOOKUP(B52,'NÖBV 3'!$F$3:$G$34,2,FALSE))=TRUE,0,VLOOKUP(B52,'NÖBV 3'!$F$3:$G$34,2,FALSE)),IF(ISNA(VLOOKUP(B52,'NÖBV 3'!$J$3:$K$34,2,FALSE))=TRUE,0,VLOOKUP(B52,'NÖBV 3'!$J$3:$K$34,2,FALSE)),IF(ISNA(VLOOKUP(B52,'NÖBV 3'!$N$3:$O$34,2,FALSE))=TRUE,0,VLOOKUP(B52,'NÖBV 3'!$N$3:$O$34,2,FALSE)))</f>
        <v>0</v>
      </c>
      <c r="O52" s="15">
        <f>MAX(IF(ISNA(VLOOKUP(B52,'Regioturnier 1'!$B$3:$C$34,2,FALSE))=TRUE,0,VLOOKUP(B52,'Regioturnier 1'!$B$3:$C$34,2,FALSE)),IF(ISNA(VLOOKUP(B52,'Regioturnier 1'!$F$3:$G$34,2,FALSE))=TRUE,0,VLOOKUP(B52,'Regioturnier 1'!$F$3:$G$34,2,FALSE)),IF(ISNA(VLOOKUP(B52,'Regioturnier 1'!$J$3:$K$34,2,FALSE))=TRUE,0,VLOOKUP(B52,'Regioturnier 1'!$J$3:$K$34,2,FALSE)),IF(ISNA(VLOOKUP(B52,'Regioturnier 1'!$N$3:$O$34,2,FALSE))=TRUE,0,VLOOKUP(B52,'Regioturnier 1'!$N$3:$O$34,2,FALSE)),IF(ISNA(VLOOKUP(B52,'Regioturnier 1'!$R$3:$S$34,2,FALSE))=TRUE,0,VLOOKUP(B52,'Regioturnier 1'!$R$3:$S$34,2,FALSE)), IF(ISNA(VLOOKUP(B52,'Regioturnier 1'!$V$3:$W$34,2,FALSE))=TRUE,0,VLOOKUP(B52,'Regioturnier 1'!$V$3:$W$34,2,FALSE)), IF(ISNA(VLOOKUP(B52,'Regioturnier 1'!$Z$3:$AA$34,2,FALSE))=TRUE,0,VLOOKUP(B52,'Regioturnier 1'!$Z$3:$AA$34,2,FALSE)))</f>
        <v>189</v>
      </c>
      <c r="P52" s="15">
        <f>MAX(IF(ISNA(VLOOKUP(B52,'Regioturnier 2'!$B$3:$C$34,2,FALSE))=TRUE,0,VLOOKUP(B52,'Regioturnier 2'!$B$3:$C$34,2,FALSE)),IF(ISNA(VLOOKUP(B52,'Regioturnier 2'!$F$3:$G$34,2,FALSE))=TRUE,0,VLOOKUP(B52,'Regioturnier 2'!$F$3:$G$34,2,FALSE)),IF(ISNA(VLOOKUP(B52,'Regioturnier 2'!$J$3:$K$34,2,FALSE))=TRUE,0,VLOOKUP(B52,'Regioturnier 2'!$J$3:$K$34,2,FALSE)),IF(ISNA(VLOOKUP(B52,'Regioturnier 2'!$N$3:$O$34,2,FALSE))=TRUE,0,VLOOKUP(B52,'Regioturnier 2'!$N$3:$O$34,2,FALSE)),IF(ISNA(VLOOKUP(B52,'Regioturnier 2'!$R$3:$S$34,2,FALSE))=TRUE,0,VLOOKUP(B52,'Regioturnier 2'!$R$3:$S$34,2,FALSE)), IF(ISNA(VLOOKUP(B52,'Regioturnier 2'!$V$3:$W$34,2,FALSE))=TRUE,0,VLOOKUP(B52,'Regioturnier 2'!$V$3:$W$34,2,FALSE)), IF(ISNA(VLOOKUP(B52,'Regioturnier 2'!$Z$3:$AA$34,2,FALSE))=TRUE,0,VLOOKUP(B52,'Regioturnier 2'!$Z$3:$AA$34,2,FALSE)))</f>
        <v>0</v>
      </c>
      <c r="Q52" s="15">
        <f>MAX(IF(ISNA(VLOOKUP(B52,'Regioturnier 3'!$B$3:$C$34,2,FALSE))=TRUE,0,VLOOKUP(B52,'Regioturnier 3'!$B$3:$C$34,2,FALSE)),IF(ISNA(VLOOKUP(B52,'Regioturnier 3'!$F$3:$G$34,2,FALSE))=TRUE,0,VLOOKUP(B52,'Regioturnier 3'!$F$3:$G$34,2,FALSE)),IF(ISNA(VLOOKUP(B52,'Regioturnier 3'!$J$3:$K$34,2,FALSE))=TRUE,0,VLOOKUP(B52,'Regioturnier 3'!$J$3:$K$34,2,FALSE)),IF(ISNA(VLOOKUP(B52,'Regioturnier 3'!$N$3:$O$34,2,FALSE))=TRUE,0,VLOOKUP(B52,'Regioturnier 3'!$N$3:$O$34,2,FALSE)),IF(ISNA(VLOOKUP(B52,'Regioturnier 3'!$R$3:$S$34,2,FALSE))=TRUE,0,VLOOKUP(B52,'Regioturnier 3'!$R$3:$S$34,2,FALSE)), IF(ISNA(VLOOKUP(B52,'Regioturnier 3'!$V$3:$W$34,2,FALSE))=TRUE,0,VLOOKUP(B52,'Regioturnier 3'!$V$3:$W$34,2,FALSE)), IF(ISNA(VLOOKUP(B52,'Regioturnier 3'!$Z$3:$AA$34,2,FALSE))=TRUE,0,VLOOKUP(B52,'Regioturnier 3'!$Z$3:$AA$34,2,FALSE)))</f>
        <v>0</v>
      </c>
      <c r="R52" s="20">
        <f>0.5*INDEX($H52:$N52,MATCH(LARGE($H52:$N52,1),$H52:$N52,0))+0.3*INDEX($H52:$N52,MATCH(LARGE($H52:$N52,2),$H52:$N52,0))+0.2*INDEX($H52:$N52,MATCH(LARGE($H52:$N52,3),$H52:$N52,0))</f>
        <v>138.80000000000001</v>
      </c>
      <c r="S52" s="20">
        <f>0.6*INDEX(O52:Q52,MATCH(LARGE(O52:Q52,1),O52:Q52,0))+0.4*INDEX(O52:Q52,MATCH(LARGE(O52:Q52,2),O52:Q52,0))+0*INDEX(O52:Q52,MATCH(LARGE(O52:Q52,3),O52:Q52,0))</f>
        <v>113.39999999999999</v>
      </c>
      <c r="T52" s="15">
        <f>1*INDEX(R52:S52,MATCH(LARGE(R52:S52,1),R52:S52,0))+0*INDEX(R52:S52,MATCH(LARGE(R52:S52,2),R52:S52,0))</f>
        <v>138.80000000000001</v>
      </c>
      <c r="U52" s="21"/>
      <c r="V52" s="21"/>
      <c r="W52" s="21"/>
      <c r="X52" s="21"/>
      <c r="Y52" s="21"/>
      <c r="Z52" s="21"/>
    </row>
    <row r="53" spans="1:26" ht="12.75" customHeight="1" x14ac:dyDescent="0.3">
      <c r="A53" s="15">
        <v>52</v>
      </c>
      <c r="B53" s="21" t="s">
        <v>615</v>
      </c>
      <c r="C53" s="21" t="s">
        <v>342</v>
      </c>
      <c r="D53" s="15" t="s">
        <v>26</v>
      </c>
      <c r="E53" s="15" t="s">
        <v>23</v>
      </c>
      <c r="F53" s="15">
        <v>112628</v>
      </c>
      <c r="G53" s="15">
        <v>2015</v>
      </c>
      <c r="H53" s="15">
        <f>MAX(IF(ISNA(VLOOKUP(B53,'WBV 1'!$B$3:$C$34,2,FALSE))=TRUE,0,VLOOKUP(B53,'WBV 1'!$B$3:$C$34,2,FALSE)),IF(ISNA(VLOOKUP(B53,'WBV 1'!$F$3:$G$34,2,FALSE))=TRUE,0,VLOOKUP(B53,'WBV 1'!$F$3:$G$34,2,FALSE)),IF(ISNA(VLOOKUP(B53,'WBV 1'!$J$3:$K$34,2,FALSE))=TRUE,0,VLOOKUP(B53,'WBV 1'!$J$3:$K$34,2,FALSE)),IF(ISNA(VLOOKUP(B53,'WBV 1'!$N$3:$O$34,2,FALSE))=TRUE,0,VLOOKUP(B53,'WBV 1'!$N$3:$O$34,2,FALSE)))</f>
        <v>0</v>
      </c>
      <c r="I53" s="15">
        <f>MAX(IF(ISNA(VLOOKUP(B53,'WBV 2'!$B$3:$C$34,2,FALSE))=TRUE,0,VLOOKUP(B53,'WBV 2'!$B$3:$C$34,2,FALSE)),IF(ISNA(VLOOKUP(B53,'WBV 2'!$F$3:$G$34,2,FALSE))=TRUE,0,VLOOKUP(B53,'WBV 2'!$F$3:$G$34,2,FALSE)),IF(ISNA(VLOOKUP(B53,'WBV 2'!$J$3:$K$34,2,FALSE))=TRUE,0,VLOOKUP(B53,'WBV 2'!$J$3:$K$34,2,FALSE)),IF(ISNA(VLOOKUP(B53,'WBV 2'!$N$3:$O$34,2,FALSE))=TRUE,0,VLOOKUP(B53,'WBV 2'!$N$3:$O$34,2,FALSE)))</f>
        <v>0</v>
      </c>
      <c r="J53" s="15">
        <f>MAX(IF(ISNA(VLOOKUP(B53,'WBV 3'!$B$3:$C$34,2,FALSE))=TRUE,0,VLOOKUP(B53,'WBV 3'!$B$3:$C$34,2,FALSE)),IF(ISNA(VLOOKUP(B53,'WBV 3'!$F$3:$G$34,2,FALSE))=TRUE,0,VLOOKUP(B53,'WBV 3'!$F$3:$G$34,2,FALSE)),IF(ISNA(VLOOKUP(B53,'WBV 3'!$J$3:$K$34,2,FALSE))=TRUE,0,VLOOKUP(B53,'WBV 3'!$J$3:$K$34,2,FALSE)),IF(ISNA(VLOOKUP(B53,'WBV 3'!$N$3:$O$34,2,FALSE))=TRUE,0,VLOOKUP(B53,'WBV 3'!$N$3:$O$34,2,FALSE)))</f>
        <v>148</v>
      </c>
      <c r="K53" s="15">
        <f>MAX(IF(ISNA(VLOOKUP(B53,'WBV 4'!$B$3:$C$34,2,FALSE))=TRUE,0,VLOOKUP(B53,'WBV 4'!$B$3:$C$34,2,FALSE)),IF(ISNA(VLOOKUP(B53,'WBV 4'!$F$3:$G$34,2,FALSE))=TRUE,0,VLOOKUP(B53,'WBV 4'!$F$3:$G$34,2,FALSE)),IF(ISNA(VLOOKUP(B53,'WBV 4'!$J$3:$K$34,2,FALSE))=TRUE,0,VLOOKUP(B53,'WBV 4'!$J$3:$K$34,2,FALSE)),IF(ISNA(VLOOKUP(B53,'WBV 4'!$N$3:$O$34,2,FALSE))=TRUE,0,VLOOKUP(B53,'WBV 4'!$N$3:$O$34,2,FALSE)))</f>
        <v>0</v>
      </c>
      <c r="L53" s="19">
        <f>MAX(IF(ISNA(VLOOKUP(B53,'NÖBV 1'!$B$3:$C$34,2,FALSE))=TRUE,0,VLOOKUP(B53,'NÖBV 1'!$B$3:$C$34,2,FALSE)),IF(ISNA(VLOOKUP(B53,'NÖBV 1'!$F$3:$G$34,2,FALSE))=TRUE,0,VLOOKUP(B53,'NÖBV 1'!$F$3:$G$34,2,FALSE)),IF(ISNA(VLOOKUP(B53,'NÖBV 1'!$J$3:$K$34,2,FALSE))=TRUE,0,VLOOKUP(B53,'NÖBV 1'!$J$3:$K$34,2,FALSE)),IF(ISNA(VLOOKUP(B53,'NÖBV 1'!$N$3:$O$34,2,FALSE))=TRUE,0,VLOOKUP(B53,'NÖBV 1'!$N$3:$O$34,2,FALSE)))</f>
        <v>0</v>
      </c>
      <c r="M53" s="19">
        <f>MAX(IF(ISNA(VLOOKUP(B53,'NÖBV 2'!$B$3:$C$34,2,FALSE))=TRUE,0,VLOOKUP(B53,'NÖBV 2'!$B$3:$C$34,2,FALSE)),IF(ISNA(VLOOKUP(B53,'NÖBV 2'!$F$3:$G$34,2,FALSE))=TRUE,0,VLOOKUP(B53,'NÖBV 2'!$F$3:$G$34,2,FALSE)),IF(ISNA(VLOOKUP(B53,'NÖBV 2'!$J$3:$K$34,2,FALSE))=TRUE,0,VLOOKUP(B53,'NÖBV 2'!$J$3:$K$34,2,FALSE)),IF(ISNA(VLOOKUP(B53,'NÖBV 2'!$N$3:$O$34,2,FALSE))=TRUE,0,VLOOKUP(B53,'NÖBV 2'!$N$3:$O$34,2,FALSE)))</f>
        <v>0</v>
      </c>
      <c r="N53" s="19">
        <f>MAX(IF(ISNA(VLOOKUP(B53,'NÖBV 3'!$B$3:$C$34,2,FALSE))=TRUE,0,VLOOKUP(B53,'NÖBV 3'!$B$3:$C$34,2,FALSE)),IF(ISNA(VLOOKUP(B53,'NÖBV 3'!$F$3:$G$34,2,FALSE))=TRUE,0,VLOOKUP(B53,'NÖBV 3'!$F$3:$G$34,2,FALSE)),IF(ISNA(VLOOKUP(B53,'NÖBV 3'!$J$3:$K$34,2,FALSE))=TRUE,0,VLOOKUP(B53,'NÖBV 3'!$J$3:$K$34,2,FALSE)),IF(ISNA(VLOOKUP(B53,'NÖBV 3'!$N$3:$O$34,2,FALSE))=TRUE,0,VLOOKUP(B53,'NÖBV 3'!$N$3:$O$34,2,FALSE)))</f>
        <v>186</v>
      </c>
      <c r="O53" s="15">
        <f>MAX(IF(ISNA(VLOOKUP(B53,'Regioturnier 1'!$B$3:$C$34,2,FALSE))=TRUE,0,VLOOKUP(B53,'Regioturnier 1'!$B$3:$C$34,2,FALSE)),IF(ISNA(VLOOKUP(B53,'Regioturnier 1'!$F$3:$G$34,2,FALSE))=TRUE,0,VLOOKUP(B53,'Regioturnier 1'!$F$3:$G$34,2,FALSE)),IF(ISNA(VLOOKUP(B53,'Regioturnier 1'!$J$3:$K$34,2,FALSE))=TRUE,0,VLOOKUP(B53,'Regioturnier 1'!$J$3:$K$34,2,FALSE)),IF(ISNA(VLOOKUP(B53,'Regioturnier 1'!$N$3:$O$34,2,FALSE))=TRUE,0,VLOOKUP(B53,'Regioturnier 1'!$N$3:$O$34,2,FALSE)),IF(ISNA(VLOOKUP(B53,'Regioturnier 1'!$R$3:$S$34,2,FALSE))=TRUE,0,VLOOKUP(B53,'Regioturnier 1'!$R$3:$S$34,2,FALSE)), IF(ISNA(VLOOKUP(B53,'Regioturnier 1'!$V$3:$W$34,2,FALSE))=TRUE,0,VLOOKUP(B53,'Regioturnier 1'!$V$3:$W$34,2,FALSE)), IF(ISNA(VLOOKUP(B53,'Regioturnier 1'!$Z$3:$AA$34,2,FALSE))=TRUE,0,VLOOKUP(B53,'Regioturnier 1'!$Z$3:$AA$34,2,FALSE)))</f>
        <v>0</v>
      </c>
      <c r="P53" s="15">
        <f>MAX(IF(ISNA(VLOOKUP(B53,'Regioturnier 2'!$B$3:$C$34,2,FALSE))=TRUE,0,VLOOKUP(B53,'Regioturnier 2'!$B$3:$C$34,2,FALSE)),IF(ISNA(VLOOKUP(B53,'Regioturnier 2'!$F$3:$G$34,2,FALSE))=TRUE,0,VLOOKUP(B53,'Regioturnier 2'!$F$3:$G$34,2,FALSE)),IF(ISNA(VLOOKUP(B53,'Regioturnier 2'!$J$3:$K$34,2,FALSE))=TRUE,0,VLOOKUP(B53,'Regioturnier 2'!$J$3:$K$34,2,FALSE)),IF(ISNA(VLOOKUP(B53,'Regioturnier 2'!$N$3:$O$34,2,FALSE))=TRUE,0,VLOOKUP(B53,'Regioturnier 2'!$N$3:$O$34,2,FALSE)),IF(ISNA(VLOOKUP(B53,'Regioturnier 2'!$R$3:$S$34,2,FALSE))=TRUE,0,VLOOKUP(B53,'Regioturnier 2'!$R$3:$S$34,2,FALSE)), IF(ISNA(VLOOKUP(B53,'Regioturnier 2'!$V$3:$W$34,2,FALSE))=TRUE,0,VLOOKUP(B53,'Regioturnier 2'!$V$3:$W$34,2,FALSE)), IF(ISNA(VLOOKUP(B53,'Regioturnier 2'!$Z$3:$AA$34,2,FALSE))=TRUE,0,VLOOKUP(B53,'Regioturnier 2'!$Z$3:$AA$34,2,FALSE)))</f>
        <v>0</v>
      </c>
      <c r="Q53" s="15">
        <f>MAX(IF(ISNA(VLOOKUP(B53,'Regioturnier 3'!$B$3:$C$34,2,FALSE))=TRUE,0,VLOOKUP(B53,'Regioturnier 3'!$B$3:$C$34,2,FALSE)),IF(ISNA(VLOOKUP(B53,'Regioturnier 3'!$F$3:$G$34,2,FALSE))=TRUE,0,VLOOKUP(B53,'Regioturnier 3'!$F$3:$G$34,2,FALSE)),IF(ISNA(VLOOKUP(B53,'Regioturnier 3'!$J$3:$K$34,2,FALSE))=TRUE,0,VLOOKUP(B53,'Regioturnier 3'!$J$3:$K$34,2,FALSE)),IF(ISNA(VLOOKUP(B53,'Regioturnier 3'!$N$3:$O$34,2,FALSE))=TRUE,0,VLOOKUP(B53,'Regioturnier 3'!$N$3:$O$34,2,FALSE)),IF(ISNA(VLOOKUP(B53,'Regioturnier 3'!$R$3:$S$34,2,FALSE))=TRUE,0,VLOOKUP(B53,'Regioturnier 3'!$R$3:$S$34,2,FALSE)), IF(ISNA(VLOOKUP(B53,'Regioturnier 3'!$V$3:$W$34,2,FALSE))=TRUE,0,VLOOKUP(B53,'Regioturnier 3'!$V$3:$W$34,2,FALSE)), IF(ISNA(VLOOKUP(B53,'Regioturnier 3'!$Z$3:$AA$34,2,FALSE))=TRUE,0,VLOOKUP(B53,'Regioturnier 3'!$Z$3:$AA$34,2,FALSE)))</f>
        <v>0</v>
      </c>
      <c r="R53" s="20">
        <f>0.5*INDEX($H53:$N53,MATCH(LARGE($H53:$N53,1),$H53:$N53,0))+0.3*INDEX($H53:$N53,MATCH(LARGE($H53:$N53,2),$H53:$N53,0))+0.2*INDEX($H53:$N53,MATCH(LARGE($H53:$N53,3),$H53:$N53,0))</f>
        <v>137.4</v>
      </c>
      <c r="S53" s="20">
        <f>0.6*INDEX(O53:Q53,MATCH(LARGE(O53:Q53,1),O53:Q53,0))+0.4*INDEX(O53:Q53,MATCH(LARGE(O53:Q53,2),O53:Q53,0))+0*INDEX(O53:Q53,MATCH(LARGE(O53:Q53,3),O53:Q53,0))</f>
        <v>0</v>
      </c>
      <c r="T53" s="15">
        <f>1*INDEX(R53:S53,MATCH(LARGE(R53:S53,1),R53:S53,0))+0*INDEX(R53:S53,MATCH(LARGE(R53:S53,2),R53:S53,0))</f>
        <v>137.4</v>
      </c>
      <c r="U53" s="21"/>
      <c r="V53" s="21"/>
      <c r="W53" s="21"/>
      <c r="X53" s="21"/>
      <c r="Y53" s="21"/>
      <c r="Z53" s="21"/>
    </row>
    <row r="54" spans="1:26" ht="12.75" customHeight="1" x14ac:dyDescent="0.3">
      <c r="A54" s="15">
        <v>53</v>
      </c>
      <c r="B54" s="16" t="s">
        <v>152</v>
      </c>
      <c r="C54" s="17" t="s">
        <v>39</v>
      </c>
      <c r="D54" s="15" t="s">
        <v>26</v>
      </c>
      <c r="E54" s="18" t="s">
        <v>23</v>
      </c>
      <c r="F54" s="15">
        <v>109887</v>
      </c>
      <c r="G54" s="22">
        <v>2012</v>
      </c>
      <c r="H54" s="15">
        <f>MAX(IF(ISNA(VLOOKUP(B54,'WBV 1'!$B$3:$C$34,2,FALSE))=TRUE,0,VLOOKUP(B54,'WBV 1'!$B$3:$C$34,2,FALSE)),IF(ISNA(VLOOKUP(B54,'WBV 1'!$F$3:$G$34,2,FALSE))=TRUE,0,VLOOKUP(B54,'WBV 1'!$F$3:$G$34,2,FALSE)),IF(ISNA(VLOOKUP(B54,'WBV 1'!$J$3:$K$34,2,FALSE))=TRUE,0,VLOOKUP(B54,'WBV 1'!$J$3:$K$34,2,FALSE)),IF(ISNA(VLOOKUP(B54,'WBV 1'!$N$3:$O$34,2,FALSE))=TRUE,0,VLOOKUP(B54,'WBV 1'!$N$3:$O$34,2,FALSE)))</f>
        <v>0</v>
      </c>
      <c r="I54" s="15">
        <f>MAX(IF(ISNA(VLOOKUP(B54,'WBV 2'!$B$3:$C$34,2,FALSE))=TRUE,0,VLOOKUP(B54,'WBV 2'!$B$3:$C$34,2,FALSE)),IF(ISNA(VLOOKUP(B54,'WBV 2'!$F$3:$G$34,2,FALSE))=TRUE,0,VLOOKUP(B54,'WBV 2'!$F$3:$G$34,2,FALSE)),IF(ISNA(VLOOKUP(B54,'WBV 2'!$J$3:$K$34,2,FALSE))=TRUE,0,VLOOKUP(B54,'WBV 2'!$J$3:$K$34,2,FALSE)),IF(ISNA(VLOOKUP(B54,'WBV 2'!$N$3:$O$34,2,FALSE))=TRUE,0,VLOOKUP(B54,'WBV 2'!$N$3:$O$34,2,FALSE)))</f>
        <v>167</v>
      </c>
      <c r="J54" s="15">
        <f>MAX(IF(ISNA(VLOOKUP(B54,'WBV 3'!$B$3:$C$34,2,FALSE))=TRUE,0,VLOOKUP(B54,'WBV 3'!$B$3:$C$34,2,FALSE)),IF(ISNA(VLOOKUP(B54,'WBV 3'!$F$3:$G$34,2,FALSE))=TRUE,0,VLOOKUP(B54,'WBV 3'!$F$3:$G$34,2,FALSE)),IF(ISNA(VLOOKUP(B54,'WBV 3'!$J$3:$K$34,2,FALSE))=TRUE,0,VLOOKUP(B54,'WBV 3'!$J$3:$K$34,2,FALSE)),IF(ISNA(VLOOKUP(B54,'WBV 3'!$N$3:$O$34,2,FALSE))=TRUE,0,VLOOKUP(B54,'WBV 3'!$N$3:$O$34,2,FALSE)))</f>
        <v>165</v>
      </c>
      <c r="K54" s="15">
        <f>MAX(IF(ISNA(VLOOKUP(B54,'WBV 4'!$B$3:$C$34,2,FALSE))=TRUE,0,VLOOKUP(B54,'WBV 4'!$B$3:$C$34,2,FALSE)),IF(ISNA(VLOOKUP(B54,'WBV 4'!$F$3:$G$34,2,FALSE))=TRUE,0,VLOOKUP(B54,'WBV 4'!$F$3:$G$34,2,FALSE)),IF(ISNA(VLOOKUP(B54,'WBV 4'!$J$3:$K$34,2,FALSE))=TRUE,0,VLOOKUP(B54,'WBV 4'!$J$3:$K$34,2,FALSE)),IF(ISNA(VLOOKUP(B54,'WBV 4'!$N$3:$O$34,2,FALSE))=TRUE,0,VLOOKUP(B54,'WBV 4'!$N$3:$O$34,2,FALSE)))</f>
        <v>0</v>
      </c>
      <c r="L54" s="19">
        <f>MAX(IF(ISNA(VLOOKUP(B54,'NÖBV 1'!$B$3:$C$34,2,FALSE))=TRUE,0,VLOOKUP(B54,'NÖBV 1'!$B$3:$C$34,2,FALSE)),IF(ISNA(VLOOKUP(B54,'NÖBV 1'!$F$3:$G$34,2,FALSE))=TRUE,0,VLOOKUP(B54,'NÖBV 1'!$F$3:$G$34,2,FALSE)),IF(ISNA(VLOOKUP(B54,'NÖBV 1'!$J$3:$K$34,2,FALSE))=TRUE,0,VLOOKUP(B54,'NÖBV 1'!$J$3:$K$34,2,FALSE)),IF(ISNA(VLOOKUP(B54,'NÖBV 1'!$N$3:$O$34,2,FALSE))=TRUE,0,VLOOKUP(B54,'NÖBV 1'!$N$3:$O$34,2,FALSE)))</f>
        <v>0</v>
      </c>
      <c r="M54" s="19">
        <f>MAX(IF(ISNA(VLOOKUP(B54,'NÖBV 2'!$B$3:$C$34,2,FALSE))=TRUE,0,VLOOKUP(B54,'NÖBV 2'!$B$3:$C$34,2,FALSE)),IF(ISNA(VLOOKUP(B54,'NÖBV 2'!$F$3:$G$34,2,FALSE))=TRUE,0,VLOOKUP(B54,'NÖBV 2'!$F$3:$G$34,2,FALSE)),IF(ISNA(VLOOKUP(B54,'NÖBV 2'!$J$3:$K$34,2,FALSE))=TRUE,0,VLOOKUP(B54,'NÖBV 2'!$J$3:$K$34,2,FALSE)),IF(ISNA(VLOOKUP(B54,'NÖBV 2'!$N$3:$O$34,2,FALSE))=TRUE,0,VLOOKUP(B54,'NÖBV 2'!$N$3:$O$34,2,FALSE)))</f>
        <v>0</v>
      </c>
      <c r="N54" s="19">
        <f>MAX(IF(ISNA(VLOOKUP(B54,'NÖBV 3'!$B$3:$C$34,2,FALSE))=TRUE,0,VLOOKUP(B54,'NÖBV 3'!$B$3:$C$34,2,FALSE)),IF(ISNA(VLOOKUP(B54,'NÖBV 3'!$F$3:$G$34,2,FALSE))=TRUE,0,VLOOKUP(B54,'NÖBV 3'!$F$3:$G$34,2,FALSE)),IF(ISNA(VLOOKUP(B54,'NÖBV 3'!$J$3:$K$34,2,FALSE))=TRUE,0,VLOOKUP(B54,'NÖBV 3'!$J$3:$K$34,2,FALSE)),IF(ISNA(VLOOKUP(B54,'NÖBV 3'!$N$3:$O$34,2,FALSE))=TRUE,0,VLOOKUP(B54,'NÖBV 3'!$N$3:$O$34,2,FALSE)))</f>
        <v>0</v>
      </c>
      <c r="O54" s="15">
        <f>MAX(IF(ISNA(VLOOKUP(B54,'Regioturnier 1'!$B$3:$C$34,2,FALSE))=TRUE,0,VLOOKUP(B54,'Regioturnier 1'!$B$3:$C$34,2,FALSE)),IF(ISNA(VLOOKUP(B54,'Regioturnier 1'!$F$3:$G$34,2,FALSE))=TRUE,0,VLOOKUP(B54,'Regioturnier 1'!$F$3:$G$34,2,FALSE)),IF(ISNA(VLOOKUP(B54,'Regioturnier 1'!$J$3:$K$34,2,FALSE))=TRUE,0,VLOOKUP(B54,'Regioturnier 1'!$J$3:$K$34,2,FALSE)),IF(ISNA(VLOOKUP(B54,'Regioturnier 1'!$N$3:$O$34,2,FALSE))=TRUE,0,VLOOKUP(B54,'Regioturnier 1'!$N$3:$O$34,2,FALSE)),IF(ISNA(VLOOKUP(B54,'Regioturnier 1'!$R$3:$S$34,2,FALSE))=TRUE,0,VLOOKUP(B54,'Regioturnier 1'!$R$3:$S$34,2,FALSE)), IF(ISNA(VLOOKUP(B54,'Regioturnier 1'!$V$3:$W$34,2,FALSE))=TRUE,0,VLOOKUP(B54,'Regioturnier 1'!$V$3:$W$34,2,FALSE)), IF(ISNA(VLOOKUP(B54,'Regioturnier 1'!$Z$3:$AA$34,2,FALSE))=TRUE,0,VLOOKUP(B54,'Regioturnier 1'!$Z$3:$AA$34,2,FALSE)))</f>
        <v>0</v>
      </c>
      <c r="P54" s="15">
        <f>MAX(IF(ISNA(VLOOKUP(B54,'Regioturnier 2'!$B$3:$C$34,2,FALSE))=TRUE,0,VLOOKUP(B54,'Regioturnier 2'!$B$3:$C$34,2,FALSE)),IF(ISNA(VLOOKUP(B54,'Regioturnier 2'!$F$3:$G$34,2,FALSE))=TRUE,0,VLOOKUP(B54,'Regioturnier 2'!$F$3:$G$34,2,FALSE)),IF(ISNA(VLOOKUP(B54,'Regioturnier 2'!$J$3:$K$34,2,FALSE))=TRUE,0,VLOOKUP(B54,'Regioturnier 2'!$J$3:$K$34,2,FALSE)),IF(ISNA(VLOOKUP(B54,'Regioturnier 2'!$N$3:$O$34,2,FALSE))=TRUE,0,VLOOKUP(B54,'Regioturnier 2'!$N$3:$O$34,2,FALSE)),IF(ISNA(VLOOKUP(B54,'Regioturnier 2'!$R$3:$S$34,2,FALSE))=TRUE,0,VLOOKUP(B54,'Regioturnier 2'!$R$3:$S$34,2,FALSE)), IF(ISNA(VLOOKUP(B54,'Regioturnier 2'!$V$3:$W$34,2,FALSE))=TRUE,0,VLOOKUP(B54,'Regioturnier 2'!$V$3:$W$34,2,FALSE)), IF(ISNA(VLOOKUP(B54,'Regioturnier 2'!$Z$3:$AA$34,2,FALSE))=TRUE,0,VLOOKUP(B54,'Regioturnier 2'!$Z$3:$AA$34,2,FALSE)))</f>
        <v>0</v>
      </c>
      <c r="Q54" s="15">
        <f>MAX(IF(ISNA(VLOOKUP(B54,'Regioturnier 3'!$B$3:$C$34,2,FALSE))=TRUE,0,VLOOKUP(B54,'Regioturnier 3'!$B$3:$C$34,2,FALSE)),IF(ISNA(VLOOKUP(B54,'Regioturnier 3'!$F$3:$G$34,2,FALSE))=TRUE,0,VLOOKUP(B54,'Regioturnier 3'!$F$3:$G$34,2,FALSE)),IF(ISNA(VLOOKUP(B54,'Regioturnier 3'!$J$3:$K$34,2,FALSE))=TRUE,0,VLOOKUP(B54,'Regioturnier 3'!$J$3:$K$34,2,FALSE)),IF(ISNA(VLOOKUP(B54,'Regioturnier 3'!$N$3:$O$34,2,FALSE))=TRUE,0,VLOOKUP(B54,'Regioturnier 3'!$N$3:$O$34,2,FALSE)),IF(ISNA(VLOOKUP(B54,'Regioturnier 3'!$R$3:$S$34,2,FALSE))=TRUE,0,VLOOKUP(B54,'Regioturnier 3'!$R$3:$S$34,2,FALSE)), IF(ISNA(VLOOKUP(B54,'Regioturnier 3'!$V$3:$W$34,2,FALSE))=TRUE,0,VLOOKUP(B54,'Regioturnier 3'!$V$3:$W$34,2,FALSE)), IF(ISNA(VLOOKUP(B54,'Regioturnier 3'!$Z$3:$AA$34,2,FALSE))=TRUE,0,VLOOKUP(B54,'Regioturnier 3'!$Z$3:$AA$34,2,FALSE)))</f>
        <v>0</v>
      </c>
      <c r="R54" s="20">
        <f>0.5*INDEX($H54:$N54,MATCH(LARGE($H54:$N54,1),$H54:$N54,0))+0.3*INDEX($H54:$N54,MATCH(LARGE($H54:$N54,2),$H54:$N54,0))+0.2*INDEX($H54:$N54,MATCH(LARGE($H54:$N54,3),$H54:$N54,0))</f>
        <v>133</v>
      </c>
      <c r="S54" s="20">
        <f>0.6*INDEX(O54:Q54,MATCH(LARGE(O54:Q54,1),O54:Q54,0))+0.4*INDEX(O54:Q54,MATCH(LARGE(O54:Q54,2),O54:Q54,0))+0*INDEX(O54:Q54,MATCH(LARGE(O54:Q54,3),O54:Q54,0))</f>
        <v>0</v>
      </c>
      <c r="T54" s="15">
        <f>1*INDEX(R54:S54,MATCH(LARGE(R54:S54,1),R54:S54,0))+0*INDEX(R54:S54,MATCH(LARGE(R54:S54,2),R54:S54,0))</f>
        <v>133</v>
      </c>
      <c r="U54" s="21"/>
      <c r="V54" s="21"/>
      <c r="W54" s="21"/>
      <c r="X54" s="21"/>
      <c r="Y54" s="21"/>
      <c r="Z54" s="21"/>
    </row>
    <row r="55" spans="1:26" ht="12.75" customHeight="1" x14ac:dyDescent="0.3">
      <c r="A55" s="15">
        <v>54</v>
      </c>
      <c r="B55" s="16" t="s">
        <v>30</v>
      </c>
      <c r="C55" s="17" t="s">
        <v>31</v>
      </c>
      <c r="D55" s="15" t="s">
        <v>26</v>
      </c>
      <c r="E55" s="18" t="s">
        <v>23</v>
      </c>
      <c r="F55" s="15">
        <v>108611</v>
      </c>
      <c r="G55" s="22">
        <v>2010</v>
      </c>
      <c r="H55" s="15">
        <f>MAX(IF(ISNA(VLOOKUP(B55,'WBV 1'!$B$3:$C$34,2,FALSE))=TRUE,0,VLOOKUP(B55,'WBV 1'!$B$3:$C$34,2,FALSE)),IF(ISNA(VLOOKUP(B55,'WBV 1'!$F$3:$G$34,2,FALSE))=TRUE,0,VLOOKUP(B55,'WBV 1'!$F$3:$G$34,2,FALSE)),IF(ISNA(VLOOKUP(B55,'WBV 1'!$J$3:$K$34,2,FALSE))=TRUE,0,VLOOKUP(B55,'WBV 1'!$J$3:$K$34,2,FALSE)),IF(ISNA(VLOOKUP(B55,'WBV 1'!$N$3:$O$34,2,FALSE))=TRUE,0,VLOOKUP(B55,'WBV 1'!$N$3:$O$34,2,FALSE)))</f>
        <v>200</v>
      </c>
      <c r="I55" s="15">
        <f>MAX(IF(ISNA(VLOOKUP(B55,'WBV 2'!$B$3:$C$34,2,FALSE))=TRUE,0,VLOOKUP(B55,'WBV 2'!$B$3:$C$34,2,FALSE)),IF(ISNA(VLOOKUP(B55,'WBV 2'!$F$3:$G$34,2,FALSE))=TRUE,0,VLOOKUP(B55,'WBV 2'!$F$3:$G$34,2,FALSE)),IF(ISNA(VLOOKUP(B55,'WBV 2'!$J$3:$K$34,2,FALSE))=TRUE,0,VLOOKUP(B55,'WBV 2'!$J$3:$K$34,2,FALSE)),IF(ISNA(VLOOKUP(B55,'WBV 2'!$N$3:$O$34,2,FALSE))=TRUE,0,VLOOKUP(B55,'WBV 2'!$N$3:$O$34,2,FALSE)))</f>
        <v>0</v>
      </c>
      <c r="J55" s="15">
        <f>MAX(IF(ISNA(VLOOKUP(B55,'WBV 3'!$B$3:$C$34,2,FALSE))=TRUE,0,VLOOKUP(B55,'WBV 3'!$B$3:$C$34,2,FALSE)),IF(ISNA(VLOOKUP(B55,'WBV 3'!$F$3:$G$34,2,FALSE))=TRUE,0,VLOOKUP(B55,'WBV 3'!$F$3:$G$34,2,FALSE)),IF(ISNA(VLOOKUP(B55,'WBV 3'!$J$3:$K$34,2,FALSE))=TRUE,0,VLOOKUP(B55,'WBV 3'!$J$3:$K$34,2,FALSE)),IF(ISNA(VLOOKUP(B55,'WBV 3'!$N$3:$O$34,2,FALSE))=TRUE,0,VLOOKUP(B55,'WBV 3'!$N$3:$O$34,2,FALSE)))</f>
        <v>0</v>
      </c>
      <c r="K55" s="15">
        <f>MAX(IF(ISNA(VLOOKUP(B55,'WBV 4'!$B$3:$C$34,2,FALSE))=TRUE,0,VLOOKUP(B55,'WBV 4'!$B$3:$C$34,2,FALSE)),IF(ISNA(VLOOKUP(B55,'WBV 4'!$F$3:$G$34,2,FALSE))=TRUE,0,VLOOKUP(B55,'WBV 4'!$F$3:$G$34,2,FALSE)),IF(ISNA(VLOOKUP(B55,'WBV 4'!$J$3:$K$34,2,FALSE))=TRUE,0,VLOOKUP(B55,'WBV 4'!$J$3:$K$34,2,FALSE)),IF(ISNA(VLOOKUP(B55,'WBV 4'!$N$3:$O$34,2,FALSE))=TRUE,0,VLOOKUP(B55,'WBV 4'!$N$3:$O$34,2,FALSE)))</f>
        <v>0</v>
      </c>
      <c r="L55" s="19">
        <f>MAX(IF(ISNA(VLOOKUP(B55,'NÖBV 1'!$B$3:$C$34,2,FALSE))=TRUE,0,VLOOKUP(B55,'NÖBV 1'!$B$3:$C$34,2,FALSE)),IF(ISNA(VLOOKUP(B55,'NÖBV 1'!$F$3:$G$34,2,FALSE))=TRUE,0,VLOOKUP(B55,'NÖBV 1'!$F$3:$G$34,2,FALSE)),IF(ISNA(VLOOKUP(B55,'NÖBV 1'!$J$3:$K$34,2,FALSE))=TRUE,0,VLOOKUP(B55,'NÖBV 1'!$J$3:$K$34,2,FALSE)),IF(ISNA(VLOOKUP(B55,'NÖBV 1'!$N$3:$O$34,2,FALSE))=TRUE,0,VLOOKUP(B55,'NÖBV 1'!$N$3:$O$34,2,FALSE)))</f>
        <v>0</v>
      </c>
      <c r="M55" s="19">
        <f>MAX(IF(ISNA(VLOOKUP(B55,'NÖBV 2'!$B$3:$C$34,2,FALSE))=TRUE,0,VLOOKUP(B55,'NÖBV 2'!$B$3:$C$34,2,FALSE)),IF(ISNA(VLOOKUP(B55,'NÖBV 2'!$F$3:$G$34,2,FALSE))=TRUE,0,VLOOKUP(B55,'NÖBV 2'!$F$3:$G$34,2,FALSE)),IF(ISNA(VLOOKUP(B55,'NÖBV 2'!$J$3:$K$34,2,FALSE))=TRUE,0,VLOOKUP(B55,'NÖBV 2'!$J$3:$K$34,2,FALSE)),IF(ISNA(VLOOKUP(B55,'NÖBV 2'!$N$3:$O$34,2,FALSE))=TRUE,0,VLOOKUP(B55,'NÖBV 2'!$N$3:$O$34,2,FALSE)))</f>
        <v>0</v>
      </c>
      <c r="N55" s="19">
        <f>MAX(IF(ISNA(VLOOKUP(B55,'NÖBV 3'!$B$3:$C$34,2,FALSE))=TRUE,0,VLOOKUP(B55,'NÖBV 3'!$B$3:$C$34,2,FALSE)),IF(ISNA(VLOOKUP(B55,'NÖBV 3'!$F$3:$G$34,2,FALSE))=TRUE,0,VLOOKUP(B55,'NÖBV 3'!$F$3:$G$34,2,FALSE)),IF(ISNA(VLOOKUP(B55,'NÖBV 3'!$J$3:$K$34,2,FALSE))=TRUE,0,VLOOKUP(B55,'NÖBV 3'!$J$3:$K$34,2,FALSE)),IF(ISNA(VLOOKUP(B55,'NÖBV 3'!$N$3:$O$34,2,FALSE))=TRUE,0,VLOOKUP(B55,'NÖBV 3'!$N$3:$O$34,2,FALSE)))</f>
        <v>0</v>
      </c>
      <c r="O55" s="15">
        <f>MAX(IF(ISNA(VLOOKUP(B55,'Regioturnier 1'!$B$3:$C$34,2,FALSE))=TRUE,0,VLOOKUP(B55,'Regioturnier 1'!$B$3:$C$34,2,FALSE)),IF(ISNA(VLOOKUP(B55,'Regioturnier 1'!$F$3:$G$34,2,FALSE))=TRUE,0,VLOOKUP(B55,'Regioturnier 1'!$F$3:$G$34,2,FALSE)),IF(ISNA(VLOOKUP(B55,'Regioturnier 1'!$J$3:$K$34,2,FALSE))=TRUE,0,VLOOKUP(B55,'Regioturnier 1'!$J$3:$K$34,2,FALSE)),IF(ISNA(VLOOKUP(B55,'Regioturnier 1'!$N$3:$O$34,2,FALSE))=TRUE,0,VLOOKUP(B55,'Regioturnier 1'!$N$3:$O$34,2,FALSE)),IF(ISNA(VLOOKUP(B55,'Regioturnier 1'!$R$3:$S$34,2,FALSE))=TRUE,0,VLOOKUP(B55,'Regioturnier 1'!$R$3:$S$34,2,FALSE)), IF(ISNA(VLOOKUP(B55,'Regioturnier 1'!$V$3:$W$34,2,FALSE))=TRUE,0,VLOOKUP(B55,'Regioturnier 1'!$V$3:$W$34,2,FALSE)), IF(ISNA(VLOOKUP(B55,'Regioturnier 1'!$Z$3:$AA$34,2,FALSE))=TRUE,0,VLOOKUP(B55,'Regioturnier 1'!$Z$3:$AA$34,2,FALSE)))</f>
        <v>220</v>
      </c>
      <c r="P55" s="15">
        <f>MAX(IF(ISNA(VLOOKUP(B55,'Regioturnier 2'!$B$3:$C$34,2,FALSE))=TRUE,0,VLOOKUP(B55,'Regioturnier 2'!$B$3:$C$34,2,FALSE)),IF(ISNA(VLOOKUP(B55,'Regioturnier 2'!$F$3:$G$34,2,FALSE))=TRUE,0,VLOOKUP(B55,'Regioturnier 2'!$F$3:$G$34,2,FALSE)),IF(ISNA(VLOOKUP(B55,'Regioturnier 2'!$J$3:$K$34,2,FALSE))=TRUE,0,VLOOKUP(B55,'Regioturnier 2'!$J$3:$K$34,2,FALSE)),IF(ISNA(VLOOKUP(B55,'Regioturnier 2'!$N$3:$O$34,2,FALSE))=TRUE,0,VLOOKUP(B55,'Regioturnier 2'!$N$3:$O$34,2,FALSE)),IF(ISNA(VLOOKUP(B55,'Regioturnier 2'!$R$3:$S$34,2,FALSE))=TRUE,0,VLOOKUP(B55,'Regioturnier 2'!$R$3:$S$34,2,FALSE)), IF(ISNA(VLOOKUP(B55,'Regioturnier 2'!$V$3:$W$34,2,FALSE))=TRUE,0,VLOOKUP(B55,'Regioturnier 2'!$V$3:$W$34,2,FALSE)), IF(ISNA(VLOOKUP(B55,'Regioturnier 2'!$Z$3:$AA$34,2,FALSE))=TRUE,0,VLOOKUP(B55,'Regioturnier 2'!$Z$3:$AA$34,2,FALSE)))</f>
        <v>0</v>
      </c>
      <c r="Q55" s="15">
        <f>MAX(IF(ISNA(VLOOKUP(B55,'Regioturnier 3'!$B$3:$C$34,2,FALSE))=TRUE,0,VLOOKUP(B55,'Regioturnier 3'!$B$3:$C$34,2,FALSE)),IF(ISNA(VLOOKUP(B55,'Regioturnier 3'!$F$3:$G$34,2,FALSE))=TRUE,0,VLOOKUP(B55,'Regioturnier 3'!$F$3:$G$34,2,FALSE)),IF(ISNA(VLOOKUP(B55,'Regioturnier 3'!$J$3:$K$34,2,FALSE))=TRUE,0,VLOOKUP(B55,'Regioturnier 3'!$J$3:$K$34,2,FALSE)),IF(ISNA(VLOOKUP(B55,'Regioturnier 3'!$N$3:$O$34,2,FALSE))=TRUE,0,VLOOKUP(B55,'Regioturnier 3'!$N$3:$O$34,2,FALSE)),IF(ISNA(VLOOKUP(B55,'Regioturnier 3'!$R$3:$S$34,2,FALSE))=TRUE,0,VLOOKUP(B55,'Regioturnier 3'!$R$3:$S$34,2,FALSE)), IF(ISNA(VLOOKUP(B55,'Regioturnier 3'!$V$3:$W$34,2,FALSE))=TRUE,0,VLOOKUP(B55,'Regioturnier 3'!$V$3:$W$34,2,FALSE)), IF(ISNA(VLOOKUP(B55,'Regioturnier 3'!$Z$3:$AA$34,2,FALSE))=TRUE,0,VLOOKUP(B55,'Regioturnier 3'!$Z$3:$AA$34,2,FALSE)))</f>
        <v>0</v>
      </c>
      <c r="R55" s="20">
        <f>0.5*INDEX($H55:$N55,MATCH(LARGE($H55:$N55,1),$H55:$N55,0))+0.3*INDEX($H55:$N55,MATCH(LARGE($H55:$N55,2),$H55:$N55,0))+0.2*INDEX($H55:$N55,MATCH(LARGE($H55:$N55,3),$H55:$N55,0))</f>
        <v>100</v>
      </c>
      <c r="S55" s="20">
        <f>0.6*INDEX(O55:Q55,MATCH(LARGE(O55:Q55,1),O55:Q55,0))+0.4*INDEX(O55:Q55,MATCH(LARGE(O55:Q55,2),O55:Q55,0))+0*INDEX(O55:Q55,MATCH(LARGE(O55:Q55,3),O55:Q55,0))</f>
        <v>132</v>
      </c>
      <c r="T55" s="15">
        <f>1*INDEX(R55:S55,MATCH(LARGE(R55:S55,1),R55:S55,0))+0*INDEX(R55:S55,MATCH(LARGE(R55:S55,2),R55:S55,0))</f>
        <v>132</v>
      </c>
      <c r="U55" s="21"/>
      <c r="V55" s="21"/>
      <c r="W55" s="21"/>
      <c r="X55" s="21"/>
      <c r="Y55" s="21"/>
      <c r="Z55" s="21"/>
    </row>
    <row r="56" spans="1:26" ht="12.75" customHeight="1" x14ac:dyDescent="0.3">
      <c r="A56" s="15">
        <v>55</v>
      </c>
      <c r="B56" s="16" t="s">
        <v>244</v>
      </c>
      <c r="C56" s="17" t="s">
        <v>160</v>
      </c>
      <c r="D56" s="15" t="s">
        <v>26</v>
      </c>
      <c r="E56" s="18" t="s">
        <v>23</v>
      </c>
      <c r="F56" s="15">
        <v>111847</v>
      </c>
      <c r="G56" s="22">
        <v>2013</v>
      </c>
      <c r="H56" s="15">
        <f>MAX(IF(ISNA(VLOOKUP(B56,'WBV 1'!$B$3:$C$34,2,FALSE))=TRUE,0,VLOOKUP(B56,'WBV 1'!$B$3:$C$34,2,FALSE)),IF(ISNA(VLOOKUP(B56,'WBV 1'!$F$3:$G$34,2,FALSE))=TRUE,0,VLOOKUP(B56,'WBV 1'!$F$3:$G$34,2,FALSE)),IF(ISNA(VLOOKUP(B56,'WBV 1'!$J$3:$K$34,2,FALSE))=TRUE,0,VLOOKUP(B56,'WBV 1'!$J$3:$K$34,2,FALSE)),IF(ISNA(VLOOKUP(B56,'WBV 1'!$N$3:$O$34,2,FALSE))=TRUE,0,VLOOKUP(B56,'WBV 1'!$N$3:$O$34,2,FALSE)))</f>
        <v>0</v>
      </c>
      <c r="I56" s="15">
        <f>MAX(IF(ISNA(VLOOKUP(B56,'WBV 2'!$B$3:$C$34,2,FALSE))=TRUE,0,VLOOKUP(B56,'WBV 2'!$B$3:$C$34,2,FALSE)),IF(ISNA(VLOOKUP(B56,'WBV 2'!$F$3:$G$34,2,FALSE))=TRUE,0,VLOOKUP(B56,'WBV 2'!$F$3:$G$34,2,FALSE)),IF(ISNA(VLOOKUP(B56,'WBV 2'!$J$3:$K$34,2,FALSE))=TRUE,0,VLOOKUP(B56,'WBV 2'!$J$3:$K$34,2,FALSE)),IF(ISNA(VLOOKUP(B56,'WBV 2'!$N$3:$O$34,2,FALSE))=TRUE,0,VLOOKUP(B56,'WBV 2'!$N$3:$O$34,2,FALSE)))</f>
        <v>160</v>
      </c>
      <c r="J56" s="15">
        <f>MAX(IF(ISNA(VLOOKUP(B56,'WBV 3'!$B$3:$C$34,2,FALSE))=TRUE,0,VLOOKUP(B56,'WBV 3'!$B$3:$C$34,2,FALSE)),IF(ISNA(VLOOKUP(B56,'WBV 3'!$F$3:$G$34,2,FALSE))=TRUE,0,VLOOKUP(B56,'WBV 3'!$F$3:$G$34,2,FALSE)),IF(ISNA(VLOOKUP(B56,'WBV 3'!$J$3:$K$34,2,FALSE))=TRUE,0,VLOOKUP(B56,'WBV 3'!$J$3:$K$34,2,FALSE)),IF(ISNA(VLOOKUP(B56,'WBV 3'!$N$3:$O$34,2,FALSE))=TRUE,0,VLOOKUP(B56,'WBV 3'!$N$3:$O$34,2,FALSE)))</f>
        <v>167</v>
      </c>
      <c r="K56" s="15">
        <f>MAX(IF(ISNA(VLOOKUP(B56,'WBV 4'!$B$3:$C$34,2,FALSE))=TRUE,0,VLOOKUP(B56,'WBV 4'!$B$3:$C$34,2,FALSE)),IF(ISNA(VLOOKUP(B56,'WBV 4'!$F$3:$G$34,2,FALSE))=TRUE,0,VLOOKUP(B56,'WBV 4'!$F$3:$G$34,2,FALSE)),IF(ISNA(VLOOKUP(B56,'WBV 4'!$J$3:$K$34,2,FALSE))=TRUE,0,VLOOKUP(B56,'WBV 4'!$J$3:$K$34,2,FALSE)),IF(ISNA(VLOOKUP(B56,'WBV 4'!$N$3:$O$34,2,FALSE))=TRUE,0,VLOOKUP(B56,'WBV 4'!$N$3:$O$34,2,FALSE)))</f>
        <v>0</v>
      </c>
      <c r="L56" s="19">
        <f>MAX(IF(ISNA(VLOOKUP(B56,'NÖBV 1'!$B$3:$C$34,2,FALSE))=TRUE,0,VLOOKUP(B56,'NÖBV 1'!$B$3:$C$34,2,FALSE)),IF(ISNA(VLOOKUP(B56,'NÖBV 1'!$F$3:$G$34,2,FALSE))=TRUE,0,VLOOKUP(B56,'NÖBV 1'!$F$3:$G$34,2,FALSE)),IF(ISNA(VLOOKUP(B56,'NÖBV 1'!$J$3:$K$34,2,FALSE))=TRUE,0,VLOOKUP(B56,'NÖBV 1'!$J$3:$K$34,2,FALSE)),IF(ISNA(VLOOKUP(B56,'NÖBV 1'!$N$3:$O$34,2,FALSE))=TRUE,0,VLOOKUP(B56,'NÖBV 1'!$N$3:$O$34,2,FALSE)))</f>
        <v>0</v>
      </c>
      <c r="M56" s="19">
        <f>MAX(IF(ISNA(VLOOKUP(B56,'NÖBV 2'!$B$3:$C$34,2,FALSE))=TRUE,0,VLOOKUP(B56,'NÖBV 2'!$B$3:$C$34,2,FALSE)),IF(ISNA(VLOOKUP(B56,'NÖBV 2'!$F$3:$G$34,2,FALSE))=TRUE,0,VLOOKUP(B56,'NÖBV 2'!$F$3:$G$34,2,FALSE)),IF(ISNA(VLOOKUP(B56,'NÖBV 2'!$J$3:$K$34,2,FALSE))=TRUE,0,VLOOKUP(B56,'NÖBV 2'!$J$3:$K$34,2,FALSE)),IF(ISNA(VLOOKUP(B56,'NÖBV 2'!$N$3:$O$34,2,FALSE))=TRUE,0,VLOOKUP(B56,'NÖBV 2'!$N$3:$O$34,2,FALSE)))</f>
        <v>0</v>
      </c>
      <c r="N56" s="19">
        <f>MAX(IF(ISNA(VLOOKUP(B56,'NÖBV 3'!$B$3:$C$34,2,FALSE))=TRUE,0,VLOOKUP(B56,'NÖBV 3'!$B$3:$C$34,2,FALSE)),IF(ISNA(VLOOKUP(B56,'NÖBV 3'!$F$3:$G$34,2,FALSE))=TRUE,0,VLOOKUP(B56,'NÖBV 3'!$F$3:$G$34,2,FALSE)),IF(ISNA(VLOOKUP(B56,'NÖBV 3'!$J$3:$K$34,2,FALSE))=TRUE,0,VLOOKUP(B56,'NÖBV 3'!$J$3:$K$34,2,FALSE)),IF(ISNA(VLOOKUP(B56,'NÖBV 3'!$N$3:$O$34,2,FALSE))=TRUE,0,VLOOKUP(B56,'NÖBV 3'!$N$3:$O$34,2,FALSE)))</f>
        <v>0</v>
      </c>
      <c r="O56" s="15">
        <f>MAX(IF(ISNA(VLOOKUP(B56,'Regioturnier 1'!$B$3:$C$34,2,FALSE))=TRUE,0,VLOOKUP(B56,'Regioturnier 1'!$B$3:$C$34,2,FALSE)),IF(ISNA(VLOOKUP(B56,'Regioturnier 1'!$F$3:$G$34,2,FALSE))=TRUE,0,VLOOKUP(B56,'Regioturnier 1'!$F$3:$G$34,2,FALSE)),IF(ISNA(VLOOKUP(B56,'Regioturnier 1'!$J$3:$K$34,2,FALSE))=TRUE,0,VLOOKUP(B56,'Regioturnier 1'!$J$3:$K$34,2,FALSE)),IF(ISNA(VLOOKUP(B56,'Regioturnier 1'!$N$3:$O$34,2,FALSE))=TRUE,0,VLOOKUP(B56,'Regioturnier 1'!$N$3:$O$34,2,FALSE)),IF(ISNA(VLOOKUP(B56,'Regioturnier 1'!$R$3:$S$34,2,FALSE))=TRUE,0,VLOOKUP(B56,'Regioturnier 1'!$R$3:$S$34,2,FALSE)), IF(ISNA(VLOOKUP(B56,'Regioturnier 1'!$V$3:$W$34,2,FALSE))=TRUE,0,VLOOKUP(B56,'Regioturnier 1'!$V$3:$W$34,2,FALSE)), IF(ISNA(VLOOKUP(B56,'Regioturnier 1'!$Z$3:$AA$34,2,FALSE))=TRUE,0,VLOOKUP(B56,'Regioturnier 1'!$Z$3:$AA$34,2,FALSE)))</f>
        <v>0</v>
      </c>
      <c r="P56" s="15">
        <f>MAX(IF(ISNA(VLOOKUP(B56,'Regioturnier 2'!$B$3:$C$34,2,FALSE))=TRUE,0,VLOOKUP(B56,'Regioturnier 2'!$B$3:$C$34,2,FALSE)),IF(ISNA(VLOOKUP(B56,'Regioturnier 2'!$F$3:$G$34,2,FALSE))=TRUE,0,VLOOKUP(B56,'Regioturnier 2'!$F$3:$G$34,2,FALSE)),IF(ISNA(VLOOKUP(B56,'Regioturnier 2'!$J$3:$K$34,2,FALSE))=TRUE,0,VLOOKUP(B56,'Regioturnier 2'!$J$3:$K$34,2,FALSE)),IF(ISNA(VLOOKUP(B56,'Regioturnier 2'!$N$3:$O$34,2,FALSE))=TRUE,0,VLOOKUP(B56,'Regioturnier 2'!$N$3:$O$34,2,FALSE)),IF(ISNA(VLOOKUP(B56,'Regioturnier 2'!$R$3:$S$34,2,FALSE))=TRUE,0,VLOOKUP(B56,'Regioturnier 2'!$R$3:$S$34,2,FALSE)), IF(ISNA(VLOOKUP(B56,'Regioturnier 2'!$V$3:$W$34,2,FALSE))=TRUE,0,VLOOKUP(B56,'Regioturnier 2'!$V$3:$W$34,2,FALSE)), IF(ISNA(VLOOKUP(B56,'Regioturnier 2'!$Z$3:$AA$34,2,FALSE))=TRUE,0,VLOOKUP(B56,'Regioturnier 2'!$Z$3:$AA$34,2,FALSE)))</f>
        <v>0</v>
      </c>
      <c r="Q56" s="15">
        <f>MAX(IF(ISNA(VLOOKUP(B56,'Regioturnier 3'!$B$3:$C$34,2,FALSE))=TRUE,0,VLOOKUP(B56,'Regioturnier 3'!$B$3:$C$34,2,FALSE)),IF(ISNA(VLOOKUP(B56,'Regioturnier 3'!$F$3:$G$34,2,FALSE))=TRUE,0,VLOOKUP(B56,'Regioturnier 3'!$F$3:$G$34,2,FALSE)),IF(ISNA(VLOOKUP(B56,'Regioturnier 3'!$J$3:$K$34,2,FALSE))=TRUE,0,VLOOKUP(B56,'Regioturnier 3'!$J$3:$K$34,2,FALSE)),IF(ISNA(VLOOKUP(B56,'Regioturnier 3'!$N$3:$O$34,2,FALSE))=TRUE,0,VLOOKUP(B56,'Regioturnier 3'!$N$3:$O$34,2,FALSE)),IF(ISNA(VLOOKUP(B56,'Regioturnier 3'!$R$3:$S$34,2,FALSE))=TRUE,0,VLOOKUP(B56,'Regioturnier 3'!$R$3:$S$34,2,FALSE)), IF(ISNA(VLOOKUP(B56,'Regioturnier 3'!$V$3:$W$34,2,FALSE))=TRUE,0,VLOOKUP(B56,'Regioturnier 3'!$V$3:$W$34,2,FALSE)), IF(ISNA(VLOOKUP(B56,'Regioturnier 3'!$Z$3:$AA$34,2,FALSE))=TRUE,0,VLOOKUP(B56,'Regioturnier 3'!$Z$3:$AA$34,2,FALSE)))</f>
        <v>0</v>
      </c>
      <c r="R56" s="20">
        <f>0.5*INDEX($H56:$N56,MATCH(LARGE($H56:$N56,1),$H56:$N56,0))+0.3*INDEX($H56:$N56,MATCH(LARGE($H56:$N56,2),$H56:$N56,0))+0.2*INDEX($H56:$N56,MATCH(LARGE($H56:$N56,3),$H56:$N56,0))</f>
        <v>131.5</v>
      </c>
      <c r="S56" s="20">
        <f>0.6*INDEX(O56:Q56,MATCH(LARGE(O56:Q56,1),O56:Q56,0))+0.4*INDEX(O56:Q56,MATCH(LARGE(O56:Q56,2),O56:Q56,0))+0*INDEX(O56:Q56,MATCH(LARGE(O56:Q56,3),O56:Q56,0))</f>
        <v>0</v>
      </c>
      <c r="T56" s="15">
        <f>1*INDEX(R56:S56,MATCH(LARGE(R56:S56,1),R56:S56,0))+0*INDEX(R56:S56,MATCH(LARGE(R56:S56,2),R56:S56,0))</f>
        <v>131.5</v>
      </c>
      <c r="U56" s="21"/>
      <c r="V56" s="21"/>
      <c r="W56" s="21"/>
      <c r="X56" s="21"/>
      <c r="Y56" s="21"/>
      <c r="Z56" s="21"/>
    </row>
    <row r="57" spans="1:26" ht="12.75" customHeight="1" x14ac:dyDescent="0.3">
      <c r="A57" s="15">
        <v>56</v>
      </c>
      <c r="B57" s="16" t="s">
        <v>77</v>
      </c>
      <c r="C57" s="17" t="s">
        <v>31</v>
      </c>
      <c r="D57" s="15" t="s">
        <v>26</v>
      </c>
      <c r="E57" s="18" t="s">
        <v>23</v>
      </c>
      <c r="F57" s="15">
        <v>17887</v>
      </c>
      <c r="G57" s="22">
        <v>2010</v>
      </c>
      <c r="H57" s="15">
        <f>MAX(IF(ISNA(VLOOKUP(B57,'WBV 1'!$B$3:$C$34,2,FALSE))=TRUE,0,VLOOKUP(B57,'WBV 1'!$B$3:$C$34,2,FALSE)),IF(ISNA(VLOOKUP(B57,'WBV 1'!$F$3:$G$34,2,FALSE))=TRUE,0,VLOOKUP(B57,'WBV 1'!$F$3:$G$34,2,FALSE)),IF(ISNA(VLOOKUP(B57,'WBV 1'!$J$3:$K$34,2,FALSE))=TRUE,0,VLOOKUP(B57,'WBV 1'!$J$3:$K$34,2,FALSE)),IF(ISNA(VLOOKUP(B57,'WBV 1'!$N$3:$O$34,2,FALSE))=TRUE,0,VLOOKUP(B57,'WBV 1'!$N$3:$O$34,2,FALSE)))</f>
        <v>198</v>
      </c>
      <c r="I57" s="15">
        <f>MAX(IF(ISNA(VLOOKUP(B57,'WBV 2'!$B$3:$C$34,2,FALSE))=TRUE,0,VLOOKUP(B57,'WBV 2'!$B$3:$C$34,2,FALSE)),IF(ISNA(VLOOKUP(B57,'WBV 2'!$F$3:$G$34,2,FALSE))=TRUE,0,VLOOKUP(B57,'WBV 2'!$F$3:$G$34,2,FALSE)),IF(ISNA(VLOOKUP(B57,'WBV 2'!$J$3:$K$34,2,FALSE))=TRUE,0,VLOOKUP(B57,'WBV 2'!$J$3:$K$34,2,FALSE)),IF(ISNA(VLOOKUP(B57,'WBV 2'!$N$3:$O$34,2,FALSE))=TRUE,0,VLOOKUP(B57,'WBV 2'!$N$3:$O$34,2,FALSE)))</f>
        <v>0</v>
      </c>
      <c r="J57" s="15">
        <f>MAX(IF(ISNA(VLOOKUP(B57,'WBV 3'!$B$3:$C$34,2,FALSE))=TRUE,0,VLOOKUP(B57,'WBV 3'!$B$3:$C$34,2,FALSE)),IF(ISNA(VLOOKUP(B57,'WBV 3'!$F$3:$G$34,2,FALSE))=TRUE,0,VLOOKUP(B57,'WBV 3'!$F$3:$G$34,2,FALSE)),IF(ISNA(VLOOKUP(B57,'WBV 3'!$J$3:$K$34,2,FALSE))=TRUE,0,VLOOKUP(B57,'WBV 3'!$J$3:$K$34,2,FALSE)),IF(ISNA(VLOOKUP(B57,'WBV 3'!$N$3:$O$34,2,FALSE))=TRUE,0,VLOOKUP(B57,'WBV 3'!$N$3:$O$34,2,FALSE)))</f>
        <v>0</v>
      </c>
      <c r="K57" s="15">
        <f>MAX(IF(ISNA(VLOOKUP(B57,'WBV 4'!$B$3:$C$34,2,FALSE))=TRUE,0,VLOOKUP(B57,'WBV 4'!$B$3:$C$34,2,FALSE)),IF(ISNA(VLOOKUP(B57,'WBV 4'!$F$3:$G$34,2,FALSE))=TRUE,0,VLOOKUP(B57,'WBV 4'!$F$3:$G$34,2,FALSE)),IF(ISNA(VLOOKUP(B57,'WBV 4'!$J$3:$K$34,2,FALSE))=TRUE,0,VLOOKUP(B57,'WBV 4'!$J$3:$K$34,2,FALSE)),IF(ISNA(VLOOKUP(B57,'WBV 4'!$N$3:$O$34,2,FALSE))=TRUE,0,VLOOKUP(B57,'WBV 4'!$N$3:$O$34,2,FALSE)))</f>
        <v>0</v>
      </c>
      <c r="L57" s="19">
        <f>MAX(IF(ISNA(VLOOKUP(B57,'NÖBV 1'!$B$3:$C$34,2,FALSE))=TRUE,0,VLOOKUP(B57,'NÖBV 1'!$B$3:$C$34,2,FALSE)),IF(ISNA(VLOOKUP(B57,'NÖBV 1'!$F$3:$G$34,2,FALSE))=TRUE,0,VLOOKUP(B57,'NÖBV 1'!$F$3:$G$34,2,FALSE)),IF(ISNA(VLOOKUP(B57,'NÖBV 1'!$J$3:$K$34,2,FALSE))=TRUE,0,VLOOKUP(B57,'NÖBV 1'!$J$3:$K$34,2,FALSE)),IF(ISNA(VLOOKUP(B57,'NÖBV 1'!$N$3:$O$34,2,FALSE))=TRUE,0,VLOOKUP(B57,'NÖBV 1'!$N$3:$O$34,2,FALSE)))</f>
        <v>0</v>
      </c>
      <c r="M57" s="19">
        <f>MAX(IF(ISNA(VLOOKUP(B57,'NÖBV 2'!$B$3:$C$34,2,FALSE))=TRUE,0,VLOOKUP(B57,'NÖBV 2'!$B$3:$C$34,2,FALSE)),IF(ISNA(VLOOKUP(B57,'NÖBV 2'!$F$3:$G$34,2,FALSE))=TRUE,0,VLOOKUP(B57,'NÖBV 2'!$F$3:$G$34,2,FALSE)),IF(ISNA(VLOOKUP(B57,'NÖBV 2'!$J$3:$K$34,2,FALSE))=TRUE,0,VLOOKUP(B57,'NÖBV 2'!$J$3:$K$34,2,FALSE)),IF(ISNA(VLOOKUP(B57,'NÖBV 2'!$N$3:$O$34,2,FALSE))=TRUE,0,VLOOKUP(B57,'NÖBV 2'!$N$3:$O$34,2,FALSE)))</f>
        <v>0</v>
      </c>
      <c r="N57" s="19">
        <f>MAX(IF(ISNA(VLOOKUP(B57,'NÖBV 3'!$B$3:$C$34,2,FALSE))=TRUE,0,VLOOKUP(B57,'NÖBV 3'!$B$3:$C$34,2,FALSE)),IF(ISNA(VLOOKUP(B57,'NÖBV 3'!$F$3:$G$34,2,FALSE))=TRUE,0,VLOOKUP(B57,'NÖBV 3'!$F$3:$G$34,2,FALSE)),IF(ISNA(VLOOKUP(B57,'NÖBV 3'!$J$3:$K$34,2,FALSE))=TRUE,0,VLOOKUP(B57,'NÖBV 3'!$J$3:$K$34,2,FALSE)),IF(ISNA(VLOOKUP(B57,'NÖBV 3'!$N$3:$O$34,2,FALSE))=TRUE,0,VLOOKUP(B57,'NÖBV 3'!$N$3:$O$34,2,FALSE)))</f>
        <v>0</v>
      </c>
      <c r="O57" s="15">
        <f>MAX(IF(ISNA(VLOOKUP(B57,'Regioturnier 1'!$B$3:$C$34,2,FALSE))=TRUE,0,VLOOKUP(B57,'Regioturnier 1'!$B$3:$C$34,2,FALSE)),IF(ISNA(VLOOKUP(B57,'Regioturnier 1'!$F$3:$G$34,2,FALSE))=TRUE,0,VLOOKUP(B57,'Regioturnier 1'!$F$3:$G$34,2,FALSE)),IF(ISNA(VLOOKUP(B57,'Regioturnier 1'!$J$3:$K$34,2,FALSE))=TRUE,0,VLOOKUP(B57,'Regioturnier 1'!$J$3:$K$34,2,FALSE)),IF(ISNA(VLOOKUP(B57,'Regioturnier 1'!$N$3:$O$34,2,FALSE))=TRUE,0,VLOOKUP(B57,'Regioturnier 1'!$N$3:$O$34,2,FALSE)),IF(ISNA(VLOOKUP(B57,'Regioturnier 1'!$R$3:$S$34,2,FALSE))=TRUE,0,VLOOKUP(B57,'Regioturnier 1'!$R$3:$S$34,2,FALSE)), IF(ISNA(VLOOKUP(B57,'Regioturnier 1'!$V$3:$W$34,2,FALSE))=TRUE,0,VLOOKUP(B57,'Regioturnier 1'!$V$3:$W$34,2,FALSE)), IF(ISNA(VLOOKUP(B57,'Regioturnier 1'!$Z$3:$AA$34,2,FALSE))=TRUE,0,VLOOKUP(B57,'Regioturnier 1'!$Z$3:$AA$34,2,FALSE)))</f>
        <v>218</v>
      </c>
      <c r="P57" s="15">
        <f>MAX(IF(ISNA(VLOOKUP(B57,'Regioturnier 2'!$B$3:$C$34,2,FALSE))=TRUE,0,VLOOKUP(B57,'Regioturnier 2'!$B$3:$C$34,2,FALSE)),IF(ISNA(VLOOKUP(B57,'Regioturnier 2'!$F$3:$G$34,2,FALSE))=TRUE,0,VLOOKUP(B57,'Regioturnier 2'!$F$3:$G$34,2,FALSE)),IF(ISNA(VLOOKUP(B57,'Regioturnier 2'!$J$3:$K$34,2,FALSE))=TRUE,0,VLOOKUP(B57,'Regioturnier 2'!$J$3:$K$34,2,FALSE)),IF(ISNA(VLOOKUP(B57,'Regioturnier 2'!$N$3:$O$34,2,FALSE))=TRUE,0,VLOOKUP(B57,'Regioturnier 2'!$N$3:$O$34,2,FALSE)),IF(ISNA(VLOOKUP(B57,'Regioturnier 2'!$R$3:$S$34,2,FALSE))=TRUE,0,VLOOKUP(B57,'Regioturnier 2'!$R$3:$S$34,2,FALSE)), IF(ISNA(VLOOKUP(B57,'Regioturnier 2'!$V$3:$W$34,2,FALSE))=TRUE,0,VLOOKUP(B57,'Regioturnier 2'!$V$3:$W$34,2,FALSE)), IF(ISNA(VLOOKUP(B57,'Regioturnier 2'!$Z$3:$AA$34,2,FALSE))=TRUE,0,VLOOKUP(B57,'Regioturnier 2'!$Z$3:$AA$34,2,FALSE)))</f>
        <v>0</v>
      </c>
      <c r="Q57" s="15">
        <f>MAX(IF(ISNA(VLOOKUP(B57,'Regioturnier 3'!$B$3:$C$34,2,FALSE))=TRUE,0,VLOOKUP(B57,'Regioturnier 3'!$B$3:$C$34,2,FALSE)),IF(ISNA(VLOOKUP(B57,'Regioturnier 3'!$F$3:$G$34,2,FALSE))=TRUE,0,VLOOKUP(B57,'Regioturnier 3'!$F$3:$G$34,2,FALSE)),IF(ISNA(VLOOKUP(B57,'Regioturnier 3'!$J$3:$K$34,2,FALSE))=TRUE,0,VLOOKUP(B57,'Regioturnier 3'!$J$3:$K$34,2,FALSE)),IF(ISNA(VLOOKUP(B57,'Regioturnier 3'!$N$3:$O$34,2,FALSE))=TRUE,0,VLOOKUP(B57,'Regioturnier 3'!$N$3:$O$34,2,FALSE)),IF(ISNA(VLOOKUP(B57,'Regioturnier 3'!$R$3:$S$34,2,FALSE))=TRUE,0,VLOOKUP(B57,'Regioturnier 3'!$R$3:$S$34,2,FALSE)), IF(ISNA(VLOOKUP(B57,'Regioturnier 3'!$V$3:$W$34,2,FALSE))=TRUE,0,VLOOKUP(B57,'Regioturnier 3'!$V$3:$W$34,2,FALSE)), IF(ISNA(VLOOKUP(B57,'Regioturnier 3'!$Z$3:$AA$34,2,FALSE))=TRUE,0,VLOOKUP(B57,'Regioturnier 3'!$Z$3:$AA$34,2,FALSE)))</f>
        <v>0</v>
      </c>
      <c r="R57" s="20">
        <f>0.5*INDEX($H57:$N57,MATCH(LARGE($H57:$N57,1),$H57:$N57,0))+0.3*INDEX($H57:$N57,MATCH(LARGE($H57:$N57,2),$H57:$N57,0))+0.2*INDEX($H57:$N57,MATCH(LARGE($H57:$N57,3),$H57:$N57,0))</f>
        <v>99</v>
      </c>
      <c r="S57" s="20">
        <f>0.6*INDEX(O57:Q57,MATCH(LARGE(O57:Q57,1),O57:Q57,0))+0.4*INDEX(O57:Q57,MATCH(LARGE(O57:Q57,2),O57:Q57,0))+0*INDEX(O57:Q57,MATCH(LARGE(O57:Q57,3),O57:Q57,0))</f>
        <v>130.79999999999998</v>
      </c>
      <c r="T57" s="15">
        <f>1*INDEX(R57:S57,MATCH(LARGE(R57:S57,1),R57:S57,0))+0*INDEX(R57:S57,MATCH(LARGE(R57:S57,2),R57:S57,0))</f>
        <v>130.79999999999998</v>
      </c>
      <c r="U57" s="21"/>
      <c r="V57" s="21"/>
      <c r="W57" s="21"/>
      <c r="X57" s="21"/>
      <c r="Y57" s="21"/>
      <c r="Z57" s="21"/>
    </row>
    <row r="58" spans="1:26" ht="12.75" customHeight="1" x14ac:dyDescent="0.3">
      <c r="A58" s="15">
        <v>57</v>
      </c>
      <c r="B58" s="16" t="s">
        <v>20</v>
      </c>
      <c r="C58" s="17" t="s">
        <v>21</v>
      </c>
      <c r="D58" s="15" t="s">
        <v>22</v>
      </c>
      <c r="E58" s="18" t="s">
        <v>23</v>
      </c>
      <c r="F58" s="15">
        <v>26274</v>
      </c>
      <c r="G58" s="22">
        <v>2010</v>
      </c>
      <c r="H58" s="15">
        <f>MAX(IF(ISNA(VLOOKUP(B58,'WBV 1'!$B$3:$C$34,2,FALSE))=TRUE,0,VLOOKUP(B58,'WBV 1'!$B$3:$C$34,2,FALSE)),IF(ISNA(VLOOKUP(B58,'WBV 1'!$F$3:$G$34,2,FALSE))=TRUE,0,VLOOKUP(B58,'WBV 1'!$F$3:$G$34,2,FALSE)),IF(ISNA(VLOOKUP(B58,'WBV 1'!$J$3:$K$34,2,FALSE))=TRUE,0,VLOOKUP(B58,'WBV 1'!$J$3:$K$34,2,FALSE)),IF(ISNA(VLOOKUP(B58,'WBV 1'!$N$3:$O$34,2,FALSE))=TRUE,0,VLOOKUP(B58,'WBV 1'!$N$3:$O$34,2,FALSE)))</f>
        <v>0</v>
      </c>
      <c r="I58" s="15">
        <f>MAX(IF(ISNA(VLOOKUP(B58,'WBV 2'!$B$3:$C$34,2,FALSE))=TRUE,0,VLOOKUP(B58,'WBV 2'!$B$3:$C$34,2,FALSE)),IF(ISNA(VLOOKUP(B58,'WBV 2'!$F$3:$G$34,2,FALSE))=TRUE,0,VLOOKUP(B58,'WBV 2'!$F$3:$G$34,2,FALSE)),IF(ISNA(VLOOKUP(B58,'WBV 2'!$J$3:$K$34,2,FALSE))=TRUE,0,VLOOKUP(B58,'WBV 2'!$J$3:$K$34,2,FALSE)),IF(ISNA(VLOOKUP(B58,'WBV 2'!$N$3:$O$34,2,FALSE))=TRUE,0,VLOOKUP(B58,'WBV 2'!$N$3:$O$34,2,FALSE)))</f>
        <v>0</v>
      </c>
      <c r="J58" s="15">
        <f>MAX(IF(ISNA(VLOOKUP(B58,'WBV 3'!$B$3:$C$34,2,FALSE))=TRUE,0,VLOOKUP(B58,'WBV 3'!$B$3:$C$34,2,FALSE)),IF(ISNA(VLOOKUP(B58,'WBV 3'!$F$3:$G$34,2,FALSE))=TRUE,0,VLOOKUP(B58,'WBV 3'!$F$3:$G$34,2,FALSE)),IF(ISNA(VLOOKUP(B58,'WBV 3'!$J$3:$K$34,2,FALSE))=TRUE,0,VLOOKUP(B58,'WBV 3'!$J$3:$K$34,2,FALSE)),IF(ISNA(VLOOKUP(B58,'WBV 3'!$N$3:$O$34,2,FALSE))=TRUE,0,VLOOKUP(B58,'WBV 3'!$N$3:$O$34,2,FALSE)))</f>
        <v>0</v>
      </c>
      <c r="K58" s="15">
        <f>MAX(IF(ISNA(VLOOKUP(B58,'WBV 4'!$B$3:$C$34,2,FALSE))=TRUE,0,VLOOKUP(B58,'WBV 4'!$B$3:$C$34,2,FALSE)),IF(ISNA(VLOOKUP(B58,'WBV 4'!$F$3:$G$34,2,FALSE))=TRUE,0,VLOOKUP(B58,'WBV 4'!$F$3:$G$34,2,FALSE)),IF(ISNA(VLOOKUP(B58,'WBV 4'!$J$3:$K$34,2,FALSE))=TRUE,0,VLOOKUP(B58,'WBV 4'!$J$3:$K$34,2,FALSE)),IF(ISNA(VLOOKUP(B58,'WBV 4'!$N$3:$O$34,2,FALSE))=TRUE,0,VLOOKUP(B58,'WBV 4'!$N$3:$O$34,2,FALSE)))</f>
        <v>0</v>
      </c>
      <c r="L58" s="19">
        <f>MAX(IF(ISNA(VLOOKUP(B58,'NÖBV 1'!$B$3:$C$34,2,FALSE))=TRUE,0,VLOOKUP(B58,'NÖBV 1'!$B$3:$C$34,2,FALSE)),IF(ISNA(VLOOKUP(B58,'NÖBV 1'!$F$3:$G$34,2,FALSE))=TRUE,0,VLOOKUP(B58,'NÖBV 1'!$F$3:$G$34,2,FALSE)),IF(ISNA(VLOOKUP(B58,'NÖBV 1'!$J$3:$K$34,2,FALSE))=TRUE,0,VLOOKUP(B58,'NÖBV 1'!$J$3:$K$34,2,FALSE)),IF(ISNA(VLOOKUP(B58,'NÖBV 1'!$N$3:$O$34,2,FALSE))=TRUE,0,VLOOKUP(B58,'NÖBV 1'!$N$3:$O$34,2,FALSE)))</f>
        <v>0</v>
      </c>
      <c r="M58" s="19">
        <f>MAX(IF(ISNA(VLOOKUP(B58,'NÖBV 2'!$B$3:$C$34,2,FALSE))=TRUE,0,VLOOKUP(B58,'NÖBV 2'!$B$3:$C$34,2,FALSE)),IF(ISNA(VLOOKUP(B58,'NÖBV 2'!$F$3:$G$34,2,FALSE))=TRUE,0,VLOOKUP(B58,'NÖBV 2'!$F$3:$G$34,2,FALSE)),IF(ISNA(VLOOKUP(B58,'NÖBV 2'!$J$3:$K$34,2,FALSE))=TRUE,0,VLOOKUP(B58,'NÖBV 2'!$J$3:$K$34,2,FALSE)),IF(ISNA(VLOOKUP(B58,'NÖBV 2'!$N$3:$O$34,2,FALSE))=TRUE,0,VLOOKUP(B58,'NÖBV 2'!$N$3:$O$34,2,FALSE)))</f>
        <v>0</v>
      </c>
      <c r="N58" s="19">
        <f>MAX(IF(ISNA(VLOOKUP(B58,'NÖBV 3'!$B$3:$C$34,2,FALSE))=TRUE,0,VLOOKUP(B58,'NÖBV 3'!$B$3:$C$34,2,FALSE)),IF(ISNA(VLOOKUP(B58,'NÖBV 3'!$F$3:$G$34,2,FALSE))=TRUE,0,VLOOKUP(B58,'NÖBV 3'!$F$3:$G$34,2,FALSE)),IF(ISNA(VLOOKUP(B58,'NÖBV 3'!$J$3:$K$34,2,FALSE))=TRUE,0,VLOOKUP(B58,'NÖBV 3'!$J$3:$K$34,2,FALSE)),IF(ISNA(VLOOKUP(B58,'NÖBV 3'!$N$3:$O$34,2,FALSE))=TRUE,0,VLOOKUP(B58,'NÖBV 3'!$N$3:$O$34,2,FALSE)))</f>
        <v>0</v>
      </c>
      <c r="O58" s="15">
        <f>MAX(IF(ISNA(VLOOKUP(B58,'Regioturnier 1'!$B$3:$C$34,2,FALSE))=TRUE,0,VLOOKUP(B58,'Regioturnier 1'!$B$3:$C$34,2,FALSE)),IF(ISNA(VLOOKUP(B58,'Regioturnier 1'!$F$3:$G$34,2,FALSE))=TRUE,0,VLOOKUP(B58,'Regioturnier 1'!$F$3:$G$34,2,FALSE)),IF(ISNA(VLOOKUP(B58,'Regioturnier 1'!$J$3:$K$34,2,FALSE))=TRUE,0,VLOOKUP(B58,'Regioturnier 1'!$J$3:$K$34,2,FALSE)),IF(ISNA(VLOOKUP(B58,'Regioturnier 1'!$N$3:$O$34,2,FALSE))=TRUE,0,VLOOKUP(B58,'Regioturnier 1'!$N$3:$O$34,2,FALSE)),IF(ISNA(VLOOKUP(B58,'Regioturnier 1'!$R$3:$S$34,2,FALSE))=TRUE,0,VLOOKUP(B58,'Regioturnier 1'!$R$3:$S$34,2,FALSE)), IF(ISNA(VLOOKUP(B58,'Regioturnier 1'!$V$3:$W$34,2,FALSE))=TRUE,0,VLOOKUP(B58,'Regioturnier 1'!$V$3:$W$34,2,FALSE)), IF(ISNA(VLOOKUP(B58,'Regioturnier 1'!$Z$3:$AA$34,2,FALSE))=TRUE,0,VLOOKUP(B58,'Regioturnier 1'!$Z$3:$AA$34,2,FALSE)))</f>
        <v>0</v>
      </c>
      <c r="P58" s="15">
        <f>MAX(IF(ISNA(VLOOKUP(B58,'Regioturnier 2'!$B$3:$C$34,2,FALSE))=TRUE,0,VLOOKUP(B58,'Regioturnier 2'!$B$3:$C$34,2,FALSE)),IF(ISNA(VLOOKUP(B58,'Regioturnier 2'!$F$3:$G$34,2,FALSE))=TRUE,0,VLOOKUP(B58,'Regioturnier 2'!$F$3:$G$34,2,FALSE)),IF(ISNA(VLOOKUP(B58,'Regioturnier 2'!$J$3:$K$34,2,FALSE))=TRUE,0,VLOOKUP(B58,'Regioturnier 2'!$J$3:$K$34,2,FALSE)),IF(ISNA(VLOOKUP(B58,'Regioturnier 2'!$N$3:$O$34,2,FALSE))=TRUE,0,VLOOKUP(B58,'Regioturnier 2'!$N$3:$O$34,2,FALSE)),IF(ISNA(VLOOKUP(B58,'Regioturnier 2'!$R$3:$S$34,2,FALSE))=TRUE,0,VLOOKUP(B58,'Regioturnier 2'!$R$3:$S$34,2,FALSE)), IF(ISNA(VLOOKUP(B58,'Regioturnier 2'!$V$3:$W$34,2,FALSE))=TRUE,0,VLOOKUP(B58,'Regioturnier 2'!$V$3:$W$34,2,FALSE)), IF(ISNA(VLOOKUP(B58,'Regioturnier 2'!$Z$3:$AA$34,2,FALSE))=TRUE,0,VLOOKUP(B58,'Regioturnier 2'!$Z$3:$AA$34,2,FALSE)))</f>
        <v>218</v>
      </c>
      <c r="Q58" s="15">
        <f>MAX(IF(ISNA(VLOOKUP(B58,'Regioturnier 3'!$B$3:$C$34,2,FALSE))=TRUE,0,VLOOKUP(B58,'Regioturnier 3'!$B$3:$C$34,2,FALSE)),IF(ISNA(VLOOKUP(B58,'Regioturnier 3'!$F$3:$G$34,2,FALSE))=TRUE,0,VLOOKUP(B58,'Regioturnier 3'!$F$3:$G$34,2,FALSE)),IF(ISNA(VLOOKUP(B58,'Regioturnier 3'!$J$3:$K$34,2,FALSE))=TRUE,0,VLOOKUP(B58,'Regioturnier 3'!$J$3:$K$34,2,FALSE)),IF(ISNA(VLOOKUP(B58,'Regioturnier 3'!$N$3:$O$34,2,FALSE))=TRUE,0,VLOOKUP(B58,'Regioturnier 3'!$N$3:$O$34,2,FALSE)),IF(ISNA(VLOOKUP(B58,'Regioturnier 3'!$R$3:$S$34,2,FALSE))=TRUE,0,VLOOKUP(B58,'Regioturnier 3'!$R$3:$S$34,2,FALSE)), IF(ISNA(VLOOKUP(B58,'Regioturnier 3'!$V$3:$W$34,2,FALSE))=TRUE,0,VLOOKUP(B58,'Regioturnier 3'!$V$3:$W$34,2,FALSE)), IF(ISNA(VLOOKUP(B58,'Regioturnier 3'!$Z$3:$AA$34,2,FALSE))=TRUE,0,VLOOKUP(B58,'Regioturnier 3'!$Z$3:$AA$34,2,FALSE)))</f>
        <v>0</v>
      </c>
      <c r="R58" s="20">
        <f>0.5*INDEX($H58:$N58,MATCH(LARGE($H58:$N58,1),$H58:$N58,0))+0.3*INDEX($H58:$N58,MATCH(LARGE($H58:$N58,2),$H58:$N58,0))+0.2*INDEX($H58:$N58,MATCH(LARGE($H58:$N58,3),$H58:$N58,0))</f>
        <v>0</v>
      </c>
      <c r="S58" s="20">
        <f>0.6*INDEX(O58:Q58,MATCH(LARGE(O58:Q58,1),O58:Q58,0))+0.4*INDEX(O58:Q58,MATCH(LARGE(O58:Q58,2),O58:Q58,0))+0*INDEX(O58:Q58,MATCH(LARGE(O58:Q58,3),O58:Q58,0))</f>
        <v>130.79999999999998</v>
      </c>
      <c r="T58" s="15">
        <f>1*INDEX(R58:S58,MATCH(LARGE(R58:S58,1),R58:S58,0))+0*INDEX(R58:S58,MATCH(LARGE(R58:S58,2),R58:S58,0))</f>
        <v>130.79999999999998</v>
      </c>
      <c r="U58" s="21"/>
      <c r="V58" s="21"/>
      <c r="W58" s="21"/>
      <c r="X58" s="21"/>
      <c r="Y58" s="21"/>
      <c r="Z58" s="21"/>
    </row>
    <row r="59" spans="1:26" ht="12.75" customHeight="1" x14ac:dyDescent="0.3">
      <c r="A59" s="15">
        <v>58</v>
      </c>
      <c r="B59" s="16" t="s">
        <v>82</v>
      </c>
      <c r="C59" s="17" t="s">
        <v>31</v>
      </c>
      <c r="D59" s="15" t="s">
        <v>26</v>
      </c>
      <c r="E59" s="18" t="s">
        <v>23</v>
      </c>
      <c r="F59" s="15">
        <v>17827</v>
      </c>
      <c r="G59" s="22">
        <v>2010</v>
      </c>
      <c r="H59" s="15">
        <f>MAX(IF(ISNA(VLOOKUP(B59,'WBV 1'!$B$3:$C$34,2,FALSE))=TRUE,0,VLOOKUP(B59,'WBV 1'!$B$3:$C$34,2,FALSE)),IF(ISNA(VLOOKUP(B59,'WBV 1'!$F$3:$G$34,2,FALSE))=TRUE,0,VLOOKUP(B59,'WBV 1'!$F$3:$G$34,2,FALSE)),IF(ISNA(VLOOKUP(B59,'WBV 1'!$J$3:$K$34,2,FALSE))=TRUE,0,VLOOKUP(B59,'WBV 1'!$J$3:$K$34,2,FALSE)),IF(ISNA(VLOOKUP(B59,'WBV 1'!$N$3:$O$34,2,FALSE))=TRUE,0,VLOOKUP(B59,'WBV 1'!$N$3:$O$34,2,FALSE)))</f>
        <v>196</v>
      </c>
      <c r="I59" s="15">
        <f>MAX(IF(ISNA(VLOOKUP(B59,'WBV 2'!$B$3:$C$34,2,FALSE))=TRUE,0,VLOOKUP(B59,'WBV 2'!$B$3:$C$34,2,FALSE)),IF(ISNA(VLOOKUP(B59,'WBV 2'!$F$3:$G$34,2,FALSE))=TRUE,0,VLOOKUP(B59,'WBV 2'!$F$3:$G$34,2,FALSE)),IF(ISNA(VLOOKUP(B59,'WBV 2'!$J$3:$K$34,2,FALSE))=TRUE,0,VLOOKUP(B59,'WBV 2'!$J$3:$K$34,2,FALSE)),IF(ISNA(VLOOKUP(B59,'WBV 2'!$N$3:$O$34,2,FALSE))=TRUE,0,VLOOKUP(B59,'WBV 2'!$N$3:$O$34,2,FALSE)))</f>
        <v>0</v>
      </c>
      <c r="J59" s="15">
        <f>MAX(IF(ISNA(VLOOKUP(B59,'WBV 3'!$B$3:$C$34,2,FALSE))=TRUE,0,VLOOKUP(B59,'WBV 3'!$B$3:$C$34,2,FALSE)),IF(ISNA(VLOOKUP(B59,'WBV 3'!$F$3:$G$34,2,FALSE))=TRUE,0,VLOOKUP(B59,'WBV 3'!$F$3:$G$34,2,FALSE)),IF(ISNA(VLOOKUP(B59,'WBV 3'!$J$3:$K$34,2,FALSE))=TRUE,0,VLOOKUP(B59,'WBV 3'!$J$3:$K$34,2,FALSE)),IF(ISNA(VLOOKUP(B59,'WBV 3'!$N$3:$O$34,2,FALSE))=TRUE,0,VLOOKUP(B59,'WBV 3'!$N$3:$O$34,2,FALSE)))</f>
        <v>0</v>
      </c>
      <c r="K59" s="15">
        <f>MAX(IF(ISNA(VLOOKUP(B59,'WBV 4'!$B$3:$C$34,2,FALSE))=TRUE,0,VLOOKUP(B59,'WBV 4'!$B$3:$C$34,2,FALSE)),IF(ISNA(VLOOKUP(B59,'WBV 4'!$F$3:$G$34,2,FALSE))=TRUE,0,VLOOKUP(B59,'WBV 4'!$F$3:$G$34,2,FALSE)),IF(ISNA(VLOOKUP(B59,'WBV 4'!$J$3:$K$34,2,FALSE))=TRUE,0,VLOOKUP(B59,'WBV 4'!$J$3:$K$34,2,FALSE)),IF(ISNA(VLOOKUP(B59,'WBV 4'!$N$3:$O$34,2,FALSE))=TRUE,0,VLOOKUP(B59,'WBV 4'!$N$3:$O$34,2,FALSE)))</f>
        <v>0</v>
      </c>
      <c r="L59" s="19">
        <f>MAX(IF(ISNA(VLOOKUP(B59,'NÖBV 1'!$B$3:$C$34,2,FALSE))=TRUE,0,VLOOKUP(B59,'NÖBV 1'!$B$3:$C$34,2,FALSE)),IF(ISNA(VLOOKUP(B59,'NÖBV 1'!$F$3:$G$34,2,FALSE))=TRUE,0,VLOOKUP(B59,'NÖBV 1'!$F$3:$G$34,2,FALSE)),IF(ISNA(VLOOKUP(B59,'NÖBV 1'!$J$3:$K$34,2,FALSE))=TRUE,0,VLOOKUP(B59,'NÖBV 1'!$J$3:$K$34,2,FALSE)),IF(ISNA(VLOOKUP(B59,'NÖBV 1'!$N$3:$O$34,2,FALSE))=TRUE,0,VLOOKUP(B59,'NÖBV 1'!$N$3:$O$34,2,FALSE)))</f>
        <v>0</v>
      </c>
      <c r="M59" s="19">
        <f>MAX(IF(ISNA(VLOOKUP(B59,'NÖBV 2'!$B$3:$C$34,2,FALSE))=TRUE,0,VLOOKUP(B59,'NÖBV 2'!$B$3:$C$34,2,FALSE)),IF(ISNA(VLOOKUP(B59,'NÖBV 2'!$F$3:$G$34,2,FALSE))=TRUE,0,VLOOKUP(B59,'NÖBV 2'!$F$3:$G$34,2,FALSE)),IF(ISNA(VLOOKUP(B59,'NÖBV 2'!$J$3:$K$34,2,FALSE))=TRUE,0,VLOOKUP(B59,'NÖBV 2'!$J$3:$K$34,2,FALSE)),IF(ISNA(VLOOKUP(B59,'NÖBV 2'!$N$3:$O$34,2,FALSE))=TRUE,0,VLOOKUP(B59,'NÖBV 2'!$N$3:$O$34,2,FALSE)))</f>
        <v>0</v>
      </c>
      <c r="N59" s="19">
        <f>MAX(IF(ISNA(VLOOKUP(B59,'NÖBV 3'!$B$3:$C$34,2,FALSE))=TRUE,0,VLOOKUP(B59,'NÖBV 3'!$B$3:$C$34,2,FALSE)),IF(ISNA(VLOOKUP(B59,'NÖBV 3'!$F$3:$G$34,2,FALSE))=TRUE,0,VLOOKUP(B59,'NÖBV 3'!$F$3:$G$34,2,FALSE)),IF(ISNA(VLOOKUP(B59,'NÖBV 3'!$J$3:$K$34,2,FALSE))=TRUE,0,VLOOKUP(B59,'NÖBV 3'!$J$3:$K$34,2,FALSE)),IF(ISNA(VLOOKUP(B59,'NÖBV 3'!$N$3:$O$34,2,FALSE))=TRUE,0,VLOOKUP(B59,'NÖBV 3'!$N$3:$O$34,2,FALSE)))</f>
        <v>0</v>
      </c>
      <c r="O59" s="15">
        <f>MAX(IF(ISNA(VLOOKUP(B59,'Regioturnier 1'!$B$3:$C$34,2,FALSE))=TRUE,0,VLOOKUP(B59,'Regioturnier 1'!$B$3:$C$34,2,FALSE)),IF(ISNA(VLOOKUP(B59,'Regioturnier 1'!$F$3:$G$34,2,FALSE))=TRUE,0,VLOOKUP(B59,'Regioturnier 1'!$F$3:$G$34,2,FALSE)),IF(ISNA(VLOOKUP(B59,'Regioturnier 1'!$J$3:$K$34,2,FALSE))=TRUE,0,VLOOKUP(B59,'Regioturnier 1'!$J$3:$K$34,2,FALSE)),IF(ISNA(VLOOKUP(B59,'Regioturnier 1'!$N$3:$O$34,2,FALSE))=TRUE,0,VLOOKUP(B59,'Regioturnier 1'!$N$3:$O$34,2,FALSE)),IF(ISNA(VLOOKUP(B59,'Regioturnier 1'!$R$3:$S$34,2,FALSE))=TRUE,0,VLOOKUP(B59,'Regioturnier 1'!$R$3:$S$34,2,FALSE)), IF(ISNA(VLOOKUP(B59,'Regioturnier 1'!$V$3:$W$34,2,FALSE))=TRUE,0,VLOOKUP(B59,'Regioturnier 1'!$V$3:$W$34,2,FALSE)), IF(ISNA(VLOOKUP(B59,'Regioturnier 1'!$Z$3:$AA$34,2,FALSE))=TRUE,0,VLOOKUP(B59,'Regioturnier 1'!$Z$3:$AA$34,2,FALSE)))</f>
        <v>0</v>
      </c>
      <c r="P59" s="15">
        <f>MAX(IF(ISNA(VLOOKUP(B59,'Regioturnier 2'!$B$3:$C$34,2,FALSE))=TRUE,0,VLOOKUP(B59,'Regioturnier 2'!$B$3:$C$34,2,FALSE)),IF(ISNA(VLOOKUP(B59,'Regioturnier 2'!$F$3:$G$34,2,FALSE))=TRUE,0,VLOOKUP(B59,'Regioturnier 2'!$F$3:$G$34,2,FALSE)),IF(ISNA(VLOOKUP(B59,'Regioturnier 2'!$J$3:$K$34,2,FALSE))=TRUE,0,VLOOKUP(B59,'Regioturnier 2'!$J$3:$K$34,2,FALSE)),IF(ISNA(VLOOKUP(B59,'Regioturnier 2'!$N$3:$O$34,2,FALSE))=TRUE,0,VLOOKUP(B59,'Regioturnier 2'!$N$3:$O$34,2,FALSE)),IF(ISNA(VLOOKUP(B59,'Regioturnier 2'!$R$3:$S$34,2,FALSE))=TRUE,0,VLOOKUP(B59,'Regioturnier 2'!$R$3:$S$34,2,FALSE)), IF(ISNA(VLOOKUP(B59,'Regioturnier 2'!$V$3:$W$34,2,FALSE))=TRUE,0,VLOOKUP(B59,'Regioturnier 2'!$V$3:$W$34,2,FALSE)), IF(ISNA(VLOOKUP(B59,'Regioturnier 2'!$Z$3:$AA$34,2,FALSE))=TRUE,0,VLOOKUP(B59,'Regioturnier 2'!$Z$3:$AA$34,2,FALSE)))</f>
        <v>214</v>
      </c>
      <c r="Q59" s="15">
        <f>MAX(IF(ISNA(VLOOKUP(B59,'Regioturnier 3'!$B$3:$C$34,2,FALSE))=TRUE,0,VLOOKUP(B59,'Regioturnier 3'!$B$3:$C$34,2,FALSE)),IF(ISNA(VLOOKUP(B59,'Regioturnier 3'!$F$3:$G$34,2,FALSE))=TRUE,0,VLOOKUP(B59,'Regioturnier 3'!$F$3:$G$34,2,FALSE)),IF(ISNA(VLOOKUP(B59,'Regioturnier 3'!$J$3:$K$34,2,FALSE))=TRUE,0,VLOOKUP(B59,'Regioturnier 3'!$J$3:$K$34,2,FALSE)),IF(ISNA(VLOOKUP(B59,'Regioturnier 3'!$N$3:$O$34,2,FALSE))=TRUE,0,VLOOKUP(B59,'Regioturnier 3'!$N$3:$O$34,2,FALSE)),IF(ISNA(VLOOKUP(B59,'Regioturnier 3'!$R$3:$S$34,2,FALSE))=TRUE,0,VLOOKUP(B59,'Regioturnier 3'!$R$3:$S$34,2,FALSE)), IF(ISNA(VLOOKUP(B59,'Regioturnier 3'!$V$3:$W$34,2,FALSE))=TRUE,0,VLOOKUP(B59,'Regioturnier 3'!$V$3:$W$34,2,FALSE)), IF(ISNA(VLOOKUP(B59,'Regioturnier 3'!$Z$3:$AA$34,2,FALSE))=TRUE,0,VLOOKUP(B59,'Regioturnier 3'!$Z$3:$AA$34,2,FALSE)))</f>
        <v>0</v>
      </c>
      <c r="R59" s="20">
        <f>0.5*INDEX($H59:$N59,MATCH(LARGE($H59:$N59,1),$H59:$N59,0))+0.3*INDEX($H59:$N59,MATCH(LARGE($H59:$N59,2),$H59:$N59,0))+0.2*INDEX($H59:$N59,MATCH(LARGE($H59:$N59,3),$H59:$N59,0))</f>
        <v>98</v>
      </c>
      <c r="S59" s="20">
        <f>0.6*INDEX(O59:Q59,MATCH(LARGE(O59:Q59,1),O59:Q59,0))+0.4*INDEX(O59:Q59,MATCH(LARGE(O59:Q59,2),O59:Q59,0))+0*INDEX(O59:Q59,MATCH(LARGE(O59:Q59,3),O59:Q59,0))</f>
        <v>128.4</v>
      </c>
      <c r="T59" s="15">
        <f>1*INDEX(R59:S59,MATCH(LARGE(R59:S59,1),R59:S59,0))+0*INDEX(R59:S59,MATCH(LARGE(R59:S59,2),R59:S59,0))</f>
        <v>128.4</v>
      </c>
      <c r="U59" s="21"/>
      <c r="V59" s="21"/>
      <c r="W59" s="21"/>
      <c r="X59" s="21"/>
      <c r="Y59" s="21"/>
      <c r="Z59" s="21"/>
    </row>
    <row r="60" spans="1:26" ht="12.75" customHeight="1" x14ac:dyDescent="0.3">
      <c r="A60" s="15">
        <v>59</v>
      </c>
      <c r="B60" s="16" t="s">
        <v>303</v>
      </c>
      <c r="C60" s="17" t="s">
        <v>25</v>
      </c>
      <c r="D60" s="15" t="s">
        <v>26</v>
      </c>
      <c r="E60" s="18" t="s">
        <v>23</v>
      </c>
      <c r="F60" s="15">
        <v>112108</v>
      </c>
      <c r="G60" s="22"/>
      <c r="H60" s="15">
        <f>MAX(IF(ISNA(VLOOKUP(B60,'WBV 1'!$B$3:$C$34,2,FALSE))=TRUE,0,VLOOKUP(B60,'WBV 1'!$B$3:$C$34,2,FALSE)),IF(ISNA(VLOOKUP(B60,'WBV 1'!$F$3:$G$34,2,FALSE))=TRUE,0,VLOOKUP(B60,'WBV 1'!$F$3:$G$34,2,FALSE)),IF(ISNA(VLOOKUP(B60,'WBV 1'!$J$3:$K$34,2,FALSE))=TRUE,0,VLOOKUP(B60,'WBV 1'!$J$3:$K$34,2,FALSE)),IF(ISNA(VLOOKUP(B60,'WBV 1'!$N$3:$O$34,2,FALSE))=TRUE,0,VLOOKUP(B60,'WBV 1'!$N$3:$O$34,2,FALSE)))</f>
        <v>167</v>
      </c>
      <c r="I60" s="15">
        <f>MAX(IF(ISNA(VLOOKUP(B60,'WBV 2'!$B$3:$C$34,2,FALSE))=TRUE,0,VLOOKUP(B60,'WBV 2'!$B$3:$C$34,2,FALSE)),IF(ISNA(VLOOKUP(B60,'WBV 2'!$F$3:$G$34,2,FALSE))=TRUE,0,VLOOKUP(B60,'WBV 2'!$F$3:$G$34,2,FALSE)),IF(ISNA(VLOOKUP(B60,'WBV 2'!$J$3:$K$34,2,FALSE))=TRUE,0,VLOOKUP(B60,'WBV 2'!$J$3:$K$34,2,FALSE)),IF(ISNA(VLOOKUP(B60,'WBV 2'!$N$3:$O$34,2,FALSE))=TRUE,0,VLOOKUP(B60,'WBV 2'!$N$3:$O$34,2,FALSE)))</f>
        <v>143</v>
      </c>
      <c r="J60" s="15">
        <f>MAX(IF(ISNA(VLOOKUP(B60,'WBV 3'!$B$3:$C$34,2,FALSE))=TRUE,0,VLOOKUP(B60,'WBV 3'!$B$3:$C$34,2,FALSE)),IF(ISNA(VLOOKUP(B60,'WBV 3'!$F$3:$G$34,2,FALSE))=TRUE,0,VLOOKUP(B60,'WBV 3'!$F$3:$G$34,2,FALSE)),IF(ISNA(VLOOKUP(B60,'WBV 3'!$J$3:$K$34,2,FALSE))=TRUE,0,VLOOKUP(B60,'WBV 3'!$J$3:$K$34,2,FALSE)),IF(ISNA(VLOOKUP(B60,'WBV 3'!$N$3:$O$34,2,FALSE))=TRUE,0,VLOOKUP(B60,'WBV 3'!$N$3:$O$34,2,FALSE)))</f>
        <v>0</v>
      </c>
      <c r="K60" s="15">
        <f>MAX(IF(ISNA(VLOOKUP(B60,'WBV 4'!$B$3:$C$34,2,FALSE))=TRUE,0,VLOOKUP(B60,'WBV 4'!$B$3:$C$34,2,FALSE)),IF(ISNA(VLOOKUP(B60,'WBV 4'!$F$3:$G$34,2,FALSE))=TRUE,0,VLOOKUP(B60,'WBV 4'!$F$3:$G$34,2,FALSE)),IF(ISNA(VLOOKUP(B60,'WBV 4'!$J$3:$K$34,2,FALSE))=TRUE,0,VLOOKUP(B60,'WBV 4'!$J$3:$K$34,2,FALSE)),IF(ISNA(VLOOKUP(B60,'WBV 4'!$N$3:$O$34,2,FALSE))=TRUE,0,VLOOKUP(B60,'WBV 4'!$N$3:$O$34,2,FALSE)))</f>
        <v>0</v>
      </c>
      <c r="L60" s="19">
        <f>MAX(IF(ISNA(VLOOKUP(B60,'NÖBV 1'!$B$3:$C$34,2,FALSE))=TRUE,0,VLOOKUP(B60,'NÖBV 1'!$B$3:$C$34,2,FALSE)),IF(ISNA(VLOOKUP(B60,'NÖBV 1'!$F$3:$G$34,2,FALSE))=TRUE,0,VLOOKUP(B60,'NÖBV 1'!$F$3:$G$34,2,FALSE)),IF(ISNA(VLOOKUP(B60,'NÖBV 1'!$J$3:$K$34,2,FALSE))=TRUE,0,VLOOKUP(B60,'NÖBV 1'!$J$3:$K$34,2,FALSE)),IF(ISNA(VLOOKUP(B60,'NÖBV 1'!$N$3:$O$34,2,FALSE))=TRUE,0,VLOOKUP(B60,'NÖBV 1'!$N$3:$O$34,2,FALSE)))</f>
        <v>0</v>
      </c>
      <c r="M60" s="19">
        <f>MAX(IF(ISNA(VLOOKUP(B60,'NÖBV 2'!$B$3:$C$34,2,FALSE))=TRUE,0,VLOOKUP(B60,'NÖBV 2'!$B$3:$C$34,2,FALSE)),IF(ISNA(VLOOKUP(B60,'NÖBV 2'!$F$3:$G$34,2,FALSE))=TRUE,0,VLOOKUP(B60,'NÖBV 2'!$F$3:$G$34,2,FALSE)),IF(ISNA(VLOOKUP(B60,'NÖBV 2'!$J$3:$K$34,2,FALSE))=TRUE,0,VLOOKUP(B60,'NÖBV 2'!$J$3:$K$34,2,FALSE)),IF(ISNA(VLOOKUP(B60,'NÖBV 2'!$N$3:$O$34,2,FALSE))=TRUE,0,VLOOKUP(B60,'NÖBV 2'!$N$3:$O$34,2,FALSE)))</f>
        <v>0</v>
      </c>
      <c r="N60" s="19">
        <f>MAX(IF(ISNA(VLOOKUP(B60,'NÖBV 3'!$B$3:$C$34,2,FALSE))=TRUE,0,VLOOKUP(B60,'NÖBV 3'!$B$3:$C$34,2,FALSE)),IF(ISNA(VLOOKUP(B60,'NÖBV 3'!$F$3:$G$34,2,FALSE))=TRUE,0,VLOOKUP(B60,'NÖBV 3'!$F$3:$G$34,2,FALSE)),IF(ISNA(VLOOKUP(B60,'NÖBV 3'!$J$3:$K$34,2,FALSE))=TRUE,0,VLOOKUP(B60,'NÖBV 3'!$J$3:$K$34,2,FALSE)),IF(ISNA(VLOOKUP(B60,'NÖBV 3'!$N$3:$O$34,2,FALSE))=TRUE,0,VLOOKUP(B60,'NÖBV 3'!$N$3:$O$34,2,FALSE)))</f>
        <v>0</v>
      </c>
      <c r="O60" s="15">
        <f>MAX(IF(ISNA(VLOOKUP(B60,'Regioturnier 1'!$B$3:$C$34,2,FALSE))=TRUE,0,VLOOKUP(B60,'Regioturnier 1'!$B$3:$C$34,2,FALSE)),IF(ISNA(VLOOKUP(B60,'Regioturnier 1'!$F$3:$G$34,2,FALSE))=TRUE,0,VLOOKUP(B60,'Regioturnier 1'!$F$3:$G$34,2,FALSE)),IF(ISNA(VLOOKUP(B60,'Regioturnier 1'!$J$3:$K$34,2,FALSE))=TRUE,0,VLOOKUP(B60,'Regioturnier 1'!$J$3:$K$34,2,FALSE)),IF(ISNA(VLOOKUP(B60,'Regioturnier 1'!$N$3:$O$34,2,FALSE))=TRUE,0,VLOOKUP(B60,'Regioturnier 1'!$N$3:$O$34,2,FALSE)),IF(ISNA(VLOOKUP(B60,'Regioturnier 1'!$R$3:$S$34,2,FALSE))=TRUE,0,VLOOKUP(B60,'Regioturnier 1'!$R$3:$S$34,2,FALSE)), IF(ISNA(VLOOKUP(B60,'Regioturnier 1'!$V$3:$W$34,2,FALSE))=TRUE,0,VLOOKUP(B60,'Regioturnier 1'!$V$3:$W$34,2,FALSE)), IF(ISNA(VLOOKUP(B60,'Regioturnier 1'!$Z$3:$AA$34,2,FALSE))=TRUE,0,VLOOKUP(B60,'Regioturnier 1'!$Z$3:$AA$34,2,FALSE)))</f>
        <v>0</v>
      </c>
      <c r="P60" s="15">
        <f>MAX(IF(ISNA(VLOOKUP(B60,'Regioturnier 2'!$B$3:$C$34,2,FALSE))=TRUE,0,VLOOKUP(B60,'Regioturnier 2'!$B$3:$C$34,2,FALSE)),IF(ISNA(VLOOKUP(B60,'Regioturnier 2'!$F$3:$G$34,2,FALSE))=TRUE,0,VLOOKUP(B60,'Regioturnier 2'!$F$3:$G$34,2,FALSE)),IF(ISNA(VLOOKUP(B60,'Regioturnier 2'!$J$3:$K$34,2,FALSE))=TRUE,0,VLOOKUP(B60,'Regioturnier 2'!$J$3:$K$34,2,FALSE)),IF(ISNA(VLOOKUP(B60,'Regioturnier 2'!$N$3:$O$34,2,FALSE))=TRUE,0,VLOOKUP(B60,'Regioturnier 2'!$N$3:$O$34,2,FALSE)),IF(ISNA(VLOOKUP(B60,'Regioturnier 2'!$R$3:$S$34,2,FALSE))=TRUE,0,VLOOKUP(B60,'Regioturnier 2'!$R$3:$S$34,2,FALSE)), IF(ISNA(VLOOKUP(B60,'Regioturnier 2'!$V$3:$W$34,2,FALSE))=TRUE,0,VLOOKUP(B60,'Regioturnier 2'!$V$3:$W$34,2,FALSE)), IF(ISNA(VLOOKUP(B60,'Regioturnier 2'!$Z$3:$AA$34,2,FALSE))=TRUE,0,VLOOKUP(B60,'Regioturnier 2'!$Z$3:$AA$34,2,FALSE)))</f>
        <v>192</v>
      </c>
      <c r="Q60" s="15">
        <f>MAX(IF(ISNA(VLOOKUP(B60,'Regioturnier 3'!$B$3:$C$34,2,FALSE))=TRUE,0,VLOOKUP(B60,'Regioturnier 3'!$B$3:$C$34,2,FALSE)),IF(ISNA(VLOOKUP(B60,'Regioturnier 3'!$F$3:$G$34,2,FALSE))=TRUE,0,VLOOKUP(B60,'Regioturnier 3'!$F$3:$G$34,2,FALSE)),IF(ISNA(VLOOKUP(B60,'Regioturnier 3'!$J$3:$K$34,2,FALSE))=TRUE,0,VLOOKUP(B60,'Regioturnier 3'!$J$3:$K$34,2,FALSE)),IF(ISNA(VLOOKUP(B60,'Regioturnier 3'!$N$3:$O$34,2,FALSE))=TRUE,0,VLOOKUP(B60,'Regioturnier 3'!$N$3:$O$34,2,FALSE)),IF(ISNA(VLOOKUP(B60,'Regioturnier 3'!$R$3:$S$34,2,FALSE))=TRUE,0,VLOOKUP(B60,'Regioturnier 3'!$R$3:$S$34,2,FALSE)), IF(ISNA(VLOOKUP(B60,'Regioturnier 3'!$V$3:$W$34,2,FALSE))=TRUE,0,VLOOKUP(B60,'Regioturnier 3'!$V$3:$W$34,2,FALSE)), IF(ISNA(VLOOKUP(B60,'Regioturnier 3'!$Z$3:$AA$34,2,FALSE))=TRUE,0,VLOOKUP(B60,'Regioturnier 3'!$Z$3:$AA$34,2,FALSE)))</f>
        <v>0</v>
      </c>
      <c r="R60" s="20">
        <f>0.5*INDEX($H60:$N60,MATCH(LARGE($H60:$N60,1),$H60:$N60,0))+0.3*INDEX($H60:$N60,MATCH(LARGE($H60:$N60,2),$H60:$N60,0))+0.2*INDEX($H60:$N60,MATCH(LARGE($H60:$N60,3),$H60:$N60,0))</f>
        <v>126.4</v>
      </c>
      <c r="S60" s="20">
        <f>0.6*INDEX(O60:Q60,MATCH(LARGE(O60:Q60,1),O60:Q60,0))+0.4*INDEX(O60:Q60,MATCH(LARGE(O60:Q60,2),O60:Q60,0))+0*INDEX(O60:Q60,MATCH(LARGE(O60:Q60,3),O60:Q60,0))</f>
        <v>115.19999999999999</v>
      </c>
      <c r="T60" s="15">
        <f>1*INDEX(R60:S60,MATCH(LARGE(R60:S60,1),R60:S60,0))+0*INDEX(R60:S60,MATCH(LARGE(R60:S60,2),R60:S60,0))</f>
        <v>126.4</v>
      </c>
      <c r="U60" s="21"/>
      <c r="V60" s="21"/>
      <c r="W60" s="21"/>
      <c r="X60" s="21"/>
      <c r="Y60" s="21"/>
      <c r="Z60" s="21"/>
    </row>
    <row r="61" spans="1:26" ht="12.75" customHeight="1" x14ac:dyDescent="0.3">
      <c r="A61" s="15">
        <v>60</v>
      </c>
      <c r="B61" s="16" t="s">
        <v>45</v>
      </c>
      <c r="C61" s="17" t="s">
        <v>46</v>
      </c>
      <c r="D61" s="15" t="s">
        <v>26</v>
      </c>
      <c r="E61" s="18" t="s">
        <v>23</v>
      </c>
      <c r="F61" s="15">
        <v>111527</v>
      </c>
      <c r="G61" s="22">
        <v>2009</v>
      </c>
      <c r="H61" s="15">
        <f>MAX(IF(ISNA(VLOOKUP(B61,'WBV 1'!$B$3:$C$34,2,FALSE))=TRUE,0,VLOOKUP(B61,'WBV 1'!$B$3:$C$34,2,FALSE)),IF(ISNA(VLOOKUP(B61,'WBV 1'!$F$3:$G$34,2,FALSE))=TRUE,0,VLOOKUP(B61,'WBV 1'!$F$3:$G$34,2,FALSE)),IF(ISNA(VLOOKUP(B61,'WBV 1'!$J$3:$K$34,2,FALSE))=TRUE,0,VLOOKUP(B61,'WBV 1'!$J$3:$K$34,2,FALSE)),IF(ISNA(VLOOKUP(B61,'WBV 1'!$N$3:$O$34,2,FALSE))=TRUE,0,VLOOKUP(B61,'WBV 1'!$N$3:$O$34,2,FALSE)))</f>
        <v>185</v>
      </c>
      <c r="I61" s="15">
        <f>MAX(IF(ISNA(VLOOKUP(B61,'WBV 2'!$B$3:$C$34,2,FALSE))=TRUE,0,VLOOKUP(B61,'WBV 2'!$B$3:$C$34,2,FALSE)),IF(ISNA(VLOOKUP(B61,'WBV 2'!$F$3:$G$34,2,FALSE))=TRUE,0,VLOOKUP(B61,'WBV 2'!$F$3:$G$34,2,FALSE)),IF(ISNA(VLOOKUP(B61,'WBV 2'!$J$3:$K$34,2,FALSE))=TRUE,0,VLOOKUP(B61,'WBV 2'!$J$3:$K$34,2,FALSE)),IF(ISNA(VLOOKUP(B61,'WBV 2'!$N$3:$O$34,2,FALSE))=TRUE,0,VLOOKUP(B61,'WBV 2'!$N$3:$O$34,2,FALSE)))</f>
        <v>0</v>
      </c>
      <c r="J61" s="15">
        <f>MAX(IF(ISNA(VLOOKUP(B61,'WBV 3'!$B$3:$C$34,2,FALSE))=TRUE,0,VLOOKUP(B61,'WBV 3'!$B$3:$C$34,2,FALSE)),IF(ISNA(VLOOKUP(B61,'WBV 3'!$F$3:$G$34,2,FALSE))=TRUE,0,VLOOKUP(B61,'WBV 3'!$F$3:$G$34,2,FALSE)),IF(ISNA(VLOOKUP(B61,'WBV 3'!$J$3:$K$34,2,FALSE))=TRUE,0,VLOOKUP(B61,'WBV 3'!$J$3:$K$34,2,FALSE)),IF(ISNA(VLOOKUP(B61,'WBV 3'!$N$3:$O$34,2,FALSE))=TRUE,0,VLOOKUP(B61,'WBV 3'!$N$3:$O$34,2,FALSE)))</f>
        <v>0</v>
      </c>
      <c r="K61" s="15">
        <f>MAX(IF(ISNA(VLOOKUP(B61,'WBV 4'!$B$3:$C$34,2,FALSE))=TRUE,0,VLOOKUP(B61,'WBV 4'!$B$3:$C$34,2,FALSE)),IF(ISNA(VLOOKUP(B61,'WBV 4'!$F$3:$G$34,2,FALSE))=TRUE,0,VLOOKUP(B61,'WBV 4'!$F$3:$G$34,2,FALSE)),IF(ISNA(VLOOKUP(B61,'WBV 4'!$J$3:$K$34,2,FALSE))=TRUE,0,VLOOKUP(B61,'WBV 4'!$J$3:$K$34,2,FALSE)),IF(ISNA(VLOOKUP(B61,'WBV 4'!$N$3:$O$34,2,FALSE))=TRUE,0,VLOOKUP(B61,'WBV 4'!$N$3:$O$34,2,FALSE)))</f>
        <v>0</v>
      </c>
      <c r="L61" s="19">
        <f>MAX(IF(ISNA(VLOOKUP(B61,'NÖBV 1'!$B$3:$C$34,2,FALSE))=TRUE,0,VLOOKUP(B61,'NÖBV 1'!$B$3:$C$34,2,FALSE)),IF(ISNA(VLOOKUP(B61,'NÖBV 1'!$F$3:$G$34,2,FALSE))=TRUE,0,VLOOKUP(B61,'NÖBV 1'!$F$3:$G$34,2,FALSE)),IF(ISNA(VLOOKUP(B61,'NÖBV 1'!$J$3:$K$34,2,FALSE))=TRUE,0,VLOOKUP(B61,'NÖBV 1'!$J$3:$K$34,2,FALSE)),IF(ISNA(VLOOKUP(B61,'NÖBV 1'!$N$3:$O$34,2,FALSE))=TRUE,0,VLOOKUP(B61,'NÖBV 1'!$N$3:$O$34,2,FALSE)))</f>
        <v>0</v>
      </c>
      <c r="M61" s="19">
        <f>MAX(IF(ISNA(VLOOKUP(B61,'NÖBV 2'!$B$3:$C$34,2,FALSE))=TRUE,0,VLOOKUP(B61,'NÖBV 2'!$B$3:$C$34,2,FALSE)),IF(ISNA(VLOOKUP(B61,'NÖBV 2'!$F$3:$G$34,2,FALSE))=TRUE,0,VLOOKUP(B61,'NÖBV 2'!$F$3:$G$34,2,FALSE)),IF(ISNA(VLOOKUP(B61,'NÖBV 2'!$J$3:$K$34,2,FALSE))=TRUE,0,VLOOKUP(B61,'NÖBV 2'!$J$3:$K$34,2,FALSE)),IF(ISNA(VLOOKUP(B61,'NÖBV 2'!$N$3:$O$34,2,FALSE))=TRUE,0,VLOOKUP(B61,'NÖBV 2'!$N$3:$O$34,2,FALSE)))</f>
        <v>0</v>
      </c>
      <c r="N61" s="19">
        <f>MAX(IF(ISNA(VLOOKUP(B61,'NÖBV 3'!$B$3:$C$34,2,FALSE))=TRUE,0,VLOOKUP(B61,'NÖBV 3'!$B$3:$C$34,2,FALSE)),IF(ISNA(VLOOKUP(B61,'NÖBV 3'!$F$3:$G$34,2,FALSE))=TRUE,0,VLOOKUP(B61,'NÖBV 3'!$F$3:$G$34,2,FALSE)),IF(ISNA(VLOOKUP(B61,'NÖBV 3'!$J$3:$K$34,2,FALSE))=TRUE,0,VLOOKUP(B61,'NÖBV 3'!$J$3:$K$34,2,FALSE)),IF(ISNA(VLOOKUP(B61,'NÖBV 3'!$N$3:$O$34,2,FALSE))=TRUE,0,VLOOKUP(B61,'NÖBV 3'!$N$3:$O$34,2,FALSE)))</f>
        <v>0</v>
      </c>
      <c r="O61" s="15">
        <f>MAX(IF(ISNA(VLOOKUP(B61,'Regioturnier 1'!$B$3:$C$34,2,FALSE))=TRUE,0,VLOOKUP(B61,'Regioturnier 1'!$B$3:$C$34,2,FALSE)),IF(ISNA(VLOOKUP(B61,'Regioturnier 1'!$F$3:$G$34,2,FALSE))=TRUE,0,VLOOKUP(B61,'Regioturnier 1'!$F$3:$G$34,2,FALSE)),IF(ISNA(VLOOKUP(B61,'Regioturnier 1'!$J$3:$K$34,2,FALSE))=TRUE,0,VLOOKUP(B61,'Regioturnier 1'!$J$3:$K$34,2,FALSE)),IF(ISNA(VLOOKUP(B61,'Regioturnier 1'!$N$3:$O$34,2,FALSE))=TRUE,0,VLOOKUP(B61,'Regioturnier 1'!$N$3:$O$34,2,FALSE)),IF(ISNA(VLOOKUP(B61,'Regioturnier 1'!$R$3:$S$34,2,FALSE))=TRUE,0,VLOOKUP(B61,'Regioturnier 1'!$R$3:$S$34,2,FALSE)), IF(ISNA(VLOOKUP(B61,'Regioturnier 1'!$V$3:$W$34,2,FALSE))=TRUE,0,VLOOKUP(B61,'Regioturnier 1'!$V$3:$W$34,2,FALSE)), IF(ISNA(VLOOKUP(B61,'Regioturnier 1'!$Z$3:$AA$34,2,FALSE))=TRUE,0,VLOOKUP(B61,'Regioturnier 1'!$Z$3:$AA$34,2,FALSE)))</f>
        <v>208</v>
      </c>
      <c r="P61" s="15">
        <f>MAX(IF(ISNA(VLOOKUP(B61,'Regioturnier 2'!$B$3:$C$34,2,FALSE))=TRUE,0,VLOOKUP(B61,'Regioturnier 2'!$B$3:$C$34,2,FALSE)),IF(ISNA(VLOOKUP(B61,'Regioturnier 2'!$F$3:$G$34,2,FALSE))=TRUE,0,VLOOKUP(B61,'Regioturnier 2'!$F$3:$G$34,2,FALSE)),IF(ISNA(VLOOKUP(B61,'Regioturnier 2'!$J$3:$K$34,2,FALSE))=TRUE,0,VLOOKUP(B61,'Regioturnier 2'!$J$3:$K$34,2,FALSE)),IF(ISNA(VLOOKUP(B61,'Regioturnier 2'!$N$3:$O$34,2,FALSE))=TRUE,0,VLOOKUP(B61,'Regioturnier 2'!$N$3:$O$34,2,FALSE)),IF(ISNA(VLOOKUP(B61,'Regioturnier 2'!$R$3:$S$34,2,FALSE))=TRUE,0,VLOOKUP(B61,'Regioturnier 2'!$R$3:$S$34,2,FALSE)), IF(ISNA(VLOOKUP(B61,'Regioturnier 2'!$V$3:$W$34,2,FALSE))=TRUE,0,VLOOKUP(B61,'Regioturnier 2'!$V$3:$W$34,2,FALSE)), IF(ISNA(VLOOKUP(B61,'Regioturnier 2'!$Z$3:$AA$34,2,FALSE))=TRUE,0,VLOOKUP(B61,'Regioturnier 2'!$Z$3:$AA$34,2,FALSE)))</f>
        <v>0</v>
      </c>
      <c r="Q61" s="15">
        <f>MAX(IF(ISNA(VLOOKUP(B61,'Regioturnier 3'!$B$3:$C$34,2,FALSE))=TRUE,0,VLOOKUP(B61,'Regioturnier 3'!$B$3:$C$34,2,FALSE)),IF(ISNA(VLOOKUP(B61,'Regioturnier 3'!$F$3:$G$34,2,FALSE))=TRUE,0,VLOOKUP(B61,'Regioturnier 3'!$F$3:$G$34,2,FALSE)),IF(ISNA(VLOOKUP(B61,'Regioturnier 3'!$J$3:$K$34,2,FALSE))=TRUE,0,VLOOKUP(B61,'Regioturnier 3'!$J$3:$K$34,2,FALSE)),IF(ISNA(VLOOKUP(B61,'Regioturnier 3'!$N$3:$O$34,2,FALSE))=TRUE,0,VLOOKUP(B61,'Regioturnier 3'!$N$3:$O$34,2,FALSE)),IF(ISNA(VLOOKUP(B61,'Regioturnier 3'!$R$3:$S$34,2,FALSE))=TRUE,0,VLOOKUP(B61,'Regioturnier 3'!$R$3:$S$34,2,FALSE)), IF(ISNA(VLOOKUP(B61,'Regioturnier 3'!$V$3:$W$34,2,FALSE))=TRUE,0,VLOOKUP(B61,'Regioturnier 3'!$V$3:$W$34,2,FALSE)), IF(ISNA(VLOOKUP(B61,'Regioturnier 3'!$Z$3:$AA$34,2,FALSE))=TRUE,0,VLOOKUP(B61,'Regioturnier 3'!$Z$3:$AA$34,2,FALSE)))</f>
        <v>0</v>
      </c>
      <c r="R61" s="20">
        <f>0.5*INDEX($H61:$N61,MATCH(LARGE($H61:$N61,1),$H61:$N61,0))+0.3*INDEX($H61:$N61,MATCH(LARGE($H61:$N61,2),$H61:$N61,0))+0.2*INDEX($H61:$N61,MATCH(LARGE($H61:$N61,3),$H61:$N61,0))</f>
        <v>92.5</v>
      </c>
      <c r="S61" s="20">
        <f>0.6*INDEX(O61:Q61,MATCH(LARGE(O61:Q61,1),O61:Q61,0))+0.4*INDEX(O61:Q61,MATCH(LARGE(O61:Q61,2),O61:Q61,0))+0*INDEX(O61:Q61,MATCH(LARGE(O61:Q61,3),O61:Q61,0))</f>
        <v>124.8</v>
      </c>
      <c r="T61" s="15">
        <f>1*INDEX(R61:S61,MATCH(LARGE(R61:S61,1),R61:S61,0))+0*INDEX(R61:S61,MATCH(LARGE(R61:S61,2),R61:S61,0))</f>
        <v>124.8</v>
      </c>
      <c r="U61" s="21"/>
      <c r="V61" s="21"/>
      <c r="W61" s="21"/>
      <c r="X61" s="21"/>
      <c r="Y61" s="21"/>
      <c r="Z61" s="21"/>
    </row>
    <row r="62" spans="1:26" ht="12.75" customHeight="1" x14ac:dyDescent="0.3">
      <c r="A62" s="15">
        <v>61</v>
      </c>
      <c r="B62" s="106" t="s">
        <v>598</v>
      </c>
      <c r="C62" s="106" t="s">
        <v>172</v>
      </c>
      <c r="D62" s="106" t="s">
        <v>26</v>
      </c>
      <c r="E62" s="18" t="s">
        <v>23</v>
      </c>
      <c r="F62" s="106" t="s">
        <v>603</v>
      </c>
      <c r="G62" s="107">
        <v>2015</v>
      </c>
      <c r="H62" s="105">
        <f>MAX(IF(ISNA(VLOOKUP(B62,'WBV 1'!$B$3:$C$34,2,FALSE))=TRUE,0,VLOOKUP(B62,'WBV 1'!$B$3:$C$34,2,FALSE)),IF(ISNA(VLOOKUP(B62,'WBV 1'!$F$3:$G$34,2,FALSE))=TRUE,0,VLOOKUP(B62,'WBV 1'!$F$3:$G$34,2,FALSE)),IF(ISNA(VLOOKUP(B62,'WBV 1'!$J$3:$K$34,2,FALSE))=TRUE,0,VLOOKUP(B62,'WBV 1'!$J$3:$K$34,2,FALSE)),IF(ISNA(VLOOKUP(B62,'WBV 1'!$N$3:$O$34,2,FALSE))=TRUE,0,VLOOKUP(B62,'WBV 1'!$N$3:$O$34,2,FALSE)))</f>
        <v>0</v>
      </c>
      <c r="I62" s="105">
        <f>MAX(IF(ISNA(VLOOKUP(B62,'WBV 2'!$B$3:$C$34,2,FALSE))=TRUE,0,VLOOKUP(B62,'WBV 2'!$B$3:$C$34,2,FALSE)),IF(ISNA(VLOOKUP(B62,'WBV 2'!$F$3:$G$34,2,FALSE))=TRUE,0,VLOOKUP(B62,'WBV 2'!$F$3:$G$34,2,FALSE)),IF(ISNA(VLOOKUP(B62,'WBV 2'!$J$3:$K$34,2,FALSE))=TRUE,0,VLOOKUP(B62,'WBV 2'!$J$3:$K$34,2,FALSE)),IF(ISNA(VLOOKUP(B62,'WBV 2'!$N$3:$O$34,2,FALSE))=TRUE,0,VLOOKUP(B62,'WBV 2'!$N$3:$O$34,2,FALSE)))</f>
        <v>0</v>
      </c>
      <c r="J62" s="105">
        <f>MAX(IF(ISNA(VLOOKUP(B62,'WBV 3'!$B$3:$C$34,2,FALSE))=TRUE,0,VLOOKUP(B62,'WBV 3'!$B$3:$C$34,2,FALSE)),IF(ISNA(VLOOKUP(B62,'WBV 3'!$F$3:$G$34,2,FALSE))=TRUE,0,VLOOKUP(B62,'WBV 3'!$F$3:$G$34,2,FALSE)),IF(ISNA(VLOOKUP(B62,'WBV 3'!$J$3:$K$34,2,FALSE))=TRUE,0,VLOOKUP(B62,'WBV 3'!$J$3:$K$34,2,FALSE)),IF(ISNA(VLOOKUP(B62,'WBV 3'!$N$3:$O$34,2,FALSE))=TRUE,0,VLOOKUP(B62,'WBV 3'!$N$3:$O$34,2,FALSE)))</f>
        <v>191</v>
      </c>
      <c r="K62" s="105">
        <f>MAX(IF(ISNA(VLOOKUP(B62,'WBV 4'!$B$3:$C$34,2,FALSE))=TRUE,0,VLOOKUP(B62,'WBV 4'!$B$3:$C$34,2,FALSE)),IF(ISNA(VLOOKUP(B62,'WBV 4'!$F$3:$G$34,2,FALSE))=TRUE,0,VLOOKUP(B62,'WBV 4'!$F$3:$G$34,2,FALSE)),IF(ISNA(VLOOKUP(B62,'WBV 4'!$J$3:$K$34,2,FALSE))=TRUE,0,VLOOKUP(B62,'WBV 4'!$J$3:$K$34,2,FALSE)),IF(ISNA(VLOOKUP(B62,'WBV 4'!$N$3:$O$34,2,FALSE))=TRUE,0,VLOOKUP(B62,'WBV 4'!$N$3:$O$34,2,FALSE)))</f>
        <v>0</v>
      </c>
      <c r="L62" s="105">
        <f>MAX(IF(ISNA(VLOOKUP(B62,'NÖBV 1'!$B$3:$C$34,2,FALSE))=TRUE,0,VLOOKUP(B62,'NÖBV 1'!$B$3:$C$34,2,FALSE)),IF(ISNA(VLOOKUP(B62,'NÖBV 1'!$F$3:$G$34,2,FALSE))=TRUE,0,VLOOKUP(B62,'NÖBV 1'!$F$3:$G$34,2,FALSE)),IF(ISNA(VLOOKUP(B62,'NÖBV 1'!$J$3:$K$34,2,FALSE))=TRUE,0,VLOOKUP(B62,'NÖBV 1'!$J$3:$K$34,2,FALSE)),IF(ISNA(VLOOKUP(B62,'NÖBV 1'!$N$3:$O$34,2,FALSE))=TRUE,0,VLOOKUP(B62,'NÖBV 1'!$N$3:$O$34,2,FALSE)))</f>
        <v>0</v>
      </c>
      <c r="M62" s="105">
        <f>MAX(IF(ISNA(VLOOKUP(B62,'NÖBV 2'!$B$3:$C$34,2,FALSE))=TRUE,0,VLOOKUP(B62,'NÖBV 2'!$B$3:$C$34,2,FALSE)),IF(ISNA(VLOOKUP(B62,'NÖBV 2'!$F$3:$G$34,2,FALSE))=TRUE,0,VLOOKUP(B62,'NÖBV 2'!$F$3:$G$34,2,FALSE)),IF(ISNA(VLOOKUP(B62,'NÖBV 2'!$J$3:$K$34,2,FALSE))=TRUE,0,VLOOKUP(B62,'NÖBV 2'!$J$3:$K$34,2,FALSE)),IF(ISNA(VLOOKUP(B62,'NÖBV 2'!$N$3:$O$34,2,FALSE))=TRUE,0,VLOOKUP(B62,'NÖBV 2'!$N$3:$O$34,2,FALSE)))</f>
        <v>0</v>
      </c>
      <c r="N62" s="105">
        <f>MAX(IF(ISNA(VLOOKUP(B62,'NÖBV 3'!$B$3:$C$34,2,FALSE))=TRUE,0,VLOOKUP(B62,'NÖBV 3'!$B$3:$C$34,2,FALSE)),IF(ISNA(VLOOKUP(B62,'NÖBV 3'!$F$3:$G$34,2,FALSE))=TRUE,0,VLOOKUP(B62,'NÖBV 3'!$F$3:$G$34,2,FALSE)),IF(ISNA(VLOOKUP(B62,'NÖBV 3'!$J$3:$K$34,2,FALSE))=TRUE,0,VLOOKUP(B62,'NÖBV 3'!$J$3:$K$34,2,FALSE)),IF(ISNA(VLOOKUP(B62,'NÖBV 3'!$N$3:$O$34,2,FALSE))=TRUE,0,VLOOKUP(B62,'NÖBV 3'!$N$3:$O$34,2,FALSE)))</f>
        <v>0</v>
      </c>
      <c r="O62" s="105">
        <f>MAX(IF(ISNA(VLOOKUP(B62,'Regioturnier 1'!$B$3:$C$34,2,FALSE))=TRUE,0,VLOOKUP(B62,'Regioturnier 1'!$B$3:$C$34,2,FALSE)),IF(ISNA(VLOOKUP(B62,'Regioturnier 1'!$F$3:$G$34,2,FALSE))=TRUE,0,VLOOKUP(B62,'Regioturnier 1'!$F$3:$G$34,2,FALSE)),IF(ISNA(VLOOKUP(B62,'Regioturnier 1'!$J$3:$K$34,2,FALSE))=TRUE,0,VLOOKUP(B62,'Regioturnier 1'!$J$3:$K$34,2,FALSE)),IF(ISNA(VLOOKUP(B62,'Regioturnier 1'!$N$3:$O$34,2,FALSE))=TRUE,0,VLOOKUP(B62,'Regioturnier 1'!$N$3:$O$34,2,FALSE)),IF(ISNA(VLOOKUP(B62,'Regioturnier 1'!$R$3:$S$34,2,FALSE))=TRUE,0,VLOOKUP(B62,'Regioturnier 1'!$R$3:$S$34,2,FALSE)), IF(ISNA(VLOOKUP(B62,'Regioturnier 1'!$V$3:$W$34,2,FALSE))=TRUE,0,VLOOKUP(B62,'Regioturnier 1'!$V$3:$W$34,2,FALSE)), IF(ISNA(VLOOKUP(B62,'Regioturnier 1'!$Z$3:$AA$34,2,FALSE))=TRUE,0,VLOOKUP(B62,'Regioturnier 1'!$Z$3:$AA$34,2,FALSE)))</f>
        <v>0</v>
      </c>
      <c r="P62" s="105">
        <f>MAX(IF(ISNA(VLOOKUP(B62,'Regioturnier 2'!$B$3:$C$34,2,FALSE))=TRUE,0,VLOOKUP(B62,'Regioturnier 2'!$B$3:$C$34,2,FALSE)),IF(ISNA(VLOOKUP(B62,'Regioturnier 2'!$F$3:$G$34,2,FALSE))=TRUE,0,VLOOKUP(B62,'Regioturnier 2'!$F$3:$G$34,2,FALSE)),IF(ISNA(VLOOKUP(B62,'Regioturnier 2'!$J$3:$K$34,2,FALSE))=TRUE,0,VLOOKUP(B62,'Regioturnier 2'!$J$3:$K$34,2,FALSE)),IF(ISNA(VLOOKUP(B62,'Regioturnier 2'!$N$3:$O$34,2,FALSE))=TRUE,0,VLOOKUP(B62,'Regioturnier 2'!$N$3:$O$34,2,FALSE)),IF(ISNA(VLOOKUP(B62,'Regioturnier 2'!$R$3:$S$34,2,FALSE))=TRUE,0,VLOOKUP(B62,'Regioturnier 2'!$R$3:$S$34,2,FALSE)), IF(ISNA(VLOOKUP(B62,'Regioturnier 2'!$V$3:$W$34,2,FALSE))=TRUE,0,VLOOKUP(B62,'Regioturnier 2'!$V$3:$W$34,2,FALSE)), IF(ISNA(VLOOKUP(B62,'Regioturnier 2'!$Z$3:$AA$34,2,FALSE))=TRUE,0,VLOOKUP(B62,'Regioturnier 2'!$Z$3:$AA$34,2,FALSE)))</f>
        <v>203</v>
      </c>
      <c r="Q62" s="105">
        <f>MAX(IF(ISNA(VLOOKUP(B62,'Regioturnier 3'!$B$3:$C$34,2,FALSE))=TRUE,0,VLOOKUP(B62,'Regioturnier 3'!$B$3:$C$34,2,FALSE)),IF(ISNA(VLOOKUP(B62,'Regioturnier 3'!$F$3:$G$34,2,FALSE))=TRUE,0,VLOOKUP(B62,'Regioturnier 3'!$F$3:$G$34,2,FALSE)),IF(ISNA(VLOOKUP(B62,'Regioturnier 3'!$J$3:$K$34,2,FALSE))=TRUE,0,VLOOKUP(B62,'Regioturnier 3'!$J$3:$K$34,2,FALSE)),IF(ISNA(VLOOKUP(B62,'Regioturnier 3'!$N$3:$O$34,2,FALSE))=TRUE,0,VLOOKUP(B62,'Regioturnier 3'!$N$3:$O$34,2,FALSE)),IF(ISNA(VLOOKUP(B62,'Regioturnier 3'!$R$3:$S$34,2,FALSE))=TRUE,0,VLOOKUP(B62,'Regioturnier 3'!$R$3:$S$34,2,FALSE)), IF(ISNA(VLOOKUP(B62,'Regioturnier 3'!$V$3:$W$34,2,FALSE))=TRUE,0,VLOOKUP(B62,'Regioturnier 3'!$V$3:$W$34,2,FALSE)), IF(ISNA(VLOOKUP(B62,'Regioturnier 3'!$Z$3:$AA$34,2,FALSE))=TRUE,0,VLOOKUP(B62,'Regioturnier 3'!$Z$3:$AA$34,2,FALSE)))</f>
        <v>0</v>
      </c>
      <c r="R62" s="108">
        <f>0.5*INDEX($H62:$N62,MATCH(LARGE($H62:$N62,1),$H62:$N62,0))+0.3*INDEX($H62:$N62,MATCH(LARGE($H62:$N62,2),$H62:$N62,0))+0.2*INDEX($H62:$N62,MATCH(LARGE($H62:$N62,3),$H62:$N62,0))</f>
        <v>95.5</v>
      </c>
      <c r="S62" s="108">
        <f>0.6*INDEX(O62:Q62,MATCH(LARGE(O62:Q62,1),O62:Q62,0))+0.4*INDEX(O62:Q62,MATCH(LARGE(O62:Q62,2),O62:Q62,0))+0*INDEX(O62:Q62,MATCH(LARGE(O62:Q62,3),O62:Q62,0))</f>
        <v>121.8</v>
      </c>
      <c r="T62" s="105">
        <f>1*INDEX(R62:S62,MATCH(LARGE(R62:S62,1),R62:S62,0))+0*INDEX(R62:S62,MATCH(LARGE(R62:S62,2),R62:S62,0))</f>
        <v>121.8</v>
      </c>
      <c r="U62" s="21"/>
      <c r="V62" s="21"/>
      <c r="W62" s="21"/>
      <c r="X62" s="21"/>
      <c r="Y62" s="21"/>
      <c r="Z62" s="21"/>
    </row>
    <row r="63" spans="1:26" ht="12.75" customHeight="1" x14ac:dyDescent="0.3">
      <c r="A63" s="15">
        <v>62</v>
      </c>
      <c r="B63" s="21" t="s">
        <v>623</v>
      </c>
      <c r="C63" s="21" t="s">
        <v>342</v>
      </c>
      <c r="D63" s="15" t="s">
        <v>26</v>
      </c>
      <c r="E63" s="15" t="s">
        <v>23</v>
      </c>
      <c r="F63" s="15" t="s">
        <v>629</v>
      </c>
      <c r="G63" s="15">
        <v>2014</v>
      </c>
      <c r="H63" s="15">
        <f>MAX(IF(ISNA(VLOOKUP(B63,'WBV 1'!$B$3:$C$34,2,FALSE))=TRUE,0,VLOOKUP(B63,'WBV 1'!$B$3:$C$34,2,FALSE)),IF(ISNA(VLOOKUP(B63,'WBV 1'!$F$3:$G$34,2,FALSE))=TRUE,0,VLOOKUP(B63,'WBV 1'!$F$3:$G$34,2,FALSE)),IF(ISNA(VLOOKUP(B63,'WBV 1'!$J$3:$K$34,2,FALSE))=TRUE,0,VLOOKUP(B63,'WBV 1'!$J$3:$K$34,2,FALSE)),IF(ISNA(VLOOKUP(B63,'WBV 1'!$N$3:$O$34,2,FALSE))=TRUE,0,VLOOKUP(B63,'WBV 1'!$N$3:$O$34,2,FALSE)))</f>
        <v>0</v>
      </c>
      <c r="I63" s="15">
        <f>MAX(IF(ISNA(VLOOKUP(B63,'WBV 2'!$B$3:$C$34,2,FALSE))=TRUE,0,VLOOKUP(B63,'WBV 2'!$B$3:$C$34,2,FALSE)),IF(ISNA(VLOOKUP(B63,'WBV 2'!$F$3:$G$34,2,FALSE))=TRUE,0,VLOOKUP(B63,'WBV 2'!$F$3:$G$34,2,FALSE)),IF(ISNA(VLOOKUP(B63,'WBV 2'!$J$3:$K$34,2,FALSE))=TRUE,0,VLOOKUP(B63,'WBV 2'!$J$3:$K$34,2,FALSE)),IF(ISNA(VLOOKUP(B63,'WBV 2'!$N$3:$O$34,2,FALSE))=TRUE,0,VLOOKUP(B63,'WBV 2'!$N$3:$O$34,2,FALSE)))</f>
        <v>0</v>
      </c>
      <c r="J63" s="15">
        <f>MAX(IF(ISNA(VLOOKUP(B63,'WBV 3'!$B$3:$C$34,2,FALSE))=TRUE,0,VLOOKUP(B63,'WBV 3'!$B$3:$C$34,2,FALSE)),IF(ISNA(VLOOKUP(B63,'WBV 3'!$F$3:$G$34,2,FALSE))=TRUE,0,VLOOKUP(B63,'WBV 3'!$F$3:$G$34,2,FALSE)),IF(ISNA(VLOOKUP(B63,'WBV 3'!$J$3:$K$34,2,FALSE))=TRUE,0,VLOOKUP(B63,'WBV 3'!$J$3:$K$34,2,FALSE)),IF(ISNA(VLOOKUP(B63,'WBV 3'!$N$3:$O$34,2,FALSE))=TRUE,0,VLOOKUP(B63,'WBV 3'!$N$3:$O$34,2,FALSE)))</f>
        <v>119</v>
      </c>
      <c r="K63" s="15">
        <f>MAX(IF(ISNA(VLOOKUP(B63,'WBV 4'!$B$3:$C$34,2,FALSE))=TRUE,0,VLOOKUP(B63,'WBV 4'!$B$3:$C$34,2,FALSE)),IF(ISNA(VLOOKUP(B63,'WBV 4'!$F$3:$G$34,2,FALSE))=TRUE,0,VLOOKUP(B63,'WBV 4'!$F$3:$G$34,2,FALSE)),IF(ISNA(VLOOKUP(B63,'WBV 4'!$J$3:$K$34,2,FALSE))=TRUE,0,VLOOKUP(B63,'WBV 4'!$J$3:$K$34,2,FALSE)),IF(ISNA(VLOOKUP(B63,'WBV 4'!$N$3:$O$34,2,FALSE))=TRUE,0,VLOOKUP(B63,'WBV 4'!$N$3:$O$34,2,FALSE)))</f>
        <v>0</v>
      </c>
      <c r="L63" s="19">
        <f>MAX(IF(ISNA(VLOOKUP(B63,'NÖBV 1'!$B$3:$C$34,2,FALSE))=TRUE,0,VLOOKUP(B63,'NÖBV 1'!$B$3:$C$34,2,FALSE)),IF(ISNA(VLOOKUP(B63,'NÖBV 1'!$F$3:$G$34,2,FALSE))=TRUE,0,VLOOKUP(B63,'NÖBV 1'!$F$3:$G$34,2,FALSE)),IF(ISNA(VLOOKUP(B63,'NÖBV 1'!$J$3:$K$34,2,FALSE))=TRUE,0,VLOOKUP(B63,'NÖBV 1'!$J$3:$K$34,2,FALSE)),IF(ISNA(VLOOKUP(B63,'NÖBV 1'!$N$3:$O$34,2,FALSE))=TRUE,0,VLOOKUP(B63,'NÖBV 1'!$N$3:$O$34,2,FALSE)))</f>
        <v>0</v>
      </c>
      <c r="M63" s="19">
        <f>MAX(IF(ISNA(VLOOKUP(B63,'NÖBV 2'!$B$3:$C$34,2,FALSE))=TRUE,0,VLOOKUP(B63,'NÖBV 2'!$B$3:$C$34,2,FALSE)),IF(ISNA(VLOOKUP(B63,'NÖBV 2'!$F$3:$G$34,2,FALSE))=TRUE,0,VLOOKUP(B63,'NÖBV 2'!$F$3:$G$34,2,FALSE)),IF(ISNA(VLOOKUP(B63,'NÖBV 2'!$J$3:$K$34,2,FALSE))=TRUE,0,VLOOKUP(B63,'NÖBV 2'!$J$3:$K$34,2,FALSE)),IF(ISNA(VLOOKUP(B63,'NÖBV 2'!$N$3:$O$34,2,FALSE))=TRUE,0,VLOOKUP(B63,'NÖBV 2'!$N$3:$O$34,2,FALSE)))</f>
        <v>0</v>
      </c>
      <c r="N63" s="19">
        <f>MAX(IF(ISNA(VLOOKUP(B63,'NÖBV 3'!$B$3:$C$34,2,FALSE))=TRUE,0,VLOOKUP(B63,'NÖBV 3'!$B$3:$C$34,2,FALSE)),IF(ISNA(VLOOKUP(B63,'NÖBV 3'!$F$3:$G$34,2,FALSE))=TRUE,0,VLOOKUP(B63,'NÖBV 3'!$F$3:$G$34,2,FALSE)),IF(ISNA(VLOOKUP(B63,'NÖBV 3'!$J$3:$K$34,2,FALSE))=TRUE,0,VLOOKUP(B63,'NÖBV 3'!$J$3:$K$34,2,FALSE)),IF(ISNA(VLOOKUP(B63,'NÖBV 3'!$N$3:$O$34,2,FALSE))=TRUE,0,VLOOKUP(B63,'NÖBV 3'!$N$3:$O$34,2,FALSE)))</f>
        <v>171</v>
      </c>
      <c r="O63" s="15">
        <f>MAX(IF(ISNA(VLOOKUP(B63,'Regioturnier 1'!$B$3:$C$34,2,FALSE))=TRUE,0,VLOOKUP(B63,'Regioturnier 1'!$B$3:$C$34,2,FALSE)),IF(ISNA(VLOOKUP(B63,'Regioturnier 1'!$F$3:$G$34,2,FALSE))=TRUE,0,VLOOKUP(B63,'Regioturnier 1'!$F$3:$G$34,2,FALSE)),IF(ISNA(VLOOKUP(B63,'Regioturnier 1'!$J$3:$K$34,2,FALSE))=TRUE,0,VLOOKUP(B63,'Regioturnier 1'!$J$3:$K$34,2,FALSE)),IF(ISNA(VLOOKUP(B63,'Regioturnier 1'!$N$3:$O$34,2,FALSE))=TRUE,0,VLOOKUP(B63,'Regioturnier 1'!$N$3:$O$34,2,FALSE)),IF(ISNA(VLOOKUP(B63,'Regioturnier 1'!$R$3:$S$34,2,FALSE))=TRUE,0,VLOOKUP(B63,'Regioturnier 1'!$R$3:$S$34,2,FALSE)), IF(ISNA(VLOOKUP(B63,'Regioturnier 1'!$V$3:$W$34,2,FALSE))=TRUE,0,VLOOKUP(B63,'Regioturnier 1'!$V$3:$W$34,2,FALSE)), IF(ISNA(VLOOKUP(B63,'Regioturnier 1'!$Z$3:$AA$34,2,FALSE))=TRUE,0,VLOOKUP(B63,'Regioturnier 1'!$Z$3:$AA$34,2,FALSE)))</f>
        <v>0</v>
      </c>
      <c r="P63" s="15">
        <f>MAX(IF(ISNA(VLOOKUP(B63,'Regioturnier 2'!$B$3:$C$34,2,FALSE))=TRUE,0,VLOOKUP(B63,'Regioturnier 2'!$B$3:$C$34,2,FALSE)),IF(ISNA(VLOOKUP(B63,'Regioturnier 2'!$F$3:$G$34,2,FALSE))=TRUE,0,VLOOKUP(B63,'Regioturnier 2'!$F$3:$G$34,2,FALSE)),IF(ISNA(VLOOKUP(B63,'Regioturnier 2'!$J$3:$K$34,2,FALSE))=TRUE,0,VLOOKUP(B63,'Regioturnier 2'!$J$3:$K$34,2,FALSE)),IF(ISNA(VLOOKUP(B63,'Regioturnier 2'!$N$3:$O$34,2,FALSE))=TRUE,0,VLOOKUP(B63,'Regioturnier 2'!$N$3:$O$34,2,FALSE)),IF(ISNA(VLOOKUP(B63,'Regioturnier 2'!$R$3:$S$34,2,FALSE))=TRUE,0,VLOOKUP(B63,'Regioturnier 2'!$R$3:$S$34,2,FALSE)), IF(ISNA(VLOOKUP(B63,'Regioturnier 2'!$V$3:$W$34,2,FALSE))=TRUE,0,VLOOKUP(B63,'Regioturnier 2'!$V$3:$W$34,2,FALSE)), IF(ISNA(VLOOKUP(B63,'Regioturnier 2'!$Z$3:$AA$34,2,FALSE))=TRUE,0,VLOOKUP(B63,'Regioturnier 2'!$Z$3:$AA$34,2,FALSE)))</f>
        <v>0</v>
      </c>
      <c r="Q63" s="15">
        <f>MAX(IF(ISNA(VLOOKUP(B63,'Regioturnier 3'!$B$3:$C$34,2,FALSE))=TRUE,0,VLOOKUP(B63,'Regioturnier 3'!$B$3:$C$34,2,FALSE)),IF(ISNA(VLOOKUP(B63,'Regioturnier 3'!$F$3:$G$34,2,FALSE))=TRUE,0,VLOOKUP(B63,'Regioturnier 3'!$F$3:$G$34,2,FALSE)),IF(ISNA(VLOOKUP(B63,'Regioturnier 3'!$J$3:$K$34,2,FALSE))=TRUE,0,VLOOKUP(B63,'Regioturnier 3'!$J$3:$K$34,2,FALSE)),IF(ISNA(VLOOKUP(B63,'Regioturnier 3'!$N$3:$O$34,2,FALSE))=TRUE,0,VLOOKUP(B63,'Regioturnier 3'!$N$3:$O$34,2,FALSE)),IF(ISNA(VLOOKUP(B63,'Regioturnier 3'!$R$3:$S$34,2,FALSE))=TRUE,0,VLOOKUP(B63,'Regioturnier 3'!$R$3:$S$34,2,FALSE)), IF(ISNA(VLOOKUP(B63,'Regioturnier 3'!$V$3:$W$34,2,FALSE))=TRUE,0,VLOOKUP(B63,'Regioturnier 3'!$V$3:$W$34,2,FALSE)), IF(ISNA(VLOOKUP(B63,'Regioturnier 3'!$Z$3:$AA$34,2,FALSE))=TRUE,0,VLOOKUP(B63,'Regioturnier 3'!$Z$3:$AA$34,2,FALSE)))</f>
        <v>0</v>
      </c>
      <c r="R63" s="20">
        <f>0.5*INDEX($H63:$N63,MATCH(LARGE($H63:$N63,1),$H63:$N63,0))+0.3*INDEX($H63:$N63,MATCH(LARGE($H63:$N63,2),$H63:$N63,0))+0.2*INDEX($H63:$N63,MATCH(LARGE($H63:$N63,3),$H63:$N63,0))</f>
        <v>121.19999999999999</v>
      </c>
      <c r="S63" s="20">
        <f>0.6*INDEX(O63:Q63,MATCH(LARGE(O63:Q63,1),O63:Q63,0))+0.4*INDEX(O63:Q63,MATCH(LARGE(O63:Q63,2),O63:Q63,0))+0*INDEX(O63:Q63,MATCH(LARGE(O63:Q63,3),O63:Q63,0))</f>
        <v>0</v>
      </c>
      <c r="T63" s="15">
        <f>1*INDEX(R63:S63,MATCH(LARGE(R63:S63,1),R63:S63,0))+0*INDEX(R63:S63,MATCH(LARGE(R63:S63,2),R63:S63,0))</f>
        <v>121.19999999999999</v>
      </c>
      <c r="U63" s="21"/>
      <c r="V63" s="21"/>
      <c r="W63" s="21"/>
      <c r="X63" s="21"/>
      <c r="Y63" s="21"/>
      <c r="Z63" s="21"/>
    </row>
    <row r="64" spans="1:26" ht="12.75" customHeight="1" x14ac:dyDescent="0.3">
      <c r="A64" s="15">
        <v>63</v>
      </c>
      <c r="B64" s="16" t="s">
        <v>47</v>
      </c>
      <c r="C64" s="17" t="s">
        <v>48</v>
      </c>
      <c r="D64" s="15" t="s">
        <v>26</v>
      </c>
      <c r="E64" s="18" t="s">
        <v>40</v>
      </c>
      <c r="F64" s="15">
        <v>110507</v>
      </c>
      <c r="G64" s="22">
        <v>2011</v>
      </c>
      <c r="H64" s="15">
        <f>MAX(IF(ISNA(VLOOKUP(B64,'WBV 1'!$B$3:$C$34,2,FALSE))=TRUE,0,VLOOKUP(B64,'WBV 1'!$B$3:$C$34,2,FALSE)),IF(ISNA(VLOOKUP(B64,'WBV 1'!$F$3:$G$34,2,FALSE))=TRUE,0,VLOOKUP(B64,'WBV 1'!$F$3:$G$34,2,FALSE)),IF(ISNA(VLOOKUP(B64,'WBV 1'!$J$3:$K$34,2,FALSE))=TRUE,0,VLOOKUP(B64,'WBV 1'!$J$3:$K$34,2,FALSE)),IF(ISNA(VLOOKUP(B64,'WBV 1'!$N$3:$O$34,2,FALSE))=TRUE,0,VLOOKUP(B64,'WBV 1'!$N$3:$O$34,2,FALSE)))</f>
        <v>0</v>
      </c>
      <c r="I64" s="15">
        <f>MAX(IF(ISNA(VLOOKUP(B64,'WBV 2'!$B$3:$C$34,2,FALSE))=TRUE,0,VLOOKUP(B64,'WBV 2'!$B$3:$C$34,2,FALSE)),IF(ISNA(VLOOKUP(B64,'WBV 2'!$F$3:$G$34,2,FALSE))=TRUE,0,VLOOKUP(B64,'WBV 2'!$F$3:$G$34,2,FALSE)),IF(ISNA(VLOOKUP(B64,'WBV 2'!$J$3:$K$34,2,FALSE))=TRUE,0,VLOOKUP(B64,'WBV 2'!$J$3:$K$34,2,FALSE)),IF(ISNA(VLOOKUP(B64,'WBV 2'!$N$3:$O$34,2,FALSE))=TRUE,0,VLOOKUP(B64,'WBV 2'!$N$3:$O$34,2,FALSE)))</f>
        <v>0</v>
      </c>
      <c r="J64" s="15">
        <f>MAX(IF(ISNA(VLOOKUP(B64,'WBV 3'!$B$3:$C$34,2,FALSE))=TRUE,0,VLOOKUP(B64,'WBV 3'!$B$3:$C$34,2,FALSE)),IF(ISNA(VLOOKUP(B64,'WBV 3'!$F$3:$G$34,2,FALSE))=TRUE,0,VLOOKUP(B64,'WBV 3'!$F$3:$G$34,2,FALSE)),IF(ISNA(VLOOKUP(B64,'WBV 3'!$J$3:$K$34,2,FALSE))=TRUE,0,VLOOKUP(B64,'WBV 3'!$J$3:$K$34,2,FALSE)),IF(ISNA(VLOOKUP(B64,'WBV 3'!$N$3:$O$34,2,FALSE))=TRUE,0,VLOOKUP(B64,'WBV 3'!$N$3:$O$34,2,FALSE)))</f>
        <v>0</v>
      </c>
      <c r="K64" s="15">
        <f>MAX(IF(ISNA(VLOOKUP(B64,'WBV 4'!$B$3:$C$34,2,FALSE))=TRUE,0,VLOOKUP(B64,'WBV 4'!$B$3:$C$34,2,FALSE)),IF(ISNA(VLOOKUP(B64,'WBV 4'!$F$3:$G$34,2,FALSE))=TRUE,0,VLOOKUP(B64,'WBV 4'!$F$3:$G$34,2,FALSE)),IF(ISNA(VLOOKUP(B64,'WBV 4'!$J$3:$K$34,2,FALSE))=TRUE,0,VLOOKUP(B64,'WBV 4'!$J$3:$K$34,2,FALSE)),IF(ISNA(VLOOKUP(B64,'WBV 4'!$N$3:$O$34,2,FALSE))=TRUE,0,VLOOKUP(B64,'WBV 4'!$N$3:$O$34,2,FALSE)))</f>
        <v>0</v>
      </c>
      <c r="L64" s="19">
        <f>MAX(IF(ISNA(VLOOKUP(B64,'NÖBV 1'!$B$3:$C$34,2,FALSE))=TRUE,0,VLOOKUP(B64,'NÖBV 1'!$B$3:$C$34,2,FALSE)),IF(ISNA(VLOOKUP(B64,'NÖBV 1'!$F$3:$G$34,2,FALSE))=TRUE,0,VLOOKUP(B64,'NÖBV 1'!$F$3:$G$34,2,FALSE)),IF(ISNA(VLOOKUP(B64,'NÖBV 1'!$J$3:$K$34,2,FALSE))=TRUE,0,VLOOKUP(B64,'NÖBV 1'!$J$3:$K$34,2,FALSE)),IF(ISNA(VLOOKUP(B64,'NÖBV 1'!$N$3:$O$34,2,FALSE))=TRUE,0,VLOOKUP(B64,'NÖBV 1'!$N$3:$O$34,2,FALSE)))</f>
        <v>0</v>
      </c>
      <c r="M64" s="19">
        <f>MAX(IF(ISNA(VLOOKUP(B64,'NÖBV 2'!$B$3:$C$34,2,FALSE))=TRUE,0,VLOOKUP(B64,'NÖBV 2'!$B$3:$C$34,2,FALSE)),IF(ISNA(VLOOKUP(B64,'NÖBV 2'!$F$3:$G$34,2,FALSE))=TRUE,0,VLOOKUP(B64,'NÖBV 2'!$F$3:$G$34,2,FALSE)),IF(ISNA(VLOOKUP(B64,'NÖBV 2'!$J$3:$K$34,2,FALSE))=TRUE,0,VLOOKUP(B64,'NÖBV 2'!$J$3:$K$34,2,FALSE)),IF(ISNA(VLOOKUP(B64,'NÖBV 2'!$N$3:$O$34,2,FALSE))=TRUE,0,VLOOKUP(B64,'NÖBV 2'!$N$3:$O$34,2,FALSE)))</f>
        <v>0</v>
      </c>
      <c r="N64" s="19">
        <f>MAX(IF(ISNA(VLOOKUP(B64,'NÖBV 3'!$B$3:$C$34,2,FALSE))=TRUE,0,VLOOKUP(B64,'NÖBV 3'!$B$3:$C$34,2,FALSE)),IF(ISNA(VLOOKUP(B64,'NÖBV 3'!$F$3:$G$34,2,FALSE))=TRUE,0,VLOOKUP(B64,'NÖBV 3'!$F$3:$G$34,2,FALSE)),IF(ISNA(VLOOKUP(B64,'NÖBV 3'!$J$3:$K$34,2,FALSE))=TRUE,0,VLOOKUP(B64,'NÖBV 3'!$J$3:$K$34,2,FALSE)),IF(ISNA(VLOOKUP(B64,'NÖBV 3'!$N$3:$O$34,2,FALSE))=TRUE,0,VLOOKUP(B64,'NÖBV 3'!$N$3:$O$34,2,FALSE)))</f>
        <v>0</v>
      </c>
      <c r="O64" s="15">
        <f>MAX(IF(ISNA(VLOOKUP(B64,'Regioturnier 1'!$B$3:$C$34,2,FALSE))=TRUE,0,VLOOKUP(B64,'Regioturnier 1'!$B$3:$C$34,2,FALSE)),IF(ISNA(VLOOKUP(B64,'Regioturnier 1'!$F$3:$G$34,2,FALSE))=TRUE,0,VLOOKUP(B64,'Regioturnier 1'!$F$3:$G$34,2,FALSE)),IF(ISNA(VLOOKUP(B64,'Regioturnier 1'!$J$3:$K$34,2,FALSE))=TRUE,0,VLOOKUP(B64,'Regioturnier 1'!$J$3:$K$34,2,FALSE)),IF(ISNA(VLOOKUP(B64,'Regioturnier 1'!$N$3:$O$34,2,FALSE))=TRUE,0,VLOOKUP(B64,'Regioturnier 1'!$N$3:$O$34,2,FALSE)),IF(ISNA(VLOOKUP(B64,'Regioturnier 1'!$R$3:$S$34,2,FALSE))=TRUE,0,VLOOKUP(B64,'Regioturnier 1'!$R$3:$S$34,2,FALSE)), IF(ISNA(VLOOKUP(B64,'Regioturnier 1'!$V$3:$W$34,2,FALSE))=TRUE,0,VLOOKUP(B64,'Regioturnier 1'!$V$3:$W$34,2,FALSE)), IF(ISNA(VLOOKUP(B64,'Regioturnier 1'!$Z$3:$AA$34,2,FALSE))=TRUE,0,VLOOKUP(B64,'Regioturnier 1'!$Z$3:$AA$34,2,FALSE)))</f>
        <v>0</v>
      </c>
      <c r="P64" s="15">
        <f>MAX(IF(ISNA(VLOOKUP(B64,'Regioturnier 2'!$B$3:$C$34,2,FALSE))=TRUE,0,VLOOKUP(B64,'Regioturnier 2'!$B$3:$C$34,2,FALSE)),IF(ISNA(VLOOKUP(B64,'Regioturnier 2'!$F$3:$G$34,2,FALSE))=TRUE,0,VLOOKUP(B64,'Regioturnier 2'!$F$3:$G$34,2,FALSE)),IF(ISNA(VLOOKUP(B64,'Regioturnier 2'!$J$3:$K$34,2,FALSE))=TRUE,0,VLOOKUP(B64,'Regioturnier 2'!$J$3:$K$34,2,FALSE)),IF(ISNA(VLOOKUP(B64,'Regioturnier 2'!$N$3:$O$34,2,FALSE))=TRUE,0,VLOOKUP(B64,'Regioturnier 2'!$N$3:$O$34,2,FALSE)),IF(ISNA(VLOOKUP(B64,'Regioturnier 2'!$R$3:$S$34,2,FALSE))=TRUE,0,VLOOKUP(B64,'Regioturnier 2'!$R$3:$S$34,2,FALSE)), IF(ISNA(VLOOKUP(B64,'Regioturnier 2'!$V$3:$W$34,2,FALSE))=TRUE,0,VLOOKUP(B64,'Regioturnier 2'!$V$3:$W$34,2,FALSE)), IF(ISNA(VLOOKUP(B64,'Regioturnier 2'!$Z$3:$AA$34,2,FALSE))=TRUE,0,VLOOKUP(B64,'Regioturnier 2'!$Z$3:$AA$34,2,FALSE)))</f>
        <v>200</v>
      </c>
      <c r="Q64" s="15">
        <f>MAX(IF(ISNA(VLOOKUP(B64,'Regioturnier 3'!$B$3:$C$34,2,FALSE))=TRUE,0,VLOOKUP(B64,'Regioturnier 3'!$B$3:$C$34,2,FALSE)),IF(ISNA(VLOOKUP(B64,'Regioturnier 3'!$F$3:$G$34,2,FALSE))=TRUE,0,VLOOKUP(B64,'Regioturnier 3'!$F$3:$G$34,2,FALSE)),IF(ISNA(VLOOKUP(B64,'Regioturnier 3'!$J$3:$K$34,2,FALSE))=TRUE,0,VLOOKUP(B64,'Regioturnier 3'!$J$3:$K$34,2,FALSE)),IF(ISNA(VLOOKUP(B64,'Regioturnier 3'!$N$3:$O$34,2,FALSE))=TRUE,0,VLOOKUP(B64,'Regioturnier 3'!$N$3:$O$34,2,FALSE)),IF(ISNA(VLOOKUP(B64,'Regioturnier 3'!$R$3:$S$34,2,FALSE))=TRUE,0,VLOOKUP(B64,'Regioturnier 3'!$R$3:$S$34,2,FALSE)), IF(ISNA(VLOOKUP(B64,'Regioturnier 3'!$V$3:$W$34,2,FALSE))=TRUE,0,VLOOKUP(B64,'Regioturnier 3'!$V$3:$W$34,2,FALSE)), IF(ISNA(VLOOKUP(B64,'Regioturnier 3'!$Z$3:$AA$34,2,FALSE))=TRUE,0,VLOOKUP(B64,'Regioturnier 3'!$Z$3:$AA$34,2,FALSE)))</f>
        <v>0</v>
      </c>
      <c r="R64" s="20">
        <f>0.5*INDEX($H64:$N64,MATCH(LARGE($H64:$N64,1),$H64:$N64,0))+0.3*INDEX($H64:$N64,MATCH(LARGE($H64:$N64,2),$H64:$N64,0))+0.2*INDEX($H64:$N64,MATCH(LARGE($H64:$N64,3),$H64:$N64,0))</f>
        <v>0</v>
      </c>
      <c r="S64" s="20">
        <f>0.6*INDEX(O64:Q64,MATCH(LARGE(O64:Q64,1),O64:Q64,0))+0.4*INDEX(O64:Q64,MATCH(LARGE(O64:Q64,2),O64:Q64,0))+0*INDEX(O64:Q64,MATCH(LARGE(O64:Q64,3),O64:Q64,0))</f>
        <v>120</v>
      </c>
      <c r="T64" s="15">
        <f>1*INDEX(R64:S64,MATCH(LARGE(R64:S64,1),R64:S64,0))+0*INDEX(R64:S64,MATCH(LARGE(R64:S64,2),R64:S64,0))</f>
        <v>120</v>
      </c>
      <c r="U64" s="21"/>
      <c r="V64" s="21"/>
      <c r="W64" s="21"/>
      <c r="X64" s="21"/>
      <c r="Y64" s="21"/>
      <c r="Z64" s="21"/>
    </row>
    <row r="65" spans="1:26" ht="12.75" customHeight="1" x14ac:dyDescent="0.3">
      <c r="A65" s="15">
        <v>64</v>
      </c>
      <c r="B65" s="16" t="s">
        <v>510</v>
      </c>
      <c r="C65" s="17" t="s">
        <v>25</v>
      </c>
      <c r="D65" s="15" t="s">
        <v>26</v>
      </c>
      <c r="E65" s="18" t="s">
        <v>23</v>
      </c>
      <c r="F65" s="15">
        <v>112176</v>
      </c>
      <c r="G65" s="22">
        <v>2012</v>
      </c>
      <c r="H65" s="15">
        <f>MAX(IF(ISNA(VLOOKUP(B65,'WBV 1'!$B$3:$C$34,2,FALSE))=TRUE,0,VLOOKUP(B65,'WBV 1'!$B$3:$C$34,2,FALSE)),IF(ISNA(VLOOKUP(B65,'WBV 1'!$F$3:$G$34,2,FALSE))=TRUE,0,VLOOKUP(B65,'WBV 1'!$F$3:$G$34,2,FALSE)),IF(ISNA(VLOOKUP(B65,'WBV 1'!$J$3:$K$34,2,FALSE))=TRUE,0,VLOOKUP(B65,'WBV 1'!$J$3:$K$34,2,FALSE)),IF(ISNA(VLOOKUP(B65,'WBV 1'!$N$3:$O$34,2,FALSE))=TRUE,0,VLOOKUP(B65,'WBV 1'!$N$3:$O$34,2,FALSE)))</f>
        <v>0</v>
      </c>
      <c r="I65" s="15">
        <f>MAX(IF(ISNA(VLOOKUP(B65,'WBV 2'!$B$3:$C$34,2,FALSE))=TRUE,0,VLOOKUP(B65,'WBV 2'!$B$3:$C$34,2,FALSE)),IF(ISNA(VLOOKUP(B65,'WBV 2'!$F$3:$G$34,2,FALSE))=TRUE,0,VLOOKUP(B65,'WBV 2'!$F$3:$G$34,2,FALSE)),IF(ISNA(VLOOKUP(B65,'WBV 2'!$J$3:$K$34,2,FALSE))=TRUE,0,VLOOKUP(B65,'WBV 2'!$J$3:$K$34,2,FALSE)),IF(ISNA(VLOOKUP(B65,'WBV 2'!$N$3:$O$34,2,FALSE))=TRUE,0,VLOOKUP(B65,'WBV 2'!$N$3:$O$34,2,FALSE)))</f>
        <v>0</v>
      </c>
      <c r="J65" s="15">
        <f>MAX(IF(ISNA(VLOOKUP(B65,'WBV 3'!$B$3:$C$34,2,FALSE))=TRUE,0,VLOOKUP(B65,'WBV 3'!$B$3:$C$34,2,FALSE)),IF(ISNA(VLOOKUP(B65,'WBV 3'!$F$3:$G$34,2,FALSE))=TRUE,0,VLOOKUP(B65,'WBV 3'!$F$3:$G$34,2,FALSE)),IF(ISNA(VLOOKUP(B65,'WBV 3'!$J$3:$K$34,2,FALSE))=TRUE,0,VLOOKUP(B65,'WBV 3'!$J$3:$K$34,2,FALSE)),IF(ISNA(VLOOKUP(B65,'WBV 3'!$N$3:$O$34,2,FALSE))=TRUE,0,VLOOKUP(B65,'WBV 3'!$N$3:$O$34,2,FALSE)))</f>
        <v>0</v>
      </c>
      <c r="K65" s="15">
        <f>MAX(IF(ISNA(VLOOKUP(B65,'WBV 4'!$B$3:$C$34,2,FALSE))=TRUE,0,VLOOKUP(B65,'WBV 4'!$B$3:$C$34,2,FALSE)),IF(ISNA(VLOOKUP(B65,'WBV 4'!$F$3:$G$34,2,FALSE))=TRUE,0,VLOOKUP(B65,'WBV 4'!$F$3:$G$34,2,FALSE)),IF(ISNA(VLOOKUP(B65,'WBV 4'!$J$3:$K$34,2,FALSE))=TRUE,0,VLOOKUP(B65,'WBV 4'!$J$3:$K$34,2,FALSE)),IF(ISNA(VLOOKUP(B65,'WBV 4'!$N$3:$O$34,2,FALSE))=TRUE,0,VLOOKUP(B65,'WBV 4'!$N$3:$O$34,2,FALSE)))</f>
        <v>0</v>
      </c>
      <c r="L65" s="19">
        <f>MAX(IF(ISNA(VLOOKUP(B65,'NÖBV 1'!$B$3:$C$34,2,FALSE))=TRUE,0,VLOOKUP(B65,'NÖBV 1'!$B$3:$C$34,2,FALSE)),IF(ISNA(VLOOKUP(B65,'NÖBV 1'!$F$3:$G$34,2,FALSE))=TRUE,0,VLOOKUP(B65,'NÖBV 1'!$F$3:$G$34,2,FALSE)),IF(ISNA(VLOOKUP(B65,'NÖBV 1'!$J$3:$K$34,2,FALSE))=TRUE,0,VLOOKUP(B65,'NÖBV 1'!$J$3:$K$34,2,FALSE)),IF(ISNA(VLOOKUP(B65,'NÖBV 1'!$N$3:$O$34,2,FALSE))=TRUE,0,VLOOKUP(B65,'NÖBV 1'!$N$3:$O$34,2,FALSE)))</f>
        <v>0</v>
      </c>
      <c r="M65" s="19">
        <f>MAX(IF(ISNA(VLOOKUP(B65,'NÖBV 2'!$B$3:$C$34,2,FALSE))=TRUE,0,VLOOKUP(B65,'NÖBV 2'!$B$3:$C$34,2,FALSE)),IF(ISNA(VLOOKUP(B65,'NÖBV 2'!$F$3:$G$34,2,FALSE))=TRUE,0,VLOOKUP(B65,'NÖBV 2'!$F$3:$G$34,2,FALSE)),IF(ISNA(VLOOKUP(B65,'NÖBV 2'!$J$3:$K$34,2,FALSE))=TRUE,0,VLOOKUP(B65,'NÖBV 2'!$J$3:$K$34,2,FALSE)),IF(ISNA(VLOOKUP(B65,'NÖBV 2'!$N$3:$O$34,2,FALSE))=TRUE,0,VLOOKUP(B65,'NÖBV 2'!$N$3:$O$34,2,FALSE)))</f>
        <v>0</v>
      </c>
      <c r="N65" s="19">
        <f>MAX(IF(ISNA(VLOOKUP(B65,'NÖBV 3'!$B$3:$C$34,2,FALSE))=TRUE,0,VLOOKUP(B65,'NÖBV 3'!$B$3:$C$34,2,FALSE)),IF(ISNA(VLOOKUP(B65,'NÖBV 3'!$F$3:$G$34,2,FALSE))=TRUE,0,VLOOKUP(B65,'NÖBV 3'!$F$3:$G$34,2,FALSE)),IF(ISNA(VLOOKUP(B65,'NÖBV 3'!$J$3:$K$34,2,FALSE))=TRUE,0,VLOOKUP(B65,'NÖBV 3'!$J$3:$K$34,2,FALSE)),IF(ISNA(VLOOKUP(B65,'NÖBV 3'!$N$3:$O$34,2,FALSE))=TRUE,0,VLOOKUP(B65,'NÖBV 3'!$N$3:$O$34,2,FALSE)))</f>
        <v>0</v>
      </c>
      <c r="O65" s="15">
        <f>MAX(IF(ISNA(VLOOKUP(B65,'Regioturnier 1'!$B$3:$C$34,2,FALSE))=TRUE,0,VLOOKUP(B65,'Regioturnier 1'!$B$3:$C$34,2,FALSE)),IF(ISNA(VLOOKUP(B65,'Regioturnier 1'!$F$3:$G$34,2,FALSE))=TRUE,0,VLOOKUP(B65,'Regioturnier 1'!$F$3:$G$34,2,FALSE)),IF(ISNA(VLOOKUP(B65,'Regioturnier 1'!$J$3:$K$34,2,FALSE))=TRUE,0,VLOOKUP(B65,'Regioturnier 1'!$J$3:$K$34,2,FALSE)),IF(ISNA(VLOOKUP(B65,'Regioturnier 1'!$N$3:$O$34,2,FALSE))=TRUE,0,VLOOKUP(B65,'Regioturnier 1'!$N$3:$O$34,2,FALSE)),IF(ISNA(VLOOKUP(B65,'Regioturnier 1'!$R$3:$S$34,2,FALSE))=TRUE,0,VLOOKUP(B65,'Regioturnier 1'!$R$3:$S$34,2,FALSE)), IF(ISNA(VLOOKUP(B65,'Regioturnier 1'!$V$3:$W$34,2,FALSE))=TRUE,0,VLOOKUP(B65,'Regioturnier 1'!$V$3:$W$34,2,FALSE)), IF(ISNA(VLOOKUP(B65,'Regioturnier 1'!$Z$3:$AA$34,2,FALSE))=TRUE,0,VLOOKUP(B65,'Regioturnier 1'!$Z$3:$AA$34,2,FALSE)))</f>
        <v>199</v>
      </c>
      <c r="P65" s="15">
        <f>MAX(IF(ISNA(VLOOKUP(B65,'Regioturnier 2'!$B$3:$C$34,2,FALSE))=TRUE,0,VLOOKUP(B65,'Regioturnier 2'!$B$3:$C$34,2,FALSE)),IF(ISNA(VLOOKUP(B65,'Regioturnier 2'!$F$3:$G$34,2,FALSE))=TRUE,0,VLOOKUP(B65,'Regioturnier 2'!$F$3:$G$34,2,FALSE)),IF(ISNA(VLOOKUP(B65,'Regioturnier 2'!$J$3:$K$34,2,FALSE))=TRUE,0,VLOOKUP(B65,'Regioturnier 2'!$J$3:$K$34,2,FALSE)),IF(ISNA(VLOOKUP(B65,'Regioturnier 2'!$N$3:$O$34,2,FALSE))=TRUE,0,VLOOKUP(B65,'Regioturnier 2'!$N$3:$O$34,2,FALSE)),IF(ISNA(VLOOKUP(B65,'Regioturnier 2'!$R$3:$S$34,2,FALSE))=TRUE,0,VLOOKUP(B65,'Regioturnier 2'!$R$3:$S$34,2,FALSE)), IF(ISNA(VLOOKUP(B65,'Regioturnier 2'!$V$3:$W$34,2,FALSE))=TRUE,0,VLOOKUP(B65,'Regioturnier 2'!$V$3:$W$34,2,FALSE)), IF(ISNA(VLOOKUP(B65,'Regioturnier 2'!$Z$3:$AA$34,2,FALSE))=TRUE,0,VLOOKUP(B65,'Regioturnier 2'!$Z$3:$AA$34,2,FALSE)))</f>
        <v>0</v>
      </c>
      <c r="Q65" s="15">
        <f>MAX(IF(ISNA(VLOOKUP(B65,'Regioturnier 3'!$B$3:$C$34,2,FALSE))=TRUE,0,VLOOKUP(B65,'Regioturnier 3'!$B$3:$C$34,2,FALSE)),IF(ISNA(VLOOKUP(B65,'Regioturnier 3'!$F$3:$G$34,2,FALSE))=TRUE,0,VLOOKUP(B65,'Regioturnier 3'!$F$3:$G$34,2,FALSE)),IF(ISNA(VLOOKUP(B65,'Regioturnier 3'!$J$3:$K$34,2,FALSE))=TRUE,0,VLOOKUP(B65,'Regioturnier 3'!$J$3:$K$34,2,FALSE)),IF(ISNA(VLOOKUP(B65,'Regioturnier 3'!$N$3:$O$34,2,FALSE))=TRUE,0,VLOOKUP(B65,'Regioturnier 3'!$N$3:$O$34,2,FALSE)),IF(ISNA(VLOOKUP(B65,'Regioturnier 3'!$R$3:$S$34,2,FALSE))=TRUE,0,VLOOKUP(B65,'Regioturnier 3'!$R$3:$S$34,2,FALSE)), IF(ISNA(VLOOKUP(B65,'Regioturnier 3'!$V$3:$W$34,2,FALSE))=TRUE,0,VLOOKUP(B65,'Regioturnier 3'!$V$3:$W$34,2,FALSE)), IF(ISNA(VLOOKUP(B65,'Regioturnier 3'!$Z$3:$AA$34,2,FALSE))=TRUE,0,VLOOKUP(B65,'Regioturnier 3'!$Z$3:$AA$34,2,FALSE)))</f>
        <v>0</v>
      </c>
      <c r="R65" s="20">
        <f>0.5*INDEX($H65:$N65,MATCH(LARGE($H65:$N65,1),$H65:$N65,0))+0.3*INDEX($H65:$N65,MATCH(LARGE($H65:$N65,2),$H65:$N65,0))+0.2*INDEX($H65:$N65,MATCH(LARGE($H65:$N65,3),$H65:$N65,0))</f>
        <v>0</v>
      </c>
      <c r="S65" s="20">
        <f>0.6*INDEX(O65:Q65,MATCH(LARGE(O65:Q65,1),O65:Q65,0))+0.4*INDEX(O65:Q65,MATCH(LARGE(O65:Q65,2),O65:Q65,0))+0*INDEX(O65:Q65,MATCH(LARGE(O65:Q65,3),O65:Q65,0))</f>
        <v>119.39999999999999</v>
      </c>
      <c r="T65" s="15">
        <f>1*INDEX(R65:S65,MATCH(LARGE(R65:S65,1),R65:S65,0))+0*INDEX(R65:S65,MATCH(LARGE(R65:S65,2),R65:S65,0))</f>
        <v>119.39999999999999</v>
      </c>
      <c r="U65" s="21"/>
      <c r="V65" s="21"/>
      <c r="W65" s="21"/>
      <c r="X65" s="21"/>
      <c r="Y65" s="21"/>
      <c r="Z65" s="21"/>
    </row>
    <row r="66" spans="1:26" ht="12.75" customHeight="1" x14ac:dyDescent="0.3">
      <c r="A66" s="15">
        <v>65</v>
      </c>
      <c r="B66" s="16" t="s">
        <v>242</v>
      </c>
      <c r="C66" s="17" t="s">
        <v>54</v>
      </c>
      <c r="D66" s="15" t="s">
        <v>22</v>
      </c>
      <c r="E66" s="18" t="s">
        <v>23</v>
      </c>
      <c r="F66" s="15">
        <v>209316</v>
      </c>
      <c r="G66" s="22">
        <v>2013</v>
      </c>
      <c r="H66" s="15">
        <f>MAX(IF(ISNA(VLOOKUP(B66,'WBV 1'!$B$3:$C$34,2,FALSE))=TRUE,0,VLOOKUP(B66,'WBV 1'!$B$3:$C$34,2,FALSE)),IF(ISNA(VLOOKUP(B66,'WBV 1'!$F$3:$G$34,2,FALSE))=TRUE,0,VLOOKUP(B66,'WBV 1'!$F$3:$G$34,2,FALSE)),IF(ISNA(VLOOKUP(B66,'WBV 1'!$J$3:$K$34,2,FALSE))=TRUE,0,VLOOKUP(B66,'WBV 1'!$J$3:$K$34,2,FALSE)),IF(ISNA(VLOOKUP(B66,'WBV 1'!$N$3:$O$34,2,FALSE))=TRUE,0,VLOOKUP(B66,'WBV 1'!$N$3:$O$34,2,FALSE)))</f>
        <v>0</v>
      </c>
      <c r="I66" s="15">
        <f>MAX(IF(ISNA(VLOOKUP(B66,'WBV 2'!$B$3:$C$34,2,FALSE))=TRUE,0,VLOOKUP(B66,'WBV 2'!$B$3:$C$34,2,FALSE)),IF(ISNA(VLOOKUP(B66,'WBV 2'!$F$3:$G$34,2,FALSE))=TRUE,0,VLOOKUP(B66,'WBV 2'!$F$3:$G$34,2,FALSE)),IF(ISNA(VLOOKUP(B66,'WBV 2'!$J$3:$K$34,2,FALSE))=TRUE,0,VLOOKUP(B66,'WBV 2'!$J$3:$K$34,2,FALSE)),IF(ISNA(VLOOKUP(B66,'WBV 2'!$N$3:$O$34,2,FALSE))=TRUE,0,VLOOKUP(B66,'WBV 2'!$N$3:$O$34,2,FALSE)))</f>
        <v>0</v>
      </c>
      <c r="J66" s="15">
        <f>MAX(IF(ISNA(VLOOKUP(B66,'WBV 3'!$B$3:$C$34,2,FALSE))=TRUE,0,VLOOKUP(B66,'WBV 3'!$B$3:$C$34,2,FALSE)),IF(ISNA(VLOOKUP(B66,'WBV 3'!$F$3:$G$34,2,FALSE))=TRUE,0,VLOOKUP(B66,'WBV 3'!$F$3:$G$34,2,FALSE)),IF(ISNA(VLOOKUP(B66,'WBV 3'!$J$3:$K$34,2,FALSE))=TRUE,0,VLOOKUP(B66,'WBV 3'!$J$3:$K$34,2,FALSE)),IF(ISNA(VLOOKUP(B66,'WBV 3'!$N$3:$O$34,2,FALSE))=TRUE,0,VLOOKUP(B66,'WBV 3'!$N$3:$O$34,2,FALSE)))</f>
        <v>0</v>
      </c>
      <c r="K66" s="15">
        <f>MAX(IF(ISNA(VLOOKUP(B66,'WBV 4'!$B$3:$C$34,2,FALSE))=TRUE,0,VLOOKUP(B66,'WBV 4'!$B$3:$C$34,2,FALSE)),IF(ISNA(VLOOKUP(B66,'WBV 4'!$F$3:$G$34,2,FALSE))=TRUE,0,VLOOKUP(B66,'WBV 4'!$F$3:$G$34,2,FALSE)),IF(ISNA(VLOOKUP(B66,'WBV 4'!$J$3:$K$34,2,FALSE))=TRUE,0,VLOOKUP(B66,'WBV 4'!$J$3:$K$34,2,FALSE)),IF(ISNA(VLOOKUP(B66,'WBV 4'!$N$3:$O$34,2,FALSE))=TRUE,0,VLOOKUP(B66,'WBV 4'!$N$3:$O$34,2,FALSE)))</f>
        <v>0</v>
      </c>
      <c r="L66" s="19">
        <f>MAX(IF(ISNA(VLOOKUP(B66,'NÖBV 1'!$B$3:$C$34,2,FALSE))=TRUE,0,VLOOKUP(B66,'NÖBV 1'!$B$3:$C$34,2,FALSE)),IF(ISNA(VLOOKUP(B66,'NÖBV 1'!$F$3:$G$34,2,FALSE))=TRUE,0,VLOOKUP(B66,'NÖBV 1'!$F$3:$G$34,2,FALSE)),IF(ISNA(VLOOKUP(B66,'NÖBV 1'!$J$3:$K$34,2,FALSE))=TRUE,0,VLOOKUP(B66,'NÖBV 1'!$J$3:$K$34,2,FALSE)),IF(ISNA(VLOOKUP(B66,'NÖBV 1'!$N$3:$O$34,2,FALSE))=TRUE,0,VLOOKUP(B66,'NÖBV 1'!$N$3:$O$34,2,FALSE)))</f>
        <v>152</v>
      </c>
      <c r="M66" s="19">
        <f>MAX(IF(ISNA(VLOOKUP(B66,'NÖBV 2'!$B$3:$C$34,2,FALSE))=TRUE,0,VLOOKUP(B66,'NÖBV 2'!$B$3:$C$34,2,FALSE)),IF(ISNA(VLOOKUP(B66,'NÖBV 2'!$F$3:$G$34,2,FALSE))=TRUE,0,VLOOKUP(B66,'NÖBV 2'!$F$3:$G$34,2,FALSE)),IF(ISNA(VLOOKUP(B66,'NÖBV 2'!$J$3:$K$34,2,FALSE))=TRUE,0,VLOOKUP(B66,'NÖBV 2'!$J$3:$K$34,2,FALSE)),IF(ISNA(VLOOKUP(B66,'NÖBV 2'!$N$3:$O$34,2,FALSE))=TRUE,0,VLOOKUP(B66,'NÖBV 2'!$N$3:$O$34,2,FALSE)))</f>
        <v>144</v>
      </c>
      <c r="N66" s="19">
        <f>MAX(IF(ISNA(VLOOKUP(B66,'NÖBV 3'!$B$3:$C$34,2,FALSE))=TRUE,0,VLOOKUP(B66,'NÖBV 3'!$B$3:$C$34,2,FALSE)),IF(ISNA(VLOOKUP(B66,'NÖBV 3'!$F$3:$G$34,2,FALSE))=TRUE,0,VLOOKUP(B66,'NÖBV 3'!$F$3:$G$34,2,FALSE)),IF(ISNA(VLOOKUP(B66,'NÖBV 3'!$J$3:$K$34,2,FALSE))=TRUE,0,VLOOKUP(B66,'NÖBV 3'!$J$3:$K$34,2,FALSE)),IF(ISNA(VLOOKUP(B66,'NÖBV 3'!$N$3:$O$34,2,FALSE))=TRUE,0,VLOOKUP(B66,'NÖBV 3'!$N$3:$O$34,2,FALSE)))</f>
        <v>0</v>
      </c>
      <c r="O66" s="15">
        <f>MAX(IF(ISNA(VLOOKUP(B66,'Regioturnier 1'!$B$3:$C$34,2,FALSE))=TRUE,0,VLOOKUP(B66,'Regioturnier 1'!$B$3:$C$34,2,FALSE)),IF(ISNA(VLOOKUP(B66,'Regioturnier 1'!$F$3:$G$34,2,FALSE))=TRUE,0,VLOOKUP(B66,'Regioturnier 1'!$F$3:$G$34,2,FALSE)),IF(ISNA(VLOOKUP(B66,'Regioturnier 1'!$J$3:$K$34,2,FALSE))=TRUE,0,VLOOKUP(B66,'Regioturnier 1'!$J$3:$K$34,2,FALSE)),IF(ISNA(VLOOKUP(B66,'Regioturnier 1'!$N$3:$O$34,2,FALSE))=TRUE,0,VLOOKUP(B66,'Regioturnier 1'!$N$3:$O$34,2,FALSE)),IF(ISNA(VLOOKUP(B66,'Regioturnier 1'!$R$3:$S$34,2,FALSE))=TRUE,0,VLOOKUP(B66,'Regioturnier 1'!$R$3:$S$34,2,FALSE)), IF(ISNA(VLOOKUP(B66,'Regioturnier 1'!$V$3:$W$34,2,FALSE))=TRUE,0,VLOOKUP(B66,'Regioturnier 1'!$V$3:$W$34,2,FALSE)), IF(ISNA(VLOOKUP(B66,'Regioturnier 1'!$Z$3:$AA$34,2,FALSE))=TRUE,0,VLOOKUP(B66,'Regioturnier 1'!$Z$3:$AA$34,2,FALSE)))</f>
        <v>0</v>
      </c>
      <c r="P66" s="15">
        <f>MAX(IF(ISNA(VLOOKUP(B66,'Regioturnier 2'!$B$3:$C$34,2,FALSE))=TRUE,0,VLOOKUP(B66,'Regioturnier 2'!$B$3:$C$34,2,FALSE)),IF(ISNA(VLOOKUP(B66,'Regioturnier 2'!$F$3:$G$34,2,FALSE))=TRUE,0,VLOOKUP(B66,'Regioturnier 2'!$F$3:$G$34,2,FALSE)),IF(ISNA(VLOOKUP(B66,'Regioturnier 2'!$J$3:$K$34,2,FALSE))=TRUE,0,VLOOKUP(B66,'Regioturnier 2'!$J$3:$K$34,2,FALSE)),IF(ISNA(VLOOKUP(B66,'Regioturnier 2'!$N$3:$O$34,2,FALSE))=TRUE,0,VLOOKUP(B66,'Regioturnier 2'!$N$3:$O$34,2,FALSE)),IF(ISNA(VLOOKUP(B66,'Regioturnier 2'!$R$3:$S$34,2,FALSE))=TRUE,0,VLOOKUP(B66,'Regioturnier 2'!$R$3:$S$34,2,FALSE)), IF(ISNA(VLOOKUP(B66,'Regioturnier 2'!$V$3:$W$34,2,FALSE))=TRUE,0,VLOOKUP(B66,'Regioturnier 2'!$V$3:$W$34,2,FALSE)), IF(ISNA(VLOOKUP(B66,'Regioturnier 2'!$Z$3:$AA$34,2,FALSE))=TRUE,0,VLOOKUP(B66,'Regioturnier 2'!$Z$3:$AA$34,2,FALSE)))</f>
        <v>0</v>
      </c>
      <c r="Q66" s="15">
        <f>MAX(IF(ISNA(VLOOKUP(B66,'Regioturnier 3'!$B$3:$C$34,2,FALSE))=TRUE,0,VLOOKUP(B66,'Regioturnier 3'!$B$3:$C$34,2,FALSE)),IF(ISNA(VLOOKUP(B66,'Regioturnier 3'!$F$3:$G$34,2,FALSE))=TRUE,0,VLOOKUP(B66,'Regioturnier 3'!$F$3:$G$34,2,FALSE)),IF(ISNA(VLOOKUP(B66,'Regioturnier 3'!$J$3:$K$34,2,FALSE))=TRUE,0,VLOOKUP(B66,'Regioturnier 3'!$J$3:$K$34,2,FALSE)),IF(ISNA(VLOOKUP(B66,'Regioturnier 3'!$N$3:$O$34,2,FALSE))=TRUE,0,VLOOKUP(B66,'Regioturnier 3'!$N$3:$O$34,2,FALSE)),IF(ISNA(VLOOKUP(B66,'Regioturnier 3'!$R$3:$S$34,2,FALSE))=TRUE,0,VLOOKUP(B66,'Regioturnier 3'!$R$3:$S$34,2,FALSE)), IF(ISNA(VLOOKUP(B66,'Regioturnier 3'!$V$3:$W$34,2,FALSE))=TRUE,0,VLOOKUP(B66,'Regioturnier 3'!$V$3:$W$34,2,FALSE)), IF(ISNA(VLOOKUP(B66,'Regioturnier 3'!$Z$3:$AA$34,2,FALSE))=TRUE,0,VLOOKUP(B66,'Regioturnier 3'!$Z$3:$AA$34,2,FALSE)))</f>
        <v>0</v>
      </c>
      <c r="R66" s="20">
        <f>0.5*INDEX($H66:$N66,MATCH(LARGE($H66:$N66,1),$H66:$N66,0))+0.3*INDEX($H66:$N66,MATCH(LARGE($H66:$N66,2),$H66:$N66,0))+0.2*INDEX($H66:$N66,MATCH(LARGE($H66:$N66,3),$H66:$N66,0))</f>
        <v>119.19999999999999</v>
      </c>
      <c r="S66" s="20">
        <f>0.6*INDEX(O66:Q66,MATCH(LARGE(O66:Q66,1),O66:Q66,0))+0.4*INDEX(O66:Q66,MATCH(LARGE(O66:Q66,2),O66:Q66,0))+0*INDEX(O66:Q66,MATCH(LARGE(O66:Q66,3),O66:Q66,0))</f>
        <v>0</v>
      </c>
      <c r="T66" s="15">
        <f>1*INDEX(R66:S66,MATCH(LARGE(R66:S66,1),R66:S66,0))+0*INDEX(R66:S66,MATCH(LARGE(R66:S66,2),R66:S66,0))</f>
        <v>119.19999999999999</v>
      </c>
      <c r="U66" s="21"/>
      <c r="V66" s="21"/>
      <c r="W66" s="21"/>
      <c r="X66" s="21"/>
      <c r="Y66" s="21"/>
      <c r="Z66" s="21"/>
    </row>
    <row r="67" spans="1:26" ht="12.75" customHeight="1" x14ac:dyDescent="0.3">
      <c r="A67" s="15">
        <v>66</v>
      </c>
      <c r="B67" s="16" t="s">
        <v>528</v>
      </c>
      <c r="C67" s="17" t="s">
        <v>46</v>
      </c>
      <c r="D67" s="15" t="s">
        <v>26</v>
      </c>
      <c r="E67" s="18" t="s">
        <v>40</v>
      </c>
      <c r="F67" s="15" t="s">
        <v>556</v>
      </c>
      <c r="G67" s="22">
        <v>2013</v>
      </c>
      <c r="H67" s="15">
        <f>MAX(IF(ISNA(VLOOKUP(B67,'WBV 1'!$B$3:$C$34,2,FALSE))=TRUE,0,VLOOKUP(B67,'WBV 1'!$B$3:$C$34,2,FALSE)),IF(ISNA(VLOOKUP(B67,'WBV 1'!$F$3:$G$34,2,FALSE))=TRUE,0,VLOOKUP(B67,'WBV 1'!$F$3:$G$34,2,FALSE)),IF(ISNA(VLOOKUP(B67,'WBV 1'!$J$3:$K$34,2,FALSE))=TRUE,0,VLOOKUP(B67,'WBV 1'!$J$3:$K$34,2,FALSE)),IF(ISNA(VLOOKUP(B67,'WBV 1'!$N$3:$O$34,2,FALSE))=TRUE,0,VLOOKUP(B67,'WBV 1'!$N$3:$O$34,2,FALSE)))</f>
        <v>0</v>
      </c>
      <c r="I67" s="15">
        <f>MAX(IF(ISNA(VLOOKUP(B67,'WBV 2'!$B$3:$C$34,2,FALSE))=TRUE,0,VLOOKUP(B67,'WBV 2'!$B$3:$C$34,2,FALSE)),IF(ISNA(VLOOKUP(B67,'WBV 2'!$F$3:$G$34,2,FALSE))=TRUE,0,VLOOKUP(B67,'WBV 2'!$F$3:$G$34,2,FALSE)),IF(ISNA(VLOOKUP(B67,'WBV 2'!$J$3:$K$34,2,FALSE))=TRUE,0,VLOOKUP(B67,'WBV 2'!$J$3:$K$34,2,FALSE)),IF(ISNA(VLOOKUP(B67,'WBV 2'!$N$3:$O$34,2,FALSE))=TRUE,0,VLOOKUP(B67,'WBV 2'!$N$3:$O$34,2,FALSE)))</f>
        <v>137</v>
      </c>
      <c r="J67" s="15">
        <f>MAX(IF(ISNA(VLOOKUP(B67,'WBV 3'!$B$3:$C$34,2,FALSE))=TRUE,0,VLOOKUP(B67,'WBV 3'!$B$3:$C$34,2,FALSE)),IF(ISNA(VLOOKUP(B67,'WBV 3'!$F$3:$G$34,2,FALSE))=TRUE,0,VLOOKUP(B67,'WBV 3'!$F$3:$G$34,2,FALSE)),IF(ISNA(VLOOKUP(B67,'WBV 3'!$J$3:$K$34,2,FALSE))=TRUE,0,VLOOKUP(B67,'WBV 3'!$J$3:$K$34,2,FALSE)),IF(ISNA(VLOOKUP(B67,'WBV 3'!$N$3:$O$34,2,FALSE))=TRUE,0,VLOOKUP(B67,'WBV 3'!$N$3:$O$34,2,FALSE)))</f>
        <v>156</v>
      </c>
      <c r="K67" s="15">
        <f>MAX(IF(ISNA(VLOOKUP(B67,'WBV 4'!$B$3:$C$34,2,FALSE))=TRUE,0,VLOOKUP(B67,'WBV 4'!$B$3:$C$34,2,FALSE)),IF(ISNA(VLOOKUP(B67,'WBV 4'!$F$3:$G$34,2,FALSE))=TRUE,0,VLOOKUP(B67,'WBV 4'!$F$3:$G$34,2,FALSE)),IF(ISNA(VLOOKUP(B67,'WBV 4'!$J$3:$K$34,2,FALSE))=TRUE,0,VLOOKUP(B67,'WBV 4'!$J$3:$K$34,2,FALSE)),IF(ISNA(VLOOKUP(B67,'WBV 4'!$N$3:$O$34,2,FALSE))=TRUE,0,VLOOKUP(B67,'WBV 4'!$N$3:$O$34,2,FALSE)))</f>
        <v>0</v>
      </c>
      <c r="L67" s="19">
        <f>MAX(IF(ISNA(VLOOKUP(B67,'NÖBV 1'!$B$3:$C$34,2,FALSE))=TRUE,0,VLOOKUP(B67,'NÖBV 1'!$B$3:$C$34,2,FALSE)),IF(ISNA(VLOOKUP(B67,'NÖBV 1'!$F$3:$G$34,2,FALSE))=TRUE,0,VLOOKUP(B67,'NÖBV 1'!$F$3:$G$34,2,FALSE)),IF(ISNA(VLOOKUP(B67,'NÖBV 1'!$J$3:$K$34,2,FALSE))=TRUE,0,VLOOKUP(B67,'NÖBV 1'!$J$3:$K$34,2,FALSE)),IF(ISNA(VLOOKUP(B67,'NÖBV 1'!$N$3:$O$34,2,FALSE))=TRUE,0,VLOOKUP(B67,'NÖBV 1'!$N$3:$O$34,2,FALSE)))</f>
        <v>0</v>
      </c>
      <c r="M67" s="19">
        <f>MAX(IF(ISNA(VLOOKUP(B67,'NÖBV 2'!$B$3:$C$34,2,FALSE))=TRUE,0,VLOOKUP(B67,'NÖBV 2'!$B$3:$C$34,2,FALSE)),IF(ISNA(VLOOKUP(B67,'NÖBV 2'!$F$3:$G$34,2,FALSE))=TRUE,0,VLOOKUP(B67,'NÖBV 2'!$F$3:$G$34,2,FALSE)),IF(ISNA(VLOOKUP(B67,'NÖBV 2'!$J$3:$K$34,2,FALSE))=TRUE,0,VLOOKUP(B67,'NÖBV 2'!$J$3:$K$34,2,FALSE)),IF(ISNA(VLOOKUP(B67,'NÖBV 2'!$N$3:$O$34,2,FALSE))=TRUE,0,VLOOKUP(B67,'NÖBV 2'!$N$3:$O$34,2,FALSE)))</f>
        <v>0</v>
      </c>
      <c r="N67" s="19">
        <f>MAX(IF(ISNA(VLOOKUP(B67,'NÖBV 3'!$B$3:$C$34,2,FALSE))=TRUE,0,VLOOKUP(B67,'NÖBV 3'!$B$3:$C$34,2,FALSE)),IF(ISNA(VLOOKUP(B67,'NÖBV 3'!$F$3:$G$34,2,FALSE))=TRUE,0,VLOOKUP(B67,'NÖBV 3'!$F$3:$G$34,2,FALSE)),IF(ISNA(VLOOKUP(B67,'NÖBV 3'!$J$3:$K$34,2,FALSE))=TRUE,0,VLOOKUP(B67,'NÖBV 3'!$J$3:$K$34,2,FALSE)),IF(ISNA(VLOOKUP(B67,'NÖBV 3'!$N$3:$O$34,2,FALSE))=TRUE,0,VLOOKUP(B67,'NÖBV 3'!$N$3:$O$34,2,FALSE)))</f>
        <v>0</v>
      </c>
      <c r="O67" s="15">
        <f>MAX(IF(ISNA(VLOOKUP(B67,'Regioturnier 1'!$B$3:$C$34,2,FALSE))=TRUE,0,VLOOKUP(B67,'Regioturnier 1'!$B$3:$C$34,2,FALSE)),IF(ISNA(VLOOKUP(B67,'Regioturnier 1'!$F$3:$G$34,2,FALSE))=TRUE,0,VLOOKUP(B67,'Regioturnier 1'!$F$3:$G$34,2,FALSE)),IF(ISNA(VLOOKUP(B67,'Regioturnier 1'!$J$3:$K$34,2,FALSE))=TRUE,0,VLOOKUP(B67,'Regioturnier 1'!$J$3:$K$34,2,FALSE)),IF(ISNA(VLOOKUP(B67,'Regioturnier 1'!$N$3:$O$34,2,FALSE))=TRUE,0,VLOOKUP(B67,'Regioturnier 1'!$N$3:$O$34,2,FALSE)),IF(ISNA(VLOOKUP(B67,'Regioturnier 1'!$R$3:$S$34,2,FALSE))=TRUE,0,VLOOKUP(B67,'Regioturnier 1'!$R$3:$S$34,2,FALSE)), IF(ISNA(VLOOKUP(B67,'Regioturnier 1'!$V$3:$W$34,2,FALSE))=TRUE,0,VLOOKUP(B67,'Regioturnier 1'!$V$3:$W$34,2,FALSE)), IF(ISNA(VLOOKUP(B67,'Regioturnier 1'!$Z$3:$AA$34,2,FALSE))=TRUE,0,VLOOKUP(B67,'Regioturnier 1'!$Z$3:$AA$34,2,FALSE)))</f>
        <v>0</v>
      </c>
      <c r="P67" s="15">
        <f>MAX(IF(ISNA(VLOOKUP(B67,'Regioturnier 2'!$B$3:$C$34,2,FALSE))=TRUE,0,VLOOKUP(B67,'Regioturnier 2'!$B$3:$C$34,2,FALSE)),IF(ISNA(VLOOKUP(B67,'Regioturnier 2'!$F$3:$G$34,2,FALSE))=TRUE,0,VLOOKUP(B67,'Regioturnier 2'!$F$3:$G$34,2,FALSE)),IF(ISNA(VLOOKUP(B67,'Regioturnier 2'!$J$3:$K$34,2,FALSE))=TRUE,0,VLOOKUP(B67,'Regioturnier 2'!$J$3:$K$34,2,FALSE)),IF(ISNA(VLOOKUP(B67,'Regioturnier 2'!$N$3:$O$34,2,FALSE))=TRUE,0,VLOOKUP(B67,'Regioturnier 2'!$N$3:$O$34,2,FALSE)),IF(ISNA(VLOOKUP(B67,'Regioturnier 2'!$R$3:$S$34,2,FALSE))=TRUE,0,VLOOKUP(B67,'Regioturnier 2'!$R$3:$S$34,2,FALSE)), IF(ISNA(VLOOKUP(B67,'Regioturnier 2'!$V$3:$W$34,2,FALSE))=TRUE,0,VLOOKUP(B67,'Regioturnier 2'!$V$3:$W$34,2,FALSE)), IF(ISNA(VLOOKUP(B67,'Regioturnier 2'!$Z$3:$AA$34,2,FALSE))=TRUE,0,VLOOKUP(B67,'Regioturnier 2'!$Z$3:$AA$34,2,FALSE)))</f>
        <v>0</v>
      </c>
      <c r="Q67" s="15">
        <f>MAX(IF(ISNA(VLOOKUP(B67,'Regioturnier 3'!$B$3:$C$34,2,FALSE))=TRUE,0,VLOOKUP(B67,'Regioturnier 3'!$B$3:$C$34,2,FALSE)),IF(ISNA(VLOOKUP(B67,'Regioturnier 3'!$F$3:$G$34,2,FALSE))=TRUE,0,VLOOKUP(B67,'Regioturnier 3'!$F$3:$G$34,2,FALSE)),IF(ISNA(VLOOKUP(B67,'Regioturnier 3'!$J$3:$K$34,2,FALSE))=TRUE,0,VLOOKUP(B67,'Regioturnier 3'!$J$3:$K$34,2,FALSE)),IF(ISNA(VLOOKUP(B67,'Regioturnier 3'!$N$3:$O$34,2,FALSE))=TRUE,0,VLOOKUP(B67,'Regioturnier 3'!$N$3:$O$34,2,FALSE)),IF(ISNA(VLOOKUP(B67,'Regioturnier 3'!$R$3:$S$34,2,FALSE))=TRUE,0,VLOOKUP(B67,'Regioturnier 3'!$R$3:$S$34,2,FALSE)), IF(ISNA(VLOOKUP(B67,'Regioturnier 3'!$V$3:$W$34,2,FALSE))=TRUE,0,VLOOKUP(B67,'Regioturnier 3'!$V$3:$W$34,2,FALSE)), IF(ISNA(VLOOKUP(B67,'Regioturnier 3'!$Z$3:$AA$34,2,FALSE))=TRUE,0,VLOOKUP(B67,'Regioturnier 3'!$Z$3:$AA$34,2,FALSE)))</f>
        <v>0</v>
      </c>
      <c r="R67" s="20">
        <f>0.5*INDEX($H67:$N67,MATCH(LARGE($H67:$N67,1),$H67:$N67,0))+0.3*INDEX($H67:$N67,MATCH(LARGE($H67:$N67,2),$H67:$N67,0))+0.2*INDEX($H67:$N67,MATCH(LARGE($H67:$N67,3),$H67:$N67,0))</f>
        <v>119.1</v>
      </c>
      <c r="S67" s="20">
        <f>0.6*INDEX(O67:Q67,MATCH(LARGE(O67:Q67,1),O67:Q67,0))+0.4*INDEX(O67:Q67,MATCH(LARGE(O67:Q67,2),O67:Q67,0))+0*INDEX(O67:Q67,MATCH(LARGE(O67:Q67,3),O67:Q67,0))</f>
        <v>0</v>
      </c>
      <c r="T67" s="15">
        <f>1*INDEX(R67:S67,MATCH(LARGE(R67:S67,1),R67:S67,0))+0*INDEX(R67:S67,MATCH(LARGE(R67:S67,2),R67:S67,0))</f>
        <v>119.1</v>
      </c>
      <c r="U67" s="21"/>
      <c r="V67" s="21"/>
      <c r="W67" s="21"/>
      <c r="X67" s="21"/>
      <c r="Y67" s="21"/>
      <c r="Z67" s="21"/>
    </row>
    <row r="68" spans="1:26" ht="12.75" customHeight="1" x14ac:dyDescent="0.3">
      <c r="A68" s="15">
        <v>67</v>
      </c>
      <c r="B68" s="16" t="s">
        <v>243</v>
      </c>
      <c r="C68" s="17" t="s">
        <v>160</v>
      </c>
      <c r="D68" s="15" t="s">
        <v>26</v>
      </c>
      <c r="E68" s="18" t="s">
        <v>23</v>
      </c>
      <c r="F68" s="15">
        <v>111348</v>
      </c>
      <c r="G68" s="22">
        <v>2014</v>
      </c>
      <c r="H68" s="15">
        <f>MAX(IF(ISNA(VLOOKUP(B68,'WBV 1'!$B$3:$C$34,2,FALSE))=TRUE,0,VLOOKUP(B68,'WBV 1'!$B$3:$C$34,2,FALSE)),IF(ISNA(VLOOKUP(B68,'WBV 1'!$F$3:$G$34,2,FALSE))=TRUE,0,VLOOKUP(B68,'WBV 1'!$F$3:$G$34,2,FALSE)),IF(ISNA(VLOOKUP(B68,'WBV 1'!$J$3:$K$34,2,FALSE))=TRUE,0,VLOOKUP(B68,'WBV 1'!$J$3:$K$34,2,FALSE)),IF(ISNA(VLOOKUP(B68,'WBV 1'!$N$3:$O$34,2,FALSE))=TRUE,0,VLOOKUP(B68,'WBV 1'!$N$3:$O$34,2,FALSE)))</f>
        <v>168</v>
      </c>
      <c r="I68" s="15">
        <f>MAX(IF(ISNA(VLOOKUP(B68,'WBV 2'!$B$3:$C$34,2,FALSE))=TRUE,0,VLOOKUP(B68,'WBV 2'!$B$3:$C$34,2,FALSE)),IF(ISNA(VLOOKUP(B68,'WBV 2'!$F$3:$G$34,2,FALSE))=TRUE,0,VLOOKUP(B68,'WBV 2'!$F$3:$G$34,2,FALSE)),IF(ISNA(VLOOKUP(B68,'WBV 2'!$J$3:$K$34,2,FALSE))=TRUE,0,VLOOKUP(B68,'WBV 2'!$J$3:$K$34,2,FALSE)),IF(ISNA(VLOOKUP(B68,'WBV 2'!$N$3:$O$34,2,FALSE))=TRUE,0,VLOOKUP(B68,'WBV 2'!$N$3:$O$34,2,FALSE)))</f>
        <v>0</v>
      </c>
      <c r="J68" s="15">
        <f>MAX(IF(ISNA(VLOOKUP(B68,'WBV 3'!$B$3:$C$34,2,FALSE))=TRUE,0,VLOOKUP(B68,'WBV 3'!$B$3:$C$34,2,FALSE)),IF(ISNA(VLOOKUP(B68,'WBV 3'!$F$3:$G$34,2,FALSE))=TRUE,0,VLOOKUP(B68,'WBV 3'!$F$3:$G$34,2,FALSE)),IF(ISNA(VLOOKUP(B68,'WBV 3'!$J$3:$K$34,2,FALSE))=TRUE,0,VLOOKUP(B68,'WBV 3'!$J$3:$K$34,2,FALSE)),IF(ISNA(VLOOKUP(B68,'WBV 3'!$N$3:$O$34,2,FALSE))=TRUE,0,VLOOKUP(B68,'WBV 3'!$N$3:$O$34,2,FALSE)))</f>
        <v>0</v>
      </c>
      <c r="K68" s="15">
        <f>MAX(IF(ISNA(VLOOKUP(B68,'WBV 4'!$B$3:$C$34,2,FALSE))=TRUE,0,VLOOKUP(B68,'WBV 4'!$B$3:$C$34,2,FALSE)),IF(ISNA(VLOOKUP(B68,'WBV 4'!$F$3:$G$34,2,FALSE))=TRUE,0,VLOOKUP(B68,'WBV 4'!$F$3:$G$34,2,FALSE)),IF(ISNA(VLOOKUP(B68,'WBV 4'!$J$3:$K$34,2,FALSE))=TRUE,0,VLOOKUP(B68,'WBV 4'!$J$3:$K$34,2,FALSE)),IF(ISNA(VLOOKUP(B68,'WBV 4'!$N$3:$O$34,2,FALSE))=TRUE,0,VLOOKUP(B68,'WBV 4'!$N$3:$O$34,2,FALSE)))</f>
        <v>0</v>
      </c>
      <c r="L68" s="19">
        <f>MAX(IF(ISNA(VLOOKUP(B68,'NÖBV 1'!$B$3:$C$34,2,FALSE))=TRUE,0,VLOOKUP(B68,'NÖBV 1'!$B$3:$C$34,2,FALSE)),IF(ISNA(VLOOKUP(B68,'NÖBV 1'!$F$3:$G$34,2,FALSE))=TRUE,0,VLOOKUP(B68,'NÖBV 1'!$F$3:$G$34,2,FALSE)),IF(ISNA(VLOOKUP(B68,'NÖBV 1'!$J$3:$K$34,2,FALSE))=TRUE,0,VLOOKUP(B68,'NÖBV 1'!$J$3:$K$34,2,FALSE)),IF(ISNA(VLOOKUP(B68,'NÖBV 1'!$N$3:$O$34,2,FALSE))=TRUE,0,VLOOKUP(B68,'NÖBV 1'!$N$3:$O$34,2,FALSE)))</f>
        <v>0</v>
      </c>
      <c r="M68" s="19">
        <f>MAX(IF(ISNA(VLOOKUP(B68,'NÖBV 2'!$B$3:$C$34,2,FALSE))=TRUE,0,VLOOKUP(B68,'NÖBV 2'!$B$3:$C$34,2,FALSE)),IF(ISNA(VLOOKUP(B68,'NÖBV 2'!$F$3:$G$34,2,FALSE))=TRUE,0,VLOOKUP(B68,'NÖBV 2'!$F$3:$G$34,2,FALSE)),IF(ISNA(VLOOKUP(B68,'NÖBV 2'!$J$3:$K$34,2,FALSE))=TRUE,0,VLOOKUP(B68,'NÖBV 2'!$J$3:$K$34,2,FALSE)),IF(ISNA(VLOOKUP(B68,'NÖBV 2'!$N$3:$O$34,2,FALSE))=TRUE,0,VLOOKUP(B68,'NÖBV 2'!$N$3:$O$34,2,FALSE)))</f>
        <v>0</v>
      </c>
      <c r="N68" s="19">
        <f>MAX(IF(ISNA(VLOOKUP(B68,'NÖBV 3'!$B$3:$C$34,2,FALSE))=TRUE,0,VLOOKUP(B68,'NÖBV 3'!$B$3:$C$34,2,FALSE)),IF(ISNA(VLOOKUP(B68,'NÖBV 3'!$F$3:$G$34,2,FALSE))=TRUE,0,VLOOKUP(B68,'NÖBV 3'!$F$3:$G$34,2,FALSE)),IF(ISNA(VLOOKUP(B68,'NÖBV 3'!$J$3:$K$34,2,FALSE))=TRUE,0,VLOOKUP(B68,'NÖBV 3'!$J$3:$K$34,2,FALSE)),IF(ISNA(VLOOKUP(B68,'NÖBV 3'!$N$3:$O$34,2,FALSE))=TRUE,0,VLOOKUP(B68,'NÖBV 3'!$N$3:$O$34,2,FALSE)))</f>
        <v>0</v>
      </c>
      <c r="O68" s="15">
        <f>MAX(IF(ISNA(VLOOKUP(B68,'Regioturnier 1'!$B$3:$C$34,2,FALSE))=TRUE,0,VLOOKUP(B68,'Regioturnier 1'!$B$3:$C$34,2,FALSE)),IF(ISNA(VLOOKUP(B68,'Regioturnier 1'!$F$3:$G$34,2,FALSE))=TRUE,0,VLOOKUP(B68,'Regioturnier 1'!$F$3:$G$34,2,FALSE)),IF(ISNA(VLOOKUP(B68,'Regioturnier 1'!$J$3:$K$34,2,FALSE))=TRUE,0,VLOOKUP(B68,'Regioturnier 1'!$J$3:$K$34,2,FALSE)),IF(ISNA(VLOOKUP(B68,'Regioturnier 1'!$N$3:$O$34,2,FALSE))=TRUE,0,VLOOKUP(B68,'Regioturnier 1'!$N$3:$O$34,2,FALSE)),IF(ISNA(VLOOKUP(B68,'Regioturnier 1'!$R$3:$S$34,2,FALSE))=TRUE,0,VLOOKUP(B68,'Regioturnier 1'!$R$3:$S$34,2,FALSE)), IF(ISNA(VLOOKUP(B68,'Regioturnier 1'!$V$3:$W$34,2,FALSE))=TRUE,0,VLOOKUP(B68,'Regioturnier 1'!$V$3:$W$34,2,FALSE)), IF(ISNA(VLOOKUP(B68,'Regioturnier 1'!$Z$3:$AA$34,2,FALSE))=TRUE,0,VLOOKUP(B68,'Regioturnier 1'!$Z$3:$AA$34,2,FALSE)))</f>
        <v>198</v>
      </c>
      <c r="P68" s="15">
        <f>MAX(IF(ISNA(VLOOKUP(B68,'Regioturnier 2'!$B$3:$C$34,2,FALSE))=TRUE,0,VLOOKUP(B68,'Regioturnier 2'!$B$3:$C$34,2,FALSE)),IF(ISNA(VLOOKUP(B68,'Regioturnier 2'!$F$3:$G$34,2,FALSE))=TRUE,0,VLOOKUP(B68,'Regioturnier 2'!$F$3:$G$34,2,FALSE)),IF(ISNA(VLOOKUP(B68,'Regioturnier 2'!$J$3:$K$34,2,FALSE))=TRUE,0,VLOOKUP(B68,'Regioturnier 2'!$J$3:$K$34,2,FALSE)),IF(ISNA(VLOOKUP(B68,'Regioturnier 2'!$N$3:$O$34,2,FALSE))=TRUE,0,VLOOKUP(B68,'Regioturnier 2'!$N$3:$O$34,2,FALSE)),IF(ISNA(VLOOKUP(B68,'Regioturnier 2'!$R$3:$S$34,2,FALSE))=TRUE,0,VLOOKUP(B68,'Regioturnier 2'!$R$3:$S$34,2,FALSE)), IF(ISNA(VLOOKUP(B68,'Regioturnier 2'!$V$3:$W$34,2,FALSE))=TRUE,0,VLOOKUP(B68,'Regioturnier 2'!$V$3:$W$34,2,FALSE)), IF(ISNA(VLOOKUP(B68,'Regioturnier 2'!$Z$3:$AA$34,2,FALSE))=TRUE,0,VLOOKUP(B68,'Regioturnier 2'!$Z$3:$AA$34,2,FALSE)))</f>
        <v>0</v>
      </c>
      <c r="Q68" s="15">
        <f>MAX(IF(ISNA(VLOOKUP(B68,'Regioturnier 3'!$B$3:$C$34,2,FALSE))=TRUE,0,VLOOKUP(B68,'Regioturnier 3'!$B$3:$C$34,2,FALSE)),IF(ISNA(VLOOKUP(B68,'Regioturnier 3'!$F$3:$G$34,2,FALSE))=TRUE,0,VLOOKUP(B68,'Regioturnier 3'!$F$3:$G$34,2,FALSE)),IF(ISNA(VLOOKUP(B68,'Regioturnier 3'!$J$3:$K$34,2,FALSE))=TRUE,0,VLOOKUP(B68,'Regioturnier 3'!$J$3:$K$34,2,FALSE)),IF(ISNA(VLOOKUP(B68,'Regioturnier 3'!$N$3:$O$34,2,FALSE))=TRUE,0,VLOOKUP(B68,'Regioturnier 3'!$N$3:$O$34,2,FALSE)),IF(ISNA(VLOOKUP(B68,'Regioturnier 3'!$R$3:$S$34,2,FALSE))=TRUE,0,VLOOKUP(B68,'Regioturnier 3'!$R$3:$S$34,2,FALSE)), IF(ISNA(VLOOKUP(B68,'Regioturnier 3'!$V$3:$W$34,2,FALSE))=TRUE,0,VLOOKUP(B68,'Regioturnier 3'!$V$3:$W$34,2,FALSE)), IF(ISNA(VLOOKUP(B68,'Regioturnier 3'!$Z$3:$AA$34,2,FALSE))=TRUE,0,VLOOKUP(B68,'Regioturnier 3'!$Z$3:$AA$34,2,FALSE)))</f>
        <v>0</v>
      </c>
      <c r="R68" s="20">
        <f>0.5*INDEX($H68:$N68,MATCH(LARGE($H68:$N68,1),$H68:$N68,0))+0.3*INDEX($H68:$N68,MATCH(LARGE($H68:$N68,2),$H68:$N68,0))+0.2*INDEX($H68:$N68,MATCH(LARGE($H68:$N68,3),$H68:$N68,0))</f>
        <v>84</v>
      </c>
      <c r="S68" s="20">
        <f>0.6*INDEX(O68:Q68,MATCH(LARGE(O68:Q68,1),O68:Q68,0))+0.4*INDEX(O68:Q68,MATCH(LARGE(O68:Q68,2),O68:Q68,0))+0*INDEX(O68:Q68,MATCH(LARGE(O68:Q68,3),O68:Q68,0))</f>
        <v>118.8</v>
      </c>
      <c r="T68" s="15">
        <f>1*INDEX(R68:S68,MATCH(LARGE(R68:S68,1),R68:S68,0))+0*INDEX(R68:S68,MATCH(LARGE(R68:S68,2),R68:S68,0))</f>
        <v>118.8</v>
      </c>
      <c r="U68" s="21"/>
      <c r="V68" s="21"/>
      <c r="W68" s="21"/>
      <c r="X68" s="21"/>
      <c r="Y68" s="21"/>
      <c r="Z68" s="21"/>
    </row>
    <row r="69" spans="1:26" ht="12.75" customHeight="1" x14ac:dyDescent="0.3">
      <c r="A69" s="15">
        <v>68</v>
      </c>
      <c r="B69" s="16" t="s">
        <v>496</v>
      </c>
      <c r="C69" s="17" t="s">
        <v>108</v>
      </c>
      <c r="D69" s="15" t="s">
        <v>22</v>
      </c>
      <c r="E69" s="18" t="s">
        <v>23</v>
      </c>
      <c r="F69" s="15">
        <v>209053</v>
      </c>
      <c r="G69" s="22">
        <v>2010</v>
      </c>
      <c r="H69" s="15">
        <f>MAX(IF(ISNA(VLOOKUP(B69,'WBV 1'!$B$3:$C$34,2,FALSE))=TRUE,0,VLOOKUP(B69,'WBV 1'!$B$3:$C$34,2,FALSE)),IF(ISNA(VLOOKUP(B69,'WBV 1'!$F$3:$G$34,2,FALSE))=TRUE,0,VLOOKUP(B69,'WBV 1'!$F$3:$G$34,2,FALSE)),IF(ISNA(VLOOKUP(B69,'WBV 1'!$J$3:$K$34,2,FALSE))=TRUE,0,VLOOKUP(B69,'WBV 1'!$J$3:$K$34,2,FALSE)),IF(ISNA(VLOOKUP(B69,'WBV 1'!$N$3:$O$34,2,FALSE))=TRUE,0,VLOOKUP(B69,'WBV 1'!$N$3:$O$34,2,FALSE)))</f>
        <v>0</v>
      </c>
      <c r="I69" s="15">
        <f>MAX(IF(ISNA(VLOOKUP(B69,'WBV 2'!$B$3:$C$34,2,FALSE))=TRUE,0,VLOOKUP(B69,'WBV 2'!$B$3:$C$34,2,FALSE)),IF(ISNA(VLOOKUP(B69,'WBV 2'!$F$3:$G$34,2,FALSE))=TRUE,0,VLOOKUP(B69,'WBV 2'!$F$3:$G$34,2,FALSE)),IF(ISNA(VLOOKUP(B69,'WBV 2'!$J$3:$K$34,2,FALSE))=TRUE,0,VLOOKUP(B69,'WBV 2'!$J$3:$K$34,2,FALSE)),IF(ISNA(VLOOKUP(B69,'WBV 2'!$N$3:$O$34,2,FALSE))=TRUE,0,VLOOKUP(B69,'WBV 2'!$N$3:$O$34,2,FALSE)))</f>
        <v>0</v>
      </c>
      <c r="J69" s="15">
        <f>MAX(IF(ISNA(VLOOKUP(B69,'WBV 3'!$B$3:$C$34,2,FALSE))=TRUE,0,VLOOKUP(B69,'WBV 3'!$B$3:$C$34,2,FALSE)),IF(ISNA(VLOOKUP(B69,'WBV 3'!$F$3:$G$34,2,FALSE))=TRUE,0,VLOOKUP(B69,'WBV 3'!$F$3:$G$34,2,FALSE)),IF(ISNA(VLOOKUP(B69,'WBV 3'!$J$3:$K$34,2,FALSE))=TRUE,0,VLOOKUP(B69,'WBV 3'!$J$3:$K$34,2,FALSE)),IF(ISNA(VLOOKUP(B69,'WBV 3'!$N$3:$O$34,2,FALSE))=TRUE,0,VLOOKUP(B69,'WBV 3'!$N$3:$O$34,2,FALSE)))</f>
        <v>0</v>
      </c>
      <c r="K69" s="15">
        <f>MAX(IF(ISNA(VLOOKUP(B69,'WBV 4'!$B$3:$C$34,2,FALSE))=TRUE,0,VLOOKUP(B69,'WBV 4'!$B$3:$C$34,2,FALSE)),IF(ISNA(VLOOKUP(B69,'WBV 4'!$F$3:$G$34,2,FALSE))=TRUE,0,VLOOKUP(B69,'WBV 4'!$F$3:$G$34,2,FALSE)),IF(ISNA(VLOOKUP(B69,'WBV 4'!$J$3:$K$34,2,FALSE))=TRUE,0,VLOOKUP(B69,'WBV 4'!$J$3:$K$34,2,FALSE)),IF(ISNA(VLOOKUP(B69,'WBV 4'!$N$3:$O$34,2,FALSE))=TRUE,0,VLOOKUP(B69,'WBV 4'!$N$3:$O$34,2,FALSE)))</f>
        <v>0</v>
      </c>
      <c r="L69" s="19">
        <f>MAX(IF(ISNA(VLOOKUP(B69,'NÖBV 1'!$B$3:$C$34,2,FALSE))=TRUE,0,VLOOKUP(B69,'NÖBV 1'!$B$3:$C$34,2,FALSE)),IF(ISNA(VLOOKUP(B69,'NÖBV 1'!$F$3:$G$34,2,FALSE))=TRUE,0,VLOOKUP(B69,'NÖBV 1'!$F$3:$G$34,2,FALSE)),IF(ISNA(VLOOKUP(B69,'NÖBV 1'!$J$3:$K$34,2,FALSE))=TRUE,0,VLOOKUP(B69,'NÖBV 1'!$J$3:$K$34,2,FALSE)),IF(ISNA(VLOOKUP(B69,'NÖBV 1'!$N$3:$O$34,2,FALSE))=TRUE,0,VLOOKUP(B69,'NÖBV 1'!$N$3:$O$34,2,FALSE)))</f>
        <v>166</v>
      </c>
      <c r="M69" s="19">
        <f>MAX(IF(ISNA(VLOOKUP(B69,'NÖBV 2'!$B$3:$C$34,2,FALSE))=TRUE,0,VLOOKUP(B69,'NÖBV 2'!$B$3:$C$34,2,FALSE)),IF(ISNA(VLOOKUP(B69,'NÖBV 2'!$F$3:$G$34,2,FALSE))=TRUE,0,VLOOKUP(B69,'NÖBV 2'!$F$3:$G$34,2,FALSE)),IF(ISNA(VLOOKUP(B69,'NÖBV 2'!$J$3:$K$34,2,FALSE))=TRUE,0,VLOOKUP(B69,'NÖBV 2'!$J$3:$K$34,2,FALSE)),IF(ISNA(VLOOKUP(B69,'NÖBV 2'!$N$3:$O$34,2,FALSE))=TRUE,0,VLOOKUP(B69,'NÖBV 2'!$N$3:$O$34,2,FALSE)))</f>
        <v>0</v>
      </c>
      <c r="N69" s="19">
        <f>MAX(IF(ISNA(VLOOKUP(B69,'NÖBV 3'!$B$3:$C$34,2,FALSE))=TRUE,0,VLOOKUP(B69,'NÖBV 3'!$B$3:$C$34,2,FALSE)),IF(ISNA(VLOOKUP(B69,'NÖBV 3'!$F$3:$G$34,2,FALSE))=TRUE,0,VLOOKUP(B69,'NÖBV 3'!$F$3:$G$34,2,FALSE)),IF(ISNA(VLOOKUP(B69,'NÖBV 3'!$J$3:$K$34,2,FALSE))=TRUE,0,VLOOKUP(B69,'NÖBV 3'!$J$3:$K$34,2,FALSE)),IF(ISNA(VLOOKUP(B69,'NÖBV 3'!$N$3:$O$34,2,FALSE))=TRUE,0,VLOOKUP(B69,'NÖBV 3'!$N$3:$O$34,2,FALSE)))</f>
        <v>0</v>
      </c>
      <c r="O69" s="15">
        <f>MAX(IF(ISNA(VLOOKUP(B69,'Regioturnier 1'!$B$3:$C$34,2,FALSE))=TRUE,0,VLOOKUP(B69,'Regioturnier 1'!$B$3:$C$34,2,FALSE)),IF(ISNA(VLOOKUP(B69,'Regioturnier 1'!$F$3:$G$34,2,FALSE))=TRUE,0,VLOOKUP(B69,'Regioturnier 1'!$F$3:$G$34,2,FALSE)),IF(ISNA(VLOOKUP(B69,'Regioturnier 1'!$J$3:$K$34,2,FALSE))=TRUE,0,VLOOKUP(B69,'Regioturnier 1'!$J$3:$K$34,2,FALSE)),IF(ISNA(VLOOKUP(B69,'Regioturnier 1'!$N$3:$O$34,2,FALSE))=TRUE,0,VLOOKUP(B69,'Regioturnier 1'!$N$3:$O$34,2,FALSE)),IF(ISNA(VLOOKUP(B69,'Regioturnier 1'!$R$3:$S$34,2,FALSE))=TRUE,0,VLOOKUP(B69,'Regioturnier 1'!$R$3:$S$34,2,FALSE)), IF(ISNA(VLOOKUP(B69,'Regioturnier 1'!$V$3:$W$34,2,FALSE))=TRUE,0,VLOOKUP(B69,'Regioturnier 1'!$V$3:$W$34,2,FALSE)), IF(ISNA(VLOOKUP(B69,'Regioturnier 1'!$Z$3:$AA$34,2,FALSE))=TRUE,0,VLOOKUP(B69,'Regioturnier 1'!$Z$3:$AA$34,2,FALSE)))</f>
        <v>0</v>
      </c>
      <c r="P69" s="15">
        <f>MAX(IF(ISNA(VLOOKUP(B69,'Regioturnier 2'!$B$3:$C$34,2,FALSE))=TRUE,0,VLOOKUP(B69,'Regioturnier 2'!$B$3:$C$34,2,FALSE)),IF(ISNA(VLOOKUP(B69,'Regioturnier 2'!$F$3:$G$34,2,FALSE))=TRUE,0,VLOOKUP(B69,'Regioturnier 2'!$F$3:$G$34,2,FALSE)),IF(ISNA(VLOOKUP(B69,'Regioturnier 2'!$J$3:$K$34,2,FALSE))=TRUE,0,VLOOKUP(B69,'Regioturnier 2'!$J$3:$K$34,2,FALSE)),IF(ISNA(VLOOKUP(B69,'Regioturnier 2'!$N$3:$O$34,2,FALSE))=TRUE,0,VLOOKUP(B69,'Regioturnier 2'!$N$3:$O$34,2,FALSE)),IF(ISNA(VLOOKUP(B69,'Regioturnier 2'!$R$3:$S$34,2,FALSE))=TRUE,0,VLOOKUP(B69,'Regioturnier 2'!$R$3:$S$34,2,FALSE)), IF(ISNA(VLOOKUP(B69,'Regioturnier 2'!$V$3:$W$34,2,FALSE))=TRUE,0,VLOOKUP(B69,'Regioturnier 2'!$V$3:$W$34,2,FALSE)), IF(ISNA(VLOOKUP(B69,'Regioturnier 2'!$Z$3:$AA$34,2,FALSE))=TRUE,0,VLOOKUP(B69,'Regioturnier 2'!$Z$3:$AA$34,2,FALSE)))</f>
        <v>197</v>
      </c>
      <c r="Q69" s="15">
        <f>MAX(IF(ISNA(VLOOKUP(B69,'Regioturnier 3'!$B$3:$C$34,2,FALSE))=TRUE,0,VLOOKUP(B69,'Regioturnier 3'!$B$3:$C$34,2,FALSE)),IF(ISNA(VLOOKUP(B69,'Regioturnier 3'!$F$3:$G$34,2,FALSE))=TRUE,0,VLOOKUP(B69,'Regioturnier 3'!$F$3:$G$34,2,FALSE)),IF(ISNA(VLOOKUP(B69,'Regioturnier 3'!$J$3:$K$34,2,FALSE))=TRUE,0,VLOOKUP(B69,'Regioturnier 3'!$J$3:$K$34,2,FALSE)),IF(ISNA(VLOOKUP(B69,'Regioturnier 3'!$N$3:$O$34,2,FALSE))=TRUE,0,VLOOKUP(B69,'Regioturnier 3'!$N$3:$O$34,2,FALSE)),IF(ISNA(VLOOKUP(B69,'Regioturnier 3'!$R$3:$S$34,2,FALSE))=TRUE,0,VLOOKUP(B69,'Regioturnier 3'!$R$3:$S$34,2,FALSE)), IF(ISNA(VLOOKUP(B69,'Regioturnier 3'!$V$3:$W$34,2,FALSE))=TRUE,0,VLOOKUP(B69,'Regioturnier 3'!$V$3:$W$34,2,FALSE)), IF(ISNA(VLOOKUP(B69,'Regioturnier 3'!$Z$3:$AA$34,2,FALSE))=TRUE,0,VLOOKUP(B69,'Regioturnier 3'!$Z$3:$AA$34,2,FALSE)))</f>
        <v>0</v>
      </c>
      <c r="R69" s="20">
        <f>0.5*INDEX($H69:$N69,MATCH(LARGE($H69:$N69,1),$H69:$N69,0))+0.3*INDEX($H69:$N69,MATCH(LARGE($H69:$N69,2),$H69:$N69,0))+0.2*INDEX($H69:$N69,MATCH(LARGE($H69:$N69,3),$H69:$N69,0))</f>
        <v>83</v>
      </c>
      <c r="S69" s="20">
        <f>0.6*INDEX(O69:Q69,MATCH(LARGE(O69:Q69,1),O69:Q69,0))+0.4*INDEX(O69:Q69,MATCH(LARGE(O69:Q69,2),O69:Q69,0))+0*INDEX(O69:Q69,MATCH(LARGE(O69:Q69,3),O69:Q69,0))</f>
        <v>118.19999999999999</v>
      </c>
      <c r="T69" s="15">
        <f>1*INDEX(R69:S69,MATCH(LARGE(R69:S69,1),R69:S69,0))+0*INDEX(R69:S69,MATCH(LARGE(R69:S69,2),R69:S69,0))</f>
        <v>118.19999999999999</v>
      </c>
      <c r="U69" s="21"/>
      <c r="V69" s="21"/>
      <c r="W69" s="21"/>
      <c r="X69" s="21"/>
      <c r="Y69" s="21"/>
      <c r="Z69" s="21"/>
    </row>
    <row r="70" spans="1:26" ht="12.75" customHeight="1" x14ac:dyDescent="0.3">
      <c r="A70" s="15">
        <v>69</v>
      </c>
      <c r="B70" s="16" t="s">
        <v>138</v>
      </c>
      <c r="C70" s="17" t="s">
        <v>31</v>
      </c>
      <c r="D70" s="15" t="s">
        <v>26</v>
      </c>
      <c r="E70" s="18" t="s">
        <v>23</v>
      </c>
      <c r="F70" s="15">
        <v>109608</v>
      </c>
      <c r="G70" s="22">
        <v>2014</v>
      </c>
      <c r="H70" s="15">
        <f>MAX(IF(ISNA(VLOOKUP(B70,'WBV 1'!$B$3:$C$34,2,FALSE))=TRUE,0,VLOOKUP(B70,'WBV 1'!$B$3:$C$34,2,FALSE)),IF(ISNA(VLOOKUP(B70,'WBV 1'!$F$3:$G$34,2,FALSE))=TRUE,0,VLOOKUP(B70,'WBV 1'!$F$3:$G$34,2,FALSE)),IF(ISNA(VLOOKUP(B70,'WBV 1'!$J$3:$K$34,2,FALSE))=TRUE,0,VLOOKUP(B70,'WBV 1'!$J$3:$K$34,2,FALSE)),IF(ISNA(VLOOKUP(B70,'WBV 1'!$N$3:$O$34,2,FALSE))=TRUE,0,VLOOKUP(B70,'WBV 1'!$N$3:$O$34,2,FALSE)))</f>
        <v>0</v>
      </c>
      <c r="I70" s="15">
        <f>MAX(IF(ISNA(VLOOKUP(B70,'WBV 2'!$B$3:$C$34,2,FALSE))=TRUE,0,VLOOKUP(B70,'WBV 2'!$B$3:$C$34,2,FALSE)),IF(ISNA(VLOOKUP(B70,'WBV 2'!$F$3:$G$34,2,FALSE))=TRUE,0,VLOOKUP(B70,'WBV 2'!$F$3:$G$34,2,FALSE)),IF(ISNA(VLOOKUP(B70,'WBV 2'!$J$3:$K$34,2,FALSE))=TRUE,0,VLOOKUP(B70,'WBV 2'!$J$3:$K$34,2,FALSE)),IF(ISNA(VLOOKUP(B70,'WBV 2'!$N$3:$O$34,2,FALSE))=TRUE,0,VLOOKUP(B70,'WBV 2'!$N$3:$O$34,2,FALSE)))</f>
        <v>0</v>
      </c>
      <c r="J70" s="15">
        <f>MAX(IF(ISNA(VLOOKUP(B70,'WBV 3'!$B$3:$C$34,2,FALSE))=TRUE,0,VLOOKUP(B70,'WBV 3'!$B$3:$C$34,2,FALSE)),IF(ISNA(VLOOKUP(B70,'WBV 3'!$F$3:$G$34,2,FALSE))=TRUE,0,VLOOKUP(B70,'WBV 3'!$F$3:$G$34,2,FALSE)),IF(ISNA(VLOOKUP(B70,'WBV 3'!$J$3:$K$34,2,FALSE))=TRUE,0,VLOOKUP(B70,'WBV 3'!$J$3:$K$34,2,FALSE)),IF(ISNA(VLOOKUP(B70,'WBV 3'!$N$3:$O$34,2,FALSE))=TRUE,0,VLOOKUP(B70,'WBV 3'!$N$3:$O$34,2,FALSE)))</f>
        <v>0</v>
      </c>
      <c r="K70" s="15">
        <f>MAX(IF(ISNA(VLOOKUP(B70,'WBV 4'!$B$3:$C$34,2,FALSE))=TRUE,0,VLOOKUP(B70,'WBV 4'!$B$3:$C$34,2,FALSE)),IF(ISNA(VLOOKUP(B70,'WBV 4'!$F$3:$G$34,2,FALSE))=TRUE,0,VLOOKUP(B70,'WBV 4'!$F$3:$G$34,2,FALSE)),IF(ISNA(VLOOKUP(B70,'WBV 4'!$J$3:$K$34,2,FALSE))=TRUE,0,VLOOKUP(B70,'WBV 4'!$J$3:$K$34,2,FALSE)),IF(ISNA(VLOOKUP(B70,'WBV 4'!$N$3:$O$34,2,FALSE))=TRUE,0,VLOOKUP(B70,'WBV 4'!$N$3:$O$34,2,FALSE)))</f>
        <v>0</v>
      </c>
      <c r="L70" s="19">
        <f>MAX(IF(ISNA(VLOOKUP(B70,'NÖBV 1'!$B$3:$C$34,2,FALSE))=TRUE,0,VLOOKUP(B70,'NÖBV 1'!$B$3:$C$34,2,FALSE)),IF(ISNA(VLOOKUP(B70,'NÖBV 1'!$F$3:$G$34,2,FALSE))=TRUE,0,VLOOKUP(B70,'NÖBV 1'!$F$3:$G$34,2,FALSE)),IF(ISNA(VLOOKUP(B70,'NÖBV 1'!$J$3:$K$34,2,FALSE))=TRUE,0,VLOOKUP(B70,'NÖBV 1'!$J$3:$K$34,2,FALSE)),IF(ISNA(VLOOKUP(B70,'NÖBV 1'!$N$3:$O$34,2,FALSE))=TRUE,0,VLOOKUP(B70,'NÖBV 1'!$N$3:$O$34,2,FALSE)))</f>
        <v>0</v>
      </c>
      <c r="M70" s="19">
        <f>MAX(IF(ISNA(VLOOKUP(B70,'NÖBV 2'!$B$3:$C$34,2,FALSE))=TRUE,0,VLOOKUP(B70,'NÖBV 2'!$B$3:$C$34,2,FALSE)),IF(ISNA(VLOOKUP(B70,'NÖBV 2'!$F$3:$G$34,2,FALSE))=TRUE,0,VLOOKUP(B70,'NÖBV 2'!$F$3:$G$34,2,FALSE)),IF(ISNA(VLOOKUP(B70,'NÖBV 2'!$J$3:$K$34,2,FALSE))=TRUE,0,VLOOKUP(B70,'NÖBV 2'!$J$3:$K$34,2,FALSE)),IF(ISNA(VLOOKUP(B70,'NÖBV 2'!$N$3:$O$34,2,FALSE))=TRUE,0,VLOOKUP(B70,'NÖBV 2'!$N$3:$O$34,2,FALSE)))</f>
        <v>0</v>
      </c>
      <c r="N70" s="19">
        <f>MAX(IF(ISNA(VLOOKUP(B70,'NÖBV 3'!$B$3:$C$34,2,FALSE))=TRUE,0,VLOOKUP(B70,'NÖBV 3'!$B$3:$C$34,2,FALSE)),IF(ISNA(VLOOKUP(B70,'NÖBV 3'!$F$3:$G$34,2,FALSE))=TRUE,0,VLOOKUP(B70,'NÖBV 3'!$F$3:$G$34,2,FALSE)),IF(ISNA(VLOOKUP(B70,'NÖBV 3'!$J$3:$K$34,2,FALSE))=TRUE,0,VLOOKUP(B70,'NÖBV 3'!$J$3:$K$34,2,FALSE)),IF(ISNA(VLOOKUP(B70,'NÖBV 3'!$N$3:$O$34,2,FALSE))=TRUE,0,VLOOKUP(B70,'NÖBV 3'!$N$3:$O$34,2,FALSE)))</f>
        <v>0</v>
      </c>
      <c r="O70" s="15">
        <f>MAX(IF(ISNA(VLOOKUP(B70,'Regioturnier 1'!$B$3:$C$34,2,FALSE))=TRUE,0,VLOOKUP(B70,'Regioturnier 1'!$B$3:$C$34,2,FALSE)),IF(ISNA(VLOOKUP(B70,'Regioturnier 1'!$F$3:$G$34,2,FALSE))=TRUE,0,VLOOKUP(B70,'Regioturnier 1'!$F$3:$G$34,2,FALSE)),IF(ISNA(VLOOKUP(B70,'Regioturnier 1'!$J$3:$K$34,2,FALSE))=TRUE,0,VLOOKUP(B70,'Regioturnier 1'!$J$3:$K$34,2,FALSE)),IF(ISNA(VLOOKUP(B70,'Regioturnier 1'!$N$3:$O$34,2,FALSE))=TRUE,0,VLOOKUP(B70,'Regioturnier 1'!$N$3:$O$34,2,FALSE)),IF(ISNA(VLOOKUP(B70,'Regioturnier 1'!$R$3:$S$34,2,FALSE))=TRUE,0,VLOOKUP(B70,'Regioturnier 1'!$R$3:$S$34,2,FALSE)), IF(ISNA(VLOOKUP(B70,'Regioturnier 1'!$V$3:$W$34,2,FALSE))=TRUE,0,VLOOKUP(B70,'Regioturnier 1'!$V$3:$W$34,2,FALSE)), IF(ISNA(VLOOKUP(B70,'Regioturnier 1'!$Z$3:$AA$34,2,FALSE))=TRUE,0,VLOOKUP(B70,'Regioturnier 1'!$Z$3:$AA$34,2,FALSE)))</f>
        <v>196</v>
      </c>
      <c r="P70" s="15">
        <f>MAX(IF(ISNA(VLOOKUP(B70,'Regioturnier 2'!$B$3:$C$34,2,FALSE))=TRUE,0,VLOOKUP(B70,'Regioturnier 2'!$B$3:$C$34,2,FALSE)),IF(ISNA(VLOOKUP(B70,'Regioturnier 2'!$F$3:$G$34,2,FALSE))=TRUE,0,VLOOKUP(B70,'Regioturnier 2'!$F$3:$G$34,2,FALSE)),IF(ISNA(VLOOKUP(B70,'Regioturnier 2'!$J$3:$K$34,2,FALSE))=TRUE,0,VLOOKUP(B70,'Regioturnier 2'!$J$3:$K$34,2,FALSE)),IF(ISNA(VLOOKUP(B70,'Regioturnier 2'!$N$3:$O$34,2,FALSE))=TRUE,0,VLOOKUP(B70,'Regioturnier 2'!$N$3:$O$34,2,FALSE)),IF(ISNA(VLOOKUP(B70,'Regioturnier 2'!$R$3:$S$34,2,FALSE))=TRUE,0,VLOOKUP(B70,'Regioturnier 2'!$R$3:$S$34,2,FALSE)), IF(ISNA(VLOOKUP(B70,'Regioturnier 2'!$V$3:$W$34,2,FALSE))=TRUE,0,VLOOKUP(B70,'Regioturnier 2'!$V$3:$W$34,2,FALSE)), IF(ISNA(VLOOKUP(B70,'Regioturnier 2'!$Z$3:$AA$34,2,FALSE))=TRUE,0,VLOOKUP(B70,'Regioturnier 2'!$Z$3:$AA$34,2,FALSE)))</f>
        <v>0</v>
      </c>
      <c r="Q70" s="15">
        <f>MAX(IF(ISNA(VLOOKUP(B70,'Regioturnier 3'!$B$3:$C$34,2,FALSE))=TRUE,0,VLOOKUP(B70,'Regioturnier 3'!$B$3:$C$34,2,FALSE)),IF(ISNA(VLOOKUP(B70,'Regioturnier 3'!$F$3:$G$34,2,FALSE))=TRUE,0,VLOOKUP(B70,'Regioturnier 3'!$F$3:$G$34,2,FALSE)),IF(ISNA(VLOOKUP(B70,'Regioturnier 3'!$J$3:$K$34,2,FALSE))=TRUE,0,VLOOKUP(B70,'Regioturnier 3'!$J$3:$K$34,2,FALSE)),IF(ISNA(VLOOKUP(B70,'Regioturnier 3'!$N$3:$O$34,2,FALSE))=TRUE,0,VLOOKUP(B70,'Regioturnier 3'!$N$3:$O$34,2,FALSE)),IF(ISNA(VLOOKUP(B70,'Regioturnier 3'!$R$3:$S$34,2,FALSE))=TRUE,0,VLOOKUP(B70,'Regioturnier 3'!$R$3:$S$34,2,FALSE)), IF(ISNA(VLOOKUP(B70,'Regioturnier 3'!$V$3:$W$34,2,FALSE))=TRUE,0,VLOOKUP(B70,'Regioturnier 3'!$V$3:$W$34,2,FALSE)), IF(ISNA(VLOOKUP(B70,'Regioturnier 3'!$Z$3:$AA$34,2,FALSE))=TRUE,0,VLOOKUP(B70,'Regioturnier 3'!$Z$3:$AA$34,2,FALSE)))</f>
        <v>0</v>
      </c>
      <c r="R70" s="20">
        <f>0.5*INDEX($H70:$N70,MATCH(LARGE($H70:$N70,1),$H70:$N70,0))+0.3*INDEX($H70:$N70,MATCH(LARGE($H70:$N70,2),$H70:$N70,0))+0.2*INDEX($H70:$N70,MATCH(LARGE($H70:$N70,3),$H70:$N70,0))</f>
        <v>0</v>
      </c>
      <c r="S70" s="20">
        <f>0.6*INDEX(O70:Q70,MATCH(LARGE(O70:Q70,1),O70:Q70,0))+0.4*INDEX(O70:Q70,MATCH(LARGE(O70:Q70,2),O70:Q70,0))+0*INDEX(O70:Q70,MATCH(LARGE(O70:Q70,3),O70:Q70,0))</f>
        <v>117.6</v>
      </c>
      <c r="T70" s="15">
        <f>1*INDEX(R70:S70,MATCH(LARGE(R70:S70,1),R70:S70,0))+0*INDEX(R70:S70,MATCH(LARGE(R70:S70,2),R70:S70,0))</f>
        <v>117.6</v>
      </c>
      <c r="U70" s="21"/>
      <c r="V70" s="21"/>
      <c r="W70" s="21"/>
      <c r="X70" s="21"/>
      <c r="Y70" s="21"/>
      <c r="Z70" s="21"/>
    </row>
    <row r="71" spans="1:26" ht="12.75" customHeight="1" x14ac:dyDescent="0.3">
      <c r="A71" s="15">
        <v>70</v>
      </c>
      <c r="B71" s="16" t="s">
        <v>511</v>
      </c>
      <c r="C71" s="17" t="s">
        <v>46</v>
      </c>
      <c r="D71" s="15" t="s">
        <v>26</v>
      </c>
      <c r="E71" s="18" t="s">
        <v>23</v>
      </c>
      <c r="F71" s="15">
        <v>110331</v>
      </c>
      <c r="G71" s="22">
        <v>2010</v>
      </c>
      <c r="H71" s="15">
        <f>MAX(IF(ISNA(VLOOKUP(B71,'WBV 1'!$B$3:$C$34,2,FALSE))=TRUE,0,VLOOKUP(B71,'WBV 1'!$B$3:$C$34,2,FALSE)),IF(ISNA(VLOOKUP(B71,'WBV 1'!$F$3:$G$34,2,FALSE))=TRUE,0,VLOOKUP(B71,'WBV 1'!$F$3:$G$34,2,FALSE)),IF(ISNA(VLOOKUP(B71,'WBV 1'!$J$3:$K$34,2,FALSE))=TRUE,0,VLOOKUP(B71,'WBV 1'!$J$3:$K$34,2,FALSE)),IF(ISNA(VLOOKUP(B71,'WBV 1'!$N$3:$O$34,2,FALSE))=TRUE,0,VLOOKUP(B71,'WBV 1'!$N$3:$O$34,2,FALSE)))</f>
        <v>0</v>
      </c>
      <c r="I71" s="15">
        <f>MAX(IF(ISNA(VLOOKUP(B71,'WBV 2'!$B$3:$C$34,2,FALSE))=TRUE,0,VLOOKUP(B71,'WBV 2'!$B$3:$C$34,2,FALSE)),IF(ISNA(VLOOKUP(B71,'WBV 2'!$F$3:$G$34,2,FALSE))=TRUE,0,VLOOKUP(B71,'WBV 2'!$F$3:$G$34,2,FALSE)),IF(ISNA(VLOOKUP(B71,'WBV 2'!$J$3:$K$34,2,FALSE))=TRUE,0,VLOOKUP(B71,'WBV 2'!$J$3:$K$34,2,FALSE)),IF(ISNA(VLOOKUP(B71,'WBV 2'!$N$3:$O$34,2,FALSE))=TRUE,0,VLOOKUP(B71,'WBV 2'!$N$3:$O$34,2,FALSE)))</f>
        <v>0</v>
      </c>
      <c r="J71" s="15">
        <f>MAX(IF(ISNA(VLOOKUP(B71,'WBV 3'!$B$3:$C$34,2,FALSE))=TRUE,0,VLOOKUP(B71,'WBV 3'!$B$3:$C$34,2,FALSE)),IF(ISNA(VLOOKUP(B71,'WBV 3'!$F$3:$G$34,2,FALSE))=TRUE,0,VLOOKUP(B71,'WBV 3'!$F$3:$G$34,2,FALSE)),IF(ISNA(VLOOKUP(B71,'WBV 3'!$J$3:$K$34,2,FALSE))=TRUE,0,VLOOKUP(B71,'WBV 3'!$J$3:$K$34,2,FALSE)),IF(ISNA(VLOOKUP(B71,'WBV 3'!$N$3:$O$34,2,FALSE))=TRUE,0,VLOOKUP(B71,'WBV 3'!$N$3:$O$34,2,FALSE)))</f>
        <v>0</v>
      </c>
      <c r="K71" s="15">
        <f>MAX(IF(ISNA(VLOOKUP(B71,'WBV 4'!$B$3:$C$34,2,FALSE))=TRUE,0,VLOOKUP(B71,'WBV 4'!$B$3:$C$34,2,FALSE)),IF(ISNA(VLOOKUP(B71,'WBV 4'!$F$3:$G$34,2,FALSE))=TRUE,0,VLOOKUP(B71,'WBV 4'!$F$3:$G$34,2,FALSE)),IF(ISNA(VLOOKUP(B71,'WBV 4'!$J$3:$K$34,2,FALSE))=TRUE,0,VLOOKUP(B71,'WBV 4'!$J$3:$K$34,2,FALSE)),IF(ISNA(VLOOKUP(B71,'WBV 4'!$N$3:$O$34,2,FALSE))=TRUE,0,VLOOKUP(B71,'WBV 4'!$N$3:$O$34,2,FALSE)))</f>
        <v>0</v>
      </c>
      <c r="L71" s="19">
        <f>MAX(IF(ISNA(VLOOKUP(B71,'NÖBV 1'!$B$3:$C$34,2,FALSE))=TRUE,0,VLOOKUP(B71,'NÖBV 1'!$B$3:$C$34,2,FALSE)),IF(ISNA(VLOOKUP(B71,'NÖBV 1'!$F$3:$G$34,2,FALSE))=TRUE,0,VLOOKUP(B71,'NÖBV 1'!$F$3:$G$34,2,FALSE)),IF(ISNA(VLOOKUP(B71,'NÖBV 1'!$J$3:$K$34,2,FALSE))=TRUE,0,VLOOKUP(B71,'NÖBV 1'!$J$3:$K$34,2,FALSE)),IF(ISNA(VLOOKUP(B71,'NÖBV 1'!$N$3:$O$34,2,FALSE))=TRUE,0,VLOOKUP(B71,'NÖBV 1'!$N$3:$O$34,2,FALSE)))</f>
        <v>0</v>
      </c>
      <c r="M71" s="19">
        <f>MAX(IF(ISNA(VLOOKUP(B71,'NÖBV 2'!$B$3:$C$34,2,FALSE))=TRUE,0,VLOOKUP(B71,'NÖBV 2'!$B$3:$C$34,2,FALSE)),IF(ISNA(VLOOKUP(B71,'NÖBV 2'!$F$3:$G$34,2,FALSE))=TRUE,0,VLOOKUP(B71,'NÖBV 2'!$F$3:$G$34,2,FALSE)),IF(ISNA(VLOOKUP(B71,'NÖBV 2'!$J$3:$K$34,2,FALSE))=TRUE,0,VLOOKUP(B71,'NÖBV 2'!$J$3:$K$34,2,FALSE)),IF(ISNA(VLOOKUP(B71,'NÖBV 2'!$N$3:$O$34,2,FALSE))=TRUE,0,VLOOKUP(B71,'NÖBV 2'!$N$3:$O$34,2,FALSE)))</f>
        <v>0</v>
      </c>
      <c r="N71" s="19">
        <f>MAX(IF(ISNA(VLOOKUP(B71,'NÖBV 3'!$B$3:$C$34,2,FALSE))=TRUE,0,VLOOKUP(B71,'NÖBV 3'!$B$3:$C$34,2,FALSE)),IF(ISNA(VLOOKUP(B71,'NÖBV 3'!$F$3:$G$34,2,FALSE))=TRUE,0,VLOOKUP(B71,'NÖBV 3'!$F$3:$G$34,2,FALSE)),IF(ISNA(VLOOKUP(B71,'NÖBV 3'!$J$3:$K$34,2,FALSE))=TRUE,0,VLOOKUP(B71,'NÖBV 3'!$J$3:$K$34,2,FALSE)),IF(ISNA(VLOOKUP(B71,'NÖBV 3'!$N$3:$O$34,2,FALSE))=TRUE,0,VLOOKUP(B71,'NÖBV 3'!$N$3:$O$34,2,FALSE)))</f>
        <v>0</v>
      </c>
      <c r="O71" s="15">
        <f>MAX(IF(ISNA(VLOOKUP(B71,'Regioturnier 1'!$B$3:$C$34,2,FALSE))=TRUE,0,VLOOKUP(B71,'Regioturnier 1'!$B$3:$C$34,2,FALSE)),IF(ISNA(VLOOKUP(B71,'Regioturnier 1'!$F$3:$G$34,2,FALSE))=TRUE,0,VLOOKUP(B71,'Regioturnier 1'!$F$3:$G$34,2,FALSE)),IF(ISNA(VLOOKUP(B71,'Regioturnier 1'!$J$3:$K$34,2,FALSE))=TRUE,0,VLOOKUP(B71,'Regioturnier 1'!$J$3:$K$34,2,FALSE)),IF(ISNA(VLOOKUP(B71,'Regioturnier 1'!$N$3:$O$34,2,FALSE))=TRUE,0,VLOOKUP(B71,'Regioturnier 1'!$N$3:$O$34,2,FALSE)),IF(ISNA(VLOOKUP(B71,'Regioturnier 1'!$R$3:$S$34,2,FALSE))=TRUE,0,VLOOKUP(B71,'Regioturnier 1'!$R$3:$S$34,2,FALSE)), IF(ISNA(VLOOKUP(B71,'Regioturnier 1'!$V$3:$W$34,2,FALSE))=TRUE,0,VLOOKUP(B71,'Regioturnier 1'!$V$3:$W$34,2,FALSE)), IF(ISNA(VLOOKUP(B71,'Regioturnier 1'!$Z$3:$AA$34,2,FALSE))=TRUE,0,VLOOKUP(B71,'Regioturnier 1'!$Z$3:$AA$34,2,FALSE)))</f>
        <v>195</v>
      </c>
      <c r="P71" s="15">
        <f>MAX(IF(ISNA(VLOOKUP(B71,'Regioturnier 2'!$B$3:$C$34,2,FALSE))=TRUE,0,VLOOKUP(B71,'Regioturnier 2'!$B$3:$C$34,2,FALSE)),IF(ISNA(VLOOKUP(B71,'Regioturnier 2'!$F$3:$G$34,2,FALSE))=TRUE,0,VLOOKUP(B71,'Regioturnier 2'!$F$3:$G$34,2,FALSE)),IF(ISNA(VLOOKUP(B71,'Regioturnier 2'!$J$3:$K$34,2,FALSE))=TRUE,0,VLOOKUP(B71,'Regioturnier 2'!$J$3:$K$34,2,FALSE)),IF(ISNA(VLOOKUP(B71,'Regioturnier 2'!$N$3:$O$34,2,FALSE))=TRUE,0,VLOOKUP(B71,'Regioturnier 2'!$N$3:$O$34,2,FALSE)),IF(ISNA(VLOOKUP(B71,'Regioturnier 2'!$R$3:$S$34,2,FALSE))=TRUE,0,VLOOKUP(B71,'Regioturnier 2'!$R$3:$S$34,2,FALSE)), IF(ISNA(VLOOKUP(B71,'Regioturnier 2'!$V$3:$W$34,2,FALSE))=TRUE,0,VLOOKUP(B71,'Regioturnier 2'!$V$3:$W$34,2,FALSE)), IF(ISNA(VLOOKUP(B71,'Regioturnier 2'!$Z$3:$AA$34,2,FALSE))=TRUE,0,VLOOKUP(B71,'Regioturnier 2'!$Z$3:$AA$34,2,FALSE)))</f>
        <v>0</v>
      </c>
      <c r="Q71" s="15">
        <f>MAX(IF(ISNA(VLOOKUP(B71,'Regioturnier 3'!$B$3:$C$34,2,FALSE))=TRUE,0,VLOOKUP(B71,'Regioturnier 3'!$B$3:$C$34,2,FALSE)),IF(ISNA(VLOOKUP(B71,'Regioturnier 3'!$F$3:$G$34,2,FALSE))=TRUE,0,VLOOKUP(B71,'Regioturnier 3'!$F$3:$G$34,2,FALSE)),IF(ISNA(VLOOKUP(B71,'Regioturnier 3'!$J$3:$K$34,2,FALSE))=TRUE,0,VLOOKUP(B71,'Regioturnier 3'!$J$3:$K$34,2,FALSE)),IF(ISNA(VLOOKUP(B71,'Regioturnier 3'!$N$3:$O$34,2,FALSE))=TRUE,0,VLOOKUP(B71,'Regioturnier 3'!$N$3:$O$34,2,FALSE)),IF(ISNA(VLOOKUP(B71,'Regioturnier 3'!$R$3:$S$34,2,FALSE))=TRUE,0,VLOOKUP(B71,'Regioturnier 3'!$R$3:$S$34,2,FALSE)), IF(ISNA(VLOOKUP(B71,'Regioturnier 3'!$V$3:$W$34,2,FALSE))=TRUE,0,VLOOKUP(B71,'Regioturnier 3'!$V$3:$W$34,2,FALSE)), IF(ISNA(VLOOKUP(B71,'Regioturnier 3'!$Z$3:$AA$34,2,FALSE))=TRUE,0,VLOOKUP(B71,'Regioturnier 3'!$Z$3:$AA$34,2,FALSE)))</f>
        <v>0</v>
      </c>
      <c r="R71" s="20">
        <f>0.5*INDEX($H71:$N71,MATCH(LARGE($H71:$N71,1),$H71:$N71,0))+0.3*INDEX($H71:$N71,MATCH(LARGE($H71:$N71,2),$H71:$N71,0))+0.2*INDEX($H71:$N71,MATCH(LARGE($H71:$N71,3),$H71:$N71,0))</f>
        <v>0</v>
      </c>
      <c r="S71" s="20">
        <f>0.6*INDEX(O71:Q71,MATCH(LARGE(O71:Q71,1),O71:Q71,0))+0.4*INDEX(O71:Q71,MATCH(LARGE(O71:Q71,2),O71:Q71,0))+0*INDEX(O71:Q71,MATCH(LARGE(O71:Q71,3),O71:Q71,0))</f>
        <v>117</v>
      </c>
      <c r="T71" s="15">
        <f>1*INDEX(R71:S71,MATCH(LARGE(R71:S71,1),R71:S71,0))+0*INDEX(R71:S71,MATCH(LARGE(R71:S71,2),R71:S71,0))</f>
        <v>117</v>
      </c>
      <c r="U71" s="21"/>
      <c r="V71" s="21"/>
      <c r="W71" s="21"/>
      <c r="X71" s="21"/>
      <c r="Y71" s="21"/>
      <c r="Z71" s="21"/>
    </row>
    <row r="72" spans="1:26" ht="12.75" customHeight="1" x14ac:dyDescent="0.3">
      <c r="A72" s="15">
        <v>71</v>
      </c>
      <c r="B72" s="16" t="s">
        <v>531</v>
      </c>
      <c r="C72" s="17" t="s">
        <v>46</v>
      </c>
      <c r="D72" s="15" t="s">
        <v>26</v>
      </c>
      <c r="E72" s="18" t="s">
        <v>543</v>
      </c>
      <c r="F72" s="15" t="s">
        <v>549</v>
      </c>
      <c r="G72" s="22">
        <v>2011</v>
      </c>
      <c r="H72" s="15">
        <f>MAX(IF(ISNA(VLOOKUP(B72,'WBV 1'!$B$3:$C$34,2,FALSE))=TRUE,0,VLOOKUP(B72,'WBV 1'!$B$3:$C$34,2,FALSE)),IF(ISNA(VLOOKUP(B72,'WBV 1'!$F$3:$G$34,2,FALSE))=TRUE,0,VLOOKUP(B72,'WBV 1'!$F$3:$G$34,2,FALSE)),IF(ISNA(VLOOKUP(B72,'WBV 1'!$J$3:$K$34,2,FALSE))=TRUE,0,VLOOKUP(B72,'WBV 1'!$J$3:$K$34,2,FALSE)),IF(ISNA(VLOOKUP(B72,'WBV 1'!$N$3:$O$34,2,FALSE))=TRUE,0,VLOOKUP(B72,'WBV 1'!$N$3:$O$34,2,FALSE)))</f>
        <v>0</v>
      </c>
      <c r="I72" s="15">
        <f>MAX(IF(ISNA(VLOOKUP(B72,'WBV 2'!$B$3:$C$34,2,FALSE))=TRUE,0,VLOOKUP(B72,'WBV 2'!$B$3:$C$34,2,FALSE)),IF(ISNA(VLOOKUP(B72,'WBV 2'!$F$3:$G$34,2,FALSE))=TRUE,0,VLOOKUP(B72,'WBV 2'!$F$3:$G$34,2,FALSE)),IF(ISNA(VLOOKUP(B72,'WBV 2'!$J$3:$K$34,2,FALSE))=TRUE,0,VLOOKUP(B72,'WBV 2'!$J$3:$K$34,2,FALSE)),IF(ISNA(VLOOKUP(B72,'WBV 2'!$N$3:$O$34,2,FALSE))=TRUE,0,VLOOKUP(B72,'WBV 2'!$N$3:$O$34,2,FALSE)))</f>
        <v>131</v>
      </c>
      <c r="J72" s="15">
        <f>MAX(IF(ISNA(VLOOKUP(B72,'WBV 3'!$B$3:$C$34,2,FALSE))=TRUE,0,VLOOKUP(B72,'WBV 3'!$B$3:$C$34,2,FALSE)),IF(ISNA(VLOOKUP(B72,'WBV 3'!$F$3:$G$34,2,FALSE))=TRUE,0,VLOOKUP(B72,'WBV 3'!$F$3:$G$34,2,FALSE)),IF(ISNA(VLOOKUP(B72,'WBV 3'!$J$3:$K$34,2,FALSE))=TRUE,0,VLOOKUP(B72,'WBV 3'!$J$3:$K$34,2,FALSE)),IF(ISNA(VLOOKUP(B72,'WBV 3'!$N$3:$O$34,2,FALSE))=TRUE,0,VLOOKUP(B72,'WBV 3'!$N$3:$O$34,2,FALSE)))</f>
        <v>154</v>
      </c>
      <c r="K72" s="15">
        <f>MAX(IF(ISNA(VLOOKUP(B72,'WBV 4'!$B$3:$C$34,2,FALSE))=TRUE,0,VLOOKUP(B72,'WBV 4'!$B$3:$C$34,2,FALSE)),IF(ISNA(VLOOKUP(B72,'WBV 4'!$F$3:$G$34,2,FALSE))=TRUE,0,VLOOKUP(B72,'WBV 4'!$F$3:$G$34,2,FALSE)),IF(ISNA(VLOOKUP(B72,'WBV 4'!$J$3:$K$34,2,FALSE))=TRUE,0,VLOOKUP(B72,'WBV 4'!$J$3:$K$34,2,FALSE)),IF(ISNA(VLOOKUP(B72,'WBV 4'!$N$3:$O$34,2,FALSE))=TRUE,0,VLOOKUP(B72,'WBV 4'!$N$3:$O$34,2,FALSE)))</f>
        <v>0</v>
      </c>
      <c r="L72" s="19">
        <f>MAX(IF(ISNA(VLOOKUP(B72,'NÖBV 1'!$B$3:$C$34,2,FALSE))=TRUE,0,VLOOKUP(B72,'NÖBV 1'!$B$3:$C$34,2,FALSE)),IF(ISNA(VLOOKUP(B72,'NÖBV 1'!$F$3:$G$34,2,FALSE))=TRUE,0,VLOOKUP(B72,'NÖBV 1'!$F$3:$G$34,2,FALSE)),IF(ISNA(VLOOKUP(B72,'NÖBV 1'!$J$3:$K$34,2,FALSE))=TRUE,0,VLOOKUP(B72,'NÖBV 1'!$J$3:$K$34,2,FALSE)),IF(ISNA(VLOOKUP(B72,'NÖBV 1'!$N$3:$O$34,2,FALSE))=TRUE,0,VLOOKUP(B72,'NÖBV 1'!$N$3:$O$34,2,FALSE)))</f>
        <v>0</v>
      </c>
      <c r="M72" s="19">
        <f>MAX(IF(ISNA(VLOOKUP(B72,'NÖBV 2'!$B$3:$C$34,2,FALSE))=TRUE,0,VLOOKUP(B72,'NÖBV 2'!$B$3:$C$34,2,FALSE)),IF(ISNA(VLOOKUP(B72,'NÖBV 2'!$F$3:$G$34,2,FALSE))=TRUE,0,VLOOKUP(B72,'NÖBV 2'!$F$3:$G$34,2,FALSE)),IF(ISNA(VLOOKUP(B72,'NÖBV 2'!$J$3:$K$34,2,FALSE))=TRUE,0,VLOOKUP(B72,'NÖBV 2'!$J$3:$K$34,2,FALSE)),IF(ISNA(VLOOKUP(B72,'NÖBV 2'!$N$3:$O$34,2,FALSE))=TRUE,0,VLOOKUP(B72,'NÖBV 2'!$N$3:$O$34,2,FALSE)))</f>
        <v>0</v>
      </c>
      <c r="N72" s="19">
        <f>MAX(IF(ISNA(VLOOKUP(B72,'NÖBV 3'!$B$3:$C$34,2,FALSE))=TRUE,0,VLOOKUP(B72,'NÖBV 3'!$B$3:$C$34,2,FALSE)),IF(ISNA(VLOOKUP(B72,'NÖBV 3'!$F$3:$G$34,2,FALSE))=TRUE,0,VLOOKUP(B72,'NÖBV 3'!$F$3:$G$34,2,FALSE)),IF(ISNA(VLOOKUP(B72,'NÖBV 3'!$J$3:$K$34,2,FALSE))=TRUE,0,VLOOKUP(B72,'NÖBV 3'!$J$3:$K$34,2,FALSE)),IF(ISNA(VLOOKUP(B72,'NÖBV 3'!$N$3:$O$34,2,FALSE))=TRUE,0,VLOOKUP(B72,'NÖBV 3'!$N$3:$O$34,2,FALSE)))</f>
        <v>0</v>
      </c>
      <c r="O72" s="15">
        <f>MAX(IF(ISNA(VLOOKUP(B72,'Regioturnier 1'!$B$3:$C$34,2,FALSE))=TRUE,0,VLOOKUP(B72,'Regioturnier 1'!$B$3:$C$34,2,FALSE)),IF(ISNA(VLOOKUP(B72,'Regioturnier 1'!$F$3:$G$34,2,FALSE))=TRUE,0,VLOOKUP(B72,'Regioturnier 1'!$F$3:$G$34,2,FALSE)),IF(ISNA(VLOOKUP(B72,'Regioturnier 1'!$J$3:$K$34,2,FALSE))=TRUE,0,VLOOKUP(B72,'Regioturnier 1'!$J$3:$K$34,2,FALSE)),IF(ISNA(VLOOKUP(B72,'Regioturnier 1'!$N$3:$O$34,2,FALSE))=TRUE,0,VLOOKUP(B72,'Regioturnier 1'!$N$3:$O$34,2,FALSE)),IF(ISNA(VLOOKUP(B72,'Regioturnier 1'!$R$3:$S$34,2,FALSE))=TRUE,0,VLOOKUP(B72,'Regioturnier 1'!$R$3:$S$34,2,FALSE)), IF(ISNA(VLOOKUP(B72,'Regioturnier 1'!$V$3:$W$34,2,FALSE))=TRUE,0,VLOOKUP(B72,'Regioturnier 1'!$V$3:$W$34,2,FALSE)), IF(ISNA(VLOOKUP(B72,'Regioturnier 1'!$Z$3:$AA$34,2,FALSE))=TRUE,0,VLOOKUP(B72,'Regioturnier 1'!$Z$3:$AA$34,2,FALSE)))</f>
        <v>0</v>
      </c>
      <c r="P72" s="15">
        <f>MAX(IF(ISNA(VLOOKUP(B72,'Regioturnier 2'!$B$3:$C$34,2,FALSE))=TRUE,0,VLOOKUP(B72,'Regioturnier 2'!$B$3:$C$34,2,FALSE)),IF(ISNA(VLOOKUP(B72,'Regioturnier 2'!$F$3:$G$34,2,FALSE))=TRUE,0,VLOOKUP(B72,'Regioturnier 2'!$F$3:$G$34,2,FALSE)),IF(ISNA(VLOOKUP(B72,'Regioturnier 2'!$J$3:$K$34,2,FALSE))=TRUE,0,VLOOKUP(B72,'Regioturnier 2'!$J$3:$K$34,2,FALSE)),IF(ISNA(VLOOKUP(B72,'Regioturnier 2'!$N$3:$O$34,2,FALSE))=TRUE,0,VLOOKUP(B72,'Regioturnier 2'!$N$3:$O$34,2,FALSE)),IF(ISNA(VLOOKUP(B72,'Regioturnier 2'!$R$3:$S$34,2,FALSE))=TRUE,0,VLOOKUP(B72,'Regioturnier 2'!$R$3:$S$34,2,FALSE)), IF(ISNA(VLOOKUP(B72,'Regioturnier 2'!$V$3:$W$34,2,FALSE))=TRUE,0,VLOOKUP(B72,'Regioturnier 2'!$V$3:$W$34,2,FALSE)), IF(ISNA(VLOOKUP(B72,'Regioturnier 2'!$Z$3:$AA$34,2,FALSE))=TRUE,0,VLOOKUP(B72,'Regioturnier 2'!$Z$3:$AA$34,2,FALSE)))</f>
        <v>0</v>
      </c>
      <c r="Q72" s="15">
        <f>MAX(IF(ISNA(VLOOKUP(B72,'Regioturnier 3'!$B$3:$C$34,2,FALSE))=TRUE,0,VLOOKUP(B72,'Regioturnier 3'!$B$3:$C$34,2,FALSE)),IF(ISNA(VLOOKUP(B72,'Regioturnier 3'!$F$3:$G$34,2,FALSE))=TRUE,0,VLOOKUP(B72,'Regioturnier 3'!$F$3:$G$34,2,FALSE)),IF(ISNA(VLOOKUP(B72,'Regioturnier 3'!$J$3:$K$34,2,FALSE))=TRUE,0,VLOOKUP(B72,'Regioturnier 3'!$J$3:$K$34,2,FALSE)),IF(ISNA(VLOOKUP(B72,'Regioturnier 3'!$N$3:$O$34,2,FALSE))=TRUE,0,VLOOKUP(B72,'Regioturnier 3'!$N$3:$O$34,2,FALSE)),IF(ISNA(VLOOKUP(B72,'Regioturnier 3'!$R$3:$S$34,2,FALSE))=TRUE,0,VLOOKUP(B72,'Regioturnier 3'!$R$3:$S$34,2,FALSE)), IF(ISNA(VLOOKUP(B72,'Regioturnier 3'!$V$3:$W$34,2,FALSE))=TRUE,0,VLOOKUP(B72,'Regioturnier 3'!$V$3:$W$34,2,FALSE)), IF(ISNA(VLOOKUP(B72,'Regioturnier 3'!$Z$3:$AA$34,2,FALSE))=TRUE,0,VLOOKUP(B72,'Regioturnier 3'!$Z$3:$AA$34,2,FALSE)))</f>
        <v>0</v>
      </c>
      <c r="R72" s="20">
        <f>0.5*INDEX($H72:$N72,MATCH(LARGE($H72:$N72,1),$H72:$N72,0))+0.3*INDEX($H72:$N72,MATCH(LARGE($H72:$N72,2),$H72:$N72,0))+0.2*INDEX($H72:$N72,MATCH(LARGE($H72:$N72,3),$H72:$N72,0))</f>
        <v>116.3</v>
      </c>
      <c r="S72" s="20">
        <f>0.6*INDEX(O72:Q72,MATCH(LARGE(O72:Q72,1),O72:Q72,0))+0.4*INDEX(O72:Q72,MATCH(LARGE(O72:Q72,2),O72:Q72,0))+0*INDEX(O72:Q72,MATCH(LARGE(O72:Q72,3),O72:Q72,0))</f>
        <v>0</v>
      </c>
      <c r="T72" s="15">
        <f>1*INDEX(R72:S72,MATCH(LARGE(R72:S72,1),R72:S72,0))+0*INDEX(R72:S72,MATCH(LARGE(R72:S72,2),R72:S72,0))</f>
        <v>116.3</v>
      </c>
      <c r="U72" s="21"/>
      <c r="V72" s="21"/>
      <c r="W72" s="21"/>
      <c r="X72" s="21"/>
      <c r="Y72" s="21"/>
      <c r="Z72" s="21"/>
    </row>
    <row r="73" spans="1:26" ht="12.75" customHeight="1" x14ac:dyDescent="0.3">
      <c r="A73" s="15">
        <v>72</v>
      </c>
      <c r="B73" s="16" t="s">
        <v>106</v>
      </c>
      <c r="C73" s="17" t="s">
        <v>25</v>
      </c>
      <c r="D73" s="15" t="s">
        <v>26</v>
      </c>
      <c r="E73" s="18" t="s">
        <v>23</v>
      </c>
      <c r="F73" s="15">
        <v>109427</v>
      </c>
      <c r="G73" s="22">
        <v>2015</v>
      </c>
      <c r="H73" s="15">
        <f>MAX(IF(ISNA(VLOOKUP(B73,'WBV 1'!$B$3:$C$34,2,FALSE))=TRUE,0,VLOOKUP(B73,'WBV 1'!$B$3:$C$34,2,FALSE)),IF(ISNA(VLOOKUP(B73,'WBV 1'!$F$3:$G$34,2,FALSE))=TRUE,0,VLOOKUP(B73,'WBV 1'!$F$3:$G$34,2,FALSE)),IF(ISNA(VLOOKUP(B73,'WBV 1'!$J$3:$K$34,2,FALSE))=TRUE,0,VLOOKUP(B73,'WBV 1'!$J$3:$K$34,2,FALSE)),IF(ISNA(VLOOKUP(B73,'WBV 1'!$N$3:$O$34,2,FALSE))=TRUE,0,VLOOKUP(B73,'WBV 1'!$N$3:$O$34,2,FALSE)))</f>
        <v>0</v>
      </c>
      <c r="I73" s="15">
        <f>MAX(IF(ISNA(VLOOKUP(B73,'WBV 2'!$B$3:$C$34,2,FALSE))=TRUE,0,VLOOKUP(B73,'WBV 2'!$B$3:$C$34,2,FALSE)),IF(ISNA(VLOOKUP(B73,'WBV 2'!$F$3:$G$34,2,FALSE))=TRUE,0,VLOOKUP(B73,'WBV 2'!$F$3:$G$34,2,FALSE)),IF(ISNA(VLOOKUP(B73,'WBV 2'!$J$3:$K$34,2,FALSE))=TRUE,0,VLOOKUP(B73,'WBV 2'!$J$3:$K$34,2,FALSE)),IF(ISNA(VLOOKUP(B73,'WBV 2'!$N$3:$O$34,2,FALSE))=TRUE,0,VLOOKUP(B73,'WBV 2'!$N$3:$O$34,2,FALSE)))</f>
        <v>150</v>
      </c>
      <c r="J73" s="15">
        <f>MAX(IF(ISNA(VLOOKUP(B73,'WBV 3'!$B$3:$C$34,2,FALSE))=TRUE,0,VLOOKUP(B73,'WBV 3'!$B$3:$C$34,2,FALSE)),IF(ISNA(VLOOKUP(B73,'WBV 3'!$F$3:$G$34,2,FALSE))=TRUE,0,VLOOKUP(B73,'WBV 3'!$F$3:$G$34,2,FALSE)),IF(ISNA(VLOOKUP(B73,'WBV 3'!$J$3:$K$34,2,FALSE))=TRUE,0,VLOOKUP(B73,'WBV 3'!$J$3:$K$34,2,FALSE)),IF(ISNA(VLOOKUP(B73,'WBV 3'!$N$3:$O$34,2,FALSE))=TRUE,0,VLOOKUP(B73,'WBV 3'!$N$3:$O$34,2,FALSE)))</f>
        <v>133</v>
      </c>
      <c r="K73" s="15">
        <f>MAX(IF(ISNA(VLOOKUP(B73,'WBV 4'!$B$3:$C$34,2,FALSE))=TRUE,0,VLOOKUP(B73,'WBV 4'!$B$3:$C$34,2,FALSE)),IF(ISNA(VLOOKUP(B73,'WBV 4'!$F$3:$G$34,2,FALSE))=TRUE,0,VLOOKUP(B73,'WBV 4'!$F$3:$G$34,2,FALSE)),IF(ISNA(VLOOKUP(B73,'WBV 4'!$J$3:$K$34,2,FALSE))=TRUE,0,VLOOKUP(B73,'WBV 4'!$J$3:$K$34,2,FALSE)),IF(ISNA(VLOOKUP(B73,'WBV 4'!$N$3:$O$34,2,FALSE))=TRUE,0,VLOOKUP(B73,'WBV 4'!$N$3:$O$34,2,FALSE)))</f>
        <v>0</v>
      </c>
      <c r="L73" s="19">
        <f>MAX(IF(ISNA(VLOOKUP(B73,'NÖBV 1'!$B$3:$C$34,2,FALSE))=TRUE,0,VLOOKUP(B73,'NÖBV 1'!$B$3:$C$34,2,FALSE)),IF(ISNA(VLOOKUP(B73,'NÖBV 1'!$F$3:$G$34,2,FALSE))=TRUE,0,VLOOKUP(B73,'NÖBV 1'!$F$3:$G$34,2,FALSE)),IF(ISNA(VLOOKUP(B73,'NÖBV 1'!$J$3:$K$34,2,FALSE))=TRUE,0,VLOOKUP(B73,'NÖBV 1'!$J$3:$K$34,2,FALSE)),IF(ISNA(VLOOKUP(B73,'NÖBV 1'!$N$3:$O$34,2,FALSE))=TRUE,0,VLOOKUP(B73,'NÖBV 1'!$N$3:$O$34,2,FALSE)))</f>
        <v>0</v>
      </c>
      <c r="M73" s="19">
        <f>MAX(IF(ISNA(VLOOKUP(B73,'NÖBV 2'!$B$3:$C$34,2,FALSE))=TRUE,0,VLOOKUP(B73,'NÖBV 2'!$B$3:$C$34,2,FALSE)),IF(ISNA(VLOOKUP(B73,'NÖBV 2'!$F$3:$G$34,2,FALSE))=TRUE,0,VLOOKUP(B73,'NÖBV 2'!$F$3:$G$34,2,FALSE)),IF(ISNA(VLOOKUP(B73,'NÖBV 2'!$J$3:$K$34,2,FALSE))=TRUE,0,VLOOKUP(B73,'NÖBV 2'!$J$3:$K$34,2,FALSE)),IF(ISNA(VLOOKUP(B73,'NÖBV 2'!$N$3:$O$34,2,FALSE))=TRUE,0,VLOOKUP(B73,'NÖBV 2'!$N$3:$O$34,2,FALSE)))</f>
        <v>0</v>
      </c>
      <c r="N73" s="19">
        <f>MAX(IF(ISNA(VLOOKUP(B73,'NÖBV 3'!$B$3:$C$34,2,FALSE))=TRUE,0,VLOOKUP(B73,'NÖBV 3'!$B$3:$C$34,2,FALSE)),IF(ISNA(VLOOKUP(B73,'NÖBV 3'!$F$3:$G$34,2,FALSE))=TRUE,0,VLOOKUP(B73,'NÖBV 3'!$F$3:$G$34,2,FALSE)),IF(ISNA(VLOOKUP(B73,'NÖBV 3'!$J$3:$K$34,2,FALSE))=TRUE,0,VLOOKUP(B73,'NÖBV 3'!$J$3:$K$34,2,FALSE)),IF(ISNA(VLOOKUP(B73,'NÖBV 3'!$N$3:$O$34,2,FALSE))=TRUE,0,VLOOKUP(B73,'NÖBV 3'!$N$3:$O$34,2,FALSE)))</f>
        <v>0</v>
      </c>
      <c r="O73" s="15">
        <f>MAX(IF(ISNA(VLOOKUP(B73,'Regioturnier 1'!$B$3:$C$34,2,FALSE))=TRUE,0,VLOOKUP(B73,'Regioturnier 1'!$B$3:$C$34,2,FALSE)),IF(ISNA(VLOOKUP(B73,'Regioturnier 1'!$F$3:$G$34,2,FALSE))=TRUE,0,VLOOKUP(B73,'Regioturnier 1'!$F$3:$G$34,2,FALSE)),IF(ISNA(VLOOKUP(B73,'Regioturnier 1'!$J$3:$K$34,2,FALSE))=TRUE,0,VLOOKUP(B73,'Regioturnier 1'!$J$3:$K$34,2,FALSE)),IF(ISNA(VLOOKUP(B73,'Regioturnier 1'!$N$3:$O$34,2,FALSE))=TRUE,0,VLOOKUP(B73,'Regioturnier 1'!$N$3:$O$34,2,FALSE)),IF(ISNA(VLOOKUP(B73,'Regioturnier 1'!$R$3:$S$34,2,FALSE))=TRUE,0,VLOOKUP(B73,'Regioturnier 1'!$R$3:$S$34,2,FALSE)), IF(ISNA(VLOOKUP(B73,'Regioturnier 1'!$V$3:$W$34,2,FALSE))=TRUE,0,VLOOKUP(B73,'Regioturnier 1'!$V$3:$W$34,2,FALSE)), IF(ISNA(VLOOKUP(B73,'Regioturnier 1'!$Z$3:$AA$34,2,FALSE))=TRUE,0,VLOOKUP(B73,'Regioturnier 1'!$Z$3:$AA$34,2,FALSE)))</f>
        <v>0</v>
      </c>
      <c r="P73" s="15">
        <f>MAX(IF(ISNA(VLOOKUP(B73,'Regioturnier 2'!$B$3:$C$34,2,FALSE))=TRUE,0,VLOOKUP(B73,'Regioturnier 2'!$B$3:$C$34,2,FALSE)),IF(ISNA(VLOOKUP(B73,'Regioturnier 2'!$F$3:$G$34,2,FALSE))=TRUE,0,VLOOKUP(B73,'Regioturnier 2'!$F$3:$G$34,2,FALSE)),IF(ISNA(VLOOKUP(B73,'Regioturnier 2'!$J$3:$K$34,2,FALSE))=TRUE,0,VLOOKUP(B73,'Regioturnier 2'!$J$3:$K$34,2,FALSE)),IF(ISNA(VLOOKUP(B73,'Regioturnier 2'!$N$3:$O$34,2,FALSE))=TRUE,0,VLOOKUP(B73,'Regioturnier 2'!$N$3:$O$34,2,FALSE)),IF(ISNA(VLOOKUP(B73,'Regioturnier 2'!$R$3:$S$34,2,FALSE))=TRUE,0,VLOOKUP(B73,'Regioturnier 2'!$R$3:$S$34,2,FALSE)), IF(ISNA(VLOOKUP(B73,'Regioturnier 2'!$V$3:$W$34,2,FALSE))=TRUE,0,VLOOKUP(B73,'Regioturnier 2'!$V$3:$W$34,2,FALSE)), IF(ISNA(VLOOKUP(B73,'Regioturnier 2'!$Z$3:$AA$34,2,FALSE))=TRUE,0,VLOOKUP(B73,'Regioturnier 2'!$Z$3:$AA$34,2,FALSE)))</f>
        <v>0</v>
      </c>
      <c r="Q73" s="15">
        <f>MAX(IF(ISNA(VLOOKUP(B73,'Regioturnier 3'!$B$3:$C$34,2,FALSE))=TRUE,0,VLOOKUP(B73,'Regioturnier 3'!$B$3:$C$34,2,FALSE)),IF(ISNA(VLOOKUP(B73,'Regioturnier 3'!$F$3:$G$34,2,FALSE))=TRUE,0,VLOOKUP(B73,'Regioturnier 3'!$F$3:$G$34,2,FALSE)),IF(ISNA(VLOOKUP(B73,'Regioturnier 3'!$J$3:$K$34,2,FALSE))=TRUE,0,VLOOKUP(B73,'Regioturnier 3'!$J$3:$K$34,2,FALSE)),IF(ISNA(VLOOKUP(B73,'Regioturnier 3'!$N$3:$O$34,2,FALSE))=TRUE,0,VLOOKUP(B73,'Regioturnier 3'!$N$3:$O$34,2,FALSE)),IF(ISNA(VLOOKUP(B73,'Regioturnier 3'!$R$3:$S$34,2,FALSE))=TRUE,0,VLOOKUP(B73,'Regioturnier 3'!$R$3:$S$34,2,FALSE)), IF(ISNA(VLOOKUP(B73,'Regioturnier 3'!$V$3:$W$34,2,FALSE))=TRUE,0,VLOOKUP(B73,'Regioturnier 3'!$V$3:$W$34,2,FALSE)), IF(ISNA(VLOOKUP(B73,'Regioturnier 3'!$Z$3:$AA$34,2,FALSE))=TRUE,0,VLOOKUP(B73,'Regioturnier 3'!$Z$3:$AA$34,2,FALSE)))</f>
        <v>0</v>
      </c>
      <c r="R73" s="20">
        <f>0.5*INDEX($H73:$N73,MATCH(LARGE($H73:$N73,1),$H73:$N73,0))+0.3*INDEX($H73:$N73,MATCH(LARGE($H73:$N73,2),$H73:$N73,0))+0.2*INDEX($H73:$N73,MATCH(LARGE($H73:$N73,3),$H73:$N73,0))</f>
        <v>114.9</v>
      </c>
      <c r="S73" s="20">
        <f>0.6*INDEX(O73:Q73,MATCH(LARGE(O73:Q73,1),O73:Q73,0))+0.4*INDEX(O73:Q73,MATCH(LARGE(O73:Q73,2),O73:Q73,0))+0*INDEX(O73:Q73,MATCH(LARGE(O73:Q73,3),O73:Q73,0))</f>
        <v>0</v>
      </c>
      <c r="T73" s="15">
        <f>1*INDEX(R73:S73,MATCH(LARGE(R73:S73,1),R73:S73,0))+0*INDEX(R73:S73,MATCH(LARGE(R73:S73,2),R73:S73,0))</f>
        <v>114.9</v>
      </c>
      <c r="U73" s="21"/>
      <c r="V73" s="21"/>
      <c r="W73" s="21"/>
      <c r="X73" s="21"/>
      <c r="Y73" s="21"/>
      <c r="Z73" s="21"/>
    </row>
    <row r="74" spans="1:26" ht="12.75" customHeight="1" x14ac:dyDescent="0.3">
      <c r="A74" s="15">
        <v>73</v>
      </c>
      <c r="B74" s="16" t="s">
        <v>311</v>
      </c>
      <c r="C74" s="17" t="s">
        <v>46</v>
      </c>
      <c r="D74" s="15" t="s">
        <v>26</v>
      </c>
      <c r="E74" s="18" t="s">
        <v>23</v>
      </c>
      <c r="F74" s="15" t="s">
        <v>312</v>
      </c>
      <c r="G74" s="22"/>
      <c r="H74" s="15">
        <f>MAX(IF(ISNA(VLOOKUP(B74,'WBV 1'!$B$3:$C$34,2,FALSE))=TRUE,0,VLOOKUP(B74,'WBV 1'!$B$3:$C$34,2,FALSE)),IF(ISNA(VLOOKUP(B74,'WBV 1'!$F$3:$G$34,2,FALSE))=TRUE,0,VLOOKUP(B74,'WBV 1'!$F$3:$G$34,2,FALSE)),IF(ISNA(VLOOKUP(B74,'WBV 1'!$J$3:$K$34,2,FALSE))=TRUE,0,VLOOKUP(B74,'WBV 1'!$J$3:$K$34,2,FALSE)),IF(ISNA(VLOOKUP(B74,'WBV 1'!$N$3:$O$34,2,FALSE))=TRUE,0,VLOOKUP(B74,'WBV 1'!$N$3:$O$34,2,FALSE)))</f>
        <v>149</v>
      </c>
      <c r="I74" s="15">
        <f>MAX(IF(ISNA(VLOOKUP(B74,'WBV 2'!$B$3:$C$34,2,FALSE))=TRUE,0,VLOOKUP(B74,'WBV 2'!$B$3:$C$34,2,FALSE)),IF(ISNA(VLOOKUP(B74,'WBV 2'!$F$3:$G$34,2,FALSE))=TRUE,0,VLOOKUP(B74,'WBV 2'!$F$3:$G$34,2,FALSE)),IF(ISNA(VLOOKUP(B74,'WBV 2'!$J$3:$K$34,2,FALSE))=TRUE,0,VLOOKUP(B74,'WBV 2'!$J$3:$K$34,2,FALSE)),IF(ISNA(VLOOKUP(B74,'WBV 2'!$N$3:$O$34,2,FALSE))=TRUE,0,VLOOKUP(B74,'WBV 2'!$N$3:$O$34,2,FALSE)))</f>
        <v>0</v>
      </c>
      <c r="J74" s="15">
        <f>MAX(IF(ISNA(VLOOKUP(B74,'WBV 3'!$B$3:$C$34,2,FALSE))=TRUE,0,VLOOKUP(B74,'WBV 3'!$B$3:$C$34,2,FALSE)),IF(ISNA(VLOOKUP(B74,'WBV 3'!$F$3:$G$34,2,FALSE))=TRUE,0,VLOOKUP(B74,'WBV 3'!$F$3:$G$34,2,FALSE)),IF(ISNA(VLOOKUP(B74,'WBV 3'!$J$3:$K$34,2,FALSE))=TRUE,0,VLOOKUP(B74,'WBV 3'!$J$3:$K$34,2,FALSE)),IF(ISNA(VLOOKUP(B74,'WBV 3'!$N$3:$O$34,2,FALSE))=TRUE,0,VLOOKUP(B74,'WBV 3'!$N$3:$O$34,2,FALSE)))</f>
        <v>134</v>
      </c>
      <c r="K74" s="15">
        <f>MAX(IF(ISNA(VLOOKUP(B74,'WBV 4'!$B$3:$C$34,2,FALSE))=TRUE,0,VLOOKUP(B74,'WBV 4'!$B$3:$C$34,2,FALSE)),IF(ISNA(VLOOKUP(B74,'WBV 4'!$F$3:$G$34,2,FALSE))=TRUE,0,VLOOKUP(B74,'WBV 4'!$F$3:$G$34,2,FALSE)),IF(ISNA(VLOOKUP(B74,'WBV 4'!$J$3:$K$34,2,FALSE))=TRUE,0,VLOOKUP(B74,'WBV 4'!$J$3:$K$34,2,FALSE)),IF(ISNA(VLOOKUP(B74,'WBV 4'!$N$3:$O$34,2,FALSE))=TRUE,0,VLOOKUP(B74,'WBV 4'!$N$3:$O$34,2,FALSE)))</f>
        <v>0</v>
      </c>
      <c r="L74" s="19">
        <f>MAX(IF(ISNA(VLOOKUP(B74,'NÖBV 1'!$B$3:$C$34,2,FALSE))=TRUE,0,VLOOKUP(B74,'NÖBV 1'!$B$3:$C$34,2,FALSE)),IF(ISNA(VLOOKUP(B74,'NÖBV 1'!$F$3:$G$34,2,FALSE))=TRUE,0,VLOOKUP(B74,'NÖBV 1'!$F$3:$G$34,2,FALSE)),IF(ISNA(VLOOKUP(B74,'NÖBV 1'!$J$3:$K$34,2,FALSE))=TRUE,0,VLOOKUP(B74,'NÖBV 1'!$J$3:$K$34,2,FALSE)),IF(ISNA(VLOOKUP(B74,'NÖBV 1'!$N$3:$O$34,2,FALSE))=TRUE,0,VLOOKUP(B74,'NÖBV 1'!$N$3:$O$34,2,FALSE)))</f>
        <v>0</v>
      </c>
      <c r="M74" s="19">
        <f>MAX(IF(ISNA(VLOOKUP(B74,'NÖBV 2'!$B$3:$C$34,2,FALSE))=TRUE,0,VLOOKUP(B74,'NÖBV 2'!$B$3:$C$34,2,FALSE)),IF(ISNA(VLOOKUP(B74,'NÖBV 2'!$F$3:$G$34,2,FALSE))=TRUE,0,VLOOKUP(B74,'NÖBV 2'!$F$3:$G$34,2,FALSE)),IF(ISNA(VLOOKUP(B74,'NÖBV 2'!$J$3:$K$34,2,FALSE))=TRUE,0,VLOOKUP(B74,'NÖBV 2'!$J$3:$K$34,2,FALSE)),IF(ISNA(VLOOKUP(B74,'NÖBV 2'!$N$3:$O$34,2,FALSE))=TRUE,0,VLOOKUP(B74,'NÖBV 2'!$N$3:$O$34,2,FALSE)))</f>
        <v>0</v>
      </c>
      <c r="N74" s="19">
        <f>MAX(IF(ISNA(VLOOKUP(B74,'NÖBV 3'!$B$3:$C$34,2,FALSE))=TRUE,0,VLOOKUP(B74,'NÖBV 3'!$B$3:$C$34,2,FALSE)),IF(ISNA(VLOOKUP(B74,'NÖBV 3'!$F$3:$G$34,2,FALSE))=TRUE,0,VLOOKUP(B74,'NÖBV 3'!$F$3:$G$34,2,FALSE)),IF(ISNA(VLOOKUP(B74,'NÖBV 3'!$J$3:$K$34,2,FALSE))=TRUE,0,VLOOKUP(B74,'NÖBV 3'!$J$3:$K$34,2,FALSE)),IF(ISNA(VLOOKUP(B74,'NÖBV 3'!$N$3:$O$34,2,FALSE))=TRUE,0,VLOOKUP(B74,'NÖBV 3'!$N$3:$O$34,2,FALSE)))</f>
        <v>0</v>
      </c>
      <c r="O74" s="15">
        <f>MAX(IF(ISNA(VLOOKUP(B74,'Regioturnier 1'!$B$3:$C$34,2,FALSE))=TRUE,0,VLOOKUP(B74,'Regioturnier 1'!$B$3:$C$34,2,FALSE)),IF(ISNA(VLOOKUP(B74,'Regioturnier 1'!$F$3:$G$34,2,FALSE))=TRUE,0,VLOOKUP(B74,'Regioturnier 1'!$F$3:$G$34,2,FALSE)),IF(ISNA(VLOOKUP(B74,'Regioturnier 1'!$J$3:$K$34,2,FALSE))=TRUE,0,VLOOKUP(B74,'Regioturnier 1'!$J$3:$K$34,2,FALSE)),IF(ISNA(VLOOKUP(B74,'Regioturnier 1'!$N$3:$O$34,2,FALSE))=TRUE,0,VLOOKUP(B74,'Regioturnier 1'!$N$3:$O$34,2,FALSE)),IF(ISNA(VLOOKUP(B74,'Regioturnier 1'!$R$3:$S$34,2,FALSE))=TRUE,0,VLOOKUP(B74,'Regioturnier 1'!$R$3:$S$34,2,FALSE)), IF(ISNA(VLOOKUP(B74,'Regioturnier 1'!$V$3:$W$34,2,FALSE))=TRUE,0,VLOOKUP(B74,'Regioturnier 1'!$V$3:$W$34,2,FALSE)), IF(ISNA(VLOOKUP(B74,'Regioturnier 1'!$Z$3:$AA$34,2,FALSE))=TRUE,0,VLOOKUP(B74,'Regioturnier 1'!$Z$3:$AA$34,2,FALSE)))</f>
        <v>0</v>
      </c>
      <c r="P74" s="15">
        <f>MAX(IF(ISNA(VLOOKUP(B74,'Regioturnier 2'!$B$3:$C$34,2,FALSE))=TRUE,0,VLOOKUP(B74,'Regioturnier 2'!$B$3:$C$34,2,FALSE)),IF(ISNA(VLOOKUP(B74,'Regioturnier 2'!$F$3:$G$34,2,FALSE))=TRUE,0,VLOOKUP(B74,'Regioturnier 2'!$F$3:$G$34,2,FALSE)),IF(ISNA(VLOOKUP(B74,'Regioturnier 2'!$J$3:$K$34,2,FALSE))=TRUE,0,VLOOKUP(B74,'Regioturnier 2'!$J$3:$K$34,2,FALSE)),IF(ISNA(VLOOKUP(B74,'Regioturnier 2'!$N$3:$O$34,2,FALSE))=TRUE,0,VLOOKUP(B74,'Regioturnier 2'!$N$3:$O$34,2,FALSE)),IF(ISNA(VLOOKUP(B74,'Regioturnier 2'!$R$3:$S$34,2,FALSE))=TRUE,0,VLOOKUP(B74,'Regioturnier 2'!$R$3:$S$34,2,FALSE)), IF(ISNA(VLOOKUP(B74,'Regioturnier 2'!$V$3:$W$34,2,FALSE))=TRUE,0,VLOOKUP(B74,'Regioturnier 2'!$V$3:$W$34,2,FALSE)), IF(ISNA(VLOOKUP(B74,'Regioturnier 2'!$Z$3:$AA$34,2,FALSE))=TRUE,0,VLOOKUP(B74,'Regioturnier 2'!$Z$3:$AA$34,2,FALSE)))</f>
        <v>0</v>
      </c>
      <c r="Q74" s="15">
        <f>MAX(IF(ISNA(VLOOKUP(B74,'Regioturnier 3'!$B$3:$C$34,2,FALSE))=TRUE,0,VLOOKUP(B74,'Regioturnier 3'!$B$3:$C$34,2,FALSE)),IF(ISNA(VLOOKUP(B74,'Regioturnier 3'!$F$3:$G$34,2,FALSE))=TRUE,0,VLOOKUP(B74,'Regioturnier 3'!$F$3:$G$34,2,FALSE)),IF(ISNA(VLOOKUP(B74,'Regioturnier 3'!$J$3:$K$34,2,FALSE))=TRUE,0,VLOOKUP(B74,'Regioturnier 3'!$J$3:$K$34,2,FALSE)),IF(ISNA(VLOOKUP(B74,'Regioturnier 3'!$N$3:$O$34,2,FALSE))=TRUE,0,VLOOKUP(B74,'Regioturnier 3'!$N$3:$O$34,2,FALSE)),IF(ISNA(VLOOKUP(B74,'Regioturnier 3'!$R$3:$S$34,2,FALSE))=TRUE,0,VLOOKUP(B74,'Regioturnier 3'!$R$3:$S$34,2,FALSE)), IF(ISNA(VLOOKUP(B74,'Regioturnier 3'!$V$3:$W$34,2,FALSE))=TRUE,0,VLOOKUP(B74,'Regioturnier 3'!$V$3:$W$34,2,FALSE)), IF(ISNA(VLOOKUP(B74,'Regioturnier 3'!$Z$3:$AA$34,2,FALSE))=TRUE,0,VLOOKUP(B74,'Regioturnier 3'!$Z$3:$AA$34,2,FALSE)))</f>
        <v>0</v>
      </c>
      <c r="R74" s="20">
        <f>0.5*INDEX($H74:$N74,MATCH(LARGE($H74:$N74,1),$H74:$N74,0))+0.3*INDEX($H74:$N74,MATCH(LARGE($H74:$N74,2),$H74:$N74,0))+0.2*INDEX($H74:$N74,MATCH(LARGE($H74:$N74,3),$H74:$N74,0))</f>
        <v>114.69999999999999</v>
      </c>
      <c r="S74" s="20">
        <f>0.6*INDEX(O74:Q74,MATCH(LARGE(O74:Q74,1),O74:Q74,0))+0.4*INDEX(O74:Q74,MATCH(LARGE(O74:Q74,2),O74:Q74,0))+0*INDEX(O74:Q74,MATCH(LARGE(O74:Q74,3),O74:Q74,0))</f>
        <v>0</v>
      </c>
      <c r="T74" s="15">
        <f>1*INDEX(R74:S74,MATCH(LARGE(R74:S74,1),R74:S74,0))+0*INDEX(R74:S74,MATCH(LARGE(R74:S74,2),R74:S74,0))</f>
        <v>114.69999999999999</v>
      </c>
      <c r="U74" s="21"/>
      <c r="V74" s="21"/>
      <c r="W74" s="21"/>
      <c r="X74" s="21"/>
      <c r="Y74" s="21"/>
      <c r="Z74" s="21"/>
    </row>
    <row r="75" spans="1:26" ht="12.75" customHeight="1" x14ac:dyDescent="0.3">
      <c r="A75" s="15">
        <v>74</v>
      </c>
      <c r="B75" s="106" t="s">
        <v>599</v>
      </c>
      <c r="C75" s="106" t="s">
        <v>160</v>
      </c>
      <c r="D75" s="106" t="s">
        <v>26</v>
      </c>
      <c r="E75" s="15" t="s">
        <v>23</v>
      </c>
      <c r="F75" s="106" t="s">
        <v>604</v>
      </c>
      <c r="G75" s="107">
        <v>2015</v>
      </c>
      <c r="H75" s="105">
        <f>MAX(IF(ISNA(VLOOKUP(B75,'WBV 1'!$B$3:$C$34,2,FALSE))=TRUE,0,VLOOKUP(B75,'WBV 1'!$B$3:$C$34,2,FALSE)),IF(ISNA(VLOOKUP(B75,'WBV 1'!$F$3:$G$34,2,FALSE))=TRUE,0,VLOOKUP(B75,'WBV 1'!$F$3:$G$34,2,FALSE)),IF(ISNA(VLOOKUP(B75,'WBV 1'!$J$3:$K$34,2,FALSE))=TRUE,0,VLOOKUP(B75,'WBV 1'!$J$3:$K$34,2,FALSE)),IF(ISNA(VLOOKUP(B75,'WBV 1'!$N$3:$O$34,2,FALSE))=TRUE,0,VLOOKUP(B75,'WBV 1'!$N$3:$O$34,2,FALSE)))</f>
        <v>0</v>
      </c>
      <c r="I75" s="105">
        <f>MAX(IF(ISNA(VLOOKUP(B75,'WBV 2'!$B$3:$C$34,2,FALSE))=TRUE,0,VLOOKUP(B75,'WBV 2'!$B$3:$C$34,2,FALSE)),IF(ISNA(VLOOKUP(B75,'WBV 2'!$F$3:$G$34,2,FALSE))=TRUE,0,VLOOKUP(B75,'WBV 2'!$F$3:$G$34,2,FALSE)),IF(ISNA(VLOOKUP(B75,'WBV 2'!$J$3:$K$34,2,FALSE))=TRUE,0,VLOOKUP(B75,'WBV 2'!$J$3:$K$34,2,FALSE)),IF(ISNA(VLOOKUP(B75,'WBV 2'!$N$3:$O$34,2,FALSE))=TRUE,0,VLOOKUP(B75,'WBV 2'!$N$3:$O$34,2,FALSE)))</f>
        <v>0</v>
      </c>
      <c r="J75" s="105">
        <f>MAX(IF(ISNA(VLOOKUP(B75,'WBV 3'!$B$3:$C$34,2,FALSE))=TRUE,0,VLOOKUP(B75,'WBV 3'!$B$3:$C$34,2,FALSE)),IF(ISNA(VLOOKUP(B75,'WBV 3'!$F$3:$G$34,2,FALSE))=TRUE,0,VLOOKUP(B75,'WBV 3'!$F$3:$G$34,2,FALSE)),IF(ISNA(VLOOKUP(B75,'WBV 3'!$J$3:$K$34,2,FALSE))=TRUE,0,VLOOKUP(B75,'WBV 3'!$J$3:$K$34,2,FALSE)),IF(ISNA(VLOOKUP(B75,'WBV 3'!$N$3:$O$34,2,FALSE))=TRUE,0,VLOOKUP(B75,'WBV 3'!$N$3:$O$34,2,FALSE)))</f>
        <v>158</v>
      </c>
      <c r="K75" s="105">
        <f>MAX(IF(ISNA(VLOOKUP(B75,'WBV 4'!$B$3:$C$34,2,FALSE))=TRUE,0,VLOOKUP(B75,'WBV 4'!$B$3:$C$34,2,FALSE)),IF(ISNA(VLOOKUP(B75,'WBV 4'!$F$3:$G$34,2,FALSE))=TRUE,0,VLOOKUP(B75,'WBV 4'!$F$3:$G$34,2,FALSE)),IF(ISNA(VLOOKUP(B75,'WBV 4'!$J$3:$K$34,2,FALSE))=TRUE,0,VLOOKUP(B75,'WBV 4'!$J$3:$K$34,2,FALSE)),IF(ISNA(VLOOKUP(B75,'WBV 4'!$N$3:$O$34,2,FALSE))=TRUE,0,VLOOKUP(B75,'WBV 4'!$N$3:$O$34,2,FALSE)))</f>
        <v>0</v>
      </c>
      <c r="L75" s="105">
        <f>MAX(IF(ISNA(VLOOKUP(B75,'NÖBV 1'!$B$3:$C$34,2,FALSE))=TRUE,0,VLOOKUP(B75,'NÖBV 1'!$B$3:$C$34,2,FALSE)),IF(ISNA(VLOOKUP(B75,'NÖBV 1'!$F$3:$G$34,2,FALSE))=TRUE,0,VLOOKUP(B75,'NÖBV 1'!$F$3:$G$34,2,FALSE)),IF(ISNA(VLOOKUP(B75,'NÖBV 1'!$J$3:$K$34,2,FALSE))=TRUE,0,VLOOKUP(B75,'NÖBV 1'!$J$3:$K$34,2,FALSE)),IF(ISNA(VLOOKUP(B75,'NÖBV 1'!$N$3:$O$34,2,FALSE))=TRUE,0,VLOOKUP(B75,'NÖBV 1'!$N$3:$O$34,2,FALSE)))</f>
        <v>0</v>
      </c>
      <c r="M75" s="105">
        <f>MAX(IF(ISNA(VLOOKUP(B75,'NÖBV 2'!$B$3:$C$34,2,FALSE))=TRUE,0,VLOOKUP(B75,'NÖBV 2'!$B$3:$C$34,2,FALSE)),IF(ISNA(VLOOKUP(B75,'NÖBV 2'!$F$3:$G$34,2,FALSE))=TRUE,0,VLOOKUP(B75,'NÖBV 2'!$F$3:$G$34,2,FALSE)),IF(ISNA(VLOOKUP(B75,'NÖBV 2'!$J$3:$K$34,2,FALSE))=TRUE,0,VLOOKUP(B75,'NÖBV 2'!$J$3:$K$34,2,FALSE)),IF(ISNA(VLOOKUP(B75,'NÖBV 2'!$N$3:$O$34,2,FALSE))=TRUE,0,VLOOKUP(B75,'NÖBV 2'!$N$3:$O$34,2,FALSE)))</f>
        <v>0</v>
      </c>
      <c r="N75" s="105">
        <f>MAX(IF(ISNA(VLOOKUP(B75,'NÖBV 3'!$B$3:$C$34,2,FALSE))=TRUE,0,VLOOKUP(B75,'NÖBV 3'!$B$3:$C$34,2,FALSE)),IF(ISNA(VLOOKUP(B75,'NÖBV 3'!$F$3:$G$34,2,FALSE))=TRUE,0,VLOOKUP(B75,'NÖBV 3'!$F$3:$G$34,2,FALSE)),IF(ISNA(VLOOKUP(B75,'NÖBV 3'!$J$3:$K$34,2,FALSE))=TRUE,0,VLOOKUP(B75,'NÖBV 3'!$J$3:$K$34,2,FALSE)),IF(ISNA(VLOOKUP(B75,'NÖBV 3'!$N$3:$O$34,2,FALSE))=TRUE,0,VLOOKUP(B75,'NÖBV 3'!$N$3:$O$34,2,FALSE)))</f>
        <v>0</v>
      </c>
      <c r="O75" s="105">
        <f>MAX(IF(ISNA(VLOOKUP(B75,'Regioturnier 1'!$B$3:$C$34,2,FALSE))=TRUE,0,VLOOKUP(B75,'Regioturnier 1'!$B$3:$C$34,2,FALSE)),IF(ISNA(VLOOKUP(B75,'Regioturnier 1'!$F$3:$G$34,2,FALSE))=TRUE,0,VLOOKUP(B75,'Regioturnier 1'!$F$3:$G$34,2,FALSE)),IF(ISNA(VLOOKUP(B75,'Regioturnier 1'!$J$3:$K$34,2,FALSE))=TRUE,0,VLOOKUP(B75,'Regioturnier 1'!$J$3:$K$34,2,FALSE)),IF(ISNA(VLOOKUP(B75,'Regioturnier 1'!$N$3:$O$34,2,FALSE))=TRUE,0,VLOOKUP(B75,'Regioturnier 1'!$N$3:$O$34,2,FALSE)),IF(ISNA(VLOOKUP(B75,'Regioturnier 1'!$R$3:$S$34,2,FALSE))=TRUE,0,VLOOKUP(B75,'Regioturnier 1'!$R$3:$S$34,2,FALSE)), IF(ISNA(VLOOKUP(B75,'Regioturnier 1'!$V$3:$W$34,2,FALSE))=TRUE,0,VLOOKUP(B75,'Regioturnier 1'!$V$3:$W$34,2,FALSE)), IF(ISNA(VLOOKUP(B75,'Regioturnier 1'!$Z$3:$AA$34,2,FALSE))=TRUE,0,VLOOKUP(B75,'Regioturnier 1'!$Z$3:$AA$34,2,FALSE)))</f>
        <v>0</v>
      </c>
      <c r="P75" s="105">
        <f>MAX(IF(ISNA(VLOOKUP(B75,'Regioturnier 2'!$B$3:$C$34,2,FALSE))=TRUE,0,VLOOKUP(B75,'Regioturnier 2'!$B$3:$C$34,2,FALSE)),IF(ISNA(VLOOKUP(B75,'Regioturnier 2'!$F$3:$G$34,2,FALSE))=TRUE,0,VLOOKUP(B75,'Regioturnier 2'!$F$3:$G$34,2,FALSE)),IF(ISNA(VLOOKUP(B75,'Regioturnier 2'!$J$3:$K$34,2,FALSE))=TRUE,0,VLOOKUP(B75,'Regioturnier 2'!$J$3:$K$34,2,FALSE)),IF(ISNA(VLOOKUP(B75,'Regioturnier 2'!$N$3:$O$34,2,FALSE))=TRUE,0,VLOOKUP(B75,'Regioturnier 2'!$N$3:$O$34,2,FALSE)),IF(ISNA(VLOOKUP(B75,'Regioturnier 2'!$R$3:$S$34,2,FALSE))=TRUE,0,VLOOKUP(B75,'Regioturnier 2'!$R$3:$S$34,2,FALSE)), IF(ISNA(VLOOKUP(B75,'Regioturnier 2'!$V$3:$W$34,2,FALSE))=TRUE,0,VLOOKUP(B75,'Regioturnier 2'!$V$3:$W$34,2,FALSE)), IF(ISNA(VLOOKUP(B75,'Regioturnier 2'!$Z$3:$AA$34,2,FALSE))=TRUE,0,VLOOKUP(B75,'Regioturnier 2'!$Z$3:$AA$34,2,FALSE)))</f>
        <v>190</v>
      </c>
      <c r="Q75" s="105">
        <f>MAX(IF(ISNA(VLOOKUP(B75,'Regioturnier 3'!$B$3:$C$34,2,FALSE))=TRUE,0,VLOOKUP(B75,'Regioturnier 3'!$B$3:$C$34,2,FALSE)),IF(ISNA(VLOOKUP(B75,'Regioturnier 3'!$F$3:$G$34,2,FALSE))=TRUE,0,VLOOKUP(B75,'Regioturnier 3'!$F$3:$G$34,2,FALSE)),IF(ISNA(VLOOKUP(B75,'Regioturnier 3'!$J$3:$K$34,2,FALSE))=TRUE,0,VLOOKUP(B75,'Regioturnier 3'!$J$3:$K$34,2,FALSE)),IF(ISNA(VLOOKUP(B75,'Regioturnier 3'!$N$3:$O$34,2,FALSE))=TRUE,0,VLOOKUP(B75,'Regioturnier 3'!$N$3:$O$34,2,FALSE)),IF(ISNA(VLOOKUP(B75,'Regioturnier 3'!$R$3:$S$34,2,FALSE))=TRUE,0,VLOOKUP(B75,'Regioturnier 3'!$R$3:$S$34,2,FALSE)), IF(ISNA(VLOOKUP(B75,'Regioturnier 3'!$V$3:$W$34,2,FALSE))=TRUE,0,VLOOKUP(B75,'Regioturnier 3'!$V$3:$W$34,2,FALSE)), IF(ISNA(VLOOKUP(B75,'Regioturnier 3'!$Z$3:$AA$34,2,FALSE))=TRUE,0,VLOOKUP(B75,'Regioturnier 3'!$Z$3:$AA$34,2,FALSE)))</f>
        <v>0</v>
      </c>
      <c r="R75" s="108">
        <f>0.5*INDEX($H75:$N75,MATCH(LARGE($H75:$N75,1),$H75:$N75,0))+0.3*INDEX($H75:$N75,MATCH(LARGE($H75:$N75,2),$H75:$N75,0))+0.2*INDEX($H75:$N75,MATCH(LARGE($H75:$N75,3),$H75:$N75,0))</f>
        <v>79</v>
      </c>
      <c r="S75" s="108">
        <f>0.6*INDEX(O75:Q75,MATCH(LARGE(O75:Q75,1),O75:Q75,0))+0.4*INDEX(O75:Q75,MATCH(LARGE(O75:Q75,2),O75:Q75,0))+0*INDEX(O75:Q75,MATCH(LARGE(O75:Q75,3),O75:Q75,0))</f>
        <v>114</v>
      </c>
      <c r="T75" s="105">
        <f>1*INDEX(R75:S75,MATCH(LARGE(R75:S75,1),R75:S75,0))+0*INDEX(R75:S75,MATCH(LARGE(R75:S75,2),R75:S75,0))</f>
        <v>114</v>
      </c>
      <c r="U75" s="21"/>
      <c r="V75" s="21"/>
      <c r="W75" s="21"/>
      <c r="X75" s="21"/>
      <c r="Y75" s="21"/>
      <c r="Z75" s="21"/>
    </row>
    <row r="76" spans="1:26" ht="12.75" customHeight="1" x14ac:dyDescent="0.3">
      <c r="A76" s="15">
        <v>75</v>
      </c>
      <c r="B76" s="16" t="s">
        <v>41</v>
      </c>
      <c r="C76" s="17" t="s">
        <v>25</v>
      </c>
      <c r="D76" s="15" t="s">
        <v>26</v>
      </c>
      <c r="E76" s="18" t="s">
        <v>23</v>
      </c>
      <c r="F76" s="15">
        <v>108748</v>
      </c>
      <c r="G76" s="22">
        <v>2013</v>
      </c>
      <c r="H76" s="15">
        <f>MAX(IF(ISNA(VLOOKUP(B76,'WBV 1'!$B$3:$C$34,2,FALSE))=TRUE,0,VLOOKUP(B76,'WBV 1'!$B$3:$C$34,2,FALSE)),IF(ISNA(VLOOKUP(B76,'WBV 1'!$F$3:$G$34,2,FALSE))=TRUE,0,VLOOKUP(B76,'WBV 1'!$F$3:$G$34,2,FALSE)),IF(ISNA(VLOOKUP(B76,'WBV 1'!$J$3:$K$34,2,FALSE))=TRUE,0,VLOOKUP(B76,'WBV 1'!$J$3:$K$34,2,FALSE)),IF(ISNA(VLOOKUP(B76,'WBV 1'!$N$3:$O$34,2,FALSE))=TRUE,0,VLOOKUP(B76,'WBV 1'!$N$3:$O$34,2,FALSE)))</f>
        <v>0</v>
      </c>
      <c r="I76" s="15">
        <f>MAX(IF(ISNA(VLOOKUP(B76,'WBV 2'!$B$3:$C$34,2,FALSE))=TRUE,0,VLOOKUP(B76,'WBV 2'!$B$3:$C$34,2,FALSE)),IF(ISNA(VLOOKUP(B76,'WBV 2'!$F$3:$G$34,2,FALSE))=TRUE,0,VLOOKUP(B76,'WBV 2'!$F$3:$G$34,2,FALSE)),IF(ISNA(VLOOKUP(B76,'WBV 2'!$J$3:$K$34,2,FALSE))=TRUE,0,VLOOKUP(B76,'WBV 2'!$J$3:$K$34,2,FALSE)),IF(ISNA(VLOOKUP(B76,'WBV 2'!$N$3:$O$34,2,FALSE))=TRUE,0,VLOOKUP(B76,'WBV 2'!$N$3:$O$34,2,FALSE)))</f>
        <v>0</v>
      </c>
      <c r="J76" s="15">
        <f>MAX(IF(ISNA(VLOOKUP(B76,'WBV 3'!$B$3:$C$34,2,FALSE))=TRUE,0,VLOOKUP(B76,'WBV 3'!$B$3:$C$34,2,FALSE)),IF(ISNA(VLOOKUP(B76,'WBV 3'!$F$3:$G$34,2,FALSE))=TRUE,0,VLOOKUP(B76,'WBV 3'!$F$3:$G$34,2,FALSE)),IF(ISNA(VLOOKUP(B76,'WBV 3'!$J$3:$K$34,2,FALSE))=TRUE,0,VLOOKUP(B76,'WBV 3'!$J$3:$K$34,2,FALSE)),IF(ISNA(VLOOKUP(B76,'WBV 3'!$N$3:$O$34,2,FALSE))=TRUE,0,VLOOKUP(B76,'WBV 3'!$N$3:$O$34,2,FALSE)))</f>
        <v>173</v>
      </c>
      <c r="K76" s="15">
        <f>MAX(IF(ISNA(VLOOKUP(B76,'WBV 4'!$B$3:$C$34,2,FALSE))=TRUE,0,VLOOKUP(B76,'WBV 4'!$B$3:$C$34,2,FALSE)),IF(ISNA(VLOOKUP(B76,'WBV 4'!$F$3:$G$34,2,FALSE))=TRUE,0,VLOOKUP(B76,'WBV 4'!$F$3:$G$34,2,FALSE)),IF(ISNA(VLOOKUP(B76,'WBV 4'!$J$3:$K$34,2,FALSE))=TRUE,0,VLOOKUP(B76,'WBV 4'!$J$3:$K$34,2,FALSE)),IF(ISNA(VLOOKUP(B76,'WBV 4'!$N$3:$O$34,2,FALSE))=TRUE,0,VLOOKUP(B76,'WBV 4'!$N$3:$O$34,2,FALSE)))</f>
        <v>0</v>
      </c>
      <c r="L76" s="19">
        <f>MAX(IF(ISNA(VLOOKUP(B76,'NÖBV 1'!$B$3:$C$34,2,FALSE))=TRUE,0,VLOOKUP(B76,'NÖBV 1'!$B$3:$C$34,2,FALSE)),IF(ISNA(VLOOKUP(B76,'NÖBV 1'!$F$3:$G$34,2,FALSE))=TRUE,0,VLOOKUP(B76,'NÖBV 1'!$F$3:$G$34,2,FALSE)),IF(ISNA(VLOOKUP(B76,'NÖBV 1'!$J$3:$K$34,2,FALSE))=TRUE,0,VLOOKUP(B76,'NÖBV 1'!$J$3:$K$34,2,FALSE)),IF(ISNA(VLOOKUP(B76,'NÖBV 1'!$N$3:$O$34,2,FALSE))=TRUE,0,VLOOKUP(B76,'NÖBV 1'!$N$3:$O$34,2,FALSE)))</f>
        <v>0</v>
      </c>
      <c r="M76" s="19">
        <f>MAX(IF(ISNA(VLOOKUP(B76,'NÖBV 2'!$B$3:$C$34,2,FALSE))=TRUE,0,VLOOKUP(B76,'NÖBV 2'!$B$3:$C$34,2,FALSE)),IF(ISNA(VLOOKUP(B76,'NÖBV 2'!$F$3:$G$34,2,FALSE))=TRUE,0,VLOOKUP(B76,'NÖBV 2'!$F$3:$G$34,2,FALSE)),IF(ISNA(VLOOKUP(B76,'NÖBV 2'!$J$3:$K$34,2,FALSE))=TRUE,0,VLOOKUP(B76,'NÖBV 2'!$J$3:$K$34,2,FALSE)),IF(ISNA(VLOOKUP(B76,'NÖBV 2'!$N$3:$O$34,2,FALSE))=TRUE,0,VLOOKUP(B76,'NÖBV 2'!$N$3:$O$34,2,FALSE)))</f>
        <v>0</v>
      </c>
      <c r="N76" s="19">
        <f>MAX(IF(ISNA(VLOOKUP(B76,'NÖBV 3'!$B$3:$C$34,2,FALSE))=TRUE,0,VLOOKUP(B76,'NÖBV 3'!$B$3:$C$34,2,FALSE)),IF(ISNA(VLOOKUP(B76,'NÖBV 3'!$F$3:$G$34,2,FALSE))=TRUE,0,VLOOKUP(B76,'NÖBV 3'!$F$3:$G$34,2,FALSE)),IF(ISNA(VLOOKUP(B76,'NÖBV 3'!$J$3:$K$34,2,FALSE))=TRUE,0,VLOOKUP(B76,'NÖBV 3'!$J$3:$K$34,2,FALSE)),IF(ISNA(VLOOKUP(B76,'NÖBV 3'!$N$3:$O$34,2,FALSE))=TRUE,0,VLOOKUP(B76,'NÖBV 3'!$N$3:$O$34,2,FALSE)))</f>
        <v>0</v>
      </c>
      <c r="O76" s="15">
        <f>MAX(IF(ISNA(VLOOKUP(B76,'Regioturnier 1'!$B$3:$C$34,2,FALSE))=TRUE,0,VLOOKUP(B76,'Regioturnier 1'!$B$3:$C$34,2,FALSE)),IF(ISNA(VLOOKUP(B76,'Regioturnier 1'!$F$3:$G$34,2,FALSE))=TRUE,0,VLOOKUP(B76,'Regioturnier 1'!$F$3:$G$34,2,FALSE)),IF(ISNA(VLOOKUP(B76,'Regioturnier 1'!$J$3:$K$34,2,FALSE))=TRUE,0,VLOOKUP(B76,'Regioturnier 1'!$J$3:$K$34,2,FALSE)),IF(ISNA(VLOOKUP(B76,'Regioturnier 1'!$N$3:$O$34,2,FALSE))=TRUE,0,VLOOKUP(B76,'Regioturnier 1'!$N$3:$O$34,2,FALSE)),IF(ISNA(VLOOKUP(B76,'Regioturnier 1'!$R$3:$S$34,2,FALSE))=TRUE,0,VLOOKUP(B76,'Regioturnier 1'!$R$3:$S$34,2,FALSE)), IF(ISNA(VLOOKUP(B76,'Regioturnier 1'!$V$3:$W$34,2,FALSE))=TRUE,0,VLOOKUP(B76,'Regioturnier 1'!$V$3:$W$34,2,FALSE)), IF(ISNA(VLOOKUP(B76,'Regioturnier 1'!$Z$3:$AA$34,2,FALSE))=TRUE,0,VLOOKUP(B76,'Regioturnier 1'!$Z$3:$AA$34,2,FALSE)))</f>
        <v>189</v>
      </c>
      <c r="P76" s="15">
        <f>MAX(IF(ISNA(VLOOKUP(B76,'Regioturnier 2'!$B$3:$C$34,2,FALSE))=TRUE,0,VLOOKUP(B76,'Regioturnier 2'!$B$3:$C$34,2,FALSE)),IF(ISNA(VLOOKUP(B76,'Regioturnier 2'!$F$3:$G$34,2,FALSE))=TRUE,0,VLOOKUP(B76,'Regioturnier 2'!$F$3:$G$34,2,FALSE)),IF(ISNA(VLOOKUP(B76,'Regioturnier 2'!$J$3:$K$34,2,FALSE))=TRUE,0,VLOOKUP(B76,'Regioturnier 2'!$J$3:$K$34,2,FALSE)),IF(ISNA(VLOOKUP(B76,'Regioturnier 2'!$N$3:$O$34,2,FALSE))=TRUE,0,VLOOKUP(B76,'Regioturnier 2'!$N$3:$O$34,2,FALSE)),IF(ISNA(VLOOKUP(B76,'Regioturnier 2'!$R$3:$S$34,2,FALSE))=TRUE,0,VLOOKUP(B76,'Regioturnier 2'!$R$3:$S$34,2,FALSE)), IF(ISNA(VLOOKUP(B76,'Regioturnier 2'!$V$3:$W$34,2,FALSE))=TRUE,0,VLOOKUP(B76,'Regioturnier 2'!$V$3:$W$34,2,FALSE)), IF(ISNA(VLOOKUP(B76,'Regioturnier 2'!$Z$3:$AA$34,2,FALSE))=TRUE,0,VLOOKUP(B76,'Regioturnier 2'!$Z$3:$AA$34,2,FALSE)))</f>
        <v>0</v>
      </c>
      <c r="Q76" s="15">
        <f>MAX(IF(ISNA(VLOOKUP(B76,'Regioturnier 3'!$B$3:$C$34,2,FALSE))=TRUE,0,VLOOKUP(B76,'Regioturnier 3'!$B$3:$C$34,2,FALSE)),IF(ISNA(VLOOKUP(B76,'Regioturnier 3'!$F$3:$G$34,2,FALSE))=TRUE,0,VLOOKUP(B76,'Regioturnier 3'!$F$3:$G$34,2,FALSE)),IF(ISNA(VLOOKUP(B76,'Regioturnier 3'!$J$3:$K$34,2,FALSE))=TRUE,0,VLOOKUP(B76,'Regioturnier 3'!$J$3:$K$34,2,FALSE)),IF(ISNA(VLOOKUP(B76,'Regioturnier 3'!$N$3:$O$34,2,FALSE))=TRUE,0,VLOOKUP(B76,'Regioturnier 3'!$N$3:$O$34,2,FALSE)),IF(ISNA(VLOOKUP(B76,'Regioturnier 3'!$R$3:$S$34,2,FALSE))=TRUE,0,VLOOKUP(B76,'Regioturnier 3'!$R$3:$S$34,2,FALSE)), IF(ISNA(VLOOKUP(B76,'Regioturnier 3'!$V$3:$W$34,2,FALSE))=TRUE,0,VLOOKUP(B76,'Regioturnier 3'!$V$3:$W$34,2,FALSE)), IF(ISNA(VLOOKUP(B76,'Regioturnier 3'!$Z$3:$AA$34,2,FALSE))=TRUE,0,VLOOKUP(B76,'Regioturnier 3'!$Z$3:$AA$34,2,FALSE)))</f>
        <v>0</v>
      </c>
      <c r="R76" s="20">
        <f>0.5*INDEX($H76:$N76,MATCH(LARGE($H76:$N76,1),$H76:$N76,0))+0.3*INDEX($H76:$N76,MATCH(LARGE($H76:$N76,2),$H76:$N76,0))+0.2*INDEX($H76:$N76,MATCH(LARGE($H76:$N76,3),$H76:$N76,0))</f>
        <v>86.5</v>
      </c>
      <c r="S76" s="20">
        <f>0.6*INDEX(O76:Q76,MATCH(LARGE(O76:Q76,1),O76:Q76,0))+0.4*INDEX(O76:Q76,MATCH(LARGE(O76:Q76,2),O76:Q76,0))+0*INDEX(O76:Q76,MATCH(LARGE(O76:Q76,3),O76:Q76,0))</f>
        <v>113.39999999999999</v>
      </c>
      <c r="T76" s="15">
        <f>1*INDEX(R76:S76,MATCH(LARGE(R76:S76,1),R76:S76,0))+0*INDEX(R76:S76,MATCH(LARGE(R76:S76,2),R76:S76,0))</f>
        <v>113.39999999999999</v>
      </c>
      <c r="U76" s="21"/>
      <c r="V76" s="21"/>
      <c r="W76" s="21"/>
      <c r="X76" s="21"/>
      <c r="Y76" s="21"/>
      <c r="Z76" s="21"/>
    </row>
    <row r="77" spans="1:26" ht="12.75" customHeight="1" x14ac:dyDescent="0.3">
      <c r="A77" s="15">
        <v>76</v>
      </c>
      <c r="B77" s="16" t="s">
        <v>524</v>
      </c>
      <c r="C77" s="17" t="s">
        <v>43</v>
      </c>
      <c r="D77" s="15" t="s">
        <v>26</v>
      </c>
      <c r="E77" s="18" t="s">
        <v>40</v>
      </c>
      <c r="F77" s="15" t="s">
        <v>554</v>
      </c>
      <c r="G77" s="22">
        <v>2014</v>
      </c>
      <c r="H77" s="15">
        <f>MAX(IF(ISNA(VLOOKUP(B77,'WBV 1'!$B$3:$C$34,2,FALSE))=TRUE,0,VLOOKUP(B77,'WBV 1'!$B$3:$C$34,2,FALSE)),IF(ISNA(VLOOKUP(B77,'WBV 1'!$F$3:$G$34,2,FALSE))=TRUE,0,VLOOKUP(B77,'WBV 1'!$F$3:$G$34,2,FALSE)),IF(ISNA(VLOOKUP(B77,'WBV 1'!$J$3:$K$34,2,FALSE))=TRUE,0,VLOOKUP(B77,'WBV 1'!$J$3:$K$34,2,FALSE)),IF(ISNA(VLOOKUP(B77,'WBV 1'!$N$3:$O$34,2,FALSE))=TRUE,0,VLOOKUP(B77,'WBV 1'!$N$3:$O$34,2,FALSE)))</f>
        <v>0</v>
      </c>
      <c r="I77" s="15">
        <f>MAX(IF(ISNA(VLOOKUP(B77,'WBV 2'!$B$3:$C$34,2,FALSE))=TRUE,0,VLOOKUP(B77,'WBV 2'!$B$3:$C$34,2,FALSE)),IF(ISNA(VLOOKUP(B77,'WBV 2'!$F$3:$G$34,2,FALSE))=TRUE,0,VLOOKUP(B77,'WBV 2'!$F$3:$G$34,2,FALSE)),IF(ISNA(VLOOKUP(B77,'WBV 2'!$J$3:$K$34,2,FALSE))=TRUE,0,VLOOKUP(B77,'WBV 2'!$J$3:$K$34,2,FALSE)),IF(ISNA(VLOOKUP(B77,'WBV 2'!$N$3:$O$34,2,FALSE))=TRUE,0,VLOOKUP(B77,'WBV 2'!$N$3:$O$34,2,FALSE)))</f>
        <v>142</v>
      </c>
      <c r="J77" s="15">
        <f>MAX(IF(ISNA(VLOOKUP(B77,'WBV 3'!$B$3:$C$34,2,FALSE))=TRUE,0,VLOOKUP(B77,'WBV 3'!$B$3:$C$34,2,FALSE)),IF(ISNA(VLOOKUP(B77,'WBV 3'!$F$3:$G$34,2,FALSE))=TRUE,0,VLOOKUP(B77,'WBV 3'!$F$3:$G$34,2,FALSE)),IF(ISNA(VLOOKUP(B77,'WBV 3'!$J$3:$K$34,2,FALSE))=TRUE,0,VLOOKUP(B77,'WBV 3'!$J$3:$K$34,2,FALSE)),IF(ISNA(VLOOKUP(B77,'WBV 3'!$N$3:$O$34,2,FALSE))=TRUE,0,VLOOKUP(B77,'WBV 3'!$N$3:$O$34,2,FALSE)))</f>
        <v>140</v>
      </c>
      <c r="K77" s="15">
        <f>MAX(IF(ISNA(VLOOKUP(B77,'WBV 4'!$B$3:$C$34,2,FALSE))=TRUE,0,VLOOKUP(B77,'WBV 4'!$B$3:$C$34,2,FALSE)),IF(ISNA(VLOOKUP(B77,'WBV 4'!$F$3:$G$34,2,FALSE))=TRUE,0,VLOOKUP(B77,'WBV 4'!$F$3:$G$34,2,FALSE)),IF(ISNA(VLOOKUP(B77,'WBV 4'!$J$3:$K$34,2,FALSE))=TRUE,0,VLOOKUP(B77,'WBV 4'!$J$3:$K$34,2,FALSE)),IF(ISNA(VLOOKUP(B77,'WBV 4'!$N$3:$O$34,2,FALSE))=TRUE,0,VLOOKUP(B77,'WBV 4'!$N$3:$O$34,2,FALSE)))</f>
        <v>0</v>
      </c>
      <c r="L77" s="19">
        <f>MAX(IF(ISNA(VLOOKUP(B77,'NÖBV 1'!$B$3:$C$34,2,FALSE))=TRUE,0,VLOOKUP(B77,'NÖBV 1'!$B$3:$C$34,2,FALSE)),IF(ISNA(VLOOKUP(B77,'NÖBV 1'!$F$3:$G$34,2,FALSE))=TRUE,0,VLOOKUP(B77,'NÖBV 1'!$F$3:$G$34,2,FALSE)),IF(ISNA(VLOOKUP(B77,'NÖBV 1'!$J$3:$K$34,2,FALSE))=TRUE,0,VLOOKUP(B77,'NÖBV 1'!$J$3:$K$34,2,FALSE)),IF(ISNA(VLOOKUP(B77,'NÖBV 1'!$N$3:$O$34,2,FALSE))=TRUE,0,VLOOKUP(B77,'NÖBV 1'!$N$3:$O$34,2,FALSE)))</f>
        <v>0</v>
      </c>
      <c r="M77" s="19">
        <f>MAX(IF(ISNA(VLOOKUP(B77,'NÖBV 2'!$B$3:$C$34,2,FALSE))=TRUE,0,VLOOKUP(B77,'NÖBV 2'!$B$3:$C$34,2,FALSE)),IF(ISNA(VLOOKUP(B77,'NÖBV 2'!$F$3:$G$34,2,FALSE))=TRUE,0,VLOOKUP(B77,'NÖBV 2'!$F$3:$G$34,2,FALSE)),IF(ISNA(VLOOKUP(B77,'NÖBV 2'!$J$3:$K$34,2,FALSE))=TRUE,0,VLOOKUP(B77,'NÖBV 2'!$J$3:$K$34,2,FALSE)),IF(ISNA(VLOOKUP(B77,'NÖBV 2'!$N$3:$O$34,2,FALSE))=TRUE,0,VLOOKUP(B77,'NÖBV 2'!$N$3:$O$34,2,FALSE)))</f>
        <v>0</v>
      </c>
      <c r="N77" s="19">
        <f>MAX(IF(ISNA(VLOOKUP(B77,'NÖBV 3'!$B$3:$C$34,2,FALSE))=TRUE,0,VLOOKUP(B77,'NÖBV 3'!$B$3:$C$34,2,FALSE)),IF(ISNA(VLOOKUP(B77,'NÖBV 3'!$F$3:$G$34,2,FALSE))=TRUE,0,VLOOKUP(B77,'NÖBV 3'!$F$3:$G$34,2,FALSE)),IF(ISNA(VLOOKUP(B77,'NÖBV 3'!$J$3:$K$34,2,FALSE))=TRUE,0,VLOOKUP(B77,'NÖBV 3'!$J$3:$K$34,2,FALSE)),IF(ISNA(VLOOKUP(B77,'NÖBV 3'!$N$3:$O$34,2,FALSE))=TRUE,0,VLOOKUP(B77,'NÖBV 3'!$N$3:$O$34,2,FALSE)))</f>
        <v>0</v>
      </c>
      <c r="O77" s="15">
        <f>MAX(IF(ISNA(VLOOKUP(B77,'Regioturnier 1'!$B$3:$C$34,2,FALSE))=TRUE,0,VLOOKUP(B77,'Regioturnier 1'!$B$3:$C$34,2,FALSE)),IF(ISNA(VLOOKUP(B77,'Regioturnier 1'!$F$3:$G$34,2,FALSE))=TRUE,0,VLOOKUP(B77,'Regioturnier 1'!$F$3:$G$34,2,FALSE)),IF(ISNA(VLOOKUP(B77,'Regioturnier 1'!$J$3:$K$34,2,FALSE))=TRUE,0,VLOOKUP(B77,'Regioturnier 1'!$J$3:$K$34,2,FALSE)),IF(ISNA(VLOOKUP(B77,'Regioturnier 1'!$N$3:$O$34,2,FALSE))=TRUE,0,VLOOKUP(B77,'Regioturnier 1'!$N$3:$O$34,2,FALSE)),IF(ISNA(VLOOKUP(B77,'Regioturnier 1'!$R$3:$S$34,2,FALSE))=TRUE,0,VLOOKUP(B77,'Regioturnier 1'!$R$3:$S$34,2,FALSE)), IF(ISNA(VLOOKUP(B77,'Regioturnier 1'!$V$3:$W$34,2,FALSE))=TRUE,0,VLOOKUP(B77,'Regioturnier 1'!$V$3:$W$34,2,FALSE)), IF(ISNA(VLOOKUP(B77,'Regioturnier 1'!$Z$3:$AA$34,2,FALSE))=TRUE,0,VLOOKUP(B77,'Regioturnier 1'!$Z$3:$AA$34,2,FALSE)))</f>
        <v>0</v>
      </c>
      <c r="P77" s="15">
        <f>MAX(IF(ISNA(VLOOKUP(B77,'Regioturnier 2'!$B$3:$C$34,2,FALSE))=TRUE,0,VLOOKUP(B77,'Regioturnier 2'!$B$3:$C$34,2,FALSE)),IF(ISNA(VLOOKUP(B77,'Regioturnier 2'!$F$3:$G$34,2,FALSE))=TRUE,0,VLOOKUP(B77,'Regioturnier 2'!$F$3:$G$34,2,FALSE)),IF(ISNA(VLOOKUP(B77,'Regioturnier 2'!$J$3:$K$34,2,FALSE))=TRUE,0,VLOOKUP(B77,'Regioturnier 2'!$J$3:$K$34,2,FALSE)),IF(ISNA(VLOOKUP(B77,'Regioturnier 2'!$N$3:$O$34,2,FALSE))=TRUE,0,VLOOKUP(B77,'Regioturnier 2'!$N$3:$O$34,2,FALSE)),IF(ISNA(VLOOKUP(B77,'Regioturnier 2'!$R$3:$S$34,2,FALSE))=TRUE,0,VLOOKUP(B77,'Regioturnier 2'!$R$3:$S$34,2,FALSE)), IF(ISNA(VLOOKUP(B77,'Regioturnier 2'!$V$3:$W$34,2,FALSE))=TRUE,0,VLOOKUP(B77,'Regioturnier 2'!$V$3:$W$34,2,FALSE)), IF(ISNA(VLOOKUP(B77,'Regioturnier 2'!$Z$3:$AA$34,2,FALSE))=TRUE,0,VLOOKUP(B77,'Regioturnier 2'!$Z$3:$AA$34,2,FALSE)))</f>
        <v>0</v>
      </c>
      <c r="Q77" s="15">
        <f>MAX(IF(ISNA(VLOOKUP(B77,'Regioturnier 3'!$B$3:$C$34,2,FALSE))=TRUE,0,VLOOKUP(B77,'Regioturnier 3'!$B$3:$C$34,2,FALSE)),IF(ISNA(VLOOKUP(B77,'Regioturnier 3'!$F$3:$G$34,2,FALSE))=TRUE,0,VLOOKUP(B77,'Regioturnier 3'!$F$3:$G$34,2,FALSE)),IF(ISNA(VLOOKUP(B77,'Regioturnier 3'!$J$3:$K$34,2,FALSE))=TRUE,0,VLOOKUP(B77,'Regioturnier 3'!$J$3:$K$34,2,FALSE)),IF(ISNA(VLOOKUP(B77,'Regioturnier 3'!$N$3:$O$34,2,FALSE))=TRUE,0,VLOOKUP(B77,'Regioturnier 3'!$N$3:$O$34,2,FALSE)),IF(ISNA(VLOOKUP(B77,'Regioturnier 3'!$R$3:$S$34,2,FALSE))=TRUE,0,VLOOKUP(B77,'Regioturnier 3'!$R$3:$S$34,2,FALSE)), IF(ISNA(VLOOKUP(B77,'Regioturnier 3'!$V$3:$W$34,2,FALSE))=TRUE,0,VLOOKUP(B77,'Regioturnier 3'!$V$3:$W$34,2,FALSE)), IF(ISNA(VLOOKUP(B77,'Regioturnier 3'!$Z$3:$AA$34,2,FALSE))=TRUE,0,VLOOKUP(B77,'Regioturnier 3'!$Z$3:$AA$34,2,FALSE)))</f>
        <v>0</v>
      </c>
      <c r="R77" s="20">
        <f>0.5*INDEX($H77:$N77,MATCH(LARGE($H77:$N77,1),$H77:$N77,0))+0.3*INDEX($H77:$N77,MATCH(LARGE($H77:$N77,2),$H77:$N77,0))+0.2*INDEX($H77:$N77,MATCH(LARGE($H77:$N77,3),$H77:$N77,0))</f>
        <v>113</v>
      </c>
      <c r="S77" s="20">
        <f>0.6*INDEX(O77:Q77,MATCH(LARGE(O77:Q77,1),O77:Q77,0))+0.4*INDEX(O77:Q77,MATCH(LARGE(O77:Q77,2),O77:Q77,0))+0*INDEX(O77:Q77,MATCH(LARGE(O77:Q77,3),O77:Q77,0))</f>
        <v>0</v>
      </c>
      <c r="T77" s="15">
        <f>1*INDEX(R77:S77,MATCH(LARGE(R77:S77,1),R77:S77,0))+0*INDEX(R77:S77,MATCH(LARGE(R77:S77,2),R77:S77,0))</f>
        <v>113</v>
      </c>
      <c r="U77" s="21"/>
      <c r="V77" s="21"/>
      <c r="W77" s="21"/>
      <c r="X77" s="21"/>
      <c r="Y77" s="21"/>
      <c r="Z77" s="21"/>
    </row>
    <row r="78" spans="1:26" ht="12.75" customHeight="1" x14ac:dyDescent="0.3">
      <c r="A78" s="15">
        <v>77</v>
      </c>
      <c r="B78" s="16" t="s">
        <v>534</v>
      </c>
      <c r="C78" s="17" t="s">
        <v>31</v>
      </c>
      <c r="D78" s="15" t="s">
        <v>26</v>
      </c>
      <c r="E78" s="18" t="s">
        <v>40</v>
      </c>
      <c r="F78" s="15">
        <v>112609</v>
      </c>
      <c r="G78" s="22">
        <v>2016</v>
      </c>
      <c r="H78" s="15">
        <f>MAX(IF(ISNA(VLOOKUP(B78,'WBV 1'!$B$3:$C$34,2,FALSE))=TRUE,0,VLOOKUP(B78,'WBV 1'!$B$3:$C$34,2,FALSE)),IF(ISNA(VLOOKUP(B78,'WBV 1'!$F$3:$G$34,2,FALSE))=TRUE,0,VLOOKUP(B78,'WBV 1'!$F$3:$G$34,2,FALSE)),IF(ISNA(VLOOKUP(B78,'WBV 1'!$J$3:$K$34,2,FALSE))=TRUE,0,VLOOKUP(B78,'WBV 1'!$J$3:$K$34,2,FALSE)),IF(ISNA(VLOOKUP(B78,'WBV 1'!$N$3:$O$34,2,FALSE))=TRUE,0,VLOOKUP(B78,'WBV 1'!$N$3:$O$34,2,FALSE)))</f>
        <v>0</v>
      </c>
      <c r="I78" s="15">
        <f>MAX(IF(ISNA(VLOOKUP(B78,'WBV 2'!$B$3:$C$34,2,FALSE))=TRUE,0,VLOOKUP(B78,'WBV 2'!$B$3:$C$34,2,FALSE)),IF(ISNA(VLOOKUP(B78,'WBV 2'!$F$3:$G$34,2,FALSE))=TRUE,0,VLOOKUP(B78,'WBV 2'!$F$3:$G$34,2,FALSE)),IF(ISNA(VLOOKUP(B78,'WBV 2'!$J$3:$K$34,2,FALSE))=TRUE,0,VLOOKUP(B78,'WBV 2'!$J$3:$K$34,2,FALSE)),IF(ISNA(VLOOKUP(B78,'WBV 2'!$N$3:$O$34,2,FALSE))=TRUE,0,VLOOKUP(B78,'WBV 2'!$N$3:$O$34,2,FALSE)))</f>
        <v>125</v>
      </c>
      <c r="J78" s="15">
        <f>MAX(IF(ISNA(VLOOKUP(B78,'WBV 3'!$B$3:$C$34,2,FALSE))=TRUE,0,VLOOKUP(B78,'WBV 3'!$B$3:$C$34,2,FALSE)),IF(ISNA(VLOOKUP(B78,'WBV 3'!$F$3:$G$34,2,FALSE))=TRUE,0,VLOOKUP(B78,'WBV 3'!$F$3:$G$34,2,FALSE)),IF(ISNA(VLOOKUP(B78,'WBV 3'!$J$3:$K$34,2,FALSE))=TRUE,0,VLOOKUP(B78,'WBV 3'!$J$3:$K$34,2,FALSE)),IF(ISNA(VLOOKUP(B78,'WBV 3'!$N$3:$O$34,2,FALSE))=TRUE,0,VLOOKUP(B78,'WBV 3'!$N$3:$O$34,2,FALSE)))</f>
        <v>150</v>
      </c>
      <c r="K78" s="15">
        <f>MAX(IF(ISNA(VLOOKUP(B78,'WBV 4'!$B$3:$C$34,2,FALSE))=TRUE,0,VLOOKUP(B78,'WBV 4'!$B$3:$C$34,2,FALSE)),IF(ISNA(VLOOKUP(B78,'WBV 4'!$F$3:$G$34,2,FALSE))=TRUE,0,VLOOKUP(B78,'WBV 4'!$F$3:$G$34,2,FALSE)),IF(ISNA(VLOOKUP(B78,'WBV 4'!$J$3:$K$34,2,FALSE))=TRUE,0,VLOOKUP(B78,'WBV 4'!$J$3:$K$34,2,FALSE)),IF(ISNA(VLOOKUP(B78,'WBV 4'!$N$3:$O$34,2,FALSE))=TRUE,0,VLOOKUP(B78,'WBV 4'!$N$3:$O$34,2,FALSE)))</f>
        <v>0</v>
      </c>
      <c r="L78" s="19">
        <f>MAX(IF(ISNA(VLOOKUP(B78,'NÖBV 1'!$B$3:$C$34,2,FALSE))=TRUE,0,VLOOKUP(B78,'NÖBV 1'!$B$3:$C$34,2,FALSE)),IF(ISNA(VLOOKUP(B78,'NÖBV 1'!$F$3:$G$34,2,FALSE))=TRUE,0,VLOOKUP(B78,'NÖBV 1'!$F$3:$G$34,2,FALSE)),IF(ISNA(VLOOKUP(B78,'NÖBV 1'!$J$3:$K$34,2,FALSE))=TRUE,0,VLOOKUP(B78,'NÖBV 1'!$J$3:$K$34,2,FALSE)),IF(ISNA(VLOOKUP(B78,'NÖBV 1'!$N$3:$O$34,2,FALSE))=TRUE,0,VLOOKUP(B78,'NÖBV 1'!$N$3:$O$34,2,FALSE)))</f>
        <v>0</v>
      </c>
      <c r="M78" s="19">
        <f>MAX(IF(ISNA(VLOOKUP(B78,'NÖBV 2'!$B$3:$C$34,2,FALSE))=TRUE,0,VLOOKUP(B78,'NÖBV 2'!$B$3:$C$34,2,FALSE)),IF(ISNA(VLOOKUP(B78,'NÖBV 2'!$F$3:$G$34,2,FALSE))=TRUE,0,VLOOKUP(B78,'NÖBV 2'!$F$3:$G$34,2,FALSE)),IF(ISNA(VLOOKUP(B78,'NÖBV 2'!$J$3:$K$34,2,FALSE))=TRUE,0,VLOOKUP(B78,'NÖBV 2'!$J$3:$K$34,2,FALSE)),IF(ISNA(VLOOKUP(B78,'NÖBV 2'!$N$3:$O$34,2,FALSE))=TRUE,0,VLOOKUP(B78,'NÖBV 2'!$N$3:$O$34,2,FALSE)))</f>
        <v>0</v>
      </c>
      <c r="N78" s="19">
        <f>MAX(IF(ISNA(VLOOKUP(B78,'NÖBV 3'!$B$3:$C$34,2,FALSE))=TRUE,0,VLOOKUP(B78,'NÖBV 3'!$B$3:$C$34,2,FALSE)),IF(ISNA(VLOOKUP(B78,'NÖBV 3'!$F$3:$G$34,2,FALSE))=TRUE,0,VLOOKUP(B78,'NÖBV 3'!$F$3:$G$34,2,FALSE)),IF(ISNA(VLOOKUP(B78,'NÖBV 3'!$J$3:$K$34,2,FALSE))=TRUE,0,VLOOKUP(B78,'NÖBV 3'!$J$3:$K$34,2,FALSE)),IF(ISNA(VLOOKUP(B78,'NÖBV 3'!$N$3:$O$34,2,FALSE))=TRUE,0,VLOOKUP(B78,'NÖBV 3'!$N$3:$O$34,2,FALSE)))</f>
        <v>0</v>
      </c>
      <c r="O78" s="15">
        <f>MAX(IF(ISNA(VLOOKUP(B78,'Regioturnier 1'!$B$3:$C$34,2,FALSE))=TRUE,0,VLOOKUP(B78,'Regioturnier 1'!$B$3:$C$34,2,FALSE)),IF(ISNA(VLOOKUP(B78,'Regioturnier 1'!$F$3:$G$34,2,FALSE))=TRUE,0,VLOOKUP(B78,'Regioturnier 1'!$F$3:$G$34,2,FALSE)),IF(ISNA(VLOOKUP(B78,'Regioturnier 1'!$J$3:$K$34,2,FALSE))=TRUE,0,VLOOKUP(B78,'Regioturnier 1'!$J$3:$K$34,2,FALSE)),IF(ISNA(VLOOKUP(B78,'Regioturnier 1'!$N$3:$O$34,2,FALSE))=TRUE,0,VLOOKUP(B78,'Regioturnier 1'!$N$3:$O$34,2,FALSE)),IF(ISNA(VLOOKUP(B78,'Regioturnier 1'!$R$3:$S$34,2,FALSE))=TRUE,0,VLOOKUP(B78,'Regioturnier 1'!$R$3:$S$34,2,FALSE)), IF(ISNA(VLOOKUP(B78,'Regioturnier 1'!$V$3:$W$34,2,FALSE))=TRUE,0,VLOOKUP(B78,'Regioturnier 1'!$V$3:$W$34,2,FALSE)), IF(ISNA(VLOOKUP(B78,'Regioturnier 1'!$Z$3:$AA$34,2,FALSE))=TRUE,0,VLOOKUP(B78,'Regioturnier 1'!$Z$3:$AA$34,2,FALSE)))</f>
        <v>0</v>
      </c>
      <c r="P78" s="15">
        <f>MAX(IF(ISNA(VLOOKUP(B78,'Regioturnier 2'!$B$3:$C$34,2,FALSE))=TRUE,0,VLOOKUP(B78,'Regioturnier 2'!$B$3:$C$34,2,FALSE)),IF(ISNA(VLOOKUP(B78,'Regioturnier 2'!$F$3:$G$34,2,FALSE))=TRUE,0,VLOOKUP(B78,'Regioturnier 2'!$F$3:$G$34,2,FALSE)),IF(ISNA(VLOOKUP(B78,'Regioturnier 2'!$J$3:$K$34,2,FALSE))=TRUE,0,VLOOKUP(B78,'Regioturnier 2'!$J$3:$K$34,2,FALSE)),IF(ISNA(VLOOKUP(B78,'Regioturnier 2'!$N$3:$O$34,2,FALSE))=TRUE,0,VLOOKUP(B78,'Regioturnier 2'!$N$3:$O$34,2,FALSE)),IF(ISNA(VLOOKUP(B78,'Regioturnier 2'!$R$3:$S$34,2,FALSE))=TRUE,0,VLOOKUP(B78,'Regioturnier 2'!$R$3:$S$34,2,FALSE)), IF(ISNA(VLOOKUP(B78,'Regioturnier 2'!$V$3:$W$34,2,FALSE))=TRUE,0,VLOOKUP(B78,'Regioturnier 2'!$V$3:$W$34,2,FALSE)), IF(ISNA(VLOOKUP(B78,'Regioturnier 2'!$Z$3:$AA$34,2,FALSE))=TRUE,0,VLOOKUP(B78,'Regioturnier 2'!$Z$3:$AA$34,2,FALSE)))</f>
        <v>0</v>
      </c>
      <c r="Q78" s="15">
        <f>MAX(IF(ISNA(VLOOKUP(B78,'Regioturnier 3'!$B$3:$C$34,2,FALSE))=TRUE,0,VLOOKUP(B78,'Regioturnier 3'!$B$3:$C$34,2,FALSE)),IF(ISNA(VLOOKUP(B78,'Regioturnier 3'!$F$3:$G$34,2,FALSE))=TRUE,0,VLOOKUP(B78,'Regioturnier 3'!$F$3:$G$34,2,FALSE)),IF(ISNA(VLOOKUP(B78,'Regioturnier 3'!$J$3:$K$34,2,FALSE))=TRUE,0,VLOOKUP(B78,'Regioturnier 3'!$J$3:$K$34,2,FALSE)),IF(ISNA(VLOOKUP(B78,'Regioturnier 3'!$N$3:$O$34,2,FALSE))=TRUE,0,VLOOKUP(B78,'Regioturnier 3'!$N$3:$O$34,2,FALSE)),IF(ISNA(VLOOKUP(B78,'Regioturnier 3'!$R$3:$S$34,2,FALSE))=TRUE,0,VLOOKUP(B78,'Regioturnier 3'!$R$3:$S$34,2,FALSE)), IF(ISNA(VLOOKUP(B78,'Regioturnier 3'!$V$3:$W$34,2,FALSE))=TRUE,0,VLOOKUP(B78,'Regioturnier 3'!$V$3:$W$34,2,FALSE)), IF(ISNA(VLOOKUP(B78,'Regioturnier 3'!$Z$3:$AA$34,2,FALSE))=TRUE,0,VLOOKUP(B78,'Regioturnier 3'!$Z$3:$AA$34,2,FALSE)))</f>
        <v>0</v>
      </c>
      <c r="R78" s="20">
        <f>0.5*INDEX($H78:$N78,MATCH(LARGE($H78:$N78,1),$H78:$N78,0))+0.3*INDEX($H78:$N78,MATCH(LARGE($H78:$N78,2),$H78:$N78,0))+0.2*INDEX($H78:$N78,MATCH(LARGE($H78:$N78,3),$H78:$N78,0))</f>
        <v>112.5</v>
      </c>
      <c r="S78" s="20">
        <f>0.6*INDEX(O78:Q78,MATCH(LARGE(O78:Q78,1),O78:Q78,0))+0.4*INDEX(O78:Q78,MATCH(LARGE(O78:Q78,2),O78:Q78,0))+0*INDEX(O78:Q78,MATCH(LARGE(O78:Q78,3),O78:Q78,0))</f>
        <v>0</v>
      </c>
      <c r="T78" s="15">
        <f>1*INDEX(R78:S78,MATCH(LARGE(R78:S78,1),R78:S78,0))+0*INDEX(R78:S78,MATCH(LARGE(R78:S78,2),R78:S78,0))</f>
        <v>112.5</v>
      </c>
      <c r="U78" s="21"/>
      <c r="V78" s="21"/>
      <c r="W78" s="21"/>
      <c r="X78" s="21"/>
      <c r="Y78" s="21"/>
      <c r="Z78" s="21"/>
    </row>
    <row r="79" spans="1:26" ht="12.75" customHeight="1" x14ac:dyDescent="0.3">
      <c r="A79" s="15">
        <v>78</v>
      </c>
      <c r="B79" s="16" t="s">
        <v>527</v>
      </c>
      <c r="C79" s="17" t="s">
        <v>31</v>
      </c>
      <c r="D79" s="15" t="s">
        <v>26</v>
      </c>
      <c r="E79" s="18" t="s">
        <v>23</v>
      </c>
      <c r="F79" s="15" t="s">
        <v>635</v>
      </c>
      <c r="G79" s="22">
        <v>2015</v>
      </c>
      <c r="H79" s="15">
        <f>MAX(IF(ISNA(VLOOKUP(B79,'WBV 1'!$B$3:$C$34,2,FALSE))=TRUE,0,VLOOKUP(B79,'WBV 1'!$B$3:$C$34,2,FALSE)),IF(ISNA(VLOOKUP(B79,'WBV 1'!$F$3:$G$34,2,FALSE))=TRUE,0,VLOOKUP(B79,'WBV 1'!$F$3:$G$34,2,FALSE)),IF(ISNA(VLOOKUP(B79,'WBV 1'!$J$3:$K$34,2,FALSE))=TRUE,0,VLOOKUP(B79,'WBV 1'!$J$3:$K$34,2,FALSE)),IF(ISNA(VLOOKUP(B79,'WBV 1'!$N$3:$O$34,2,FALSE))=TRUE,0,VLOOKUP(B79,'WBV 1'!$N$3:$O$34,2,FALSE)))</f>
        <v>0</v>
      </c>
      <c r="I79" s="15">
        <f>MAX(IF(ISNA(VLOOKUP(B79,'WBV 2'!$B$3:$C$34,2,FALSE))=TRUE,0,VLOOKUP(B79,'WBV 2'!$B$3:$C$34,2,FALSE)),IF(ISNA(VLOOKUP(B79,'WBV 2'!$F$3:$G$34,2,FALSE))=TRUE,0,VLOOKUP(B79,'WBV 2'!$F$3:$G$34,2,FALSE)),IF(ISNA(VLOOKUP(B79,'WBV 2'!$J$3:$K$34,2,FALSE))=TRUE,0,VLOOKUP(B79,'WBV 2'!$J$3:$K$34,2,FALSE)),IF(ISNA(VLOOKUP(B79,'WBV 2'!$N$3:$O$34,2,FALSE))=TRUE,0,VLOOKUP(B79,'WBV 2'!$N$3:$O$34,2,FALSE)))</f>
        <v>141</v>
      </c>
      <c r="J79" s="15">
        <f>MAX(IF(ISNA(VLOOKUP(B79,'WBV 3'!$B$3:$C$34,2,FALSE))=TRUE,0,VLOOKUP(B79,'WBV 3'!$B$3:$C$34,2,FALSE)),IF(ISNA(VLOOKUP(B79,'WBV 3'!$F$3:$G$34,2,FALSE))=TRUE,0,VLOOKUP(B79,'WBV 3'!$F$3:$G$34,2,FALSE)),IF(ISNA(VLOOKUP(B79,'WBV 3'!$J$3:$K$34,2,FALSE))=TRUE,0,VLOOKUP(B79,'WBV 3'!$J$3:$K$34,2,FALSE)),IF(ISNA(VLOOKUP(B79,'WBV 3'!$N$3:$O$34,2,FALSE))=TRUE,0,VLOOKUP(B79,'WBV 3'!$N$3:$O$34,2,FALSE)))</f>
        <v>136</v>
      </c>
      <c r="K79" s="15">
        <f>MAX(IF(ISNA(VLOOKUP(B79,'WBV 4'!$B$3:$C$34,2,FALSE))=TRUE,0,VLOOKUP(B79,'WBV 4'!$B$3:$C$34,2,FALSE)),IF(ISNA(VLOOKUP(B79,'WBV 4'!$F$3:$G$34,2,FALSE))=TRUE,0,VLOOKUP(B79,'WBV 4'!$F$3:$G$34,2,FALSE)),IF(ISNA(VLOOKUP(B79,'WBV 4'!$J$3:$K$34,2,FALSE))=TRUE,0,VLOOKUP(B79,'WBV 4'!$J$3:$K$34,2,FALSE)),IF(ISNA(VLOOKUP(B79,'WBV 4'!$N$3:$O$34,2,FALSE))=TRUE,0,VLOOKUP(B79,'WBV 4'!$N$3:$O$34,2,FALSE)))</f>
        <v>0</v>
      </c>
      <c r="L79" s="19">
        <f>MAX(IF(ISNA(VLOOKUP(B79,'NÖBV 1'!$B$3:$C$34,2,FALSE))=TRUE,0,VLOOKUP(B79,'NÖBV 1'!$B$3:$C$34,2,FALSE)),IF(ISNA(VLOOKUP(B79,'NÖBV 1'!$F$3:$G$34,2,FALSE))=TRUE,0,VLOOKUP(B79,'NÖBV 1'!$F$3:$G$34,2,FALSE)),IF(ISNA(VLOOKUP(B79,'NÖBV 1'!$J$3:$K$34,2,FALSE))=TRUE,0,VLOOKUP(B79,'NÖBV 1'!$J$3:$K$34,2,FALSE)),IF(ISNA(VLOOKUP(B79,'NÖBV 1'!$N$3:$O$34,2,FALSE))=TRUE,0,VLOOKUP(B79,'NÖBV 1'!$N$3:$O$34,2,FALSE)))</f>
        <v>0</v>
      </c>
      <c r="M79" s="19">
        <f>MAX(IF(ISNA(VLOOKUP(B79,'NÖBV 2'!$B$3:$C$34,2,FALSE))=TRUE,0,VLOOKUP(B79,'NÖBV 2'!$B$3:$C$34,2,FALSE)),IF(ISNA(VLOOKUP(B79,'NÖBV 2'!$F$3:$G$34,2,FALSE))=TRUE,0,VLOOKUP(B79,'NÖBV 2'!$F$3:$G$34,2,FALSE)),IF(ISNA(VLOOKUP(B79,'NÖBV 2'!$J$3:$K$34,2,FALSE))=TRUE,0,VLOOKUP(B79,'NÖBV 2'!$J$3:$K$34,2,FALSE)),IF(ISNA(VLOOKUP(B79,'NÖBV 2'!$N$3:$O$34,2,FALSE))=TRUE,0,VLOOKUP(B79,'NÖBV 2'!$N$3:$O$34,2,FALSE)))</f>
        <v>0</v>
      </c>
      <c r="N79" s="19">
        <f>MAX(IF(ISNA(VLOOKUP(B79,'NÖBV 3'!$B$3:$C$34,2,FALSE))=TRUE,0,VLOOKUP(B79,'NÖBV 3'!$B$3:$C$34,2,FALSE)),IF(ISNA(VLOOKUP(B79,'NÖBV 3'!$F$3:$G$34,2,FALSE))=TRUE,0,VLOOKUP(B79,'NÖBV 3'!$F$3:$G$34,2,FALSE)),IF(ISNA(VLOOKUP(B79,'NÖBV 3'!$J$3:$K$34,2,FALSE))=TRUE,0,VLOOKUP(B79,'NÖBV 3'!$J$3:$K$34,2,FALSE)),IF(ISNA(VLOOKUP(B79,'NÖBV 3'!$N$3:$O$34,2,FALSE))=TRUE,0,VLOOKUP(B79,'NÖBV 3'!$N$3:$O$34,2,FALSE)))</f>
        <v>0</v>
      </c>
      <c r="O79" s="15">
        <f>MAX(IF(ISNA(VLOOKUP(B79,'Regioturnier 1'!$B$3:$C$34,2,FALSE))=TRUE,0,VLOOKUP(B79,'Regioturnier 1'!$B$3:$C$34,2,FALSE)),IF(ISNA(VLOOKUP(B79,'Regioturnier 1'!$F$3:$G$34,2,FALSE))=TRUE,0,VLOOKUP(B79,'Regioturnier 1'!$F$3:$G$34,2,FALSE)),IF(ISNA(VLOOKUP(B79,'Regioturnier 1'!$J$3:$K$34,2,FALSE))=TRUE,0,VLOOKUP(B79,'Regioturnier 1'!$J$3:$K$34,2,FALSE)),IF(ISNA(VLOOKUP(B79,'Regioturnier 1'!$N$3:$O$34,2,FALSE))=TRUE,0,VLOOKUP(B79,'Regioturnier 1'!$N$3:$O$34,2,FALSE)),IF(ISNA(VLOOKUP(B79,'Regioturnier 1'!$R$3:$S$34,2,FALSE))=TRUE,0,VLOOKUP(B79,'Regioturnier 1'!$R$3:$S$34,2,FALSE)), IF(ISNA(VLOOKUP(B79,'Regioturnier 1'!$V$3:$W$34,2,FALSE))=TRUE,0,VLOOKUP(B79,'Regioturnier 1'!$V$3:$W$34,2,FALSE)), IF(ISNA(VLOOKUP(B79,'Regioturnier 1'!$Z$3:$AA$34,2,FALSE))=TRUE,0,VLOOKUP(B79,'Regioturnier 1'!$Z$3:$AA$34,2,FALSE)))</f>
        <v>0</v>
      </c>
      <c r="P79" s="15">
        <f>MAX(IF(ISNA(VLOOKUP(B79,'Regioturnier 2'!$B$3:$C$34,2,FALSE))=TRUE,0,VLOOKUP(B79,'Regioturnier 2'!$B$3:$C$34,2,FALSE)),IF(ISNA(VLOOKUP(B79,'Regioturnier 2'!$F$3:$G$34,2,FALSE))=TRUE,0,VLOOKUP(B79,'Regioturnier 2'!$F$3:$G$34,2,FALSE)),IF(ISNA(VLOOKUP(B79,'Regioturnier 2'!$J$3:$K$34,2,FALSE))=TRUE,0,VLOOKUP(B79,'Regioturnier 2'!$J$3:$K$34,2,FALSE)),IF(ISNA(VLOOKUP(B79,'Regioturnier 2'!$N$3:$O$34,2,FALSE))=TRUE,0,VLOOKUP(B79,'Regioturnier 2'!$N$3:$O$34,2,FALSE)),IF(ISNA(VLOOKUP(B79,'Regioturnier 2'!$R$3:$S$34,2,FALSE))=TRUE,0,VLOOKUP(B79,'Regioturnier 2'!$R$3:$S$34,2,FALSE)), IF(ISNA(VLOOKUP(B79,'Regioturnier 2'!$V$3:$W$34,2,FALSE))=TRUE,0,VLOOKUP(B79,'Regioturnier 2'!$V$3:$W$34,2,FALSE)), IF(ISNA(VLOOKUP(B79,'Regioturnier 2'!$Z$3:$AA$34,2,FALSE))=TRUE,0,VLOOKUP(B79,'Regioturnier 2'!$Z$3:$AA$34,2,FALSE)))</f>
        <v>0</v>
      </c>
      <c r="Q79" s="15">
        <f>MAX(IF(ISNA(VLOOKUP(B79,'Regioturnier 3'!$B$3:$C$34,2,FALSE))=TRUE,0,VLOOKUP(B79,'Regioturnier 3'!$B$3:$C$34,2,FALSE)),IF(ISNA(VLOOKUP(B79,'Regioturnier 3'!$F$3:$G$34,2,FALSE))=TRUE,0,VLOOKUP(B79,'Regioturnier 3'!$F$3:$G$34,2,FALSE)),IF(ISNA(VLOOKUP(B79,'Regioturnier 3'!$J$3:$K$34,2,FALSE))=TRUE,0,VLOOKUP(B79,'Regioturnier 3'!$J$3:$K$34,2,FALSE)),IF(ISNA(VLOOKUP(B79,'Regioturnier 3'!$N$3:$O$34,2,FALSE))=TRUE,0,VLOOKUP(B79,'Regioturnier 3'!$N$3:$O$34,2,FALSE)),IF(ISNA(VLOOKUP(B79,'Regioturnier 3'!$R$3:$S$34,2,FALSE))=TRUE,0,VLOOKUP(B79,'Regioturnier 3'!$R$3:$S$34,2,FALSE)), IF(ISNA(VLOOKUP(B79,'Regioturnier 3'!$V$3:$W$34,2,FALSE))=TRUE,0,VLOOKUP(B79,'Regioturnier 3'!$V$3:$W$34,2,FALSE)), IF(ISNA(VLOOKUP(B79,'Regioturnier 3'!$Z$3:$AA$34,2,FALSE))=TRUE,0,VLOOKUP(B79,'Regioturnier 3'!$Z$3:$AA$34,2,FALSE)))</f>
        <v>0</v>
      </c>
      <c r="R79" s="20">
        <f>0.5*INDEX($H79:$N79,MATCH(LARGE($H79:$N79,1),$H79:$N79,0))+0.3*INDEX($H79:$N79,MATCH(LARGE($H79:$N79,2),$H79:$N79,0))+0.2*INDEX($H79:$N79,MATCH(LARGE($H79:$N79,3),$H79:$N79,0))</f>
        <v>111.3</v>
      </c>
      <c r="S79" s="20">
        <f>0.6*INDEX(O79:Q79,MATCH(LARGE(O79:Q79,1),O79:Q79,0))+0.4*INDEX(O79:Q79,MATCH(LARGE(O79:Q79,2),O79:Q79,0))+0*INDEX(O79:Q79,MATCH(LARGE(O79:Q79,3),O79:Q79,0))</f>
        <v>0</v>
      </c>
      <c r="T79" s="15">
        <f>1*INDEX(R79:S79,MATCH(LARGE(R79:S79,1),R79:S79,0))+0*INDEX(R79:S79,MATCH(LARGE(R79:S79,2),R79:S79,0))</f>
        <v>111.3</v>
      </c>
      <c r="U79" s="21"/>
      <c r="V79" s="21"/>
      <c r="W79" s="21"/>
      <c r="X79" s="21"/>
      <c r="Y79" s="21"/>
      <c r="Z79" s="21"/>
    </row>
    <row r="80" spans="1:26" ht="12.75" customHeight="1" x14ac:dyDescent="0.3">
      <c r="A80" s="15">
        <v>79</v>
      </c>
      <c r="B80" s="16" t="s">
        <v>75</v>
      </c>
      <c r="C80" s="17" t="s">
        <v>25</v>
      </c>
      <c r="D80" s="15" t="s">
        <v>26</v>
      </c>
      <c r="E80" s="18" t="s">
        <v>23</v>
      </c>
      <c r="F80" s="15">
        <v>110908</v>
      </c>
      <c r="G80" s="22">
        <v>2014</v>
      </c>
      <c r="H80" s="15">
        <f>MAX(IF(ISNA(VLOOKUP(B80,'WBV 1'!$B$3:$C$34,2,FALSE))=TRUE,0,VLOOKUP(B80,'WBV 1'!$B$3:$C$34,2,FALSE)),IF(ISNA(VLOOKUP(B80,'WBV 1'!$F$3:$G$34,2,FALSE))=TRUE,0,VLOOKUP(B80,'WBV 1'!$F$3:$G$34,2,FALSE)),IF(ISNA(VLOOKUP(B80,'WBV 1'!$J$3:$K$34,2,FALSE))=TRUE,0,VLOOKUP(B80,'WBV 1'!$J$3:$K$34,2,FALSE)),IF(ISNA(VLOOKUP(B80,'WBV 1'!$N$3:$O$34,2,FALSE))=TRUE,0,VLOOKUP(B80,'WBV 1'!$N$3:$O$34,2,FALSE)))</f>
        <v>0</v>
      </c>
      <c r="I80" s="15">
        <f>MAX(IF(ISNA(VLOOKUP(B80,'WBV 2'!$B$3:$C$34,2,FALSE))=TRUE,0,VLOOKUP(B80,'WBV 2'!$B$3:$C$34,2,FALSE)),IF(ISNA(VLOOKUP(B80,'WBV 2'!$F$3:$G$34,2,FALSE))=TRUE,0,VLOOKUP(B80,'WBV 2'!$F$3:$G$34,2,FALSE)),IF(ISNA(VLOOKUP(B80,'WBV 2'!$J$3:$K$34,2,FALSE))=TRUE,0,VLOOKUP(B80,'WBV 2'!$J$3:$K$34,2,FALSE)),IF(ISNA(VLOOKUP(B80,'WBV 2'!$N$3:$O$34,2,FALSE))=TRUE,0,VLOOKUP(B80,'WBV 2'!$N$3:$O$34,2,FALSE)))</f>
        <v>169</v>
      </c>
      <c r="J80" s="15">
        <f>MAX(IF(ISNA(VLOOKUP(B80,'WBV 3'!$B$3:$C$34,2,FALSE))=TRUE,0,VLOOKUP(B80,'WBV 3'!$B$3:$C$34,2,FALSE)),IF(ISNA(VLOOKUP(B80,'WBV 3'!$F$3:$G$34,2,FALSE))=TRUE,0,VLOOKUP(B80,'WBV 3'!$F$3:$G$34,2,FALSE)),IF(ISNA(VLOOKUP(B80,'WBV 3'!$J$3:$K$34,2,FALSE))=TRUE,0,VLOOKUP(B80,'WBV 3'!$J$3:$K$34,2,FALSE)),IF(ISNA(VLOOKUP(B80,'WBV 3'!$N$3:$O$34,2,FALSE))=TRUE,0,VLOOKUP(B80,'WBV 3'!$N$3:$O$34,2,FALSE)))</f>
        <v>0</v>
      </c>
      <c r="K80" s="15">
        <f>MAX(IF(ISNA(VLOOKUP(B80,'WBV 4'!$B$3:$C$34,2,FALSE))=TRUE,0,VLOOKUP(B80,'WBV 4'!$B$3:$C$34,2,FALSE)),IF(ISNA(VLOOKUP(B80,'WBV 4'!$F$3:$G$34,2,FALSE))=TRUE,0,VLOOKUP(B80,'WBV 4'!$F$3:$G$34,2,FALSE)),IF(ISNA(VLOOKUP(B80,'WBV 4'!$J$3:$K$34,2,FALSE))=TRUE,0,VLOOKUP(B80,'WBV 4'!$J$3:$K$34,2,FALSE)),IF(ISNA(VLOOKUP(B80,'WBV 4'!$N$3:$O$34,2,FALSE))=TRUE,0,VLOOKUP(B80,'WBV 4'!$N$3:$O$34,2,FALSE)))</f>
        <v>0</v>
      </c>
      <c r="L80" s="19">
        <f>MAX(IF(ISNA(VLOOKUP(B80,'NÖBV 1'!$B$3:$C$34,2,FALSE))=TRUE,0,VLOOKUP(B80,'NÖBV 1'!$B$3:$C$34,2,FALSE)),IF(ISNA(VLOOKUP(B80,'NÖBV 1'!$F$3:$G$34,2,FALSE))=TRUE,0,VLOOKUP(B80,'NÖBV 1'!$F$3:$G$34,2,FALSE)),IF(ISNA(VLOOKUP(B80,'NÖBV 1'!$J$3:$K$34,2,FALSE))=TRUE,0,VLOOKUP(B80,'NÖBV 1'!$J$3:$K$34,2,FALSE)),IF(ISNA(VLOOKUP(B80,'NÖBV 1'!$N$3:$O$34,2,FALSE))=TRUE,0,VLOOKUP(B80,'NÖBV 1'!$N$3:$O$34,2,FALSE)))</f>
        <v>0</v>
      </c>
      <c r="M80" s="19">
        <f>MAX(IF(ISNA(VLOOKUP(B80,'NÖBV 2'!$B$3:$C$34,2,FALSE))=TRUE,0,VLOOKUP(B80,'NÖBV 2'!$B$3:$C$34,2,FALSE)),IF(ISNA(VLOOKUP(B80,'NÖBV 2'!$F$3:$G$34,2,FALSE))=TRUE,0,VLOOKUP(B80,'NÖBV 2'!$F$3:$G$34,2,FALSE)),IF(ISNA(VLOOKUP(B80,'NÖBV 2'!$J$3:$K$34,2,FALSE))=TRUE,0,VLOOKUP(B80,'NÖBV 2'!$J$3:$K$34,2,FALSE)),IF(ISNA(VLOOKUP(B80,'NÖBV 2'!$N$3:$O$34,2,FALSE))=TRUE,0,VLOOKUP(B80,'NÖBV 2'!$N$3:$O$34,2,FALSE)))</f>
        <v>0</v>
      </c>
      <c r="N80" s="19">
        <f>MAX(IF(ISNA(VLOOKUP(B80,'NÖBV 3'!$B$3:$C$34,2,FALSE))=TRUE,0,VLOOKUP(B80,'NÖBV 3'!$B$3:$C$34,2,FALSE)),IF(ISNA(VLOOKUP(B80,'NÖBV 3'!$F$3:$G$34,2,FALSE))=TRUE,0,VLOOKUP(B80,'NÖBV 3'!$F$3:$G$34,2,FALSE)),IF(ISNA(VLOOKUP(B80,'NÖBV 3'!$J$3:$K$34,2,FALSE))=TRUE,0,VLOOKUP(B80,'NÖBV 3'!$J$3:$K$34,2,FALSE)),IF(ISNA(VLOOKUP(B80,'NÖBV 3'!$N$3:$O$34,2,FALSE))=TRUE,0,VLOOKUP(B80,'NÖBV 3'!$N$3:$O$34,2,FALSE)))</f>
        <v>0</v>
      </c>
      <c r="O80" s="15">
        <f>MAX(IF(ISNA(VLOOKUP(B80,'Regioturnier 1'!$B$3:$C$34,2,FALSE))=TRUE,0,VLOOKUP(B80,'Regioturnier 1'!$B$3:$C$34,2,FALSE)),IF(ISNA(VLOOKUP(B80,'Regioturnier 1'!$F$3:$G$34,2,FALSE))=TRUE,0,VLOOKUP(B80,'Regioturnier 1'!$F$3:$G$34,2,FALSE)),IF(ISNA(VLOOKUP(B80,'Regioturnier 1'!$J$3:$K$34,2,FALSE))=TRUE,0,VLOOKUP(B80,'Regioturnier 1'!$J$3:$K$34,2,FALSE)),IF(ISNA(VLOOKUP(B80,'Regioturnier 1'!$N$3:$O$34,2,FALSE))=TRUE,0,VLOOKUP(B80,'Regioturnier 1'!$N$3:$O$34,2,FALSE)),IF(ISNA(VLOOKUP(B80,'Regioturnier 1'!$R$3:$S$34,2,FALSE))=TRUE,0,VLOOKUP(B80,'Regioturnier 1'!$R$3:$S$34,2,FALSE)), IF(ISNA(VLOOKUP(B80,'Regioturnier 1'!$V$3:$W$34,2,FALSE))=TRUE,0,VLOOKUP(B80,'Regioturnier 1'!$V$3:$W$34,2,FALSE)), IF(ISNA(VLOOKUP(B80,'Regioturnier 1'!$Z$3:$AA$34,2,FALSE))=TRUE,0,VLOOKUP(B80,'Regioturnier 1'!$Z$3:$AA$34,2,FALSE)))</f>
        <v>185</v>
      </c>
      <c r="P80" s="15">
        <f>MAX(IF(ISNA(VLOOKUP(B80,'Regioturnier 2'!$B$3:$C$34,2,FALSE))=TRUE,0,VLOOKUP(B80,'Regioturnier 2'!$B$3:$C$34,2,FALSE)),IF(ISNA(VLOOKUP(B80,'Regioturnier 2'!$F$3:$G$34,2,FALSE))=TRUE,0,VLOOKUP(B80,'Regioturnier 2'!$F$3:$G$34,2,FALSE)),IF(ISNA(VLOOKUP(B80,'Regioturnier 2'!$J$3:$K$34,2,FALSE))=TRUE,0,VLOOKUP(B80,'Regioturnier 2'!$J$3:$K$34,2,FALSE)),IF(ISNA(VLOOKUP(B80,'Regioturnier 2'!$N$3:$O$34,2,FALSE))=TRUE,0,VLOOKUP(B80,'Regioturnier 2'!$N$3:$O$34,2,FALSE)),IF(ISNA(VLOOKUP(B80,'Regioturnier 2'!$R$3:$S$34,2,FALSE))=TRUE,0,VLOOKUP(B80,'Regioturnier 2'!$R$3:$S$34,2,FALSE)), IF(ISNA(VLOOKUP(B80,'Regioturnier 2'!$V$3:$W$34,2,FALSE))=TRUE,0,VLOOKUP(B80,'Regioturnier 2'!$V$3:$W$34,2,FALSE)), IF(ISNA(VLOOKUP(B80,'Regioturnier 2'!$Z$3:$AA$34,2,FALSE))=TRUE,0,VLOOKUP(B80,'Regioturnier 2'!$Z$3:$AA$34,2,FALSE)))</f>
        <v>0</v>
      </c>
      <c r="Q80" s="15">
        <f>MAX(IF(ISNA(VLOOKUP(B80,'Regioturnier 3'!$B$3:$C$34,2,FALSE))=TRUE,0,VLOOKUP(B80,'Regioturnier 3'!$B$3:$C$34,2,FALSE)),IF(ISNA(VLOOKUP(B80,'Regioturnier 3'!$F$3:$G$34,2,FALSE))=TRUE,0,VLOOKUP(B80,'Regioturnier 3'!$F$3:$G$34,2,FALSE)),IF(ISNA(VLOOKUP(B80,'Regioturnier 3'!$J$3:$K$34,2,FALSE))=TRUE,0,VLOOKUP(B80,'Regioturnier 3'!$J$3:$K$34,2,FALSE)),IF(ISNA(VLOOKUP(B80,'Regioturnier 3'!$N$3:$O$34,2,FALSE))=TRUE,0,VLOOKUP(B80,'Regioturnier 3'!$N$3:$O$34,2,FALSE)),IF(ISNA(VLOOKUP(B80,'Regioturnier 3'!$R$3:$S$34,2,FALSE))=TRUE,0,VLOOKUP(B80,'Regioturnier 3'!$R$3:$S$34,2,FALSE)), IF(ISNA(VLOOKUP(B80,'Regioturnier 3'!$V$3:$W$34,2,FALSE))=TRUE,0,VLOOKUP(B80,'Regioturnier 3'!$V$3:$W$34,2,FALSE)), IF(ISNA(VLOOKUP(B80,'Regioturnier 3'!$Z$3:$AA$34,2,FALSE))=TRUE,0,VLOOKUP(B80,'Regioturnier 3'!$Z$3:$AA$34,2,FALSE)))</f>
        <v>0</v>
      </c>
      <c r="R80" s="20">
        <f>0.5*INDEX($H80:$N80,MATCH(LARGE($H80:$N80,1),$H80:$N80,0))+0.3*INDEX($H80:$N80,MATCH(LARGE($H80:$N80,2),$H80:$N80,0))+0.2*INDEX($H80:$N80,MATCH(LARGE($H80:$N80,3),$H80:$N80,0))</f>
        <v>84.5</v>
      </c>
      <c r="S80" s="20">
        <f>0.6*INDEX(O80:Q80,MATCH(LARGE(O80:Q80,1),O80:Q80,0))+0.4*INDEX(O80:Q80,MATCH(LARGE(O80:Q80,2),O80:Q80,0))+0*INDEX(O80:Q80,MATCH(LARGE(O80:Q80,3),O80:Q80,0))</f>
        <v>111</v>
      </c>
      <c r="T80" s="15">
        <f>1*INDEX(R80:S80,MATCH(LARGE(R80:S80,1),R80:S80,0))+0*INDEX(R80:S80,MATCH(LARGE(R80:S80,2),R80:S80,0))</f>
        <v>111</v>
      </c>
      <c r="U80" s="21"/>
      <c r="V80" s="21"/>
      <c r="W80" s="21"/>
      <c r="X80" s="21"/>
      <c r="Y80" s="21"/>
      <c r="Z80" s="21"/>
    </row>
    <row r="81" spans="1:26" ht="12.75" customHeight="1" x14ac:dyDescent="0.3">
      <c r="A81" s="15">
        <v>80</v>
      </c>
      <c r="B81" s="16" t="s">
        <v>309</v>
      </c>
      <c r="C81" s="17" t="s">
        <v>46</v>
      </c>
      <c r="D81" s="15" t="s">
        <v>26</v>
      </c>
      <c r="E81" s="18" t="s">
        <v>40</v>
      </c>
      <c r="F81" s="15" t="s">
        <v>310</v>
      </c>
      <c r="G81" s="22">
        <v>2019</v>
      </c>
      <c r="H81" s="15">
        <f>MAX(IF(ISNA(VLOOKUP(B81,'WBV 1'!$B$3:$C$34,2,FALSE))=TRUE,0,VLOOKUP(B81,'WBV 1'!$B$3:$C$34,2,FALSE)),IF(ISNA(VLOOKUP(B81,'WBV 1'!$F$3:$G$34,2,FALSE))=TRUE,0,VLOOKUP(B81,'WBV 1'!$F$3:$G$34,2,FALSE)),IF(ISNA(VLOOKUP(B81,'WBV 1'!$J$3:$K$34,2,FALSE))=TRUE,0,VLOOKUP(B81,'WBV 1'!$J$3:$K$34,2,FALSE)),IF(ISNA(VLOOKUP(B81,'WBV 1'!$N$3:$O$34,2,FALSE))=TRUE,0,VLOOKUP(B81,'WBV 1'!$N$3:$O$34,2,FALSE)))</f>
        <v>151</v>
      </c>
      <c r="I81" s="15">
        <f>MAX(IF(ISNA(VLOOKUP(B81,'WBV 2'!$B$3:$C$34,2,FALSE))=TRUE,0,VLOOKUP(B81,'WBV 2'!$B$3:$C$34,2,FALSE)),IF(ISNA(VLOOKUP(B81,'WBV 2'!$F$3:$G$34,2,FALSE))=TRUE,0,VLOOKUP(B81,'WBV 2'!$F$3:$G$34,2,FALSE)),IF(ISNA(VLOOKUP(B81,'WBV 2'!$J$3:$K$34,2,FALSE))=TRUE,0,VLOOKUP(B81,'WBV 2'!$J$3:$K$34,2,FALSE)),IF(ISNA(VLOOKUP(B81,'WBV 2'!$N$3:$O$34,2,FALSE))=TRUE,0,VLOOKUP(B81,'WBV 2'!$N$3:$O$34,2,FALSE)))</f>
        <v>115</v>
      </c>
      <c r="J81" s="15">
        <f>MAX(IF(ISNA(VLOOKUP(B81,'WBV 3'!$B$3:$C$34,2,FALSE))=TRUE,0,VLOOKUP(B81,'WBV 3'!$B$3:$C$34,2,FALSE)),IF(ISNA(VLOOKUP(B81,'WBV 3'!$F$3:$G$34,2,FALSE))=TRUE,0,VLOOKUP(B81,'WBV 3'!$F$3:$G$34,2,FALSE)),IF(ISNA(VLOOKUP(B81,'WBV 3'!$J$3:$K$34,2,FALSE))=TRUE,0,VLOOKUP(B81,'WBV 3'!$J$3:$K$34,2,FALSE)),IF(ISNA(VLOOKUP(B81,'WBV 3'!$N$3:$O$34,2,FALSE))=TRUE,0,VLOOKUP(B81,'WBV 3'!$N$3:$O$34,2,FALSE)))</f>
        <v>0</v>
      </c>
      <c r="K81" s="15">
        <f>MAX(IF(ISNA(VLOOKUP(B81,'WBV 4'!$B$3:$C$34,2,FALSE))=TRUE,0,VLOOKUP(B81,'WBV 4'!$B$3:$C$34,2,FALSE)),IF(ISNA(VLOOKUP(B81,'WBV 4'!$F$3:$G$34,2,FALSE))=TRUE,0,VLOOKUP(B81,'WBV 4'!$F$3:$G$34,2,FALSE)),IF(ISNA(VLOOKUP(B81,'WBV 4'!$J$3:$K$34,2,FALSE))=TRUE,0,VLOOKUP(B81,'WBV 4'!$J$3:$K$34,2,FALSE)),IF(ISNA(VLOOKUP(B81,'WBV 4'!$N$3:$O$34,2,FALSE))=TRUE,0,VLOOKUP(B81,'WBV 4'!$N$3:$O$34,2,FALSE)))</f>
        <v>0</v>
      </c>
      <c r="L81" s="19">
        <f>MAX(IF(ISNA(VLOOKUP(B81,'NÖBV 1'!$B$3:$C$34,2,FALSE))=TRUE,0,VLOOKUP(B81,'NÖBV 1'!$B$3:$C$34,2,FALSE)),IF(ISNA(VLOOKUP(B81,'NÖBV 1'!$F$3:$G$34,2,FALSE))=TRUE,0,VLOOKUP(B81,'NÖBV 1'!$F$3:$G$34,2,FALSE)),IF(ISNA(VLOOKUP(B81,'NÖBV 1'!$J$3:$K$34,2,FALSE))=TRUE,0,VLOOKUP(B81,'NÖBV 1'!$J$3:$K$34,2,FALSE)),IF(ISNA(VLOOKUP(B81,'NÖBV 1'!$N$3:$O$34,2,FALSE))=TRUE,0,VLOOKUP(B81,'NÖBV 1'!$N$3:$O$34,2,FALSE)))</f>
        <v>0</v>
      </c>
      <c r="M81" s="19">
        <f>MAX(IF(ISNA(VLOOKUP(B81,'NÖBV 2'!$B$3:$C$34,2,FALSE))=TRUE,0,VLOOKUP(B81,'NÖBV 2'!$B$3:$C$34,2,FALSE)),IF(ISNA(VLOOKUP(B81,'NÖBV 2'!$F$3:$G$34,2,FALSE))=TRUE,0,VLOOKUP(B81,'NÖBV 2'!$F$3:$G$34,2,FALSE)),IF(ISNA(VLOOKUP(B81,'NÖBV 2'!$J$3:$K$34,2,FALSE))=TRUE,0,VLOOKUP(B81,'NÖBV 2'!$J$3:$K$34,2,FALSE)),IF(ISNA(VLOOKUP(B81,'NÖBV 2'!$N$3:$O$34,2,FALSE))=TRUE,0,VLOOKUP(B81,'NÖBV 2'!$N$3:$O$34,2,FALSE)))</f>
        <v>0</v>
      </c>
      <c r="N81" s="19">
        <f>MAX(IF(ISNA(VLOOKUP(B81,'NÖBV 3'!$B$3:$C$34,2,FALSE))=TRUE,0,VLOOKUP(B81,'NÖBV 3'!$B$3:$C$34,2,FALSE)),IF(ISNA(VLOOKUP(B81,'NÖBV 3'!$F$3:$G$34,2,FALSE))=TRUE,0,VLOOKUP(B81,'NÖBV 3'!$F$3:$G$34,2,FALSE)),IF(ISNA(VLOOKUP(B81,'NÖBV 3'!$J$3:$K$34,2,FALSE))=TRUE,0,VLOOKUP(B81,'NÖBV 3'!$J$3:$K$34,2,FALSE)),IF(ISNA(VLOOKUP(B81,'NÖBV 3'!$N$3:$O$34,2,FALSE))=TRUE,0,VLOOKUP(B81,'NÖBV 3'!$N$3:$O$34,2,FALSE)))</f>
        <v>0</v>
      </c>
      <c r="O81" s="15">
        <f>MAX(IF(ISNA(VLOOKUP(B81,'Regioturnier 1'!$B$3:$C$34,2,FALSE))=TRUE,0,VLOOKUP(B81,'Regioturnier 1'!$B$3:$C$34,2,FALSE)),IF(ISNA(VLOOKUP(B81,'Regioturnier 1'!$F$3:$G$34,2,FALSE))=TRUE,0,VLOOKUP(B81,'Regioturnier 1'!$F$3:$G$34,2,FALSE)),IF(ISNA(VLOOKUP(B81,'Regioturnier 1'!$J$3:$K$34,2,FALSE))=TRUE,0,VLOOKUP(B81,'Regioturnier 1'!$J$3:$K$34,2,FALSE)),IF(ISNA(VLOOKUP(B81,'Regioturnier 1'!$N$3:$O$34,2,FALSE))=TRUE,0,VLOOKUP(B81,'Regioturnier 1'!$N$3:$O$34,2,FALSE)),IF(ISNA(VLOOKUP(B81,'Regioturnier 1'!$R$3:$S$34,2,FALSE))=TRUE,0,VLOOKUP(B81,'Regioturnier 1'!$R$3:$S$34,2,FALSE)), IF(ISNA(VLOOKUP(B81,'Regioturnier 1'!$V$3:$W$34,2,FALSE))=TRUE,0,VLOOKUP(B81,'Regioturnier 1'!$V$3:$W$34,2,FALSE)), IF(ISNA(VLOOKUP(B81,'Regioturnier 1'!$Z$3:$AA$34,2,FALSE))=TRUE,0,VLOOKUP(B81,'Regioturnier 1'!$Z$3:$AA$34,2,FALSE)))</f>
        <v>164</v>
      </c>
      <c r="P81" s="15">
        <f>MAX(IF(ISNA(VLOOKUP(B81,'Regioturnier 2'!$B$3:$C$34,2,FALSE))=TRUE,0,VLOOKUP(B81,'Regioturnier 2'!$B$3:$C$34,2,FALSE)),IF(ISNA(VLOOKUP(B81,'Regioturnier 2'!$F$3:$G$34,2,FALSE))=TRUE,0,VLOOKUP(B81,'Regioturnier 2'!$F$3:$G$34,2,FALSE)),IF(ISNA(VLOOKUP(B81,'Regioturnier 2'!$J$3:$K$34,2,FALSE))=TRUE,0,VLOOKUP(B81,'Regioturnier 2'!$J$3:$K$34,2,FALSE)),IF(ISNA(VLOOKUP(B81,'Regioturnier 2'!$N$3:$O$34,2,FALSE))=TRUE,0,VLOOKUP(B81,'Regioturnier 2'!$N$3:$O$34,2,FALSE)),IF(ISNA(VLOOKUP(B81,'Regioturnier 2'!$R$3:$S$34,2,FALSE))=TRUE,0,VLOOKUP(B81,'Regioturnier 2'!$R$3:$S$34,2,FALSE)), IF(ISNA(VLOOKUP(B81,'Regioturnier 2'!$V$3:$W$34,2,FALSE))=TRUE,0,VLOOKUP(B81,'Regioturnier 2'!$V$3:$W$34,2,FALSE)), IF(ISNA(VLOOKUP(B81,'Regioturnier 2'!$Z$3:$AA$34,2,FALSE))=TRUE,0,VLOOKUP(B81,'Regioturnier 2'!$Z$3:$AA$34,2,FALSE)))</f>
        <v>0</v>
      </c>
      <c r="Q81" s="15">
        <f>MAX(IF(ISNA(VLOOKUP(B81,'Regioturnier 3'!$B$3:$C$34,2,FALSE))=TRUE,0,VLOOKUP(B81,'Regioturnier 3'!$B$3:$C$34,2,FALSE)),IF(ISNA(VLOOKUP(B81,'Regioturnier 3'!$F$3:$G$34,2,FALSE))=TRUE,0,VLOOKUP(B81,'Regioturnier 3'!$F$3:$G$34,2,FALSE)),IF(ISNA(VLOOKUP(B81,'Regioturnier 3'!$J$3:$K$34,2,FALSE))=TRUE,0,VLOOKUP(B81,'Regioturnier 3'!$J$3:$K$34,2,FALSE)),IF(ISNA(VLOOKUP(B81,'Regioturnier 3'!$N$3:$O$34,2,FALSE))=TRUE,0,VLOOKUP(B81,'Regioturnier 3'!$N$3:$O$34,2,FALSE)),IF(ISNA(VLOOKUP(B81,'Regioturnier 3'!$R$3:$S$34,2,FALSE))=TRUE,0,VLOOKUP(B81,'Regioturnier 3'!$R$3:$S$34,2,FALSE)), IF(ISNA(VLOOKUP(B81,'Regioturnier 3'!$V$3:$W$34,2,FALSE))=TRUE,0,VLOOKUP(B81,'Regioturnier 3'!$V$3:$W$34,2,FALSE)), IF(ISNA(VLOOKUP(B81,'Regioturnier 3'!$Z$3:$AA$34,2,FALSE))=TRUE,0,VLOOKUP(B81,'Regioturnier 3'!$Z$3:$AA$34,2,FALSE)))</f>
        <v>0</v>
      </c>
      <c r="R81" s="20">
        <f>0.5*INDEX($H81:$N81,MATCH(LARGE($H81:$N81,1),$H81:$N81,0))+0.3*INDEX($H81:$N81,MATCH(LARGE($H81:$N81,2),$H81:$N81,0))+0.2*INDEX($H81:$N81,MATCH(LARGE($H81:$N81,3),$H81:$N81,0))</f>
        <v>110</v>
      </c>
      <c r="S81" s="20">
        <f>0.6*INDEX(O81:Q81,MATCH(LARGE(O81:Q81,1),O81:Q81,0))+0.4*INDEX(O81:Q81,MATCH(LARGE(O81:Q81,2),O81:Q81,0))+0*INDEX(O81:Q81,MATCH(LARGE(O81:Q81,3),O81:Q81,0))</f>
        <v>98.399999999999991</v>
      </c>
      <c r="T81" s="15">
        <f>1*INDEX(R81:S81,MATCH(LARGE(R81:S81,1),R81:S81,0))+0*INDEX(R81:S81,MATCH(LARGE(R81:S81,2),R81:S81,0))</f>
        <v>110</v>
      </c>
      <c r="U81" s="21"/>
      <c r="V81" s="21"/>
      <c r="W81" s="21"/>
      <c r="X81" s="21"/>
      <c r="Y81" s="21"/>
      <c r="Z81" s="21"/>
    </row>
    <row r="82" spans="1:26" ht="12.75" customHeight="1" x14ac:dyDescent="0.3">
      <c r="A82" s="15">
        <v>81</v>
      </c>
      <c r="B82" s="16" t="s">
        <v>128</v>
      </c>
      <c r="C82" s="17" t="s">
        <v>21</v>
      </c>
      <c r="D82" s="15" t="s">
        <v>22</v>
      </c>
      <c r="E82" s="18" t="s">
        <v>23</v>
      </c>
      <c r="F82" s="15">
        <v>208653</v>
      </c>
      <c r="G82" s="22">
        <v>2012</v>
      </c>
      <c r="H82" s="15">
        <f>MAX(IF(ISNA(VLOOKUP(B82,'WBV 1'!$B$3:$C$34,2,FALSE))=TRUE,0,VLOOKUP(B82,'WBV 1'!$B$3:$C$34,2,FALSE)),IF(ISNA(VLOOKUP(B82,'WBV 1'!$F$3:$G$34,2,FALSE))=TRUE,0,VLOOKUP(B82,'WBV 1'!$F$3:$G$34,2,FALSE)),IF(ISNA(VLOOKUP(B82,'WBV 1'!$J$3:$K$34,2,FALSE))=TRUE,0,VLOOKUP(B82,'WBV 1'!$J$3:$K$34,2,FALSE)),IF(ISNA(VLOOKUP(B82,'WBV 1'!$N$3:$O$34,2,FALSE))=TRUE,0,VLOOKUP(B82,'WBV 1'!$N$3:$O$34,2,FALSE)))</f>
        <v>0</v>
      </c>
      <c r="I82" s="15">
        <f>MAX(IF(ISNA(VLOOKUP(B82,'WBV 2'!$B$3:$C$34,2,FALSE))=TRUE,0,VLOOKUP(B82,'WBV 2'!$B$3:$C$34,2,FALSE)),IF(ISNA(VLOOKUP(B82,'WBV 2'!$F$3:$G$34,2,FALSE))=TRUE,0,VLOOKUP(B82,'WBV 2'!$F$3:$G$34,2,FALSE)),IF(ISNA(VLOOKUP(B82,'WBV 2'!$J$3:$K$34,2,FALSE))=TRUE,0,VLOOKUP(B82,'WBV 2'!$J$3:$K$34,2,FALSE)),IF(ISNA(VLOOKUP(B82,'WBV 2'!$N$3:$O$34,2,FALSE))=TRUE,0,VLOOKUP(B82,'WBV 2'!$N$3:$O$34,2,FALSE)))</f>
        <v>0</v>
      </c>
      <c r="J82" s="15">
        <f>MAX(IF(ISNA(VLOOKUP(B82,'WBV 3'!$B$3:$C$34,2,FALSE))=TRUE,0,VLOOKUP(B82,'WBV 3'!$B$3:$C$34,2,FALSE)),IF(ISNA(VLOOKUP(B82,'WBV 3'!$F$3:$G$34,2,FALSE))=TRUE,0,VLOOKUP(B82,'WBV 3'!$F$3:$G$34,2,FALSE)),IF(ISNA(VLOOKUP(B82,'WBV 3'!$J$3:$K$34,2,FALSE))=TRUE,0,VLOOKUP(B82,'WBV 3'!$J$3:$K$34,2,FALSE)),IF(ISNA(VLOOKUP(B82,'WBV 3'!$N$3:$O$34,2,FALSE))=TRUE,0,VLOOKUP(B82,'WBV 3'!$N$3:$O$34,2,FALSE)))</f>
        <v>0</v>
      </c>
      <c r="K82" s="15">
        <f>MAX(IF(ISNA(VLOOKUP(B82,'WBV 4'!$B$3:$C$34,2,FALSE))=TRUE,0,VLOOKUP(B82,'WBV 4'!$B$3:$C$34,2,FALSE)),IF(ISNA(VLOOKUP(B82,'WBV 4'!$F$3:$G$34,2,FALSE))=TRUE,0,VLOOKUP(B82,'WBV 4'!$F$3:$G$34,2,FALSE)),IF(ISNA(VLOOKUP(B82,'WBV 4'!$J$3:$K$34,2,FALSE))=TRUE,0,VLOOKUP(B82,'WBV 4'!$J$3:$K$34,2,FALSE)),IF(ISNA(VLOOKUP(B82,'WBV 4'!$N$3:$O$34,2,FALSE))=TRUE,0,VLOOKUP(B82,'WBV 4'!$N$3:$O$34,2,FALSE)))</f>
        <v>0</v>
      </c>
      <c r="L82" s="19">
        <f>MAX(IF(ISNA(VLOOKUP(B82,'NÖBV 1'!$B$3:$C$34,2,FALSE))=TRUE,0,VLOOKUP(B82,'NÖBV 1'!$B$3:$C$34,2,FALSE)),IF(ISNA(VLOOKUP(B82,'NÖBV 1'!$F$3:$G$34,2,FALSE))=TRUE,0,VLOOKUP(B82,'NÖBV 1'!$F$3:$G$34,2,FALSE)),IF(ISNA(VLOOKUP(B82,'NÖBV 1'!$J$3:$K$34,2,FALSE))=TRUE,0,VLOOKUP(B82,'NÖBV 1'!$J$3:$K$34,2,FALSE)),IF(ISNA(VLOOKUP(B82,'NÖBV 1'!$N$3:$O$34,2,FALSE))=TRUE,0,VLOOKUP(B82,'NÖBV 1'!$N$3:$O$34,2,FALSE)))</f>
        <v>181</v>
      </c>
      <c r="M82" s="19">
        <f>MAX(IF(ISNA(VLOOKUP(B82,'NÖBV 2'!$B$3:$C$34,2,FALSE))=TRUE,0,VLOOKUP(B82,'NÖBV 2'!$B$3:$C$34,2,FALSE)),IF(ISNA(VLOOKUP(B82,'NÖBV 2'!$F$3:$G$34,2,FALSE))=TRUE,0,VLOOKUP(B82,'NÖBV 2'!$F$3:$G$34,2,FALSE)),IF(ISNA(VLOOKUP(B82,'NÖBV 2'!$J$3:$K$34,2,FALSE))=TRUE,0,VLOOKUP(B82,'NÖBV 2'!$J$3:$K$34,2,FALSE)),IF(ISNA(VLOOKUP(B82,'NÖBV 2'!$N$3:$O$34,2,FALSE))=TRUE,0,VLOOKUP(B82,'NÖBV 2'!$N$3:$O$34,2,FALSE)))</f>
        <v>0</v>
      </c>
      <c r="N82" s="19">
        <f>MAX(IF(ISNA(VLOOKUP(B82,'NÖBV 3'!$B$3:$C$34,2,FALSE))=TRUE,0,VLOOKUP(B82,'NÖBV 3'!$B$3:$C$34,2,FALSE)),IF(ISNA(VLOOKUP(B82,'NÖBV 3'!$F$3:$G$34,2,FALSE))=TRUE,0,VLOOKUP(B82,'NÖBV 3'!$F$3:$G$34,2,FALSE)),IF(ISNA(VLOOKUP(B82,'NÖBV 3'!$J$3:$K$34,2,FALSE))=TRUE,0,VLOOKUP(B82,'NÖBV 3'!$J$3:$K$34,2,FALSE)),IF(ISNA(VLOOKUP(B82,'NÖBV 3'!$N$3:$O$34,2,FALSE))=TRUE,0,VLOOKUP(B82,'NÖBV 3'!$N$3:$O$34,2,FALSE)))</f>
        <v>0</v>
      </c>
      <c r="O82" s="15">
        <f>MAX(IF(ISNA(VLOOKUP(B82,'Regioturnier 1'!$B$3:$C$34,2,FALSE))=TRUE,0,VLOOKUP(B82,'Regioturnier 1'!$B$3:$C$34,2,FALSE)),IF(ISNA(VLOOKUP(B82,'Regioturnier 1'!$F$3:$G$34,2,FALSE))=TRUE,0,VLOOKUP(B82,'Regioturnier 1'!$F$3:$G$34,2,FALSE)),IF(ISNA(VLOOKUP(B82,'Regioturnier 1'!$J$3:$K$34,2,FALSE))=TRUE,0,VLOOKUP(B82,'Regioturnier 1'!$J$3:$K$34,2,FALSE)),IF(ISNA(VLOOKUP(B82,'Regioturnier 1'!$N$3:$O$34,2,FALSE))=TRUE,0,VLOOKUP(B82,'Regioturnier 1'!$N$3:$O$34,2,FALSE)),IF(ISNA(VLOOKUP(B82,'Regioturnier 1'!$R$3:$S$34,2,FALSE))=TRUE,0,VLOOKUP(B82,'Regioturnier 1'!$R$3:$S$34,2,FALSE)), IF(ISNA(VLOOKUP(B82,'Regioturnier 1'!$V$3:$W$34,2,FALSE))=TRUE,0,VLOOKUP(B82,'Regioturnier 1'!$V$3:$W$34,2,FALSE)), IF(ISNA(VLOOKUP(B82,'Regioturnier 1'!$Z$3:$AA$34,2,FALSE))=TRUE,0,VLOOKUP(B82,'Regioturnier 1'!$Z$3:$AA$34,2,FALSE)))</f>
        <v>183</v>
      </c>
      <c r="P82" s="15">
        <f>MAX(IF(ISNA(VLOOKUP(B82,'Regioturnier 2'!$B$3:$C$34,2,FALSE))=TRUE,0,VLOOKUP(B82,'Regioturnier 2'!$B$3:$C$34,2,FALSE)),IF(ISNA(VLOOKUP(B82,'Regioturnier 2'!$F$3:$G$34,2,FALSE))=TRUE,0,VLOOKUP(B82,'Regioturnier 2'!$F$3:$G$34,2,FALSE)),IF(ISNA(VLOOKUP(B82,'Regioturnier 2'!$J$3:$K$34,2,FALSE))=TRUE,0,VLOOKUP(B82,'Regioturnier 2'!$J$3:$K$34,2,FALSE)),IF(ISNA(VLOOKUP(B82,'Regioturnier 2'!$N$3:$O$34,2,FALSE))=TRUE,0,VLOOKUP(B82,'Regioturnier 2'!$N$3:$O$34,2,FALSE)),IF(ISNA(VLOOKUP(B82,'Regioturnier 2'!$R$3:$S$34,2,FALSE))=TRUE,0,VLOOKUP(B82,'Regioturnier 2'!$R$3:$S$34,2,FALSE)), IF(ISNA(VLOOKUP(B82,'Regioturnier 2'!$V$3:$W$34,2,FALSE))=TRUE,0,VLOOKUP(B82,'Regioturnier 2'!$V$3:$W$34,2,FALSE)), IF(ISNA(VLOOKUP(B82,'Regioturnier 2'!$Z$3:$AA$34,2,FALSE))=TRUE,0,VLOOKUP(B82,'Regioturnier 2'!$Z$3:$AA$34,2,FALSE)))</f>
        <v>0</v>
      </c>
      <c r="Q82" s="15">
        <f>MAX(IF(ISNA(VLOOKUP(B82,'Regioturnier 3'!$B$3:$C$34,2,FALSE))=TRUE,0,VLOOKUP(B82,'Regioturnier 3'!$B$3:$C$34,2,FALSE)),IF(ISNA(VLOOKUP(B82,'Regioturnier 3'!$F$3:$G$34,2,FALSE))=TRUE,0,VLOOKUP(B82,'Regioturnier 3'!$F$3:$G$34,2,FALSE)),IF(ISNA(VLOOKUP(B82,'Regioturnier 3'!$J$3:$K$34,2,FALSE))=TRUE,0,VLOOKUP(B82,'Regioturnier 3'!$J$3:$K$34,2,FALSE)),IF(ISNA(VLOOKUP(B82,'Regioturnier 3'!$N$3:$O$34,2,FALSE))=TRUE,0,VLOOKUP(B82,'Regioturnier 3'!$N$3:$O$34,2,FALSE)),IF(ISNA(VLOOKUP(B82,'Regioturnier 3'!$R$3:$S$34,2,FALSE))=TRUE,0,VLOOKUP(B82,'Regioturnier 3'!$R$3:$S$34,2,FALSE)), IF(ISNA(VLOOKUP(B82,'Regioturnier 3'!$V$3:$W$34,2,FALSE))=TRUE,0,VLOOKUP(B82,'Regioturnier 3'!$V$3:$W$34,2,FALSE)), IF(ISNA(VLOOKUP(B82,'Regioturnier 3'!$Z$3:$AA$34,2,FALSE))=TRUE,0,VLOOKUP(B82,'Regioturnier 3'!$Z$3:$AA$34,2,FALSE)))</f>
        <v>0</v>
      </c>
      <c r="R82" s="20">
        <f>0.5*INDEX($H82:$N82,MATCH(LARGE($H82:$N82,1),$H82:$N82,0))+0.3*INDEX($H82:$N82,MATCH(LARGE($H82:$N82,2),$H82:$N82,0))+0.2*INDEX($H82:$N82,MATCH(LARGE($H82:$N82,3),$H82:$N82,0))</f>
        <v>90.5</v>
      </c>
      <c r="S82" s="20">
        <f>0.6*INDEX(O82:Q82,MATCH(LARGE(O82:Q82,1),O82:Q82,0))+0.4*INDEX(O82:Q82,MATCH(LARGE(O82:Q82,2),O82:Q82,0))+0*INDEX(O82:Q82,MATCH(LARGE(O82:Q82,3),O82:Q82,0))</f>
        <v>109.8</v>
      </c>
      <c r="T82" s="15">
        <f>1*INDEX(R82:S82,MATCH(LARGE(R82:S82,1),R82:S82,0))+0*INDEX(R82:S82,MATCH(LARGE(R82:S82,2),R82:S82,0))</f>
        <v>109.8</v>
      </c>
      <c r="U82" s="21"/>
      <c r="V82" s="21"/>
      <c r="W82" s="21"/>
      <c r="X82" s="21"/>
      <c r="Y82" s="21"/>
      <c r="Z82" s="21"/>
    </row>
    <row r="83" spans="1:26" ht="12.75" customHeight="1" x14ac:dyDescent="0.3">
      <c r="A83" s="15">
        <v>82</v>
      </c>
      <c r="B83" s="16" t="s">
        <v>529</v>
      </c>
      <c r="C83" s="17" t="s">
        <v>31</v>
      </c>
      <c r="D83" s="15" t="s">
        <v>26</v>
      </c>
      <c r="E83" s="18" t="s">
        <v>23</v>
      </c>
      <c r="F83" s="15">
        <v>112367</v>
      </c>
      <c r="G83" s="22">
        <v>2016</v>
      </c>
      <c r="H83" s="15">
        <f>MAX(IF(ISNA(VLOOKUP(B83,'WBV 1'!$B$3:$C$34,2,FALSE))=TRUE,0,VLOOKUP(B83,'WBV 1'!$B$3:$C$34,2,FALSE)),IF(ISNA(VLOOKUP(B83,'WBV 1'!$F$3:$G$34,2,FALSE))=TRUE,0,VLOOKUP(B83,'WBV 1'!$F$3:$G$34,2,FALSE)),IF(ISNA(VLOOKUP(B83,'WBV 1'!$J$3:$K$34,2,FALSE))=TRUE,0,VLOOKUP(B83,'WBV 1'!$J$3:$K$34,2,FALSE)),IF(ISNA(VLOOKUP(B83,'WBV 1'!$N$3:$O$34,2,FALSE))=TRUE,0,VLOOKUP(B83,'WBV 1'!$N$3:$O$34,2,FALSE)))</f>
        <v>0</v>
      </c>
      <c r="I83" s="15">
        <f>MAX(IF(ISNA(VLOOKUP(B83,'WBV 2'!$B$3:$C$34,2,FALSE))=TRUE,0,VLOOKUP(B83,'WBV 2'!$B$3:$C$34,2,FALSE)),IF(ISNA(VLOOKUP(B83,'WBV 2'!$F$3:$G$34,2,FALSE))=TRUE,0,VLOOKUP(B83,'WBV 2'!$F$3:$G$34,2,FALSE)),IF(ISNA(VLOOKUP(B83,'WBV 2'!$J$3:$K$34,2,FALSE))=TRUE,0,VLOOKUP(B83,'WBV 2'!$J$3:$K$34,2,FALSE)),IF(ISNA(VLOOKUP(B83,'WBV 2'!$N$3:$O$34,2,FALSE))=TRUE,0,VLOOKUP(B83,'WBV 2'!$N$3:$O$34,2,FALSE)))</f>
        <v>135</v>
      </c>
      <c r="J83" s="15">
        <f>MAX(IF(ISNA(VLOOKUP(B83,'WBV 3'!$B$3:$C$34,2,FALSE))=TRUE,0,VLOOKUP(B83,'WBV 3'!$B$3:$C$34,2,FALSE)),IF(ISNA(VLOOKUP(B83,'WBV 3'!$F$3:$G$34,2,FALSE))=TRUE,0,VLOOKUP(B83,'WBV 3'!$F$3:$G$34,2,FALSE)),IF(ISNA(VLOOKUP(B83,'WBV 3'!$J$3:$K$34,2,FALSE))=TRUE,0,VLOOKUP(B83,'WBV 3'!$J$3:$K$34,2,FALSE)),IF(ISNA(VLOOKUP(B83,'WBV 3'!$N$3:$O$34,2,FALSE))=TRUE,0,VLOOKUP(B83,'WBV 3'!$N$3:$O$34,2,FALSE)))</f>
        <v>135</v>
      </c>
      <c r="K83" s="15">
        <f>MAX(IF(ISNA(VLOOKUP(B83,'WBV 4'!$B$3:$C$34,2,FALSE))=TRUE,0,VLOOKUP(B83,'WBV 4'!$B$3:$C$34,2,FALSE)),IF(ISNA(VLOOKUP(B83,'WBV 4'!$F$3:$G$34,2,FALSE))=TRUE,0,VLOOKUP(B83,'WBV 4'!$F$3:$G$34,2,FALSE)),IF(ISNA(VLOOKUP(B83,'WBV 4'!$J$3:$K$34,2,FALSE))=TRUE,0,VLOOKUP(B83,'WBV 4'!$J$3:$K$34,2,FALSE)),IF(ISNA(VLOOKUP(B83,'WBV 4'!$N$3:$O$34,2,FALSE))=TRUE,0,VLOOKUP(B83,'WBV 4'!$N$3:$O$34,2,FALSE)))</f>
        <v>0</v>
      </c>
      <c r="L83" s="19">
        <f>MAX(IF(ISNA(VLOOKUP(B83,'NÖBV 1'!$B$3:$C$34,2,FALSE))=TRUE,0,VLOOKUP(B83,'NÖBV 1'!$B$3:$C$34,2,FALSE)),IF(ISNA(VLOOKUP(B83,'NÖBV 1'!$F$3:$G$34,2,FALSE))=TRUE,0,VLOOKUP(B83,'NÖBV 1'!$F$3:$G$34,2,FALSE)),IF(ISNA(VLOOKUP(B83,'NÖBV 1'!$J$3:$K$34,2,FALSE))=TRUE,0,VLOOKUP(B83,'NÖBV 1'!$J$3:$K$34,2,FALSE)),IF(ISNA(VLOOKUP(B83,'NÖBV 1'!$N$3:$O$34,2,FALSE))=TRUE,0,VLOOKUP(B83,'NÖBV 1'!$N$3:$O$34,2,FALSE)))</f>
        <v>0</v>
      </c>
      <c r="M83" s="19">
        <f>MAX(IF(ISNA(VLOOKUP(B83,'NÖBV 2'!$B$3:$C$34,2,FALSE))=TRUE,0,VLOOKUP(B83,'NÖBV 2'!$B$3:$C$34,2,FALSE)),IF(ISNA(VLOOKUP(B83,'NÖBV 2'!$F$3:$G$34,2,FALSE))=TRUE,0,VLOOKUP(B83,'NÖBV 2'!$F$3:$G$34,2,FALSE)),IF(ISNA(VLOOKUP(B83,'NÖBV 2'!$J$3:$K$34,2,FALSE))=TRUE,0,VLOOKUP(B83,'NÖBV 2'!$J$3:$K$34,2,FALSE)),IF(ISNA(VLOOKUP(B83,'NÖBV 2'!$N$3:$O$34,2,FALSE))=TRUE,0,VLOOKUP(B83,'NÖBV 2'!$N$3:$O$34,2,FALSE)))</f>
        <v>0</v>
      </c>
      <c r="N83" s="19">
        <f>MAX(IF(ISNA(VLOOKUP(B83,'NÖBV 3'!$B$3:$C$34,2,FALSE))=TRUE,0,VLOOKUP(B83,'NÖBV 3'!$B$3:$C$34,2,FALSE)),IF(ISNA(VLOOKUP(B83,'NÖBV 3'!$F$3:$G$34,2,FALSE))=TRUE,0,VLOOKUP(B83,'NÖBV 3'!$F$3:$G$34,2,FALSE)),IF(ISNA(VLOOKUP(B83,'NÖBV 3'!$J$3:$K$34,2,FALSE))=TRUE,0,VLOOKUP(B83,'NÖBV 3'!$J$3:$K$34,2,FALSE)),IF(ISNA(VLOOKUP(B83,'NÖBV 3'!$N$3:$O$34,2,FALSE))=TRUE,0,VLOOKUP(B83,'NÖBV 3'!$N$3:$O$34,2,FALSE)))</f>
        <v>0</v>
      </c>
      <c r="O83" s="15">
        <f>MAX(IF(ISNA(VLOOKUP(B83,'Regioturnier 1'!$B$3:$C$34,2,FALSE))=TRUE,0,VLOOKUP(B83,'Regioturnier 1'!$B$3:$C$34,2,FALSE)),IF(ISNA(VLOOKUP(B83,'Regioturnier 1'!$F$3:$G$34,2,FALSE))=TRUE,0,VLOOKUP(B83,'Regioturnier 1'!$F$3:$G$34,2,FALSE)),IF(ISNA(VLOOKUP(B83,'Regioturnier 1'!$J$3:$K$34,2,FALSE))=TRUE,0,VLOOKUP(B83,'Regioturnier 1'!$J$3:$K$34,2,FALSE)),IF(ISNA(VLOOKUP(B83,'Regioturnier 1'!$N$3:$O$34,2,FALSE))=TRUE,0,VLOOKUP(B83,'Regioturnier 1'!$N$3:$O$34,2,FALSE)),IF(ISNA(VLOOKUP(B83,'Regioturnier 1'!$R$3:$S$34,2,FALSE))=TRUE,0,VLOOKUP(B83,'Regioturnier 1'!$R$3:$S$34,2,FALSE)), IF(ISNA(VLOOKUP(B83,'Regioturnier 1'!$V$3:$W$34,2,FALSE))=TRUE,0,VLOOKUP(B83,'Regioturnier 1'!$V$3:$W$34,2,FALSE)), IF(ISNA(VLOOKUP(B83,'Regioturnier 1'!$Z$3:$AA$34,2,FALSE))=TRUE,0,VLOOKUP(B83,'Regioturnier 1'!$Z$3:$AA$34,2,FALSE)))</f>
        <v>0</v>
      </c>
      <c r="P83" s="15">
        <f>MAX(IF(ISNA(VLOOKUP(B83,'Regioturnier 2'!$B$3:$C$34,2,FALSE))=TRUE,0,VLOOKUP(B83,'Regioturnier 2'!$B$3:$C$34,2,FALSE)),IF(ISNA(VLOOKUP(B83,'Regioturnier 2'!$F$3:$G$34,2,FALSE))=TRUE,0,VLOOKUP(B83,'Regioturnier 2'!$F$3:$G$34,2,FALSE)),IF(ISNA(VLOOKUP(B83,'Regioturnier 2'!$J$3:$K$34,2,FALSE))=TRUE,0,VLOOKUP(B83,'Regioturnier 2'!$J$3:$K$34,2,FALSE)),IF(ISNA(VLOOKUP(B83,'Regioturnier 2'!$N$3:$O$34,2,FALSE))=TRUE,0,VLOOKUP(B83,'Regioturnier 2'!$N$3:$O$34,2,FALSE)),IF(ISNA(VLOOKUP(B83,'Regioturnier 2'!$R$3:$S$34,2,FALSE))=TRUE,0,VLOOKUP(B83,'Regioturnier 2'!$R$3:$S$34,2,FALSE)), IF(ISNA(VLOOKUP(B83,'Regioturnier 2'!$V$3:$W$34,2,FALSE))=TRUE,0,VLOOKUP(B83,'Regioturnier 2'!$V$3:$W$34,2,FALSE)), IF(ISNA(VLOOKUP(B83,'Regioturnier 2'!$Z$3:$AA$34,2,FALSE))=TRUE,0,VLOOKUP(B83,'Regioturnier 2'!$Z$3:$AA$34,2,FALSE)))</f>
        <v>0</v>
      </c>
      <c r="Q83" s="15">
        <f>MAX(IF(ISNA(VLOOKUP(B83,'Regioturnier 3'!$B$3:$C$34,2,FALSE))=TRUE,0,VLOOKUP(B83,'Regioturnier 3'!$B$3:$C$34,2,FALSE)),IF(ISNA(VLOOKUP(B83,'Regioturnier 3'!$F$3:$G$34,2,FALSE))=TRUE,0,VLOOKUP(B83,'Regioturnier 3'!$F$3:$G$34,2,FALSE)),IF(ISNA(VLOOKUP(B83,'Regioturnier 3'!$J$3:$K$34,2,FALSE))=TRUE,0,VLOOKUP(B83,'Regioturnier 3'!$J$3:$K$34,2,FALSE)),IF(ISNA(VLOOKUP(B83,'Regioturnier 3'!$N$3:$O$34,2,FALSE))=TRUE,0,VLOOKUP(B83,'Regioturnier 3'!$N$3:$O$34,2,FALSE)),IF(ISNA(VLOOKUP(B83,'Regioturnier 3'!$R$3:$S$34,2,FALSE))=TRUE,0,VLOOKUP(B83,'Regioturnier 3'!$R$3:$S$34,2,FALSE)), IF(ISNA(VLOOKUP(B83,'Regioturnier 3'!$V$3:$W$34,2,FALSE))=TRUE,0,VLOOKUP(B83,'Regioturnier 3'!$V$3:$W$34,2,FALSE)), IF(ISNA(VLOOKUP(B83,'Regioturnier 3'!$Z$3:$AA$34,2,FALSE))=TRUE,0,VLOOKUP(B83,'Regioturnier 3'!$Z$3:$AA$34,2,FALSE)))</f>
        <v>0</v>
      </c>
      <c r="R83" s="20">
        <f>0.5*INDEX($H83:$N83,MATCH(LARGE($H83:$N83,1),$H83:$N83,0))+0.3*INDEX($H83:$N83,MATCH(LARGE($H83:$N83,2),$H83:$N83,0))+0.2*INDEX($H83:$N83,MATCH(LARGE($H83:$N83,3),$H83:$N83,0))</f>
        <v>108</v>
      </c>
      <c r="S83" s="20">
        <f>0.6*INDEX(O83:Q83,MATCH(LARGE(O83:Q83,1),O83:Q83,0))+0.4*INDEX(O83:Q83,MATCH(LARGE(O83:Q83,2),O83:Q83,0))+0*INDEX(O83:Q83,MATCH(LARGE(O83:Q83,3),O83:Q83,0))</f>
        <v>0</v>
      </c>
      <c r="T83" s="15">
        <f>1*INDEX(R83:S83,MATCH(LARGE(R83:S83,1),R83:S83,0))+0*INDEX(R83:S83,MATCH(LARGE(R83:S83,2),R83:S83,0))</f>
        <v>108</v>
      </c>
      <c r="U83" s="21"/>
      <c r="V83" s="21"/>
      <c r="W83" s="21"/>
      <c r="X83" s="21"/>
      <c r="Y83" s="21"/>
      <c r="Z83" s="21"/>
    </row>
    <row r="84" spans="1:26" ht="12.75" customHeight="1" x14ac:dyDescent="0.3">
      <c r="A84" s="15">
        <v>83</v>
      </c>
      <c r="B84" s="16" t="s">
        <v>526</v>
      </c>
      <c r="C84" s="17" t="s">
        <v>43</v>
      </c>
      <c r="D84" s="15" t="s">
        <v>26</v>
      </c>
      <c r="E84" s="18" t="s">
        <v>23</v>
      </c>
      <c r="F84" s="15" t="s">
        <v>636</v>
      </c>
      <c r="G84" s="22">
        <v>2017</v>
      </c>
      <c r="H84" s="15">
        <f>MAX(IF(ISNA(VLOOKUP(B84,'WBV 1'!$B$3:$C$34,2,FALSE))=TRUE,0,VLOOKUP(B84,'WBV 1'!$B$3:$C$34,2,FALSE)),IF(ISNA(VLOOKUP(B84,'WBV 1'!$F$3:$G$34,2,FALSE))=TRUE,0,VLOOKUP(B84,'WBV 1'!$F$3:$G$34,2,FALSE)),IF(ISNA(VLOOKUP(B84,'WBV 1'!$J$3:$K$34,2,FALSE))=TRUE,0,VLOOKUP(B84,'WBV 1'!$J$3:$K$34,2,FALSE)),IF(ISNA(VLOOKUP(B84,'WBV 1'!$N$3:$O$34,2,FALSE))=TRUE,0,VLOOKUP(B84,'WBV 1'!$N$3:$O$34,2,FALSE)))</f>
        <v>0</v>
      </c>
      <c r="I84" s="15">
        <f>MAX(IF(ISNA(VLOOKUP(B84,'WBV 2'!$B$3:$C$34,2,FALSE))=TRUE,0,VLOOKUP(B84,'WBV 2'!$B$3:$C$34,2,FALSE)),IF(ISNA(VLOOKUP(B84,'WBV 2'!$F$3:$G$34,2,FALSE))=TRUE,0,VLOOKUP(B84,'WBV 2'!$F$3:$G$34,2,FALSE)),IF(ISNA(VLOOKUP(B84,'WBV 2'!$J$3:$K$34,2,FALSE))=TRUE,0,VLOOKUP(B84,'WBV 2'!$J$3:$K$34,2,FALSE)),IF(ISNA(VLOOKUP(B84,'WBV 2'!$N$3:$O$34,2,FALSE))=TRUE,0,VLOOKUP(B84,'WBV 2'!$N$3:$O$34,2,FALSE)))</f>
        <v>136</v>
      </c>
      <c r="J84" s="15">
        <f>MAX(IF(ISNA(VLOOKUP(B84,'WBV 3'!$B$3:$C$34,2,FALSE))=TRUE,0,VLOOKUP(B84,'WBV 3'!$B$3:$C$34,2,FALSE)),IF(ISNA(VLOOKUP(B84,'WBV 3'!$F$3:$G$34,2,FALSE))=TRUE,0,VLOOKUP(B84,'WBV 3'!$F$3:$G$34,2,FALSE)),IF(ISNA(VLOOKUP(B84,'WBV 3'!$J$3:$K$34,2,FALSE))=TRUE,0,VLOOKUP(B84,'WBV 3'!$J$3:$K$34,2,FALSE)),IF(ISNA(VLOOKUP(B84,'WBV 3'!$N$3:$O$34,2,FALSE))=TRUE,0,VLOOKUP(B84,'WBV 3'!$N$3:$O$34,2,FALSE)))</f>
        <v>132</v>
      </c>
      <c r="K84" s="15">
        <f>MAX(IF(ISNA(VLOOKUP(B84,'WBV 4'!$B$3:$C$34,2,FALSE))=TRUE,0,VLOOKUP(B84,'WBV 4'!$B$3:$C$34,2,FALSE)),IF(ISNA(VLOOKUP(B84,'WBV 4'!$F$3:$G$34,2,FALSE))=TRUE,0,VLOOKUP(B84,'WBV 4'!$F$3:$G$34,2,FALSE)),IF(ISNA(VLOOKUP(B84,'WBV 4'!$J$3:$K$34,2,FALSE))=TRUE,0,VLOOKUP(B84,'WBV 4'!$J$3:$K$34,2,FALSE)),IF(ISNA(VLOOKUP(B84,'WBV 4'!$N$3:$O$34,2,FALSE))=TRUE,0,VLOOKUP(B84,'WBV 4'!$N$3:$O$34,2,FALSE)))</f>
        <v>0</v>
      </c>
      <c r="L84" s="19">
        <f>MAX(IF(ISNA(VLOOKUP(B84,'NÖBV 1'!$B$3:$C$34,2,FALSE))=TRUE,0,VLOOKUP(B84,'NÖBV 1'!$B$3:$C$34,2,FALSE)),IF(ISNA(VLOOKUP(B84,'NÖBV 1'!$F$3:$G$34,2,FALSE))=TRUE,0,VLOOKUP(B84,'NÖBV 1'!$F$3:$G$34,2,FALSE)),IF(ISNA(VLOOKUP(B84,'NÖBV 1'!$J$3:$K$34,2,FALSE))=TRUE,0,VLOOKUP(B84,'NÖBV 1'!$J$3:$K$34,2,FALSE)),IF(ISNA(VLOOKUP(B84,'NÖBV 1'!$N$3:$O$34,2,FALSE))=TRUE,0,VLOOKUP(B84,'NÖBV 1'!$N$3:$O$34,2,FALSE)))</f>
        <v>0</v>
      </c>
      <c r="M84" s="19">
        <f>MAX(IF(ISNA(VLOOKUP(B84,'NÖBV 2'!$B$3:$C$34,2,FALSE))=TRUE,0,VLOOKUP(B84,'NÖBV 2'!$B$3:$C$34,2,FALSE)),IF(ISNA(VLOOKUP(B84,'NÖBV 2'!$F$3:$G$34,2,FALSE))=TRUE,0,VLOOKUP(B84,'NÖBV 2'!$F$3:$G$34,2,FALSE)),IF(ISNA(VLOOKUP(B84,'NÖBV 2'!$J$3:$K$34,2,FALSE))=TRUE,0,VLOOKUP(B84,'NÖBV 2'!$J$3:$K$34,2,FALSE)),IF(ISNA(VLOOKUP(B84,'NÖBV 2'!$N$3:$O$34,2,FALSE))=TRUE,0,VLOOKUP(B84,'NÖBV 2'!$N$3:$O$34,2,FALSE)))</f>
        <v>0</v>
      </c>
      <c r="N84" s="19">
        <f>MAX(IF(ISNA(VLOOKUP(B84,'NÖBV 3'!$B$3:$C$34,2,FALSE))=TRUE,0,VLOOKUP(B84,'NÖBV 3'!$B$3:$C$34,2,FALSE)),IF(ISNA(VLOOKUP(B84,'NÖBV 3'!$F$3:$G$34,2,FALSE))=TRUE,0,VLOOKUP(B84,'NÖBV 3'!$F$3:$G$34,2,FALSE)),IF(ISNA(VLOOKUP(B84,'NÖBV 3'!$J$3:$K$34,2,FALSE))=TRUE,0,VLOOKUP(B84,'NÖBV 3'!$J$3:$K$34,2,FALSE)),IF(ISNA(VLOOKUP(B84,'NÖBV 3'!$N$3:$O$34,2,FALSE))=TRUE,0,VLOOKUP(B84,'NÖBV 3'!$N$3:$O$34,2,FALSE)))</f>
        <v>0</v>
      </c>
      <c r="O84" s="15">
        <f>MAX(IF(ISNA(VLOOKUP(B84,'Regioturnier 1'!$B$3:$C$34,2,FALSE))=TRUE,0,VLOOKUP(B84,'Regioturnier 1'!$B$3:$C$34,2,FALSE)),IF(ISNA(VLOOKUP(B84,'Regioturnier 1'!$F$3:$G$34,2,FALSE))=TRUE,0,VLOOKUP(B84,'Regioturnier 1'!$F$3:$G$34,2,FALSE)),IF(ISNA(VLOOKUP(B84,'Regioturnier 1'!$J$3:$K$34,2,FALSE))=TRUE,0,VLOOKUP(B84,'Regioturnier 1'!$J$3:$K$34,2,FALSE)),IF(ISNA(VLOOKUP(B84,'Regioturnier 1'!$N$3:$O$34,2,FALSE))=TRUE,0,VLOOKUP(B84,'Regioturnier 1'!$N$3:$O$34,2,FALSE)),IF(ISNA(VLOOKUP(B84,'Regioturnier 1'!$R$3:$S$34,2,FALSE))=TRUE,0,VLOOKUP(B84,'Regioturnier 1'!$R$3:$S$34,2,FALSE)), IF(ISNA(VLOOKUP(B84,'Regioturnier 1'!$V$3:$W$34,2,FALSE))=TRUE,0,VLOOKUP(B84,'Regioturnier 1'!$V$3:$W$34,2,FALSE)), IF(ISNA(VLOOKUP(B84,'Regioturnier 1'!$Z$3:$AA$34,2,FALSE))=TRUE,0,VLOOKUP(B84,'Regioturnier 1'!$Z$3:$AA$34,2,FALSE)))</f>
        <v>0</v>
      </c>
      <c r="P84" s="15">
        <f>MAX(IF(ISNA(VLOOKUP(B84,'Regioturnier 2'!$B$3:$C$34,2,FALSE))=TRUE,0,VLOOKUP(B84,'Regioturnier 2'!$B$3:$C$34,2,FALSE)),IF(ISNA(VLOOKUP(B84,'Regioturnier 2'!$F$3:$G$34,2,FALSE))=TRUE,0,VLOOKUP(B84,'Regioturnier 2'!$F$3:$G$34,2,FALSE)),IF(ISNA(VLOOKUP(B84,'Regioturnier 2'!$J$3:$K$34,2,FALSE))=TRUE,0,VLOOKUP(B84,'Regioturnier 2'!$J$3:$K$34,2,FALSE)),IF(ISNA(VLOOKUP(B84,'Regioturnier 2'!$N$3:$O$34,2,FALSE))=TRUE,0,VLOOKUP(B84,'Regioturnier 2'!$N$3:$O$34,2,FALSE)),IF(ISNA(VLOOKUP(B84,'Regioturnier 2'!$R$3:$S$34,2,FALSE))=TRUE,0,VLOOKUP(B84,'Regioturnier 2'!$R$3:$S$34,2,FALSE)), IF(ISNA(VLOOKUP(B84,'Regioturnier 2'!$V$3:$W$34,2,FALSE))=TRUE,0,VLOOKUP(B84,'Regioturnier 2'!$V$3:$W$34,2,FALSE)), IF(ISNA(VLOOKUP(B84,'Regioturnier 2'!$Z$3:$AA$34,2,FALSE))=TRUE,0,VLOOKUP(B84,'Regioturnier 2'!$Z$3:$AA$34,2,FALSE)))</f>
        <v>0</v>
      </c>
      <c r="Q84" s="15">
        <f>MAX(IF(ISNA(VLOOKUP(B84,'Regioturnier 3'!$B$3:$C$34,2,FALSE))=TRUE,0,VLOOKUP(B84,'Regioturnier 3'!$B$3:$C$34,2,FALSE)),IF(ISNA(VLOOKUP(B84,'Regioturnier 3'!$F$3:$G$34,2,FALSE))=TRUE,0,VLOOKUP(B84,'Regioturnier 3'!$F$3:$G$34,2,FALSE)),IF(ISNA(VLOOKUP(B84,'Regioturnier 3'!$J$3:$K$34,2,FALSE))=TRUE,0,VLOOKUP(B84,'Regioturnier 3'!$J$3:$K$34,2,FALSE)),IF(ISNA(VLOOKUP(B84,'Regioturnier 3'!$N$3:$O$34,2,FALSE))=TRUE,0,VLOOKUP(B84,'Regioturnier 3'!$N$3:$O$34,2,FALSE)),IF(ISNA(VLOOKUP(B84,'Regioturnier 3'!$R$3:$S$34,2,FALSE))=TRUE,0,VLOOKUP(B84,'Regioturnier 3'!$R$3:$S$34,2,FALSE)), IF(ISNA(VLOOKUP(B84,'Regioturnier 3'!$V$3:$W$34,2,FALSE))=TRUE,0,VLOOKUP(B84,'Regioturnier 3'!$V$3:$W$34,2,FALSE)), IF(ISNA(VLOOKUP(B84,'Regioturnier 3'!$Z$3:$AA$34,2,FALSE))=TRUE,0,VLOOKUP(B84,'Regioturnier 3'!$Z$3:$AA$34,2,FALSE)))</f>
        <v>0</v>
      </c>
      <c r="R84" s="20">
        <f>0.5*INDEX($H84:$N84,MATCH(LARGE($H84:$N84,1),$H84:$N84,0))+0.3*INDEX($H84:$N84,MATCH(LARGE($H84:$N84,2),$H84:$N84,0))+0.2*INDEX($H84:$N84,MATCH(LARGE($H84:$N84,3),$H84:$N84,0))</f>
        <v>107.6</v>
      </c>
      <c r="S84" s="20">
        <f>0.6*INDEX(O84:Q84,MATCH(LARGE(O84:Q84,1),O84:Q84,0))+0.4*INDEX(O84:Q84,MATCH(LARGE(O84:Q84,2),O84:Q84,0))+0*INDEX(O84:Q84,MATCH(LARGE(O84:Q84,3),O84:Q84,0))</f>
        <v>0</v>
      </c>
      <c r="T84" s="15">
        <f>1*INDEX(R84:S84,MATCH(LARGE(R84:S84,1),R84:S84,0))+0*INDEX(R84:S84,MATCH(LARGE(R84:S84,2),R84:S84,0))</f>
        <v>107.6</v>
      </c>
      <c r="U84" s="21"/>
      <c r="V84" s="21"/>
      <c r="W84" s="21"/>
      <c r="X84" s="21"/>
      <c r="Y84" s="21"/>
      <c r="Z84" s="21"/>
    </row>
    <row r="85" spans="1:26" ht="12.75" customHeight="1" x14ac:dyDescent="0.3">
      <c r="A85" s="15">
        <v>84</v>
      </c>
      <c r="B85" s="16" t="s">
        <v>314</v>
      </c>
      <c r="C85" s="17" t="s">
        <v>46</v>
      </c>
      <c r="D85" s="15" t="s">
        <v>26</v>
      </c>
      <c r="E85" s="18" t="s">
        <v>23</v>
      </c>
      <c r="F85" s="15" t="s">
        <v>315</v>
      </c>
      <c r="G85" s="22">
        <v>2017</v>
      </c>
      <c r="H85" s="15">
        <f>MAX(IF(ISNA(VLOOKUP(B85,'WBV 1'!$B$3:$C$34,2,FALSE))=TRUE,0,VLOOKUP(B85,'WBV 1'!$B$3:$C$34,2,FALSE)),IF(ISNA(VLOOKUP(B85,'WBV 1'!$F$3:$G$34,2,FALSE))=TRUE,0,VLOOKUP(B85,'WBV 1'!$F$3:$G$34,2,FALSE)),IF(ISNA(VLOOKUP(B85,'WBV 1'!$J$3:$K$34,2,FALSE))=TRUE,0,VLOOKUP(B85,'WBV 1'!$J$3:$K$34,2,FALSE)),IF(ISNA(VLOOKUP(B85,'WBV 1'!$N$3:$O$34,2,FALSE))=TRUE,0,VLOOKUP(B85,'WBV 1'!$N$3:$O$34,2,FALSE)))</f>
        <v>145</v>
      </c>
      <c r="I85" s="15">
        <f>MAX(IF(ISNA(VLOOKUP(B85,'WBV 2'!$B$3:$C$34,2,FALSE))=TRUE,0,VLOOKUP(B85,'WBV 2'!$B$3:$C$34,2,FALSE)),IF(ISNA(VLOOKUP(B85,'WBV 2'!$F$3:$G$34,2,FALSE))=TRUE,0,VLOOKUP(B85,'WBV 2'!$F$3:$G$34,2,FALSE)),IF(ISNA(VLOOKUP(B85,'WBV 2'!$J$3:$K$34,2,FALSE))=TRUE,0,VLOOKUP(B85,'WBV 2'!$J$3:$K$34,2,FALSE)),IF(ISNA(VLOOKUP(B85,'WBV 2'!$N$3:$O$34,2,FALSE))=TRUE,0,VLOOKUP(B85,'WBV 2'!$N$3:$O$34,2,FALSE)))</f>
        <v>0</v>
      </c>
      <c r="J85" s="15">
        <f>MAX(IF(ISNA(VLOOKUP(B85,'WBV 3'!$B$3:$C$34,2,FALSE))=TRUE,0,VLOOKUP(B85,'WBV 3'!$B$3:$C$34,2,FALSE)),IF(ISNA(VLOOKUP(B85,'WBV 3'!$F$3:$G$34,2,FALSE))=TRUE,0,VLOOKUP(B85,'WBV 3'!$F$3:$G$34,2,FALSE)),IF(ISNA(VLOOKUP(B85,'WBV 3'!$J$3:$K$34,2,FALSE))=TRUE,0,VLOOKUP(B85,'WBV 3'!$J$3:$K$34,2,FALSE)),IF(ISNA(VLOOKUP(B85,'WBV 3'!$N$3:$O$34,2,FALSE))=TRUE,0,VLOOKUP(B85,'WBV 3'!$N$3:$O$34,2,FALSE)))</f>
        <v>115</v>
      </c>
      <c r="K85" s="15">
        <f>MAX(IF(ISNA(VLOOKUP(B85,'WBV 4'!$B$3:$C$34,2,FALSE))=TRUE,0,VLOOKUP(B85,'WBV 4'!$B$3:$C$34,2,FALSE)),IF(ISNA(VLOOKUP(B85,'WBV 4'!$F$3:$G$34,2,FALSE))=TRUE,0,VLOOKUP(B85,'WBV 4'!$F$3:$G$34,2,FALSE)),IF(ISNA(VLOOKUP(B85,'WBV 4'!$J$3:$K$34,2,FALSE))=TRUE,0,VLOOKUP(B85,'WBV 4'!$J$3:$K$34,2,FALSE)),IF(ISNA(VLOOKUP(B85,'WBV 4'!$N$3:$O$34,2,FALSE))=TRUE,0,VLOOKUP(B85,'WBV 4'!$N$3:$O$34,2,FALSE)))</f>
        <v>0</v>
      </c>
      <c r="L85" s="19">
        <f>MAX(IF(ISNA(VLOOKUP(B85,'NÖBV 1'!$B$3:$C$34,2,FALSE))=TRUE,0,VLOOKUP(B85,'NÖBV 1'!$B$3:$C$34,2,FALSE)),IF(ISNA(VLOOKUP(B85,'NÖBV 1'!$F$3:$G$34,2,FALSE))=TRUE,0,VLOOKUP(B85,'NÖBV 1'!$F$3:$G$34,2,FALSE)),IF(ISNA(VLOOKUP(B85,'NÖBV 1'!$J$3:$K$34,2,FALSE))=TRUE,0,VLOOKUP(B85,'NÖBV 1'!$J$3:$K$34,2,FALSE)),IF(ISNA(VLOOKUP(B85,'NÖBV 1'!$N$3:$O$34,2,FALSE))=TRUE,0,VLOOKUP(B85,'NÖBV 1'!$N$3:$O$34,2,FALSE)))</f>
        <v>0</v>
      </c>
      <c r="M85" s="19">
        <f>MAX(IF(ISNA(VLOOKUP(B85,'NÖBV 2'!$B$3:$C$34,2,FALSE))=TRUE,0,VLOOKUP(B85,'NÖBV 2'!$B$3:$C$34,2,FALSE)),IF(ISNA(VLOOKUP(B85,'NÖBV 2'!$F$3:$G$34,2,FALSE))=TRUE,0,VLOOKUP(B85,'NÖBV 2'!$F$3:$G$34,2,FALSE)),IF(ISNA(VLOOKUP(B85,'NÖBV 2'!$J$3:$K$34,2,FALSE))=TRUE,0,VLOOKUP(B85,'NÖBV 2'!$J$3:$K$34,2,FALSE)),IF(ISNA(VLOOKUP(B85,'NÖBV 2'!$N$3:$O$34,2,FALSE))=TRUE,0,VLOOKUP(B85,'NÖBV 2'!$N$3:$O$34,2,FALSE)))</f>
        <v>0</v>
      </c>
      <c r="N85" s="19">
        <f>MAX(IF(ISNA(VLOOKUP(B85,'NÖBV 3'!$B$3:$C$34,2,FALSE))=TRUE,0,VLOOKUP(B85,'NÖBV 3'!$B$3:$C$34,2,FALSE)),IF(ISNA(VLOOKUP(B85,'NÖBV 3'!$F$3:$G$34,2,FALSE))=TRUE,0,VLOOKUP(B85,'NÖBV 3'!$F$3:$G$34,2,FALSE)),IF(ISNA(VLOOKUP(B85,'NÖBV 3'!$J$3:$K$34,2,FALSE))=TRUE,0,VLOOKUP(B85,'NÖBV 3'!$J$3:$K$34,2,FALSE)),IF(ISNA(VLOOKUP(B85,'NÖBV 3'!$N$3:$O$34,2,FALSE))=TRUE,0,VLOOKUP(B85,'NÖBV 3'!$N$3:$O$34,2,FALSE)))</f>
        <v>0</v>
      </c>
      <c r="O85" s="15">
        <f>MAX(IF(ISNA(VLOOKUP(B85,'Regioturnier 1'!$B$3:$C$34,2,FALSE))=TRUE,0,VLOOKUP(B85,'Regioturnier 1'!$B$3:$C$34,2,FALSE)),IF(ISNA(VLOOKUP(B85,'Regioturnier 1'!$F$3:$G$34,2,FALSE))=TRUE,0,VLOOKUP(B85,'Regioturnier 1'!$F$3:$G$34,2,FALSE)),IF(ISNA(VLOOKUP(B85,'Regioturnier 1'!$J$3:$K$34,2,FALSE))=TRUE,0,VLOOKUP(B85,'Regioturnier 1'!$J$3:$K$34,2,FALSE)),IF(ISNA(VLOOKUP(B85,'Regioturnier 1'!$N$3:$O$34,2,FALSE))=TRUE,0,VLOOKUP(B85,'Regioturnier 1'!$N$3:$O$34,2,FALSE)),IF(ISNA(VLOOKUP(B85,'Regioturnier 1'!$R$3:$S$34,2,FALSE))=TRUE,0,VLOOKUP(B85,'Regioturnier 1'!$R$3:$S$34,2,FALSE)), IF(ISNA(VLOOKUP(B85,'Regioturnier 1'!$V$3:$W$34,2,FALSE))=TRUE,0,VLOOKUP(B85,'Regioturnier 1'!$V$3:$W$34,2,FALSE)), IF(ISNA(VLOOKUP(B85,'Regioturnier 1'!$Z$3:$AA$34,2,FALSE))=TRUE,0,VLOOKUP(B85,'Regioturnier 1'!$Z$3:$AA$34,2,FALSE)))</f>
        <v>0</v>
      </c>
      <c r="P85" s="15">
        <f>MAX(IF(ISNA(VLOOKUP(B85,'Regioturnier 2'!$B$3:$C$34,2,FALSE))=TRUE,0,VLOOKUP(B85,'Regioturnier 2'!$B$3:$C$34,2,FALSE)),IF(ISNA(VLOOKUP(B85,'Regioturnier 2'!$F$3:$G$34,2,FALSE))=TRUE,0,VLOOKUP(B85,'Regioturnier 2'!$F$3:$G$34,2,FALSE)),IF(ISNA(VLOOKUP(B85,'Regioturnier 2'!$J$3:$K$34,2,FALSE))=TRUE,0,VLOOKUP(B85,'Regioturnier 2'!$J$3:$K$34,2,FALSE)),IF(ISNA(VLOOKUP(B85,'Regioturnier 2'!$N$3:$O$34,2,FALSE))=TRUE,0,VLOOKUP(B85,'Regioturnier 2'!$N$3:$O$34,2,FALSE)),IF(ISNA(VLOOKUP(B85,'Regioturnier 2'!$R$3:$S$34,2,FALSE))=TRUE,0,VLOOKUP(B85,'Regioturnier 2'!$R$3:$S$34,2,FALSE)), IF(ISNA(VLOOKUP(B85,'Regioturnier 2'!$V$3:$W$34,2,FALSE))=TRUE,0,VLOOKUP(B85,'Regioturnier 2'!$V$3:$W$34,2,FALSE)), IF(ISNA(VLOOKUP(B85,'Regioturnier 2'!$Z$3:$AA$34,2,FALSE))=TRUE,0,VLOOKUP(B85,'Regioturnier 2'!$Z$3:$AA$34,2,FALSE)))</f>
        <v>0</v>
      </c>
      <c r="Q85" s="15">
        <f>MAX(IF(ISNA(VLOOKUP(B85,'Regioturnier 3'!$B$3:$C$34,2,FALSE))=TRUE,0,VLOOKUP(B85,'Regioturnier 3'!$B$3:$C$34,2,FALSE)),IF(ISNA(VLOOKUP(B85,'Regioturnier 3'!$F$3:$G$34,2,FALSE))=TRUE,0,VLOOKUP(B85,'Regioturnier 3'!$F$3:$G$34,2,FALSE)),IF(ISNA(VLOOKUP(B85,'Regioturnier 3'!$J$3:$K$34,2,FALSE))=TRUE,0,VLOOKUP(B85,'Regioturnier 3'!$J$3:$K$34,2,FALSE)),IF(ISNA(VLOOKUP(B85,'Regioturnier 3'!$N$3:$O$34,2,FALSE))=TRUE,0,VLOOKUP(B85,'Regioturnier 3'!$N$3:$O$34,2,FALSE)),IF(ISNA(VLOOKUP(B85,'Regioturnier 3'!$R$3:$S$34,2,FALSE))=TRUE,0,VLOOKUP(B85,'Regioturnier 3'!$R$3:$S$34,2,FALSE)), IF(ISNA(VLOOKUP(B85,'Regioturnier 3'!$V$3:$W$34,2,FALSE))=TRUE,0,VLOOKUP(B85,'Regioturnier 3'!$V$3:$W$34,2,FALSE)), IF(ISNA(VLOOKUP(B85,'Regioturnier 3'!$Z$3:$AA$34,2,FALSE))=TRUE,0,VLOOKUP(B85,'Regioturnier 3'!$Z$3:$AA$34,2,FALSE)))</f>
        <v>0</v>
      </c>
      <c r="R85" s="20">
        <f>0.5*INDEX($H85:$N85,MATCH(LARGE($H85:$N85,1),$H85:$N85,0))+0.3*INDEX($H85:$N85,MATCH(LARGE($H85:$N85,2),$H85:$N85,0))+0.2*INDEX($H85:$N85,MATCH(LARGE($H85:$N85,3),$H85:$N85,0))</f>
        <v>107</v>
      </c>
      <c r="S85" s="20">
        <f>0.6*INDEX(O85:Q85,MATCH(LARGE(O85:Q85,1),O85:Q85,0))+0.4*INDEX(O85:Q85,MATCH(LARGE(O85:Q85,2),O85:Q85,0))+0*INDEX(O85:Q85,MATCH(LARGE(O85:Q85,3),O85:Q85,0))</f>
        <v>0</v>
      </c>
      <c r="T85" s="15">
        <f>1*INDEX(R85:S85,MATCH(LARGE(R85:S85,1),R85:S85,0))+0*INDEX(R85:S85,MATCH(LARGE(R85:S85,2),R85:S85,0))</f>
        <v>107</v>
      </c>
      <c r="U85" s="21"/>
      <c r="V85" s="21"/>
      <c r="W85" s="21"/>
      <c r="X85" s="21"/>
      <c r="Y85" s="21"/>
      <c r="Z85" s="21"/>
    </row>
    <row r="86" spans="1:26" ht="12.75" customHeight="1" x14ac:dyDescent="0.3">
      <c r="A86" s="15">
        <v>85</v>
      </c>
      <c r="B86" s="16" t="s">
        <v>94</v>
      </c>
      <c r="C86" s="17" t="s">
        <v>72</v>
      </c>
      <c r="D86" s="15" t="s">
        <v>22</v>
      </c>
      <c r="E86" s="18" t="s">
        <v>40</v>
      </c>
      <c r="F86" s="15">
        <v>208573</v>
      </c>
      <c r="G86" s="22">
        <v>2016</v>
      </c>
      <c r="H86" s="15">
        <f>MAX(IF(ISNA(VLOOKUP(B86,'WBV 1'!$B$3:$C$34,2,FALSE))=TRUE,0,VLOOKUP(B86,'WBV 1'!$B$3:$C$34,2,FALSE)),IF(ISNA(VLOOKUP(B86,'WBV 1'!$F$3:$G$34,2,FALSE))=TRUE,0,VLOOKUP(B86,'WBV 1'!$F$3:$G$34,2,FALSE)),IF(ISNA(VLOOKUP(B86,'WBV 1'!$J$3:$K$34,2,FALSE))=TRUE,0,VLOOKUP(B86,'WBV 1'!$J$3:$K$34,2,FALSE)),IF(ISNA(VLOOKUP(B86,'WBV 1'!$N$3:$O$34,2,FALSE))=TRUE,0,VLOOKUP(B86,'WBV 1'!$N$3:$O$34,2,FALSE)))</f>
        <v>0</v>
      </c>
      <c r="I86" s="15">
        <f>MAX(IF(ISNA(VLOOKUP(B86,'WBV 2'!$B$3:$C$34,2,FALSE))=TRUE,0,VLOOKUP(B86,'WBV 2'!$B$3:$C$34,2,FALSE)),IF(ISNA(VLOOKUP(B86,'WBV 2'!$F$3:$G$34,2,FALSE))=TRUE,0,VLOOKUP(B86,'WBV 2'!$F$3:$G$34,2,FALSE)),IF(ISNA(VLOOKUP(B86,'WBV 2'!$J$3:$K$34,2,FALSE))=TRUE,0,VLOOKUP(B86,'WBV 2'!$J$3:$K$34,2,FALSE)),IF(ISNA(VLOOKUP(B86,'WBV 2'!$N$3:$O$34,2,FALSE))=TRUE,0,VLOOKUP(B86,'WBV 2'!$N$3:$O$34,2,FALSE)))</f>
        <v>0</v>
      </c>
      <c r="J86" s="15">
        <f>MAX(IF(ISNA(VLOOKUP(B86,'WBV 3'!$B$3:$C$34,2,FALSE))=TRUE,0,VLOOKUP(B86,'WBV 3'!$B$3:$C$34,2,FALSE)),IF(ISNA(VLOOKUP(B86,'WBV 3'!$F$3:$G$34,2,FALSE))=TRUE,0,VLOOKUP(B86,'WBV 3'!$F$3:$G$34,2,FALSE)),IF(ISNA(VLOOKUP(B86,'WBV 3'!$J$3:$K$34,2,FALSE))=TRUE,0,VLOOKUP(B86,'WBV 3'!$J$3:$K$34,2,FALSE)),IF(ISNA(VLOOKUP(B86,'WBV 3'!$N$3:$O$34,2,FALSE))=TRUE,0,VLOOKUP(B86,'WBV 3'!$N$3:$O$34,2,FALSE)))</f>
        <v>0</v>
      </c>
      <c r="K86" s="15">
        <f>MAX(IF(ISNA(VLOOKUP(B86,'WBV 4'!$B$3:$C$34,2,FALSE))=TRUE,0,VLOOKUP(B86,'WBV 4'!$B$3:$C$34,2,FALSE)),IF(ISNA(VLOOKUP(B86,'WBV 4'!$F$3:$G$34,2,FALSE))=TRUE,0,VLOOKUP(B86,'WBV 4'!$F$3:$G$34,2,FALSE)),IF(ISNA(VLOOKUP(B86,'WBV 4'!$J$3:$K$34,2,FALSE))=TRUE,0,VLOOKUP(B86,'WBV 4'!$J$3:$K$34,2,FALSE)),IF(ISNA(VLOOKUP(B86,'WBV 4'!$N$3:$O$34,2,FALSE))=TRUE,0,VLOOKUP(B86,'WBV 4'!$N$3:$O$34,2,FALSE)))</f>
        <v>0</v>
      </c>
      <c r="L86" s="19">
        <f>MAX(IF(ISNA(VLOOKUP(B86,'NÖBV 1'!$B$3:$C$34,2,FALSE))=TRUE,0,VLOOKUP(B86,'NÖBV 1'!$B$3:$C$34,2,FALSE)),IF(ISNA(VLOOKUP(B86,'NÖBV 1'!$F$3:$G$34,2,FALSE))=TRUE,0,VLOOKUP(B86,'NÖBV 1'!$F$3:$G$34,2,FALSE)),IF(ISNA(VLOOKUP(B86,'NÖBV 1'!$J$3:$K$34,2,FALSE))=TRUE,0,VLOOKUP(B86,'NÖBV 1'!$J$3:$K$34,2,FALSE)),IF(ISNA(VLOOKUP(B86,'NÖBV 1'!$N$3:$O$34,2,FALSE))=TRUE,0,VLOOKUP(B86,'NÖBV 1'!$N$3:$O$34,2,FALSE)))</f>
        <v>0</v>
      </c>
      <c r="M86" s="19">
        <f>MAX(IF(ISNA(VLOOKUP(B86,'NÖBV 2'!$B$3:$C$34,2,FALSE))=TRUE,0,VLOOKUP(B86,'NÖBV 2'!$B$3:$C$34,2,FALSE)),IF(ISNA(VLOOKUP(B86,'NÖBV 2'!$F$3:$G$34,2,FALSE))=TRUE,0,VLOOKUP(B86,'NÖBV 2'!$F$3:$G$34,2,FALSE)),IF(ISNA(VLOOKUP(B86,'NÖBV 2'!$J$3:$K$34,2,FALSE))=TRUE,0,VLOOKUP(B86,'NÖBV 2'!$J$3:$K$34,2,FALSE)),IF(ISNA(VLOOKUP(B86,'NÖBV 2'!$N$3:$O$34,2,FALSE))=TRUE,0,VLOOKUP(B86,'NÖBV 2'!$N$3:$O$34,2,FALSE)))</f>
        <v>138</v>
      </c>
      <c r="N86" s="19">
        <f>MAX(IF(ISNA(VLOOKUP(B86,'NÖBV 3'!$B$3:$C$34,2,FALSE))=TRUE,0,VLOOKUP(B86,'NÖBV 3'!$B$3:$C$34,2,FALSE)),IF(ISNA(VLOOKUP(B86,'NÖBV 3'!$F$3:$G$34,2,FALSE))=TRUE,0,VLOOKUP(B86,'NÖBV 3'!$F$3:$G$34,2,FALSE)),IF(ISNA(VLOOKUP(B86,'NÖBV 3'!$J$3:$K$34,2,FALSE))=TRUE,0,VLOOKUP(B86,'NÖBV 3'!$J$3:$K$34,2,FALSE)),IF(ISNA(VLOOKUP(B86,'NÖBV 3'!$N$3:$O$34,2,FALSE))=TRUE,0,VLOOKUP(B86,'NÖBV 3'!$N$3:$O$34,2,FALSE)))</f>
        <v>0</v>
      </c>
      <c r="O86" s="15">
        <f>MAX(IF(ISNA(VLOOKUP(B86,'Regioturnier 1'!$B$3:$C$34,2,FALSE))=TRUE,0,VLOOKUP(B86,'Regioturnier 1'!$B$3:$C$34,2,FALSE)),IF(ISNA(VLOOKUP(B86,'Regioturnier 1'!$F$3:$G$34,2,FALSE))=TRUE,0,VLOOKUP(B86,'Regioturnier 1'!$F$3:$G$34,2,FALSE)),IF(ISNA(VLOOKUP(B86,'Regioturnier 1'!$J$3:$K$34,2,FALSE))=TRUE,0,VLOOKUP(B86,'Regioturnier 1'!$J$3:$K$34,2,FALSE)),IF(ISNA(VLOOKUP(B86,'Regioturnier 1'!$N$3:$O$34,2,FALSE))=TRUE,0,VLOOKUP(B86,'Regioturnier 1'!$N$3:$O$34,2,FALSE)),IF(ISNA(VLOOKUP(B86,'Regioturnier 1'!$R$3:$S$34,2,FALSE))=TRUE,0,VLOOKUP(B86,'Regioturnier 1'!$R$3:$S$34,2,FALSE)), IF(ISNA(VLOOKUP(B86,'Regioturnier 1'!$V$3:$W$34,2,FALSE))=TRUE,0,VLOOKUP(B86,'Regioturnier 1'!$V$3:$W$34,2,FALSE)), IF(ISNA(VLOOKUP(B86,'Regioturnier 1'!$Z$3:$AA$34,2,FALSE))=TRUE,0,VLOOKUP(B86,'Regioturnier 1'!$Z$3:$AA$34,2,FALSE)))</f>
        <v>0</v>
      </c>
      <c r="P86" s="15">
        <f>MAX(IF(ISNA(VLOOKUP(B86,'Regioturnier 2'!$B$3:$C$34,2,FALSE))=TRUE,0,VLOOKUP(B86,'Regioturnier 2'!$B$3:$C$34,2,FALSE)),IF(ISNA(VLOOKUP(B86,'Regioturnier 2'!$F$3:$G$34,2,FALSE))=TRUE,0,VLOOKUP(B86,'Regioturnier 2'!$F$3:$G$34,2,FALSE)),IF(ISNA(VLOOKUP(B86,'Regioturnier 2'!$J$3:$K$34,2,FALSE))=TRUE,0,VLOOKUP(B86,'Regioturnier 2'!$J$3:$K$34,2,FALSE)),IF(ISNA(VLOOKUP(B86,'Regioturnier 2'!$N$3:$O$34,2,FALSE))=TRUE,0,VLOOKUP(B86,'Regioturnier 2'!$N$3:$O$34,2,FALSE)),IF(ISNA(VLOOKUP(B86,'Regioturnier 2'!$R$3:$S$34,2,FALSE))=TRUE,0,VLOOKUP(B86,'Regioturnier 2'!$R$3:$S$34,2,FALSE)), IF(ISNA(VLOOKUP(B86,'Regioturnier 2'!$V$3:$W$34,2,FALSE))=TRUE,0,VLOOKUP(B86,'Regioturnier 2'!$V$3:$W$34,2,FALSE)), IF(ISNA(VLOOKUP(B86,'Regioturnier 2'!$Z$3:$AA$34,2,FALSE))=TRUE,0,VLOOKUP(B86,'Regioturnier 2'!$Z$3:$AA$34,2,FALSE)))</f>
        <v>174</v>
      </c>
      <c r="Q86" s="15">
        <f>MAX(IF(ISNA(VLOOKUP(B86,'Regioturnier 3'!$B$3:$C$34,2,FALSE))=TRUE,0,VLOOKUP(B86,'Regioturnier 3'!$B$3:$C$34,2,FALSE)),IF(ISNA(VLOOKUP(B86,'Regioturnier 3'!$F$3:$G$34,2,FALSE))=TRUE,0,VLOOKUP(B86,'Regioturnier 3'!$F$3:$G$34,2,FALSE)),IF(ISNA(VLOOKUP(B86,'Regioturnier 3'!$J$3:$K$34,2,FALSE))=TRUE,0,VLOOKUP(B86,'Regioturnier 3'!$J$3:$K$34,2,FALSE)),IF(ISNA(VLOOKUP(B86,'Regioturnier 3'!$N$3:$O$34,2,FALSE))=TRUE,0,VLOOKUP(B86,'Regioturnier 3'!$N$3:$O$34,2,FALSE)),IF(ISNA(VLOOKUP(B86,'Regioturnier 3'!$R$3:$S$34,2,FALSE))=TRUE,0,VLOOKUP(B86,'Regioturnier 3'!$R$3:$S$34,2,FALSE)), IF(ISNA(VLOOKUP(B86,'Regioturnier 3'!$V$3:$W$34,2,FALSE))=TRUE,0,VLOOKUP(B86,'Regioturnier 3'!$V$3:$W$34,2,FALSE)), IF(ISNA(VLOOKUP(B86,'Regioturnier 3'!$Z$3:$AA$34,2,FALSE))=TRUE,0,VLOOKUP(B86,'Regioturnier 3'!$Z$3:$AA$34,2,FALSE)))</f>
        <v>0</v>
      </c>
      <c r="R86" s="20">
        <f>0.5*INDEX($H86:$N86,MATCH(LARGE($H86:$N86,1),$H86:$N86,0))+0.3*INDEX($H86:$N86,MATCH(LARGE($H86:$N86,2),$H86:$N86,0))+0.2*INDEX($H86:$N86,MATCH(LARGE($H86:$N86,3),$H86:$N86,0))</f>
        <v>69</v>
      </c>
      <c r="S86" s="20">
        <f>0.6*INDEX(O86:Q86,MATCH(LARGE(O86:Q86,1),O86:Q86,0))+0.4*INDEX(O86:Q86,MATCH(LARGE(O86:Q86,2),O86:Q86,0))+0*INDEX(O86:Q86,MATCH(LARGE(O86:Q86,3),O86:Q86,0))</f>
        <v>104.39999999999999</v>
      </c>
      <c r="T86" s="15">
        <f>1*INDEX(R86:S86,MATCH(LARGE(R86:S86,1),R86:S86,0))+0*INDEX(R86:S86,MATCH(LARGE(R86:S86,2),R86:S86,0))</f>
        <v>104.39999999999999</v>
      </c>
      <c r="U86" s="21"/>
      <c r="V86" s="21"/>
      <c r="W86" s="21"/>
      <c r="X86" s="21"/>
      <c r="Y86" s="21"/>
      <c r="Z86" s="21"/>
    </row>
    <row r="87" spans="1:26" ht="12.75" customHeight="1" x14ac:dyDescent="0.3">
      <c r="A87" s="15">
        <v>86</v>
      </c>
      <c r="B87" s="16" t="s">
        <v>513</v>
      </c>
      <c r="C87" s="17" t="s">
        <v>28</v>
      </c>
      <c r="D87" s="15" t="s">
        <v>22</v>
      </c>
      <c r="E87" s="18" t="s">
        <v>40</v>
      </c>
      <c r="F87" s="15">
        <v>209113</v>
      </c>
      <c r="G87" s="22">
        <v>2017</v>
      </c>
      <c r="H87" s="15">
        <f>MAX(IF(ISNA(VLOOKUP(B87,'WBV 1'!$B$3:$C$34,2,FALSE))=TRUE,0,VLOOKUP(B87,'WBV 1'!$B$3:$C$34,2,FALSE)),IF(ISNA(VLOOKUP(B87,'WBV 1'!$F$3:$G$34,2,FALSE))=TRUE,0,VLOOKUP(B87,'WBV 1'!$F$3:$G$34,2,FALSE)),IF(ISNA(VLOOKUP(B87,'WBV 1'!$J$3:$K$34,2,FALSE))=TRUE,0,VLOOKUP(B87,'WBV 1'!$J$3:$K$34,2,FALSE)),IF(ISNA(VLOOKUP(B87,'WBV 1'!$N$3:$O$34,2,FALSE))=TRUE,0,VLOOKUP(B87,'WBV 1'!$N$3:$O$34,2,FALSE)))</f>
        <v>0</v>
      </c>
      <c r="I87" s="15">
        <f>MAX(IF(ISNA(VLOOKUP(B87,'WBV 2'!$B$3:$C$34,2,FALSE))=TRUE,0,VLOOKUP(B87,'WBV 2'!$B$3:$C$34,2,FALSE)),IF(ISNA(VLOOKUP(B87,'WBV 2'!$F$3:$G$34,2,FALSE))=TRUE,0,VLOOKUP(B87,'WBV 2'!$F$3:$G$34,2,FALSE)),IF(ISNA(VLOOKUP(B87,'WBV 2'!$J$3:$K$34,2,FALSE))=TRUE,0,VLOOKUP(B87,'WBV 2'!$J$3:$K$34,2,FALSE)),IF(ISNA(VLOOKUP(B87,'WBV 2'!$N$3:$O$34,2,FALSE))=TRUE,0,VLOOKUP(B87,'WBV 2'!$N$3:$O$34,2,FALSE)))</f>
        <v>0</v>
      </c>
      <c r="J87" s="15">
        <f>MAX(IF(ISNA(VLOOKUP(B87,'WBV 3'!$B$3:$C$34,2,FALSE))=TRUE,0,VLOOKUP(B87,'WBV 3'!$B$3:$C$34,2,FALSE)),IF(ISNA(VLOOKUP(B87,'WBV 3'!$F$3:$G$34,2,FALSE))=TRUE,0,VLOOKUP(B87,'WBV 3'!$F$3:$G$34,2,FALSE)),IF(ISNA(VLOOKUP(B87,'WBV 3'!$J$3:$K$34,2,FALSE))=TRUE,0,VLOOKUP(B87,'WBV 3'!$J$3:$K$34,2,FALSE)),IF(ISNA(VLOOKUP(B87,'WBV 3'!$N$3:$O$34,2,FALSE))=TRUE,0,VLOOKUP(B87,'WBV 3'!$N$3:$O$34,2,FALSE)))</f>
        <v>0</v>
      </c>
      <c r="K87" s="15">
        <f>MAX(IF(ISNA(VLOOKUP(B87,'WBV 4'!$B$3:$C$34,2,FALSE))=TRUE,0,VLOOKUP(B87,'WBV 4'!$B$3:$C$34,2,FALSE)),IF(ISNA(VLOOKUP(B87,'WBV 4'!$F$3:$G$34,2,FALSE))=TRUE,0,VLOOKUP(B87,'WBV 4'!$F$3:$G$34,2,FALSE)),IF(ISNA(VLOOKUP(B87,'WBV 4'!$J$3:$K$34,2,FALSE))=TRUE,0,VLOOKUP(B87,'WBV 4'!$J$3:$K$34,2,FALSE)),IF(ISNA(VLOOKUP(B87,'WBV 4'!$N$3:$O$34,2,FALSE))=TRUE,0,VLOOKUP(B87,'WBV 4'!$N$3:$O$34,2,FALSE)))</f>
        <v>0</v>
      </c>
      <c r="L87" s="19">
        <f>MAX(IF(ISNA(VLOOKUP(B87,'NÖBV 1'!$B$3:$C$34,2,FALSE))=TRUE,0,VLOOKUP(B87,'NÖBV 1'!$B$3:$C$34,2,FALSE)),IF(ISNA(VLOOKUP(B87,'NÖBV 1'!$F$3:$G$34,2,FALSE))=TRUE,0,VLOOKUP(B87,'NÖBV 1'!$F$3:$G$34,2,FALSE)),IF(ISNA(VLOOKUP(B87,'NÖBV 1'!$J$3:$K$34,2,FALSE))=TRUE,0,VLOOKUP(B87,'NÖBV 1'!$J$3:$K$34,2,FALSE)),IF(ISNA(VLOOKUP(B87,'NÖBV 1'!$N$3:$O$34,2,FALSE))=TRUE,0,VLOOKUP(B87,'NÖBV 1'!$N$3:$O$34,2,FALSE)))</f>
        <v>0</v>
      </c>
      <c r="M87" s="19">
        <f>MAX(IF(ISNA(VLOOKUP(B87,'NÖBV 2'!$B$3:$C$34,2,FALSE))=TRUE,0,VLOOKUP(B87,'NÖBV 2'!$B$3:$C$34,2,FALSE)),IF(ISNA(VLOOKUP(B87,'NÖBV 2'!$F$3:$G$34,2,FALSE))=TRUE,0,VLOOKUP(B87,'NÖBV 2'!$F$3:$G$34,2,FALSE)),IF(ISNA(VLOOKUP(B87,'NÖBV 2'!$J$3:$K$34,2,FALSE))=TRUE,0,VLOOKUP(B87,'NÖBV 2'!$J$3:$K$34,2,FALSE)),IF(ISNA(VLOOKUP(B87,'NÖBV 2'!$N$3:$O$34,2,FALSE))=TRUE,0,VLOOKUP(B87,'NÖBV 2'!$N$3:$O$34,2,FALSE)))</f>
        <v>0</v>
      </c>
      <c r="N87" s="19">
        <f>MAX(IF(ISNA(VLOOKUP(B87,'NÖBV 3'!$B$3:$C$34,2,FALSE))=TRUE,0,VLOOKUP(B87,'NÖBV 3'!$B$3:$C$34,2,FALSE)),IF(ISNA(VLOOKUP(B87,'NÖBV 3'!$F$3:$G$34,2,FALSE))=TRUE,0,VLOOKUP(B87,'NÖBV 3'!$F$3:$G$34,2,FALSE)),IF(ISNA(VLOOKUP(B87,'NÖBV 3'!$J$3:$K$34,2,FALSE))=TRUE,0,VLOOKUP(B87,'NÖBV 3'!$J$3:$K$34,2,FALSE)),IF(ISNA(VLOOKUP(B87,'NÖBV 3'!$N$3:$O$34,2,FALSE))=TRUE,0,VLOOKUP(B87,'NÖBV 3'!$N$3:$O$34,2,FALSE)))</f>
        <v>0</v>
      </c>
      <c r="O87" s="15">
        <f>MAX(IF(ISNA(VLOOKUP(B87,'Regioturnier 1'!$B$3:$C$34,2,FALSE))=TRUE,0,VLOOKUP(B87,'Regioturnier 1'!$B$3:$C$34,2,FALSE)),IF(ISNA(VLOOKUP(B87,'Regioturnier 1'!$F$3:$G$34,2,FALSE))=TRUE,0,VLOOKUP(B87,'Regioturnier 1'!$F$3:$G$34,2,FALSE)),IF(ISNA(VLOOKUP(B87,'Regioturnier 1'!$J$3:$K$34,2,FALSE))=TRUE,0,VLOOKUP(B87,'Regioturnier 1'!$J$3:$K$34,2,FALSE)),IF(ISNA(VLOOKUP(B87,'Regioturnier 1'!$N$3:$O$34,2,FALSE))=TRUE,0,VLOOKUP(B87,'Regioturnier 1'!$N$3:$O$34,2,FALSE)),IF(ISNA(VLOOKUP(B87,'Regioturnier 1'!$R$3:$S$34,2,FALSE))=TRUE,0,VLOOKUP(B87,'Regioturnier 1'!$R$3:$S$34,2,FALSE)), IF(ISNA(VLOOKUP(B87,'Regioturnier 1'!$V$3:$W$34,2,FALSE))=TRUE,0,VLOOKUP(B87,'Regioturnier 1'!$V$3:$W$34,2,FALSE)), IF(ISNA(VLOOKUP(B87,'Regioturnier 1'!$Z$3:$AA$34,2,FALSE))=TRUE,0,VLOOKUP(B87,'Regioturnier 1'!$Z$3:$AA$34,2,FALSE)))</f>
        <v>174</v>
      </c>
      <c r="P87" s="15">
        <f>MAX(IF(ISNA(VLOOKUP(B87,'Regioturnier 2'!$B$3:$C$34,2,FALSE))=TRUE,0,VLOOKUP(B87,'Regioturnier 2'!$B$3:$C$34,2,FALSE)),IF(ISNA(VLOOKUP(B87,'Regioturnier 2'!$F$3:$G$34,2,FALSE))=TRUE,0,VLOOKUP(B87,'Regioturnier 2'!$F$3:$G$34,2,FALSE)),IF(ISNA(VLOOKUP(B87,'Regioturnier 2'!$J$3:$K$34,2,FALSE))=TRUE,0,VLOOKUP(B87,'Regioturnier 2'!$J$3:$K$34,2,FALSE)),IF(ISNA(VLOOKUP(B87,'Regioturnier 2'!$N$3:$O$34,2,FALSE))=TRUE,0,VLOOKUP(B87,'Regioturnier 2'!$N$3:$O$34,2,FALSE)),IF(ISNA(VLOOKUP(B87,'Regioturnier 2'!$R$3:$S$34,2,FALSE))=TRUE,0,VLOOKUP(B87,'Regioturnier 2'!$R$3:$S$34,2,FALSE)), IF(ISNA(VLOOKUP(B87,'Regioturnier 2'!$V$3:$W$34,2,FALSE))=TRUE,0,VLOOKUP(B87,'Regioturnier 2'!$V$3:$W$34,2,FALSE)), IF(ISNA(VLOOKUP(B87,'Regioturnier 2'!$Z$3:$AA$34,2,FALSE))=TRUE,0,VLOOKUP(B87,'Regioturnier 2'!$Z$3:$AA$34,2,FALSE)))</f>
        <v>0</v>
      </c>
      <c r="Q87" s="15">
        <f>MAX(IF(ISNA(VLOOKUP(B87,'Regioturnier 3'!$B$3:$C$34,2,FALSE))=TRUE,0,VLOOKUP(B87,'Regioturnier 3'!$B$3:$C$34,2,FALSE)),IF(ISNA(VLOOKUP(B87,'Regioturnier 3'!$F$3:$G$34,2,FALSE))=TRUE,0,VLOOKUP(B87,'Regioturnier 3'!$F$3:$G$34,2,FALSE)),IF(ISNA(VLOOKUP(B87,'Regioturnier 3'!$J$3:$K$34,2,FALSE))=TRUE,0,VLOOKUP(B87,'Regioturnier 3'!$J$3:$K$34,2,FALSE)),IF(ISNA(VLOOKUP(B87,'Regioturnier 3'!$N$3:$O$34,2,FALSE))=TRUE,0,VLOOKUP(B87,'Regioturnier 3'!$N$3:$O$34,2,FALSE)),IF(ISNA(VLOOKUP(B87,'Regioturnier 3'!$R$3:$S$34,2,FALSE))=TRUE,0,VLOOKUP(B87,'Regioturnier 3'!$R$3:$S$34,2,FALSE)), IF(ISNA(VLOOKUP(B87,'Regioturnier 3'!$V$3:$W$34,2,FALSE))=TRUE,0,VLOOKUP(B87,'Regioturnier 3'!$V$3:$W$34,2,FALSE)), IF(ISNA(VLOOKUP(B87,'Regioturnier 3'!$Z$3:$AA$34,2,FALSE))=TRUE,0,VLOOKUP(B87,'Regioturnier 3'!$Z$3:$AA$34,2,FALSE)))</f>
        <v>0</v>
      </c>
      <c r="R87" s="20">
        <f>0.5*INDEX($H87:$N87,MATCH(LARGE($H87:$N87,1),$H87:$N87,0))+0.3*INDEX($H87:$N87,MATCH(LARGE($H87:$N87,2),$H87:$N87,0))+0.2*INDEX($H87:$N87,MATCH(LARGE($H87:$N87,3),$H87:$N87,0))</f>
        <v>0</v>
      </c>
      <c r="S87" s="20">
        <f>0.6*INDEX(O87:Q87,MATCH(LARGE(O87:Q87,1),O87:Q87,0))+0.4*INDEX(O87:Q87,MATCH(LARGE(O87:Q87,2),O87:Q87,0))+0*INDEX(O87:Q87,MATCH(LARGE(O87:Q87,3),O87:Q87,0))</f>
        <v>104.39999999999999</v>
      </c>
      <c r="T87" s="15">
        <f>1*INDEX(R87:S87,MATCH(LARGE(R87:S87,1),R87:S87,0))+0*INDEX(R87:S87,MATCH(LARGE(R87:S87,2),R87:S87,0))</f>
        <v>104.39999999999999</v>
      </c>
      <c r="U87" s="21"/>
      <c r="V87" s="21"/>
      <c r="W87" s="21"/>
      <c r="X87" s="21"/>
      <c r="Y87" s="21"/>
      <c r="Z87" s="21"/>
    </row>
    <row r="88" spans="1:26" ht="12.75" customHeight="1" x14ac:dyDescent="0.3">
      <c r="A88" s="15">
        <v>87</v>
      </c>
      <c r="B88" s="16" t="s">
        <v>304</v>
      </c>
      <c r="C88" s="17" t="s">
        <v>46</v>
      </c>
      <c r="D88" s="15" t="s">
        <v>26</v>
      </c>
      <c r="E88" s="18" t="s">
        <v>23</v>
      </c>
      <c r="F88" s="15" t="s">
        <v>305</v>
      </c>
      <c r="G88" s="22">
        <v>2014</v>
      </c>
      <c r="H88" s="15">
        <f>MAX(IF(ISNA(VLOOKUP(B88,'WBV 1'!$B$3:$C$34,2,FALSE))=TRUE,0,VLOOKUP(B88,'WBV 1'!$B$3:$C$34,2,FALSE)),IF(ISNA(VLOOKUP(B88,'WBV 1'!$F$3:$G$34,2,FALSE))=TRUE,0,VLOOKUP(B88,'WBV 1'!$F$3:$G$34,2,FALSE)),IF(ISNA(VLOOKUP(B88,'WBV 1'!$J$3:$K$34,2,FALSE))=TRUE,0,VLOOKUP(B88,'WBV 1'!$J$3:$K$34,2,FALSE)),IF(ISNA(VLOOKUP(B88,'WBV 1'!$N$3:$O$34,2,FALSE))=TRUE,0,VLOOKUP(B88,'WBV 1'!$N$3:$O$34,2,FALSE)))</f>
        <v>165</v>
      </c>
      <c r="I88" s="15">
        <f>MAX(IF(ISNA(VLOOKUP(B88,'WBV 2'!$B$3:$C$34,2,FALSE))=TRUE,0,VLOOKUP(B88,'WBV 2'!$B$3:$C$34,2,FALSE)),IF(ISNA(VLOOKUP(B88,'WBV 2'!$F$3:$G$34,2,FALSE))=TRUE,0,VLOOKUP(B88,'WBV 2'!$F$3:$G$34,2,FALSE)),IF(ISNA(VLOOKUP(B88,'WBV 2'!$J$3:$K$34,2,FALSE))=TRUE,0,VLOOKUP(B88,'WBV 2'!$J$3:$K$34,2,FALSE)),IF(ISNA(VLOOKUP(B88,'WBV 2'!$N$3:$O$34,2,FALSE))=TRUE,0,VLOOKUP(B88,'WBV 2'!$N$3:$O$34,2,FALSE)))</f>
        <v>0</v>
      </c>
      <c r="J88" s="15">
        <f>MAX(IF(ISNA(VLOOKUP(B88,'WBV 3'!$B$3:$C$34,2,FALSE))=TRUE,0,VLOOKUP(B88,'WBV 3'!$B$3:$C$34,2,FALSE)),IF(ISNA(VLOOKUP(B88,'WBV 3'!$F$3:$G$34,2,FALSE))=TRUE,0,VLOOKUP(B88,'WBV 3'!$F$3:$G$34,2,FALSE)),IF(ISNA(VLOOKUP(B88,'WBV 3'!$J$3:$K$34,2,FALSE))=TRUE,0,VLOOKUP(B88,'WBV 3'!$J$3:$K$34,2,FALSE)),IF(ISNA(VLOOKUP(B88,'WBV 3'!$N$3:$O$34,2,FALSE))=TRUE,0,VLOOKUP(B88,'WBV 3'!$N$3:$O$34,2,FALSE)))</f>
        <v>0</v>
      </c>
      <c r="K88" s="15">
        <f>MAX(IF(ISNA(VLOOKUP(B88,'WBV 4'!$B$3:$C$34,2,FALSE))=TRUE,0,VLOOKUP(B88,'WBV 4'!$B$3:$C$34,2,FALSE)),IF(ISNA(VLOOKUP(B88,'WBV 4'!$F$3:$G$34,2,FALSE))=TRUE,0,VLOOKUP(B88,'WBV 4'!$F$3:$G$34,2,FALSE)),IF(ISNA(VLOOKUP(B88,'WBV 4'!$J$3:$K$34,2,FALSE))=TRUE,0,VLOOKUP(B88,'WBV 4'!$J$3:$K$34,2,FALSE)),IF(ISNA(VLOOKUP(B88,'WBV 4'!$N$3:$O$34,2,FALSE))=TRUE,0,VLOOKUP(B88,'WBV 4'!$N$3:$O$34,2,FALSE)))</f>
        <v>0</v>
      </c>
      <c r="L88" s="19">
        <f>MAX(IF(ISNA(VLOOKUP(B88,'NÖBV 1'!$B$3:$C$34,2,FALSE))=TRUE,0,VLOOKUP(B88,'NÖBV 1'!$B$3:$C$34,2,FALSE)),IF(ISNA(VLOOKUP(B88,'NÖBV 1'!$F$3:$G$34,2,FALSE))=TRUE,0,VLOOKUP(B88,'NÖBV 1'!$F$3:$G$34,2,FALSE)),IF(ISNA(VLOOKUP(B88,'NÖBV 1'!$J$3:$K$34,2,FALSE))=TRUE,0,VLOOKUP(B88,'NÖBV 1'!$J$3:$K$34,2,FALSE)),IF(ISNA(VLOOKUP(B88,'NÖBV 1'!$N$3:$O$34,2,FALSE))=TRUE,0,VLOOKUP(B88,'NÖBV 1'!$N$3:$O$34,2,FALSE)))</f>
        <v>0</v>
      </c>
      <c r="M88" s="19">
        <f>MAX(IF(ISNA(VLOOKUP(B88,'NÖBV 2'!$B$3:$C$34,2,FALSE))=TRUE,0,VLOOKUP(B88,'NÖBV 2'!$B$3:$C$34,2,FALSE)),IF(ISNA(VLOOKUP(B88,'NÖBV 2'!$F$3:$G$34,2,FALSE))=TRUE,0,VLOOKUP(B88,'NÖBV 2'!$F$3:$G$34,2,FALSE)),IF(ISNA(VLOOKUP(B88,'NÖBV 2'!$J$3:$K$34,2,FALSE))=TRUE,0,VLOOKUP(B88,'NÖBV 2'!$J$3:$K$34,2,FALSE)),IF(ISNA(VLOOKUP(B88,'NÖBV 2'!$N$3:$O$34,2,FALSE))=TRUE,0,VLOOKUP(B88,'NÖBV 2'!$N$3:$O$34,2,FALSE)))</f>
        <v>0</v>
      </c>
      <c r="N88" s="19">
        <f>MAX(IF(ISNA(VLOOKUP(B88,'NÖBV 3'!$B$3:$C$34,2,FALSE))=TRUE,0,VLOOKUP(B88,'NÖBV 3'!$B$3:$C$34,2,FALSE)),IF(ISNA(VLOOKUP(B88,'NÖBV 3'!$F$3:$G$34,2,FALSE))=TRUE,0,VLOOKUP(B88,'NÖBV 3'!$F$3:$G$34,2,FALSE)),IF(ISNA(VLOOKUP(B88,'NÖBV 3'!$J$3:$K$34,2,FALSE))=TRUE,0,VLOOKUP(B88,'NÖBV 3'!$J$3:$K$34,2,FALSE)),IF(ISNA(VLOOKUP(B88,'NÖBV 3'!$N$3:$O$34,2,FALSE))=TRUE,0,VLOOKUP(B88,'NÖBV 3'!$N$3:$O$34,2,FALSE)))</f>
        <v>0</v>
      </c>
      <c r="O88" s="15">
        <f>MAX(IF(ISNA(VLOOKUP(B88,'Regioturnier 1'!$B$3:$C$34,2,FALSE))=TRUE,0,VLOOKUP(B88,'Regioturnier 1'!$B$3:$C$34,2,FALSE)),IF(ISNA(VLOOKUP(B88,'Regioturnier 1'!$F$3:$G$34,2,FALSE))=TRUE,0,VLOOKUP(B88,'Regioturnier 1'!$F$3:$G$34,2,FALSE)),IF(ISNA(VLOOKUP(B88,'Regioturnier 1'!$J$3:$K$34,2,FALSE))=TRUE,0,VLOOKUP(B88,'Regioturnier 1'!$J$3:$K$34,2,FALSE)),IF(ISNA(VLOOKUP(B88,'Regioturnier 1'!$N$3:$O$34,2,FALSE))=TRUE,0,VLOOKUP(B88,'Regioturnier 1'!$N$3:$O$34,2,FALSE)),IF(ISNA(VLOOKUP(B88,'Regioturnier 1'!$R$3:$S$34,2,FALSE))=TRUE,0,VLOOKUP(B88,'Regioturnier 1'!$R$3:$S$34,2,FALSE)), IF(ISNA(VLOOKUP(B88,'Regioturnier 1'!$V$3:$W$34,2,FALSE))=TRUE,0,VLOOKUP(B88,'Regioturnier 1'!$V$3:$W$34,2,FALSE)), IF(ISNA(VLOOKUP(B88,'Regioturnier 1'!$Z$3:$AA$34,2,FALSE))=TRUE,0,VLOOKUP(B88,'Regioturnier 1'!$Z$3:$AA$34,2,FALSE)))</f>
        <v>173</v>
      </c>
      <c r="P88" s="15">
        <f>MAX(IF(ISNA(VLOOKUP(B88,'Regioturnier 2'!$B$3:$C$34,2,FALSE))=TRUE,0,VLOOKUP(B88,'Regioturnier 2'!$B$3:$C$34,2,FALSE)),IF(ISNA(VLOOKUP(B88,'Regioturnier 2'!$F$3:$G$34,2,FALSE))=TRUE,0,VLOOKUP(B88,'Regioturnier 2'!$F$3:$G$34,2,FALSE)),IF(ISNA(VLOOKUP(B88,'Regioturnier 2'!$J$3:$K$34,2,FALSE))=TRUE,0,VLOOKUP(B88,'Regioturnier 2'!$J$3:$K$34,2,FALSE)),IF(ISNA(VLOOKUP(B88,'Regioturnier 2'!$N$3:$O$34,2,FALSE))=TRUE,0,VLOOKUP(B88,'Regioturnier 2'!$N$3:$O$34,2,FALSE)),IF(ISNA(VLOOKUP(B88,'Regioturnier 2'!$R$3:$S$34,2,FALSE))=TRUE,0,VLOOKUP(B88,'Regioturnier 2'!$R$3:$S$34,2,FALSE)), IF(ISNA(VLOOKUP(B88,'Regioturnier 2'!$V$3:$W$34,2,FALSE))=TRUE,0,VLOOKUP(B88,'Regioturnier 2'!$V$3:$W$34,2,FALSE)), IF(ISNA(VLOOKUP(B88,'Regioturnier 2'!$Z$3:$AA$34,2,FALSE))=TRUE,0,VLOOKUP(B88,'Regioturnier 2'!$Z$3:$AA$34,2,FALSE)))</f>
        <v>0</v>
      </c>
      <c r="Q88" s="15">
        <f>MAX(IF(ISNA(VLOOKUP(B88,'Regioturnier 3'!$B$3:$C$34,2,FALSE))=TRUE,0,VLOOKUP(B88,'Regioturnier 3'!$B$3:$C$34,2,FALSE)),IF(ISNA(VLOOKUP(B88,'Regioturnier 3'!$F$3:$G$34,2,FALSE))=TRUE,0,VLOOKUP(B88,'Regioturnier 3'!$F$3:$G$34,2,FALSE)),IF(ISNA(VLOOKUP(B88,'Regioturnier 3'!$J$3:$K$34,2,FALSE))=TRUE,0,VLOOKUP(B88,'Regioturnier 3'!$J$3:$K$34,2,FALSE)),IF(ISNA(VLOOKUP(B88,'Regioturnier 3'!$N$3:$O$34,2,FALSE))=TRUE,0,VLOOKUP(B88,'Regioturnier 3'!$N$3:$O$34,2,FALSE)),IF(ISNA(VLOOKUP(B88,'Regioturnier 3'!$R$3:$S$34,2,FALSE))=TRUE,0,VLOOKUP(B88,'Regioturnier 3'!$R$3:$S$34,2,FALSE)), IF(ISNA(VLOOKUP(B88,'Regioturnier 3'!$V$3:$W$34,2,FALSE))=TRUE,0,VLOOKUP(B88,'Regioturnier 3'!$V$3:$W$34,2,FALSE)), IF(ISNA(VLOOKUP(B88,'Regioturnier 3'!$Z$3:$AA$34,2,FALSE))=TRUE,0,VLOOKUP(B88,'Regioturnier 3'!$Z$3:$AA$34,2,FALSE)))</f>
        <v>0</v>
      </c>
      <c r="R88" s="20">
        <f>0.5*INDEX($H88:$N88,MATCH(LARGE($H88:$N88,1),$H88:$N88,0))+0.3*INDEX($H88:$N88,MATCH(LARGE($H88:$N88,2),$H88:$N88,0))+0.2*INDEX($H88:$N88,MATCH(LARGE($H88:$N88,3),$H88:$N88,0))</f>
        <v>82.5</v>
      </c>
      <c r="S88" s="20">
        <f>0.6*INDEX(O88:Q88,MATCH(LARGE(O88:Q88,1),O88:Q88,0))+0.4*INDEX(O88:Q88,MATCH(LARGE(O88:Q88,2),O88:Q88,0))+0*INDEX(O88:Q88,MATCH(LARGE(O88:Q88,3),O88:Q88,0))</f>
        <v>103.8</v>
      </c>
      <c r="T88" s="15">
        <f>1*INDEX(R88:S88,MATCH(LARGE(R88:S88,1),R88:S88,0))+0*INDEX(R88:S88,MATCH(LARGE(R88:S88,2),R88:S88,0))</f>
        <v>103.8</v>
      </c>
      <c r="U88" s="21"/>
      <c r="V88" s="21"/>
      <c r="W88" s="21"/>
      <c r="X88" s="21"/>
      <c r="Y88" s="21"/>
      <c r="Z88" s="21"/>
    </row>
    <row r="89" spans="1:26" ht="12.75" customHeight="1" x14ac:dyDescent="0.3">
      <c r="A89" s="15">
        <v>88</v>
      </c>
      <c r="B89" s="16" t="s">
        <v>514</v>
      </c>
      <c r="C89" s="17" t="s">
        <v>28</v>
      </c>
      <c r="D89" s="15" t="s">
        <v>22</v>
      </c>
      <c r="E89" s="18" t="s">
        <v>40</v>
      </c>
      <c r="F89" s="15">
        <v>208956</v>
      </c>
      <c r="G89" s="22">
        <v>2017</v>
      </c>
      <c r="H89" s="15">
        <f>MAX(IF(ISNA(VLOOKUP(B89,'WBV 1'!$B$3:$C$34,2,FALSE))=TRUE,0,VLOOKUP(B89,'WBV 1'!$B$3:$C$34,2,FALSE)),IF(ISNA(VLOOKUP(B89,'WBV 1'!$F$3:$G$34,2,FALSE))=TRUE,0,VLOOKUP(B89,'WBV 1'!$F$3:$G$34,2,FALSE)),IF(ISNA(VLOOKUP(B89,'WBV 1'!$J$3:$K$34,2,FALSE))=TRUE,0,VLOOKUP(B89,'WBV 1'!$J$3:$K$34,2,FALSE)),IF(ISNA(VLOOKUP(B89,'WBV 1'!$N$3:$O$34,2,FALSE))=TRUE,0,VLOOKUP(B89,'WBV 1'!$N$3:$O$34,2,FALSE)))</f>
        <v>0</v>
      </c>
      <c r="I89" s="15">
        <f>MAX(IF(ISNA(VLOOKUP(B89,'WBV 2'!$B$3:$C$34,2,FALSE))=TRUE,0,VLOOKUP(B89,'WBV 2'!$B$3:$C$34,2,FALSE)),IF(ISNA(VLOOKUP(B89,'WBV 2'!$F$3:$G$34,2,FALSE))=TRUE,0,VLOOKUP(B89,'WBV 2'!$F$3:$G$34,2,FALSE)),IF(ISNA(VLOOKUP(B89,'WBV 2'!$J$3:$K$34,2,FALSE))=TRUE,0,VLOOKUP(B89,'WBV 2'!$J$3:$K$34,2,FALSE)),IF(ISNA(VLOOKUP(B89,'WBV 2'!$N$3:$O$34,2,FALSE))=TRUE,0,VLOOKUP(B89,'WBV 2'!$N$3:$O$34,2,FALSE)))</f>
        <v>0</v>
      </c>
      <c r="J89" s="15">
        <f>MAX(IF(ISNA(VLOOKUP(B89,'WBV 3'!$B$3:$C$34,2,FALSE))=TRUE,0,VLOOKUP(B89,'WBV 3'!$B$3:$C$34,2,FALSE)),IF(ISNA(VLOOKUP(B89,'WBV 3'!$F$3:$G$34,2,FALSE))=TRUE,0,VLOOKUP(B89,'WBV 3'!$F$3:$G$34,2,FALSE)),IF(ISNA(VLOOKUP(B89,'WBV 3'!$J$3:$K$34,2,FALSE))=TRUE,0,VLOOKUP(B89,'WBV 3'!$J$3:$K$34,2,FALSE)),IF(ISNA(VLOOKUP(B89,'WBV 3'!$N$3:$O$34,2,FALSE))=TRUE,0,VLOOKUP(B89,'WBV 3'!$N$3:$O$34,2,FALSE)))</f>
        <v>0</v>
      </c>
      <c r="K89" s="15">
        <f>MAX(IF(ISNA(VLOOKUP(B89,'WBV 4'!$B$3:$C$34,2,FALSE))=TRUE,0,VLOOKUP(B89,'WBV 4'!$B$3:$C$34,2,FALSE)),IF(ISNA(VLOOKUP(B89,'WBV 4'!$F$3:$G$34,2,FALSE))=TRUE,0,VLOOKUP(B89,'WBV 4'!$F$3:$G$34,2,FALSE)),IF(ISNA(VLOOKUP(B89,'WBV 4'!$J$3:$K$34,2,FALSE))=TRUE,0,VLOOKUP(B89,'WBV 4'!$J$3:$K$34,2,FALSE)),IF(ISNA(VLOOKUP(B89,'WBV 4'!$N$3:$O$34,2,FALSE))=TRUE,0,VLOOKUP(B89,'WBV 4'!$N$3:$O$34,2,FALSE)))</f>
        <v>0</v>
      </c>
      <c r="L89" s="19">
        <f>MAX(IF(ISNA(VLOOKUP(B89,'NÖBV 1'!$B$3:$C$34,2,FALSE))=TRUE,0,VLOOKUP(B89,'NÖBV 1'!$B$3:$C$34,2,FALSE)),IF(ISNA(VLOOKUP(B89,'NÖBV 1'!$F$3:$G$34,2,FALSE))=TRUE,0,VLOOKUP(B89,'NÖBV 1'!$F$3:$G$34,2,FALSE)),IF(ISNA(VLOOKUP(B89,'NÖBV 1'!$J$3:$K$34,2,FALSE))=TRUE,0,VLOOKUP(B89,'NÖBV 1'!$J$3:$K$34,2,FALSE)),IF(ISNA(VLOOKUP(B89,'NÖBV 1'!$N$3:$O$34,2,FALSE))=TRUE,0,VLOOKUP(B89,'NÖBV 1'!$N$3:$O$34,2,FALSE)))</f>
        <v>0</v>
      </c>
      <c r="M89" s="19">
        <f>MAX(IF(ISNA(VLOOKUP(B89,'NÖBV 2'!$B$3:$C$34,2,FALSE))=TRUE,0,VLOOKUP(B89,'NÖBV 2'!$B$3:$C$34,2,FALSE)),IF(ISNA(VLOOKUP(B89,'NÖBV 2'!$F$3:$G$34,2,FALSE))=TRUE,0,VLOOKUP(B89,'NÖBV 2'!$F$3:$G$34,2,FALSE)),IF(ISNA(VLOOKUP(B89,'NÖBV 2'!$J$3:$K$34,2,FALSE))=TRUE,0,VLOOKUP(B89,'NÖBV 2'!$J$3:$K$34,2,FALSE)),IF(ISNA(VLOOKUP(B89,'NÖBV 2'!$N$3:$O$34,2,FALSE))=TRUE,0,VLOOKUP(B89,'NÖBV 2'!$N$3:$O$34,2,FALSE)))</f>
        <v>0</v>
      </c>
      <c r="N89" s="19">
        <f>MAX(IF(ISNA(VLOOKUP(B89,'NÖBV 3'!$B$3:$C$34,2,FALSE))=TRUE,0,VLOOKUP(B89,'NÖBV 3'!$B$3:$C$34,2,FALSE)),IF(ISNA(VLOOKUP(B89,'NÖBV 3'!$F$3:$G$34,2,FALSE))=TRUE,0,VLOOKUP(B89,'NÖBV 3'!$F$3:$G$34,2,FALSE)),IF(ISNA(VLOOKUP(B89,'NÖBV 3'!$J$3:$K$34,2,FALSE))=TRUE,0,VLOOKUP(B89,'NÖBV 3'!$J$3:$K$34,2,FALSE)),IF(ISNA(VLOOKUP(B89,'NÖBV 3'!$N$3:$O$34,2,FALSE))=TRUE,0,VLOOKUP(B89,'NÖBV 3'!$N$3:$O$34,2,FALSE)))</f>
        <v>0</v>
      </c>
      <c r="O89" s="15">
        <f>MAX(IF(ISNA(VLOOKUP(B89,'Regioturnier 1'!$B$3:$C$34,2,FALSE))=TRUE,0,VLOOKUP(B89,'Regioturnier 1'!$B$3:$C$34,2,FALSE)),IF(ISNA(VLOOKUP(B89,'Regioturnier 1'!$F$3:$G$34,2,FALSE))=TRUE,0,VLOOKUP(B89,'Regioturnier 1'!$F$3:$G$34,2,FALSE)),IF(ISNA(VLOOKUP(B89,'Regioturnier 1'!$J$3:$K$34,2,FALSE))=TRUE,0,VLOOKUP(B89,'Regioturnier 1'!$J$3:$K$34,2,FALSE)),IF(ISNA(VLOOKUP(B89,'Regioturnier 1'!$N$3:$O$34,2,FALSE))=TRUE,0,VLOOKUP(B89,'Regioturnier 1'!$N$3:$O$34,2,FALSE)),IF(ISNA(VLOOKUP(B89,'Regioturnier 1'!$R$3:$S$34,2,FALSE))=TRUE,0,VLOOKUP(B89,'Regioturnier 1'!$R$3:$S$34,2,FALSE)), IF(ISNA(VLOOKUP(B89,'Regioturnier 1'!$V$3:$W$34,2,FALSE))=TRUE,0,VLOOKUP(B89,'Regioturnier 1'!$V$3:$W$34,2,FALSE)), IF(ISNA(VLOOKUP(B89,'Regioturnier 1'!$Z$3:$AA$34,2,FALSE))=TRUE,0,VLOOKUP(B89,'Regioturnier 1'!$Z$3:$AA$34,2,FALSE)))</f>
        <v>169</v>
      </c>
      <c r="P89" s="15">
        <f>MAX(IF(ISNA(VLOOKUP(B89,'Regioturnier 2'!$B$3:$C$34,2,FALSE))=TRUE,0,VLOOKUP(B89,'Regioturnier 2'!$B$3:$C$34,2,FALSE)),IF(ISNA(VLOOKUP(B89,'Regioturnier 2'!$F$3:$G$34,2,FALSE))=TRUE,0,VLOOKUP(B89,'Regioturnier 2'!$F$3:$G$34,2,FALSE)),IF(ISNA(VLOOKUP(B89,'Regioturnier 2'!$J$3:$K$34,2,FALSE))=TRUE,0,VLOOKUP(B89,'Regioturnier 2'!$J$3:$K$34,2,FALSE)),IF(ISNA(VLOOKUP(B89,'Regioturnier 2'!$N$3:$O$34,2,FALSE))=TRUE,0,VLOOKUP(B89,'Regioturnier 2'!$N$3:$O$34,2,FALSE)),IF(ISNA(VLOOKUP(B89,'Regioturnier 2'!$R$3:$S$34,2,FALSE))=TRUE,0,VLOOKUP(B89,'Regioturnier 2'!$R$3:$S$34,2,FALSE)), IF(ISNA(VLOOKUP(B89,'Regioturnier 2'!$V$3:$W$34,2,FALSE))=TRUE,0,VLOOKUP(B89,'Regioturnier 2'!$V$3:$W$34,2,FALSE)), IF(ISNA(VLOOKUP(B89,'Regioturnier 2'!$Z$3:$AA$34,2,FALSE))=TRUE,0,VLOOKUP(B89,'Regioturnier 2'!$Z$3:$AA$34,2,FALSE)))</f>
        <v>0</v>
      </c>
      <c r="Q89" s="15">
        <f>MAX(IF(ISNA(VLOOKUP(B89,'Regioturnier 3'!$B$3:$C$34,2,FALSE))=TRUE,0,VLOOKUP(B89,'Regioturnier 3'!$B$3:$C$34,2,FALSE)),IF(ISNA(VLOOKUP(B89,'Regioturnier 3'!$F$3:$G$34,2,FALSE))=TRUE,0,VLOOKUP(B89,'Regioturnier 3'!$F$3:$G$34,2,FALSE)),IF(ISNA(VLOOKUP(B89,'Regioturnier 3'!$J$3:$K$34,2,FALSE))=TRUE,0,VLOOKUP(B89,'Regioturnier 3'!$J$3:$K$34,2,FALSE)),IF(ISNA(VLOOKUP(B89,'Regioturnier 3'!$N$3:$O$34,2,FALSE))=TRUE,0,VLOOKUP(B89,'Regioturnier 3'!$N$3:$O$34,2,FALSE)),IF(ISNA(VLOOKUP(B89,'Regioturnier 3'!$R$3:$S$34,2,FALSE))=TRUE,0,VLOOKUP(B89,'Regioturnier 3'!$R$3:$S$34,2,FALSE)), IF(ISNA(VLOOKUP(B89,'Regioturnier 3'!$V$3:$W$34,2,FALSE))=TRUE,0,VLOOKUP(B89,'Regioturnier 3'!$V$3:$W$34,2,FALSE)), IF(ISNA(VLOOKUP(B89,'Regioturnier 3'!$Z$3:$AA$34,2,FALSE))=TRUE,0,VLOOKUP(B89,'Regioturnier 3'!$Z$3:$AA$34,2,FALSE)))</f>
        <v>0</v>
      </c>
      <c r="R89" s="20">
        <f>0.5*INDEX($H89:$N89,MATCH(LARGE($H89:$N89,1),$H89:$N89,0))+0.3*INDEX($H89:$N89,MATCH(LARGE($H89:$N89,2),$H89:$N89,0))+0.2*INDEX($H89:$N89,MATCH(LARGE($H89:$N89,3),$H89:$N89,0))</f>
        <v>0</v>
      </c>
      <c r="S89" s="20">
        <f>0.6*INDEX(O89:Q89,MATCH(LARGE(O89:Q89,1),O89:Q89,0))+0.4*INDEX(O89:Q89,MATCH(LARGE(O89:Q89,2),O89:Q89,0))+0*INDEX(O89:Q89,MATCH(LARGE(O89:Q89,3),O89:Q89,0))</f>
        <v>101.39999999999999</v>
      </c>
      <c r="T89" s="15">
        <f>1*INDEX(R89:S89,MATCH(LARGE(R89:S89,1),R89:S89,0))+0*INDEX(R89:S89,MATCH(LARGE(R89:S89,2),R89:S89,0))</f>
        <v>101.39999999999999</v>
      </c>
      <c r="U89" s="21"/>
      <c r="V89" s="21"/>
      <c r="W89" s="21"/>
      <c r="X89" s="21"/>
      <c r="Y89" s="21"/>
      <c r="Z89" s="21"/>
    </row>
    <row r="90" spans="1:26" ht="12.75" customHeight="1" x14ac:dyDescent="0.3">
      <c r="A90" s="15">
        <v>89</v>
      </c>
      <c r="B90" s="16" t="s">
        <v>533</v>
      </c>
      <c r="C90" s="17" t="s">
        <v>25</v>
      </c>
      <c r="D90" s="15" t="s">
        <v>26</v>
      </c>
      <c r="E90" s="18" t="s">
        <v>23</v>
      </c>
      <c r="F90" s="15" t="s">
        <v>547</v>
      </c>
      <c r="G90" s="22">
        <v>2018</v>
      </c>
      <c r="H90" s="15">
        <f>MAX(IF(ISNA(VLOOKUP(B90,'WBV 1'!$B$3:$C$34,2,FALSE))=TRUE,0,VLOOKUP(B90,'WBV 1'!$B$3:$C$34,2,FALSE)),IF(ISNA(VLOOKUP(B90,'WBV 1'!$F$3:$G$34,2,FALSE))=TRUE,0,VLOOKUP(B90,'WBV 1'!$F$3:$G$34,2,FALSE)),IF(ISNA(VLOOKUP(B90,'WBV 1'!$J$3:$K$34,2,FALSE))=TRUE,0,VLOOKUP(B90,'WBV 1'!$J$3:$K$34,2,FALSE)),IF(ISNA(VLOOKUP(B90,'WBV 1'!$N$3:$O$34,2,FALSE))=TRUE,0,VLOOKUP(B90,'WBV 1'!$N$3:$O$34,2,FALSE)))</f>
        <v>0</v>
      </c>
      <c r="I90" s="15">
        <f>MAX(IF(ISNA(VLOOKUP(B90,'WBV 2'!$B$3:$C$34,2,FALSE))=TRUE,0,VLOOKUP(B90,'WBV 2'!$B$3:$C$34,2,FALSE)),IF(ISNA(VLOOKUP(B90,'WBV 2'!$F$3:$G$34,2,FALSE))=TRUE,0,VLOOKUP(B90,'WBV 2'!$F$3:$G$34,2,FALSE)),IF(ISNA(VLOOKUP(B90,'WBV 2'!$J$3:$K$34,2,FALSE))=TRUE,0,VLOOKUP(B90,'WBV 2'!$J$3:$K$34,2,FALSE)),IF(ISNA(VLOOKUP(B90,'WBV 2'!$N$3:$O$34,2,FALSE))=TRUE,0,VLOOKUP(B90,'WBV 2'!$N$3:$O$34,2,FALSE)))</f>
        <v>127</v>
      </c>
      <c r="J90" s="15">
        <f>MAX(IF(ISNA(VLOOKUP(B90,'WBV 3'!$B$3:$C$34,2,FALSE))=TRUE,0,VLOOKUP(B90,'WBV 3'!$B$3:$C$34,2,FALSE)),IF(ISNA(VLOOKUP(B90,'WBV 3'!$F$3:$G$34,2,FALSE))=TRUE,0,VLOOKUP(B90,'WBV 3'!$F$3:$G$34,2,FALSE)),IF(ISNA(VLOOKUP(B90,'WBV 3'!$J$3:$K$34,2,FALSE))=TRUE,0,VLOOKUP(B90,'WBV 3'!$J$3:$K$34,2,FALSE)),IF(ISNA(VLOOKUP(B90,'WBV 3'!$N$3:$O$34,2,FALSE))=TRUE,0,VLOOKUP(B90,'WBV 3'!$N$3:$O$34,2,FALSE)))</f>
        <v>123</v>
      </c>
      <c r="K90" s="15">
        <f>MAX(IF(ISNA(VLOOKUP(B90,'WBV 4'!$B$3:$C$34,2,FALSE))=TRUE,0,VLOOKUP(B90,'WBV 4'!$B$3:$C$34,2,FALSE)),IF(ISNA(VLOOKUP(B90,'WBV 4'!$F$3:$G$34,2,FALSE))=TRUE,0,VLOOKUP(B90,'WBV 4'!$F$3:$G$34,2,FALSE)),IF(ISNA(VLOOKUP(B90,'WBV 4'!$J$3:$K$34,2,FALSE))=TRUE,0,VLOOKUP(B90,'WBV 4'!$J$3:$K$34,2,FALSE)),IF(ISNA(VLOOKUP(B90,'WBV 4'!$N$3:$O$34,2,FALSE))=TRUE,0,VLOOKUP(B90,'WBV 4'!$N$3:$O$34,2,FALSE)))</f>
        <v>0</v>
      </c>
      <c r="L90" s="19">
        <f>MAX(IF(ISNA(VLOOKUP(B90,'NÖBV 1'!$B$3:$C$34,2,FALSE))=TRUE,0,VLOOKUP(B90,'NÖBV 1'!$B$3:$C$34,2,FALSE)),IF(ISNA(VLOOKUP(B90,'NÖBV 1'!$F$3:$G$34,2,FALSE))=TRUE,0,VLOOKUP(B90,'NÖBV 1'!$F$3:$G$34,2,FALSE)),IF(ISNA(VLOOKUP(B90,'NÖBV 1'!$J$3:$K$34,2,FALSE))=TRUE,0,VLOOKUP(B90,'NÖBV 1'!$J$3:$K$34,2,FALSE)),IF(ISNA(VLOOKUP(B90,'NÖBV 1'!$N$3:$O$34,2,FALSE))=TRUE,0,VLOOKUP(B90,'NÖBV 1'!$N$3:$O$34,2,FALSE)))</f>
        <v>0</v>
      </c>
      <c r="M90" s="19">
        <f>MAX(IF(ISNA(VLOOKUP(B90,'NÖBV 2'!$B$3:$C$34,2,FALSE))=TRUE,0,VLOOKUP(B90,'NÖBV 2'!$B$3:$C$34,2,FALSE)),IF(ISNA(VLOOKUP(B90,'NÖBV 2'!$F$3:$G$34,2,FALSE))=TRUE,0,VLOOKUP(B90,'NÖBV 2'!$F$3:$G$34,2,FALSE)),IF(ISNA(VLOOKUP(B90,'NÖBV 2'!$J$3:$K$34,2,FALSE))=TRUE,0,VLOOKUP(B90,'NÖBV 2'!$J$3:$K$34,2,FALSE)),IF(ISNA(VLOOKUP(B90,'NÖBV 2'!$N$3:$O$34,2,FALSE))=TRUE,0,VLOOKUP(B90,'NÖBV 2'!$N$3:$O$34,2,FALSE)))</f>
        <v>0</v>
      </c>
      <c r="N90" s="19">
        <f>MAX(IF(ISNA(VLOOKUP(B90,'NÖBV 3'!$B$3:$C$34,2,FALSE))=TRUE,0,VLOOKUP(B90,'NÖBV 3'!$B$3:$C$34,2,FALSE)),IF(ISNA(VLOOKUP(B90,'NÖBV 3'!$F$3:$G$34,2,FALSE))=TRUE,0,VLOOKUP(B90,'NÖBV 3'!$F$3:$G$34,2,FALSE)),IF(ISNA(VLOOKUP(B90,'NÖBV 3'!$J$3:$K$34,2,FALSE))=TRUE,0,VLOOKUP(B90,'NÖBV 3'!$J$3:$K$34,2,FALSE)),IF(ISNA(VLOOKUP(B90,'NÖBV 3'!$N$3:$O$34,2,FALSE))=TRUE,0,VLOOKUP(B90,'NÖBV 3'!$N$3:$O$34,2,FALSE)))</f>
        <v>0</v>
      </c>
      <c r="O90" s="15">
        <f>MAX(IF(ISNA(VLOOKUP(B90,'Regioturnier 1'!$B$3:$C$34,2,FALSE))=TRUE,0,VLOOKUP(B90,'Regioturnier 1'!$B$3:$C$34,2,FALSE)),IF(ISNA(VLOOKUP(B90,'Regioturnier 1'!$F$3:$G$34,2,FALSE))=TRUE,0,VLOOKUP(B90,'Regioturnier 1'!$F$3:$G$34,2,FALSE)),IF(ISNA(VLOOKUP(B90,'Regioturnier 1'!$J$3:$K$34,2,FALSE))=TRUE,0,VLOOKUP(B90,'Regioturnier 1'!$J$3:$K$34,2,FALSE)),IF(ISNA(VLOOKUP(B90,'Regioturnier 1'!$N$3:$O$34,2,FALSE))=TRUE,0,VLOOKUP(B90,'Regioturnier 1'!$N$3:$O$34,2,FALSE)),IF(ISNA(VLOOKUP(B90,'Regioturnier 1'!$R$3:$S$34,2,FALSE))=TRUE,0,VLOOKUP(B90,'Regioturnier 1'!$R$3:$S$34,2,FALSE)), IF(ISNA(VLOOKUP(B90,'Regioturnier 1'!$V$3:$W$34,2,FALSE))=TRUE,0,VLOOKUP(B90,'Regioturnier 1'!$V$3:$W$34,2,FALSE)), IF(ISNA(VLOOKUP(B90,'Regioturnier 1'!$Z$3:$AA$34,2,FALSE))=TRUE,0,VLOOKUP(B90,'Regioturnier 1'!$Z$3:$AA$34,2,FALSE)))</f>
        <v>0</v>
      </c>
      <c r="P90" s="15">
        <f>MAX(IF(ISNA(VLOOKUP(B90,'Regioturnier 2'!$B$3:$C$34,2,FALSE))=TRUE,0,VLOOKUP(B90,'Regioturnier 2'!$B$3:$C$34,2,FALSE)),IF(ISNA(VLOOKUP(B90,'Regioturnier 2'!$F$3:$G$34,2,FALSE))=TRUE,0,VLOOKUP(B90,'Regioturnier 2'!$F$3:$G$34,2,FALSE)),IF(ISNA(VLOOKUP(B90,'Regioturnier 2'!$J$3:$K$34,2,FALSE))=TRUE,0,VLOOKUP(B90,'Regioturnier 2'!$J$3:$K$34,2,FALSE)),IF(ISNA(VLOOKUP(B90,'Regioturnier 2'!$N$3:$O$34,2,FALSE))=TRUE,0,VLOOKUP(B90,'Regioturnier 2'!$N$3:$O$34,2,FALSE)),IF(ISNA(VLOOKUP(B90,'Regioturnier 2'!$R$3:$S$34,2,FALSE))=TRUE,0,VLOOKUP(B90,'Regioturnier 2'!$R$3:$S$34,2,FALSE)), IF(ISNA(VLOOKUP(B90,'Regioturnier 2'!$V$3:$W$34,2,FALSE))=TRUE,0,VLOOKUP(B90,'Regioturnier 2'!$V$3:$W$34,2,FALSE)), IF(ISNA(VLOOKUP(B90,'Regioturnier 2'!$Z$3:$AA$34,2,FALSE))=TRUE,0,VLOOKUP(B90,'Regioturnier 2'!$Z$3:$AA$34,2,FALSE)))</f>
        <v>0</v>
      </c>
      <c r="Q90" s="15">
        <f>MAX(IF(ISNA(VLOOKUP(B90,'Regioturnier 3'!$B$3:$C$34,2,FALSE))=TRUE,0,VLOOKUP(B90,'Regioturnier 3'!$B$3:$C$34,2,FALSE)),IF(ISNA(VLOOKUP(B90,'Regioturnier 3'!$F$3:$G$34,2,FALSE))=TRUE,0,VLOOKUP(B90,'Regioturnier 3'!$F$3:$G$34,2,FALSE)),IF(ISNA(VLOOKUP(B90,'Regioturnier 3'!$J$3:$K$34,2,FALSE))=TRUE,0,VLOOKUP(B90,'Regioturnier 3'!$J$3:$K$34,2,FALSE)),IF(ISNA(VLOOKUP(B90,'Regioturnier 3'!$N$3:$O$34,2,FALSE))=TRUE,0,VLOOKUP(B90,'Regioturnier 3'!$N$3:$O$34,2,FALSE)),IF(ISNA(VLOOKUP(B90,'Regioturnier 3'!$R$3:$S$34,2,FALSE))=TRUE,0,VLOOKUP(B90,'Regioturnier 3'!$R$3:$S$34,2,FALSE)), IF(ISNA(VLOOKUP(B90,'Regioturnier 3'!$V$3:$W$34,2,FALSE))=TRUE,0,VLOOKUP(B90,'Regioturnier 3'!$V$3:$W$34,2,FALSE)), IF(ISNA(VLOOKUP(B90,'Regioturnier 3'!$Z$3:$AA$34,2,FALSE))=TRUE,0,VLOOKUP(B90,'Regioturnier 3'!$Z$3:$AA$34,2,FALSE)))</f>
        <v>0</v>
      </c>
      <c r="R90" s="20">
        <f>0.5*INDEX($H90:$N90,MATCH(LARGE($H90:$N90,1),$H90:$N90,0))+0.3*INDEX($H90:$N90,MATCH(LARGE($H90:$N90,2),$H90:$N90,0))+0.2*INDEX($H90:$N90,MATCH(LARGE($H90:$N90,3),$H90:$N90,0))</f>
        <v>100.4</v>
      </c>
      <c r="S90" s="20">
        <f>0.6*INDEX(O90:Q90,MATCH(LARGE(O90:Q90,1),O90:Q90,0))+0.4*INDEX(O90:Q90,MATCH(LARGE(O90:Q90,2),O90:Q90,0))+0*INDEX(O90:Q90,MATCH(LARGE(O90:Q90,3),O90:Q90,0))</f>
        <v>0</v>
      </c>
      <c r="T90" s="15">
        <f>1*INDEX(R90:S90,MATCH(LARGE(R90:S90,1),R90:S90,0))+0*INDEX(R90:S90,MATCH(LARGE(R90:S90,2),R90:S90,0))</f>
        <v>100.4</v>
      </c>
      <c r="U90" s="21"/>
      <c r="V90" s="21"/>
      <c r="W90" s="21"/>
      <c r="X90" s="21"/>
      <c r="Y90" s="21"/>
      <c r="Z90" s="21"/>
    </row>
    <row r="91" spans="1:26" ht="12.75" customHeight="1" x14ac:dyDescent="0.3">
      <c r="A91" s="15">
        <v>90</v>
      </c>
      <c r="B91" s="16" t="s">
        <v>146</v>
      </c>
      <c r="C91" s="17" t="s">
        <v>28</v>
      </c>
      <c r="D91" s="15" t="s">
        <v>22</v>
      </c>
      <c r="E91" s="18" t="s">
        <v>40</v>
      </c>
      <c r="F91" s="15">
        <v>26273</v>
      </c>
      <c r="G91" s="22">
        <v>2010</v>
      </c>
      <c r="H91" s="15">
        <f>MAX(IF(ISNA(VLOOKUP(B91,'WBV 1'!$B$3:$C$34,2,FALSE))=TRUE,0,VLOOKUP(B91,'WBV 1'!$B$3:$C$34,2,FALSE)),IF(ISNA(VLOOKUP(B91,'WBV 1'!$F$3:$G$34,2,FALSE))=TRUE,0,VLOOKUP(B91,'WBV 1'!$F$3:$G$34,2,FALSE)),IF(ISNA(VLOOKUP(B91,'WBV 1'!$J$3:$K$34,2,FALSE))=TRUE,0,VLOOKUP(B91,'WBV 1'!$J$3:$K$34,2,FALSE)),IF(ISNA(VLOOKUP(B91,'WBV 1'!$N$3:$O$34,2,FALSE))=TRUE,0,VLOOKUP(B91,'WBV 1'!$N$3:$O$34,2,FALSE)))</f>
        <v>0</v>
      </c>
      <c r="I91" s="15">
        <f>MAX(IF(ISNA(VLOOKUP(B91,'WBV 2'!$B$3:$C$34,2,FALSE))=TRUE,0,VLOOKUP(B91,'WBV 2'!$B$3:$C$34,2,FALSE)),IF(ISNA(VLOOKUP(B91,'WBV 2'!$F$3:$G$34,2,FALSE))=TRUE,0,VLOOKUP(B91,'WBV 2'!$F$3:$G$34,2,FALSE)),IF(ISNA(VLOOKUP(B91,'WBV 2'!$J$3:$K$34,2,FALSE))=TRUE,0,VLOOKUP(B91,'WBV 2'!$J$3:$K$34,2,FALSE)),IF(ISNA(VLOOKUP(B91,'WBV 2'!$N$3:$O$34,2,FALSE))=TRUE,0,VLOOKUP(B91,'WBV 2'!$N$3:$O$34,2,FALSE)))</f>
        <v>0</v>
      </c>
      <c r="J91" s="15">
        <f>MAX(IF(ISNA(VLOOKUP(B91,'WBV 3'!$B$3:$C$34,2,FALSE))=TRUE,0,VLOOKUP(B91,'WBV 3'!$B$3:$C$34,2,FALSE)),IF(ISNA(VLOOKUP(B91,'WBV 3'!$F$3:$G$34,2,FALSE))=TRUE,0,VLOOKUP(B91,'WBV 3'!$F$3:$G$34,2,FALSE)),IF(ISNA(VLOOKUP(B91,'WBV 3'!$J$3:$K$34,2,FALSE))=TRUE,0,VLOOKUP(B91,'WBV 3'!$J$3:$K$34,2,FALSE)),IF(ISNA(VLOOKUP(B91,'WBV 3'!$N$3:$O$34,2,FALSE))=TRUE,0,VLOOKUP(B91,'WBV 3'!$N$3:$O$34,2,FALSE)))</f>
        <v>0</v>
      </c>
      <c r="K91" s="15">
        <f>MAX(IF(ISNA(VLOOKUP(B91,'WBV 4'!$B$3:$C$34,2,FALSE))=TRUE,0,VLOOKUP(B91,'WBV 4'!$B$3:$C$34,2,FALSE)),IF(ISNA(VLOOKUP(B91,'WBV 4'!$F$3:$G$34,2,FALSE))=TRUE,0,VLOOKUP(B91,'WBV 4'!$F$3:$G$34,2,FALSE)),IF(ISNA(VLOOKUP(B91,'WBV 4'!$J$3:$K$34,2,FALSE))=TRUE,0,VLOOKUP(B91,'WBV 4'!$J$3:$K$34,2,FALSE)),IF(ISNA(VLOOKUP(B91,'WBV 4'!$N$3:$O$34,2,FALSE))=TRUE,0,VLOOKUP(B91,'WBV 4'!$N$3:$O$34,2,FALSE)))</f>
        <v>0</v>
      </c>
      <c r="L91" s="19">
        <f>MAX(IF(ISNA(VLOOKUP(B91,'NÖBV 1'!$B$3:$C$34,2,FALSE))=TRUE,0,VLOOKUP(B91,'NÖBV 1'!$B$3:$C$34,2,FALSE)),IF(ISNA(VLOOKUP(B91,'NÖBV 1'!$F$3:$G$34,2,FALSE))=TRUE,0,VLOOKUP(B91,'NÖBV 1'!$F$3:$G$34,2,FALSE)),IF(ISNA(VLOOKUP(B91,'NÖBV 1'!$J$3:$K$34,2,FALSE))=TRUE,0,VLOOKUP(B91,'NÖBV 1'!$J$3:$K$34,2,FALSE)),IF(ISNA(VLOOKUP(B91,'NÖBV 1'!$N$3:$O$34,2,FALSE))=TRUE,0,VLOOKUP(B91,'NÖBV 1'!$N$3:$O$34,2,FALSE)))</f>
        <v>200</v>
      </c>
      <c r="M91" s="19">
        <f>MAX(IF(ISNA(VLOOKUP(B91,'NÖBV 2'!$B$3:$C$34,2,FALSE))=TRUE,0,VLOOKUP(B91,'NÖBV 2'!$B$3:$C$34,2,FALSE)),IF(ISNA(VLOOKUP(B91,'NÖBV 2'!$F$3:$G$34,2,FALSE))=TRUE,0,VLOOKUP(B91,'NÖBV 2'!$F$3:$G$34,2,FALSE)),IF(ISNA(VLOOKUP(B91,'NÖBV 2'!$J$3:$K$34,2,FALSE))=TRUE,0,VLOOKUP(B91,'NÖBV 2'!$J$3:$K$34,2,FALSE)),IF(ISNA(VLOOKUP(B91,'NÖBV 2'!$N$3:$O$34,2,FALSE))=TRUE,0,VLOOKUP(B91,'NÖBV 2'!$N$3:$O$34,2,FALSE)))</f>
        <v>0</v>
      </c>
      <c r="N91" s="19">
        <f>MAX(IF(ISNA(VLOOKUP(B91,'NÖBV 3'!$B$3:$C$34,2,FALSE))=TRUE,0,VLOOKUP(B91,'NÖBV 3'!$B$3:$C$34,2,FALSE)),IF(ISNA(VLOOKUP(B91,'NÖBV 3'!$F$3:$G$34,2,FALSE))=TRUE,0,VLOOKUP(B91,'NÖBV 3'!$F$3:$G$34,2,FALSE)),IF(ISNA(VLOOKUP(B91,'NÖBV 3'!$J$3:$K$34,2,FALSE))=TRUE,0,VLOOKUP(B91,'NÖBV 3'!$J$3:$K$34,2,FALSE)),IF(ISNA(VLOOKUP(B91,'NÖBV 3'!$N$3:$O$34,2,FALSE))=TRUE,0,VLOOKUP(B91,'NÖBV 3'!$N$3:$O$34,2,FALSE)))</f>
        <v>0</v>
      </c>
      <c r="O91" s="15">
        <f>MAX(IF(ISNA(VLOOKUP(B91,'Regioturnier 1'!$B$3:$C$34,2,FALSE))=TRUE,0,VLOOKUP(B91,'Regioturnier 1'!$B$3:$C$34,2,FALSE)),IF(ISNA(VLOOKUP(B91,'Regioturnier 1'!$F$3:$G$34,2,FALSE))=TRUE,0,VLOOKUP(B91,'Regioturnier 1'!$F$3:$G$34,2,FALSE)),IF(ISNA(VLOOKUP(B91,'Regioturnier 1'!$J$3:$K$34,2,FALSE))=TRUE,0,VLOOKUP(B91,'Regioturnier 1'!$J$3:$K$34,2,FALSE)),IF(ISNA(VLOOKUP(B91,'Regioturnier 1'!$N$3:$O$34,2,FALSE))=TRUE,0,VLOOKUP(B91,'Regioturnier 1'!$N$3:$O$34,2,FALSE)),IF(ISNA(VLOOKUP(B91,'Regioturnier 1'!$R$3:$S$34,2,FALSE))=TRUE,0,VLOOKUP(B91,'Regioturnier 1'!$R$3:$S$34,2,FALSE)), IF(ISNA(VLOOKUP(B91,'Regioturnier 1'!$V$3:$W$34,2,FALSE))=TRUE,0,VLOOKUP(B91,'Regioturnier 1'!$V$3:$W$34,2,FALSE)), IF(ISNA(VLOOKUP(B91,'Regioturnier 1'!$Z$3:$AA$34,2,FALSE))=TRUE,0,VLOOKUP(B91,'Regioturnier 1'!$Z$3:$AA$34,2,FALSE)))</f>
        <v>0</v>
      </c>
      <c r="P91" s="15">
        <f>MAX(IF(ISNA(VLOOKUP(B91,'Regioturnier 2'!$B$3:$C$34,2,FALSE))=TRUE,0,VLOOKUP(B91,'Regioturnier 2'!$B$3:$C$34,2,FALSE)),IF(ISNA(VLOOKUP(B91,'Regioturnier 2'!$F$3:$G$34,2,FALSE))=TRUE,0,VLOOKUP(B91,'Regioturnier 2'!$F$3:$G$34,2,FALSE)),IF(ISNA(VLOOKUP(B91,'Regioturnier 2'!$J$3:$K$34,2,FALSE))=TRUE,0,VLOOKUP(B91,'Regioturnier 2'!$J$3:$K$34,2,FALSE)),IF(ISNA(VLOOKUP(B91,'Regioturnier 2'!$N$3:$O$34,2,FALSE))=TRUE,0,VLOOKUP(B91,'Regioturnier 2'!$N$3:$O$34,2,FALSE)),IF(ISNA(VLOOKUP(B91,'Regioturnier 2'!$R$3:$S$34,2,FALSE))=TRUE,0,VLOOKUP(B91,'Regioturnier 2'!$R$3:$S$34,2,FALSE)), IF(ISNA(VLOOKUP(B91,'Regioturnier 2'!$V$3:$W$34,2,FALSE))=TRUE,0,VLOOKUP(B91,'Regioturnier 2'!$V$3:$W$34,2,FALSE)), IF(ISNA(VLOOKUP(B91,'Regioturnier 2'!$Z$3:$AA$34,2,FALSE))=TRUE,0,VLOOKUP(B91,'Regioturnier 2'!$Z$3:$AA$34,2,FALSE)))</f>
        <v>0</v>
      </c>
      <c r="Q91" s="15">
        <f>MAX(IF(ISNA(VLOOKUP(B91,'Regioturnier 3'!$B$3:$C$34,2,FALSE))=TRUE,0,VLOOKUP(B91,'Regioturnier 3'!$B$3:$C$34,2,FALSE)),IF(ISNA(VLOOKUP(B91,'Regioturnier 3'!$F$3:$G$34,2,FALSE))=TRUE,0,VLOOKUP(B91,'Regioturnier 3'!$F$3:$G$34,2,FALSE)),IF(ISNA(VLOOKUP(B91,'Regioturnier 3'!$J$3:$K$34,2,FALSE))=TRUE,0,VLOOKUP(B91,'Regioturnier 3'!$J$3:$K$34,2,FALSE)),IF(ISNA(VLOOKUP(B91,'Regioturnier 3'!$N$3:$O$34,2,FALSE))=TRUE,0,VLOOKUP(B91,'Regioturnier 3'!$N$3:$O$34,2,FALSE)),IF(ISNA(VLOOKUP(B91,'Regioturnier 3'!$R$3:$S$34,2,FALSE))=TRUE,0,VLOOKUP(B91,'Regioturnier 3'!$R$3:$S$34,2,FALSE)), IF(ISNA(VLOOKUP(B91,'Regioturnier 3'!$V$3:$W$34,2,FALSE))=TRUE,0,VLOOKUP(B91,'Regioturnier 3'!$V$3:$W$34,2,FALSE)), IF(ISNA(VLOOKUP(B91,'Regioturnier 3'!$Z$3:$AA$34,2,FALSE))=TRUE,0,VLOOKUP(B91,'Regioturnier 3'!$Z$3:$AA$34,2,FALSE)))</f>
        <v>0</v>
      </c>
      <c r="R91" s="20">
        <f>0.5*INDEX($H91:$N91,MATCH(LARGE($H91:$N91,1),$H91:$N91,0))+0.3*INDEX($H91:$N91,MATCH(LARGE($H91:$N91,2),$H91:$N91,0))+0.2*INDEX($H91:$N91,MATCH(LARGE($H91:$N91,3),$H91:$N91,0))</f>
        <v>100</v>
      </c>
      <c r="S91" s="20">
        <f>0.6*INDEX(O91:Q91,MATCH(LARGE(O91:Q91,1),O91:Q91,0))+0.4*INDEX(O91:Q91,MATCH(LARGE(O91:Q91,2),O91:Q91,0))+0*INDEX(O91:Q91,MATCH(LARGE(O91:Q91,3),O91:Q91,0))</f>
        <v>0</v>
      </c>
      <c r="T91" s="15">
        <f>1*INDEX(R91:S91,MATCH(LARGE(R91:S91,1),R91:S91,0))+0*INDEX(R91:S91,MATCH(LARGE(R91:S91,2),R91:S91,0))</f>
        <v>100</v>
      </c>
      <c r="U91" s="21"/>
      <c r="V91" s="21"/>
      <c r="W91" s="21"/>
      <c r="X91" s="21"/>
      <c r="Y91" s="21"/>
      <c r="Z91" s="21"/>
    </row>
    <row r="92" spans="1:26" ht="12.75" customHeight="1" x14ac:dyDescent="0.3">
      <c r="A92" s="15">
        <v>91</v>
      </c>
      <c r="B92" s="106" t="s">
        <v>374</v>
      </c>
      <c r="C92" s="106" t="s">
        <v>582</v>
      </c>
      <c r="D92" s="106" t="s">
        <v>102</v>
      </c>
      <c r="E92" s="106" t="s">
        <v>23</v>
      </c>
      <c r="F92" s="106" t="s">
        <v>583</v>
      </c>
      <c r="G92" s="107">
        <v>2013</v>
      </c>
      <c r="H92" s="105">
        <f>MAX(IF(ISNA(VLOOKUP(B92,'WBV 1'!$B$3:$C$34,2,FALSE))=TRUE,0,VLOOKUP(B92,'WBV 1'!$B$3:$C$34,2,FALSE)),IF(ISNA(VLOOKUP(B92,'WBV 1'!$F$3:$G$34,2,FALSE))=TRUE,0,VLOOKUP(B92,'WBV 1'!$F$3:$G$34,2,FALSE)),IF(ISNA(VLOOKUP(B92,'WBV 1'!$J$3:$K$34,2,FALSE))=TRUE,0,VLOOKUP(B92,'WBV 1'!$J$3:$K$34,2,FALSE)),IF(ISNA(VLOOKUP(B92,'WBV 1'!$N$3:$O$34,2,FALSE))=TRUE,0,VLOOKUP(B92,'WBV 1'!$N$3:$O$34,2,FALSE)))</f>
        <v>0</v>
      </c>
      <c r="I92" s="105">
        <f>MAX(IF(ISNA(VLOOKUP(B92,'WBV 2'!$B$3:$C$34,2,FALSE))=TRUE,0,VLOOKUP(B92,'WBV 2'!$B$3:$C$34,2,FALSE)),IF(ISNA(VLOOKUP(B92,'WBV 2'!$F$3:$G$34,2,FALSE))=TRUE,0,VLOOKUP(B92,'WBV 2'!$F$3:$G$34,2,FALSE)),IF(ISNA(VLOOKUP(B92,'WBV 2'!$J$3:$K$34,2,FALSE))=TRUE,0,VLOOKUP(B92,'WBV 2'!$J$3:$K$34,2,FALSE)),IF(ISNA(VLOOKUP(B92,'WBV 2'!$N$3:$O$34,2,FALSE))=TRUE,0,VLOOKUP(B92,'WBV 2'!$N$3:$O$34,2,FALSE)))</f>
        <v>0</v>
      </c>
      <c r="J92" s="105">
        <f>MAX(IF(ISNA(VLOOKUP(B92,'WBV 3'!$B$3:$C$34,2,FALSE))=TRUE,0,VLOOKUP(B92,'WBV 3'!$B$3:$C$34,2,FALSE)),IF(ISNA(VLOOKUP(B92,'WBV 3'!$F$3:$G$34,2,FALSE))=TRUE,0,VLOOKUP(B92,'WBV 3'!$F$3:$G$34,2,FALSE)),IF(ISNA(VLOOKUP(B92,'WBV 3'!$J$3:$K$34,2,FALSE))=TRUE,0,VLOOKUP(B92,'WBV 3'!$J$3:$K$34,2,FALSE)),IF(ISNA(VLOOKUP(B92,'WBV 3'!$N$3:$O$34,2,FALSE))=TRUE,0,VLOOKUP(B92,'WBV 3'!$N$3:$O$34,2,FALSE)))</f>
        <v>0</v>
      </c>
      <c r="K92" s="105">
        <f>MAX(IF(ISNA(VLOOKUP(B92,'WBV 4'!$B$3:$C$34,2,FALSE))=TRUE,0,VLOOKUP(B92,'WBV 4'!$B$3:$C$34,2,FALSE)),IF(ISNA(VLOOKUP(B92,'WBV 4'!$F$3:$G$34,2,FALSE))=TRUE,0,VLOOKUP(B92,'WBV 4'!$F$3:$G$34,2,FALSE)),IF(ISNA(VLOOKUP(B92,'WBV 4'!$J$3:$K$34,2,FALSE))=TRUE,0,VLOOKUP(B92,'WBV 4'!$J$3:$K$34,2,FALSE)),IF(ISNA(VLOOKUP(B92,'WBV 4'!$N$3:$O$34,2,FALSE))=TRUE,0,VLOOKUP(B92,'WBV 4'!$N$3:$O$34,2,FALSE)))</f>
        <v>0</v>
      </c>
      <c r="L92" s="105">
        <f>MAX(IF(ISNA(VLOOKUP(B92,'NÖBV 1'!$B$3:$C$34,2,FALSE))=TRUE,0,VLOOKUP(B92,'NÖBV 1'!$B$3:$C$34,2,FALSE)),IF(ISNA(VLOOKUP(B92,'NÖBV 1'!$F$3:$G$34,2,FALSE))=TRUE,0,VLOOKUP(B92,'NÖBV 1'!$F$3:$G$34,2,FALSE)),IF(ISNA(VLOOKUP(B92,'NÖBV 1'!$J$3:$K$34,2,FALSE))=TRUE,0,VLOOKUP(B92,'NÖBV 1'!$J$3:$K$34,2,FALSE)),IF(ISNA(VLOOKUP(B92,'NÖBV 1'!$N$3:$O$34,2,FALSE))=TRUE,0,VLOOKUP(B92,'NÖBV 1'!$N$3:$O$34,2,FALSE)))</f>
        <v>0</v>
      </c>
      <c r="M92" s="105">
        <f>MAX(IF(ISNA(VLOOKUP(B92,'NÖBV 2'!$B$3:$C$34,2,FALSE))=TRUE,0,VLOOKUP(B92,'NÖBV 2'!$B$3:$C$34,2,FALSE)),IF(ISNA(VLOOKUP(B92,'NÖBV 2'!$F$3:$G$34,2,FALSE))=TRUE,0,VLOOKUP(B92,'NÖBV 2'!$F$3:$G$34,2,FALSE)),IF(ISNA(VLOOKUP(B92,'NÖBV 2'!$J$3:$K$34,2,FALSE))=TRUE,0,VLOOKUP(B92,'NÖBV 2'!$J$3:$K$34,2,FALSE)),IF(ISNA(VLOOKUP(B92,'NÖBV 2'!$N$3:$O$34,2,FALSE))=TRUE,0,VLOOKUP(B92,'NÖBV 2'!$N$3:$O$34,2,FALSE)))</f>
        <v>200</v>
      </c>
      <c r="N92" s="105">
        <f>MAX(IF(ISNA(VLOOKUP(B92,'NÖBV 3'!$B$3:$C$34,2,FALSE))=TRUE,0,VLOOKUP(B92,'NÖBV 3'!$B$3:$C$34,2,FALSE)),IF(ISNA(VLOOKUP(B92,'NÖBV 3'!$F$3:$G$34,2,FALSE))=TRUE,0,VLOOKUP(B92,'NÖBV 3'!$F$3:$G$34,2,FALSE)),IF(ISNA(VLOOKUP(B92,'NÖBV 3'!$J$3:$K$34,2,FALSE))=TRUE,0,VLOOKUP(B92,'NÖBV 3'!$J$3:$K$34,2,FALSE)),IF(ISNA(VLOOKUP(B92,'NÖBV 3'!$N$3:$O$34,2,FALSE))=TRUE,0,VLOOKUP(B92,'NÖBV 3'!$N$3:$O$34,2,FALSE)))</f>
        <v>0</v>
      </c>
      <c r="O92" s="105">
        <f>MAX(IF(ISNA(VLOOKUP(B92,'Regioturnier 1'!$B$3:$C$34,2,FALSE))=TRUE,0,VLOOKUP(B92,'Regioturnier 1'!$B$3:$C$34,2,FALSE)),IF(ISNA(VLOOKUP(B92,'Regioturnier 1'!$F$3:$G$34,2,FALSE))=TRUE,0,VLOOKUP(B92,'Regioturnier 1'!$F$3:$G$34,2,FALSE)),IF(ISNA(VLOOKUP(B92,'Regioturnier 1'!$J$3:$K$34,2,FALSE))=TRUE,0,VLOOKUP(B92,'Regioturnier 1'!$J$3:$K$34,2,FALSE)),IF(ISNA(VLOOKUP(B92,'Regioturnier 1'!$N$3:$O$34,2,FALSE))=TRUE,0,VLOOKUP(B92,'Regioturnier 1'!$N$3:$O$34,2,FALSE)),IF(ISNA(VLOOKUP(B92,'Regioturnier 1'!$R$3:$S$34,2,FALSE))=TRUE,0,VLOOKUP(B92,'Regioturnier 1'!$R$3:$S$34,2,FALSE)), IF(ISNA(VLOOKUP(B92,'Regioturnier 1'!$V$3:$W$34,2,FALSE))=TRUE,0,VLOOKUP(B92,'Regioturnier 1'!$V$3:$W$34,2,FALSE)), IF(ISNA(VLOOKUP(B92,'Regioturnier 1'!$Z$3:$AA$34,2,FALSE))=TRUE,0,VLOOKUP(B92,'Regioturnier 1'!$Z$3:$AA$34,2,FALSE)))</f>
        <v>0</v>
      </c>
      <c r="P92" s="105">
        <f>MAX(IF(ISNA(VLOOKUP(B92,'Regioturnier 2'!$B$3:$C$34,2,FALSE))=TRUE,0,VLOOKUP(B92,'Regioturnier 2'!$B$3:$C$34,2,FALSE)),IF(ISNA(VLOOKUP(B92,'Regioturnier 2'!$F$3:$G$34,2,FALSE))=TRUE,0,VLOOKUP(B92,'Regioturnier 2'!$F$3:$G$34,2,FALSE)),IF(ISNA(VLOOKUP(B92,'Regioturnier 2'!$J$3:$K$34,2,FALSE))=TRUE,0,VLOOKUP(B92,'Regioturnier 2'!$J$3:$K$34,2,FALSE)),IF(ISNA(VLOOKUP(B92,'Regioturnier 2'!$N$3:$O$34,2,FALSE))=TRUE,0,VLOOKUP(B92,'Regioturnier 2'!$N$3:$O$34,2,FALSE)),IF(ISNA(VLOOKUP(B92,'Regioturnier 2'!$R$3:$S$34,2,FALSE))=TRUE,0,VLOOKUP(B92,'Regioturnier 2'!$R$3:$S$34,2,FALSE)), IF(ISNA(VLOOKUP(B92,'Regioturnier 2'!$V$3:$W$34,2,FALSE))=TRUE,0,VLOOKUP(B92,'Regioturnier 2'!$V$3:$W$34,2,FALSE)), IF(ISNA(VLOOKUP(B92,'Regioturnier 2'!$Z$3:$AA$34,2,FALSE))=TRUE,0,VLOOKUP(B92,'Regioturnier 2'!$Z$3:$AA$34,2,FALSE)))</f>
        <v>0</v>
      </c>
      <c r="Q92" s="105">
        <f>MAX(IF(ISNA(VLOOKUP(B92,'Regioturnier 3'!$B$3:$C$34,2,FALSE))=TRUE,0,VLOOKUP(B92,'Regioturnier 3'!$B$3:$C$34,2,FALSE)),IF(ISNA(VLOOKUP(B92,'Regioturnier 3'!$F$3:$G$34,2,FALSE))=TRUE,0,VLOOKUP(B92,'Regioturnier 3'!$F$3:$G$34,2,FALSE)),IF(ISNA(VLOOKUP(B92,'Regioturnier 3'!$J$3:$K$34,2,FALSE))=TRUE,0,VLOOKUP(B92,'Regioturnier 3'!$J$3:$K$34,2,FALSE)),IF(ISNA(VLOOKUP(B92,'Regioturnier 3'!$N$3:$O$34,2,FALSE))=TRUE,0,VLOOKUP(B92,'Regioturnier 3'!$N$3:$O$34,2,FALSE)),IF(ISNA(VLOOKUP(B92,'Regioturnier 3'!$R$3:$S$34,2,FALSE))=TRUE,0,VLOOKUP(B92,'Regioturnier 3'!$R$3:$S$34,2,FALSE)), IF(ISNA(VLOOKUP(B92,'Regioturnier 3'!$V$3:$W$34,2,FALSE))=TRUE,0,VLOOKUP(B92,'Regioturnier 3'!$V$3:$W$34,2,FALSE)), IF(ISNA(VLOOKUP(B92,'Regioturnier 3'!$Z$3:$AA$34,2,FALSE))=TRUE,0,VLOOKUP(B92,'Regioturnier 3'!$Z$3:$AA$34,2,FALSE)))</f>
        <v>0</v>
      </c>
      <c r="R92" s="108">
        <f>0.5*INDEX($H92:$N92,MATCH(LARGE($H92:$N92,1),$H92:$N92,0))+0.3*INDEX($H92:$N92,MATCH(LARGE($H92:$N92,2),$H92:$N92,0))+0.2*INDEX($H92:$N92,MATCH(LARGE($H92:$N92,3),$H92:$N92,0))</f>
        <v>100</v>
      </c>
      <c r="S92" s="108">
        <f>0.6*INDEX(O92:Q92,MATCH(LARGE(O92:Q92,1),O92:Q92,0))+0.4*INDEX(O92:Q92,MATCH(LARGE(O92:Q92,2),O92:Q92,0))+0*INDEX(O92:Q92,MATCH(LARGE(O92:Q92,3),O92:Q92,0))</f>
        <v>0</v>
      </c>
      <c r="T92" s="105">
        <f>1*INDEX(R92:S92,MATCH(LARGE(R92:S92,1),R92:S92,0))+0*INDEX(R92:S92,MATCH(LARGE(R92:S92,2),R92:S92,0))</f>
        <v>100</v>
      </c>
      <c r="U92" s="21"/>
      <c r="V92" s="21"/>
      <c r="W92" s="21"/>
      <c r="X92" s="21"/>
      <c r="Y92" s="21"/>
      <c r="Z92" s="21"/>
    </row>
    <row r="93" spans="1:26" ht="12.75" customHeight="1" x14ac:dyDescent="0.3">
      <c r="A93" s="15">
        <v>92</v>
      </c>
      <c r="B93" s="16" t="s">
        <v>188</v>
      </c>
      <c r="C93" s="17" t="s">
        <v>57</v>
      </c>
      <c r="D93" s="15" t="s">
        <v>26</v>
      </c>
      <c r="E93" s="18" t="s">
        <v>23</v>
      </c>
      <c r="F93" s="15">
        <v>111229</v>
      </c>
      <c r="G93" s="22">
        <v>2011</v>
      </c>
      <c r="H93" s="15">
        <f>MAX(IF(ISNA(VLOOKUP(B93,'WBV 1'!$B$3:$C$34,2,FALSE))=TRUE,0,VLOOKUP(B93,'WBV 1'!$B$3:$C$34,2,FALSE)),IF(ISNA(VLOOKUP(B93,'WBV 1'!$F$3:$G$34,2,FALSE))=TRUE,0,VLOOKUP(B93,'WBV 1'!$F$3:$G$34,2,FALSE)),IF(ISNA(VLOOKUP(B93,'WBV 1'!$J$3:$K$34,2,FALSE))=TRUE,0,VLOOKUP(B93,'WBV 1'!$J$3:$K$34,2,FALSE)),IF(ISNA(VLOOKUP(B93,'WBV 1'!$N$3:$O$34,2,FALSE))=TRUE,0,VLOOKUP(B93,'WBV 1'!$N$3:$O$34,2,FALSE)))</f>
        <v>0</v>
      </c>
      <c r="I93" s="15">
        <f>MAX(IF(ISNA(VLOOKUP(B93,'WBV 2'!$B$3:$C$34,2,FALSE))=TRUE,0,VLOOKUP(B93,'WBV 2'!$B$3:$C$34,2,FALSE)),IF(ISNA(VLOOKUP(B93,'WBV 2'!$F$3:$G$34,2,FALSE))=TRUE,0,VLOOKUP(B93,'WBV 2'!$F$3:$G$34,2,FALSE)),IF(ISNA(VLOOKUP(B93,'WBV 2'!$J$3:$K$34,2,FALSE))=TRUE,0,VLOOKUP(B93,'WBV 2'!$J$3:$K$34,2,FALSE)),IF(ISNA(VLOOKUP(B93,'WBV 2'!$N$3:$O$34,2,FALSE))=TRUE,0,VLOOKUP(B93,'WBV 2'!$N$3:$O$34,2,FALSE)))</f>
        <v>0</v>
      </c>
      <c r="J93" s="15">
        <f>MAX(IF(ISNA(VLOOKUP(B93,'WBV 3'!$B$3:$C$34,2,FALSE))=TRUE,0,VLOOKUP(B93,'WBV 3'!$B$3:$C$34,2,FALSE)),IF(ISNA(VLOOKUP(B93,'WBV 3'!$F$3:$G$34,2,FALSE))=TRUE,0,VLOOKUP(B93,'WBV 3'!$F$3:$G$34,2,FALSE)),IF(ISNA(VLOOKUP(B93,'WBV 3'!$J$3:$K$34,2,FALSE))=TRUE,0,VLOOKUP(B93,'WBV 3'!$J$3:$K$34,2,FALSE)),IF(ISNA(VLOOKUP(B93,'WBV 3'!$N$3:$O$34,2,FALSE))=TRUE,0,VLOOKUP(B93,'WBV 3'!$N$3:$O$34,2,FALSE)))</f>
        <v>198</v>
      </c>
      <c r="K93" s="15">
        <f>MAX(IF(ISNA(VLOOKUP(B93,'WBV 4'!$B$3:$C$34,2,FALSE))=TRUE,0,VLOOKUP(B93,'WBV 4'!$B$3:$C$34,2,FALSE)),IF(ISNA(VLOOKUP(B93,'WBV 4'!$F$3:$G$34,2,FALSE))=TRUE,0,VLOOKUP(B93,'WBV 4'!$F$3:$G$34,2,FALSE)),IF(ISNA(VLOOKUP(B93,'WBV 4'!$J$3:$K$34,2,FALSE))=TRUE,0,VLOOKUP(B93,'WBV 4'!$J$3:$K$34,2,FALSE)),IF(ISNA(VLOOKUP(B93,'WBV 4'!$N$3:$O$34,2,FALSE))=TRUE,0,VLOOKUP(B93,'WBV 4'!$N$3:$O$34,2,FALSE)))</f>
        <v>0</v>
      </c>
      <c r="L93" s="19">
        <f>MAX(IF(ISNA(VLOOKUP(B93,'NÖBV 1'!$B$3:$C$34,2,FALSE))=TRUE,0,VLOOKUP(B93,'NÖBV 1'!$B$3:$C$34,2,FALSE)),IF(ISNA(VLOOKUP(B93,'NÖBV 1'!$F$3:$G$34,2,FALSE))=TRUE,0,VLOOKUP(B93,'NÖBV 1'!$F$3:$G$34,2,FALSE)),IF(ISNA(VLOOKUP(B93,'NÖBV 1'!$J$3:$K$34,2,FALSE))=TRUE,0,VLOOKUP(B93,'NÖBV 1'!$J$3:$K$34,2,FALSE)),IF(ISNA(VLOOKUP(B93,'NÖBV 1'!$N$3:$O$34,2,FALSE))=TRUE,0,VLOOKUP(B93,'NÖBV 1'!$N$3:$O$34,2,FALSE)))</f>
        <v>0</v>
      </c>
      <c r="M93" s="19">
        <f>MAX(IF(ISNA(VLOOKUP(B93,'NÖBV 2'!$B$3:$C$34,2,FALSE))=TRUE,0,VLOOKUP(B93,'NÖBV 2'!$B$3:$C$34,2,FALSE)),IF(ISNA(VLOOKUP(B93,'NÖBV 2'!$F$3:$G$34,2,FALSE))=TRUE,0,VLOOKUP(B93,'NÖBV 2'!$F$3:$G$34,2,FALSE)),IF(ISNA(VLOOKUP(B93,'NÖBV 2'!$J$3:$K$34,2,FALSE))=TRUE,0,VLOOKUP(B93,'NÖBV 2'!$J$3:$K$34,2,FALSE)),IF(ISNA(VLOOKUP(B93,'NÖBV 2'!$N$3:$O$34,2,FALSE))=TRUE,0,VLOOKUP(B93,'NÖBV 2'!$N$3:$O$34,2,FALSE)))</f>
        <v>0</v>
      </c>
      <c r="N93" s="19">
        <f>MAX(IF(ISNA(VLOOKUP(B93,'NÖBV 3'!$B$3:$C$34,2,FALSE))=TRUE,0,VLOOKUP(B93,'NÖBV 3'!$B$3:$C$34,2,FALSE)),IF(ISNA(VLOOKUP(B93,'NÖBV 3'!$F$3:$G$34,2,FALSE))=TRUE,0,VLOOKUP(B93,'NÖBV 3'!$F$3:$G$34,2,FALSE)),IF(ISNA(VLOOKUP(B93,'NÖBV 3'!$J$3:$K$34,2,FALSE))=TRUE,0,VLOOKUP(B93,'NÖBV 3'!$J$3:$K$34,2,FALSE)),IF(ISNA(VLOOKUP(B93,'NÖBV 3'!$N$3:$O$34,2,FALSE))=TRUE,0,VLOOKUP(B93,'NÖBV 3'!$N$3:$O$34,2,FALSE)))</f>
        <v>0</v>
      </c>
      <c r="O93" s="15">
        <f>MAX(IF(ISNA(VLOOKUP(B93,'Regioturnier 1'!$B$3:$C$34,2,FALSE))=TRUE,0,VLOOKUP(B93,'Regioturnier 1'!$B$3:$C$34,2,FALSE)),IF(ISNA(VLOOKUP(B93,'Regioturnier 1'!$F$3:$G$34,2,FALSE))=TRUE,0,VLOOKUP(B93,'Regioturnier 1'!$F$3:$G$34,2,FALSE)),IF(ISNA(VLOOKUP(B93,'Regioturnier 1'!$J$3:$K$34,2,FALSE))=TRUE,0,VLOOKUP(B93,'Regioturnier 1'!$J$3:$K$34,2,FALSE)),IF(ISNA(VLOOKUP(B93,'Regioturnier 1'!$N$3:$O$34,2,FALSE))=TRUE,0,VLOOKUP(B93,'Regioturnier 1'!$N$3:$O$34,2,FALSE)),IF(ISNA(VLOOKUP(B93,'Regioturnier 1'!$R$3:$S$34,2,FALSE))=TRUE,0,VLOOKUP(B93,'Regioturnier 1'!$R$3:$S$34,2,FALSE)), IF(ISNA(VLOOKUP(B93,'Regioturnier 1'!$V$3:$W$34,2,FALSE))=TRUE,0,VLOOKUP(B93,'Regioturnier 1'!$V$3:$W$34,2,FALSE)), IF(ISNA(VLOOKUP(B93,'Regioturnier 1'!$Z$3:$AA$34,2,FALSE))=TRUE,0,VLOOKUP(B93,'Regioturnier 1'!$Z$3:$AA$34,2,FALSE)))</f>
        <v>0</v>
      </c>
      <c r="P93" s="15">
        <f>MAX(IF(ISNA(VLOOKUP(B93,'Regioturnier 2'!$B$3:$C$34,2,FALSE))=TRUE,0,VLOOKUP(B93,'Regioturnier 2'!$B$3:$C$34,2,FALSE)),IF(ISNA(VLOOKUP(B93,'Regioturnier 2'!$F$3:$G$34,2,FALSE))=TRUE,0,VLOOKUP(B93,'Regioturnier 2'!$F$3:$G$34,2,FALSE)),IF(ISNA(VLOOKUP(B93,'Regioturnier 2'!$J$3:$K$34,2,FALSE))=TRUE,0,VLOOKUP(B93,'Regioturnier 2'!$J$3:$K$34,2,FALSE)),IF(ISNA(VLOOKUP(B93,'Regioturnier 2'!$N$3:$O$34,2,FALSE))=TRUE,0,VLOOKUP(B93,'Regioturnier 2'!$N$3:$O$34,2,FALSE)),IF(ISNA(VLOOKUP(B93,'Regioturnier 2'!$R$3:$S$34,2,FALSE))=TRUE,0,VLOOKUP(B93,'Regioturnier 2'!$R$3:$S$34,2,FALSE)), IF(ISNA(VLOOKUP(B93,'Regioturnier 2'!$V$3:$W$34,2,FALSE))=TRUE,0,VLOOKUP(B93,'Regioturnier 2'!$V$3:$W$34,2,FALSE)), IF(ISNA(VLOOKUP(B93,'Regioturnier 2'!$Z$3:$AA$34,2,FALSE))=TRUE,0,VLOOKUP(B93,'Regioturnier 2'!$Z$3:$AA$34,2,FALSE)))</f>
        <v>0</v>
      </c>
      <c r="Q93" s="15">
        <f>MAX(IF(ISNA(VLOOKUP(B93,'Regioturnier 3'!$B$3:$C$34,2,FALSE))=TRUE,0,VLOOKUP(B93,'Regioturnier 3'!$B$3:$C$34,2,FALSE)),IF(ISNA(VLOOKUP(B93,'Regioturnier 3'!$F$3:$G$34,2,FALSE))=TRUE,0,VLOOKUP(B93,'Regioturnier 3'!$F$3:$G$34,2,FALSE)),IF(ISNA(VLOOKUP(B93,'Regioturnier 3'!$J$3:$K$34,2,FALSE))=TRUE,0,VLOOKUP(B93,'Regioturnier 3'!$J$3:$K$34,2,FALSE)),IF(ISNA(VLOOKUP(B93,'Regioturnier 3'!$N$3:$O$34,2,FALSE))=TRUE,0,VLOOKUP(B93,'Regioturnier 3'!$N$3:$O$34,2,FALSE)),IF(ISNA(VLOOKUP(B93,'Regioturnier 3'!$R$3:$S$34,2,FALSE))=TRUE,0,VLOOKUP(B93,'Regioturnier 3'!$R$3:$S$34,2,FALSE)), IF(ISNA(VLOOKUP(B93,'Regioturnier 3'!$V$3:$W$34,2,FALSE))=TRUE,0,VLOOKUP(B93,'Regioturnier 3'!$V$3:$W$34,2,FALSE)), IF(ISNA(VLOOKUP(B93,'Regioturnier 3'!$Z$3:$AA$34,2,FALSE))=TRUE,0,VLOOKUP(B93,'Regioturnier 3'!$Z$3:$AA$34,2,FALSE)))</f>
        <v>0</v>
      </c>
      <c r="R93" s="20">
        <f>0.5*INDEX($H93:$N93,MATCH(LARGE($H93:$N93,1),$H93:$N93,0))+0.3*INDEX($H93:$N93,MATCH(LARGE($H93:$N93,2),$H93:$N93,0))+0.2*INDEX($H93:$N93,MATCH(LARGE($H93:$N93,3),$H93:$N93,0))</f>
        <v>99</v>
      </c>
      <c r="S93" s="20">
        <f>0.6*INDEX(O93:Q93,MATCH(LARGE(O93:Q93,1),O93:Q93,0))+0.4*INDEX(O93:Q93,MATCH(LARGE(O93:Q93,2),O93:Q93,0))+0*INDEX(O93:Q93,MATCH(LARGE(O93:Q93,3),O93:Q93,0))</f>
        <v>0</v>
      </c>
      <c r="T93" s="15">
        <f>1*INDEX(R93:S93,MATCH(LARGE(R93:S93,1),R93:S93,0))+0*INDEX(R93:S93,MATCH(LARGE(R93:S93,2),R93:S93,0))</f>
        <v>99</v>
      </c>
      <c r="U93" s="21"/>
      <c r="V93" s="21"/>
      <c r="W93" s="21"/>
      <c r="X93" s="21"/>
      <c r="Y93" s="21"/>
      <c r="Z93" s="21"/>
    </row>
    <row r="94" spans="1:26" ht="12.75" customHeight="1" x14ac:dyDescent="0.3">
      <c r="A94" s="15">
        <v>93</v>
      </c>
      <c r="B94" s="16" t="s">
        <v>168</v>
      </c>
      <c r="C94" s="17" t="s">
        <v>28</v>
      </c>
      <c r="D94" s="15" t="s">
        <v>22</v>
      </c>
      <c r="E94" s="18" t="s">
        <v>40</v>
      </c>
      <c r="F94" s="15">
        <v>206893</v>
      </c>
      <c r="G94" s="22">
        <v>2014</v>
      </c>
      <c r="H94" s="15">
        <f>MAX(IF(ISNA(VLOOKUP(B94,'WBV 1'!$B$3:$C$34,2,FALSE))=TRUE,0,VLOOKUP(B94,'WBV 1'!$B$3:$C$34,2,FALSE)),IF(ISNA(VLOOKUP(B94,'WBV 1'!$F$3:$G$34,2,FALSE))=TRUE,0,VLOOKUP(B94,'WBV 1'!$F$3:$G$34,2,FALSE)),IF(ISNA(VLOOKUP(B94,'WBV 1'!$J$3:$K$34,2,FALSE))=TRUE,0,VLOOKUP(B94,'WBV 1'!$J$3:$K$34,2,FALSE)),IF(ISNA(VLOOKUP(B94,'WBV 1'!$N$3:$O$34,2,FALSE))=TRUE,0,VLOOKUP(B94,'WBV 1'!$N$3:$O$34,2,FALSE)))</f>
        <v>0</v>
      </c>
      <c r="I94" s="15">
        <f>MAX(IF(ISNA(VLOOKUP(B94,'WBV 2'!$B$3:$C$34,2,FALSE))=TRUE,0,VLOOKUP(B94,'WBV 2'!$B$3:$C$34,2,FALSE)),IF(ISNA(VLOOKUP(B94,'WBV 2'!$F$3:$G$34,2,FALSE))=TRUE,0,VLOOKUP(B94,'WBV 2'!$F$3:$G$34,2,FALSE)),IF(ISNA(VLOOKUP(B94,'WBV 2'!$J$3:$K$34,2,FALSE))=TRUE,0,VLOOKUP(B94,'WBV 2'!$J$3:$K$34,2,FALSE)),IF(ISNA(VLOOKUP(B94,'WBV 2'!$N$3:$O$34,2,FALSE))=TRUE,0,VLOOKUP(B94,'WBV 2'!$N$3:$O$34,2,FALSE)))</f>
        <v>0</v>
      </c>
      <c r="J94" s="15">
        <f>MAX(IF(ISNA(VLOOKUP(B94,'WBV 3'!$B$3:$C$34,2,FALSE))=TRUE,0,VLOOKUP(B94,'WBV 3'!$B$3:$C$34,2,FALSE)),IF(ISNA(VLOOKUP(B94,'WBV 3'!$F$3:$G$34,2,FALSE))=TRUE,0,VLOOKUP(B94,'WBV 3'!$F$3:$G$34,2,FALSE)),IF(ISNA(VLOOKUP(B94,'WBV 3'!$J$3:$K$34,2,FALSE))=TRUE,0,VLOOKUP(B94,'WBV 3'!$J$3:$K$34,2,FALSE)),IF(ISNA(VLOOKUP(B94,'WBV 3'!$N$3:$O$34,2,FALSE))=TRUE,0,VLOOKUP(B94,'WBV 3'!$N$3:$O$34,2,FALSE)))</f>
        <v>0</v>
      </c>
      <c r="K94" s="15">
        <f>MAX(IF(ISNA(VLOOKUP(B94,'WBV 4'!$B$3:$C$34,2,FALSE))=TRUE,0,VLOOKUP(B94,'WBV 4'!$B$3:$C$34,2,FALSE)),IF(ISNA(VLOOKUP(B94,'WBV 4'!$F$3:$G$34,2,FALSE))=TRUE,0,VLOOKUP(B94,'WBV 4'!$F$3:$G$34,2,FALSE)),IF(ISNA(VLOOKUP(B94,'WBV 4'!$J$3:$K$34,2,FALSE))=TRUE,0,VLOOKUP(B94,'WBV 4'!$J$3:$K$34,2,FALSE)),IF(ISNA(VLOOKUP(B94,'WBV 4'!$N$3:$O$34,2,FALSE))=TRUE,0,VLOOKUP(B94,'WBV 4'!$N$3:$O$34,2,FALSE)))</f>
        <v>0</v>
      </c>
      <c r="L94" s="19">
        <f>MAX(IF(ISNA(VLOOKUP(B94,'NÖBV 1'!$B$3:$C$34,2,FALSE))=TRUE,0,VLOOKUP(B94,'NÖBV 1'!$B$3:$C$34,2,FALSE)),IF(ISNA(VLOOKUP(B94,'NÖBV 1'!$F$3:$G$34,2,FALSE))=TRUE,0,VLOOKUP(B94,'NÖBV 1'!$F$3:$G$34,2,FALSE)),IF(ISNA(VLOOKUP(B94,'NÖBV 1'!$J$3:$K$34,2,FALSE))=TRUE,0,VLOOKUP(B94,'NÖBV 1'!$J$3:$K$34,2,FALSE)),IF(ISNA(VLOOKUP(B94,'NÖBV 1'!$N$3:$O$34,2,FALSE))=TRUE,0,VLOOKUP(B94,'NÖBV 1'!$N$3:$O$34,2,FALSE)))</f>
        <v>198</v>
      </c>
      <c r="M94" s="19">
        <f>MAX(IF(ISNA(VLOOKUP(B94,'NÖBV 2'!$B$3:$C$34,2,FALSE))=TRUE,0,VLOOKUP(B94,'NÖBV 2'!$B$3:$C$34,2,FALSE)),IF(ISNA(VLOOKUP(B94,'NÖBV 2'!$F$3:$G$34,2,FALSE))=TRUE,0,VLOOKUP(B94,'NÖBV 2'!$F$3:$G$34,2,FALSE)),IF(ISNA(VLOOKUP(B94,'NÖBV 2'!$J$3:$K$34,2,FALSE))=TRUE,0,VLOOKUP(B94,'NÖBV 2'!$J$3:$K$34,2,FALSE)),IF(ISNA(VLOOKUP(B94,'NÖBV 2'!$N$3:$O$34,2,FALSE))=TRUE,0,VLOOKUP(B94,'NÖBV 2'!$N$3:$O$34,2,FALSE)))</f>
        <v>0</v>
      </c>
      <c r="N94" s="19">
        <f>MAX(IF(ISNA(VLOOKUP(B94,'NÖBV 3'!$B$3:$C$34,2,FALSE))=TRUE,0,VLOOKUP(B94,'NÖBV 3'!$B$3:$C$34,2,FALSE)),IF(ISNA(VLOOKUP(B94,'NÖBV 3'!$F$3:$G$34,2,FALSE))=TRUE,0,VLOOKUP(B94,'NÖBV 3'!$F$3:$G$34,2,FALSE)),IF(ISNA(VLOOKUP(B94,'NÖBV 3'!$J$3:$K$34,2,FALSE))=TRUE,0,VLOOKUP(B94,'NÖBV 3'!$J$3:$K$34,2,FALSE)),IF(ISNA(VLOOKUP(B94,'NÖBV 3'!$N$3:$O$34,2,FALSE))=TRUE,0,VLOOKUP(B94,'NÖBV 3'!$N$3:$O$34,2,FALSE)))</f>
        <v>0</v>
      </c>
      <c r="O94" s="15">
        <f>MAX(IF(ISNA(VLOOKUP(B94,'Regioturnier 1'!$B$3:$C$34,2,FALSE))=TRUE,0,VLOOKUP(B94,'Regioturnier 1'!$B$3:$C$34,2,FALSE)),IF(ISNA(VLOOKUP(B94,'Regioturnier 1'!$F$3:$G$34,2,FALSE))=TRUE,0,VLOOKUP(B94,'Regioturnier 1'!$F$3:$G$34,2,FALSE)),IF(ISNA(VLOOKUP(B94,'Regioturnier 1'!$J$3:$K$34,2,FALSE))=TRUE,0,VLOOKUP(B94,'Regioturnier 1'!$J$3:$K$34,2,FALSE)),IF(ISNA(VLOOKUP(B94,'Regioturnier 1'!$N$3:$O$34,2,FALSE))=TRUE,0,VLOOKUP(B94,'Regioturnier 1'!$N$3:$O$34,2,FALSE)),IF(ISNA(VLOOKUP(B94,'Regioturnier 1'!$R$3:$S$34,2,FALSE))=TRUE,0,VLOOKUP(B94,'Regioturnier 1'!$R$3:$S$34,2,FALSE)), IF(ISNA(VLOOKUP(B94,'Regioturnier 1'!$V$3:$W$34,2,FALSE))=TRUE,0,VLOOKUP(B94,'Regioturnier 1'!$V$3:$W$34,2,FALSE)), IF(ISNA(VLOOKUP(B94,'Regioturnier 1'!$Z$3:$AA$34,2,FALSE))=TRUE,0,VLOOKUP(B94,'Regioturnier 1'!$Z$3:$AA$34,2,FALSE)))</f>
        <v>0</v>
      </c>
      <c r="P94" s="15">
        <f>MAX(IF(ISNA(VLOOKUP(B94,'Regioturnier 2'!$B$3:$C$34,2,FALSE))=TRUE,0,VLOOKUP(B94,'Regioturnier 2'!$B$3:$C$34,2,FALSE)),IF(ISNA(VLOOKUP(B94,'Regioturnier 2'!$F$3:$G$34,2,FALSE))=TRUE,0,VLOOKUP(B94,'Regioturnier 2'!$F$3:$G$34,2,FALSE)),IF(ISNA(VLOOKUP(B94,'Regioturnier 2'!$J$3:$K$34,2,FALSE))=TRUE,0,VLOOKUP(B94,'Regioturnier 2'!$J$3:$K$34,2,FALSE)),IF(ISNA(VLOOKUP(B94,'Regioturnier 2'!$N$3:$O$34,2,FALSE))=TRUE,0,VLOOKUP(B94,'Regioturnier 2'!$N$3:$O$34,2,FALSE)),IF(ISNA(VLOOKUP(B94,'Regioturnier 2'!$R$3:$S$34,2,FALSE))=TRUE,0,VLOOKUP(B94,'Regioturnier 2'!$R$3:$S$34,2,FALSE)), IF(ISNA(VLOOKUP(B94,'Regioturnier 2'!$V$3:$W$34,2,FALSE))=TRUE,0,VLOOKUP(B94,'Regioturnier 2'!$V$3:$W$34,2,FALSE)), IF(ISNA(VLOOKUP(B94,'Regioturnier 2'!$Z$3:$AA$34,2,FALSE))=TRUE,0,VLOOKUP(B94,'Regioturnier 2'!$Z$3:$AA$34,2,FALSE)))</f>
        <v>0</v>
      </c>
      <c r="Q94" s="15">
        <f>MAX(IF(ISNA(VLOOKUP(B94,'Regioturnier 3'!$B$3:$C$34,2,FALSE))=TRUE,0,VLOOKUP(B94,'Regioturnier 3'!$B$3:$C$34,2,FALSE)),IF(ISNA(VLOOKUP(B94,'Regioturnier 3'!$F$3:$G$34,2,FALSE))=TRUE,0,VLOOKUP(B94,'Regioturnier 3'!$F$3:$G$34,2,FALSE)),IF(ISNA(VLOOKUP(B94,'Regioturnier 3'!$J$3:$K$34,2,FALSE))=TRUE,0,VLOOKUP(B94,'Regioturnier 3'!$J$3:$K$34,2,FALSE)),IF(ISNA(VLOOKUP(B94,'Regioturnier 3'!$N$3:$O$34,2,FALSE))=TRUE,0,VLOOKUP(B94,'Regioturnier 3'!$N$3:$O$34,2,FALSE)),IF(ISNA(VLOOKUP(B94,'Regioturnier 3'!$R$3:$S$34,2,FALSE))=TRUE,0,VLOOKUP(B94,'Regioturnier 3'!$R$3:$S$34,2,FALSE)), IF(ISNA(VLOOKUP(B94,'Regioturnier 3'!$V$3:$W$34,2,FALSE))=TRUE,0,VLOOKUP(B94,'Regioturnier 3'!$V$3:$W$34,2,FALSE)), IF(ISNA(VLOOKUP(B94,'Regioturnier 3'!$Z$3:$AA$34,2,FALSE))=TRUE,0,VLOOKUP(B94,'Regioturnier 3'!$Z$3:$AA$34,2,FALSE)))</f>
        <v>0</v>
      </c>
      <c r="R94" s="20">
        <f>0.5*INDEX($H94:$N94,MATCH(LARGE($H94:$N94,1),$H94:$N94,0))+0.3*INDEX($H94:$N94,MATCH(LARGE($H94:$N94,2),$H94:$N94,0))+0.2*INDEX($H94:$N94,MATCH(LARGE($H94:$N94,3),$H94:$N94,0))</f>
        <v>99</v>
      </c>
      <c r="S94" s="20">
        <f>0.6*INDEX(O94:Q94,MATCH(LARGE(O94:Q94,1),O94:Q94,0))+0.4*INDEX(O94:Q94,MATCH(LARGE(O94:Q94,2),O94:Q94,0))+0*INDEX(O94:Q94,MATCH(LARGE(O94:Q94,3),O94:Q94,0))</f>
        <v>0</v>
      </c>
      <c r="T94" s="15">
        <f>1*INDEX(R94:S94,MATCH(LARGE(R94:S94,1),R94:S94,0))+0*INDEX(R94:S94,MATCH(LARGE(R94:S94,2),R94:S94,0))</f>
        <v>99</v>
      </c>
      <c r="U94" s="21"/>
      <c r="V94" s="21"/>
      <c r="W94" s="21"/>
      <c r="X94" s="21"/>
      <c r="Y94" s="21"/>
      <c r="Z94" s="21"/>
    </row>
    <row r="95" spans="1:26" ht="12.75" customHeight="1" x14ac:dyDescent="0.3">
      <c r="A95" s="15">
        <v>94</v>
      </c>
      <c r="B95" s="16" t="s">
        <v>539</v>
      </c>
      <c r="C95" s="17" t="s">
        <v>31</v>
      </c>
      <c r="D95" s="15" t="s">
        <v>26</v>
      </c>
      <c r="E95" s="18" t="s">
        <v>23</v>
      </c>
      <c r="F95" s="15" t="s">
        <v>542</v>
      </c>
      <c r="G95" s="22">
        <v>2017</v>
      </c>
      <c r="H95" s="15">
        <f>MAX(IF(ISNA(VLOOKUP(B95,'WBV 1'!$B$3:$C$34,2,FALSE))=TRUE,0,VLOOKUP(B95,'WBV 1'!$B$3:$C$34,2,FALSE)),IF(ISNA(VLOOKUP(B95,'WBV 1'!$F$3:$G$34,2,FALSE))=TRUE,0,VLOOKUP(B95,'WBV 1'!$F$3:$G$34,2,FALSE)),IF(ISNA(VLOOKUP(B95,'WBV 1'!$J$3:$K$34,2,FALSE))=TRUE,0,VLOOKUP(B95,'WBV 1'!$J$3:$K$34,2,FALSE)),IF(ISNA(VLOOKUP(B95,'WBV 1'!$N$3:$O$34,2,FALSE))=TRUE,0,VLOOKUP(B95,'WBV 1'!$N$3:$O$34,2,FALSE)))</f>
        <v>0</v>
      </c>
      <c r="I95" s="15">
        <f>MAX(IF(ISNA(VLOOKUP(B95,'WBV 2'!$B$3:$C$34,2,FALSE))=TRUE,0,VLOOKUP(B95,'WBV 2'!$B$3:$C$34,2,FALSE)),IF(ISNA(VLOOKUP(B95,'WBV 2'!$F$3:$G$34,2,FALSE))=TRUE,0,VLOOKUP(B95,'WBV 2'!$F$3:$G$34,2,FALSE)),IF(ISNA(VLOOKUP(B95,'WBV 2'!$J$3:$K$34,2,FALSE))=TRUE,0,VLOOKUP(B95,'WBV 2'!$J$3:$K$34,2,FALSE)),IF(ISNA(VLOOKUP(B95,'WBV 2'!$N$3:$O$34,2,FALSE))=TRUE,0,VLOOKUP(B95,'WBV 2'!$N$3:$O$34,2,FALSE)))</f>
        <v>111</v>
      </c>
      <c r="J95" s="15">
        <f>MAX(IF(ISNA(VLOOKUP(B95,'WBV 3'!$B$3:$C$34,2,FALSE))=TRUE,0,VLOOKUP(B95,'WBV 3'!$B$3:$C$34,2,FALSE)),IF(ISNA(VLOOKUP(B95,'WBV 3'!$F$3:$G$34,2,FALSE))=TRUE,0,VLOOKUP(B95,'WBV 3'!$F$3:$G$34,2,FALSE)),IF(ISNA(VLOOKUP(B95,'WBV 3'!$J$3:$K$34,2,FALSE))=TRUE,0,VLOOKUP(B95,'WBV 3'!$J$3:$K$34,2,FALSE)),IF(ISNA(VLOOKUP(B95,'WBV 3'!$N$3:$O$34,2,FALSE))=TRUE,0,VLOOKUP(B95,'WBV 3'!$N$3:$O$34,2,FALSE)))</f>
        <v>131</v>
      </c>
      <c r="K95" s="15">
        <f>MAX(IF(ISNA(VLOOKUP(B95,'WBV 4'!$B$3:$C$34,2,FALSE))=TRUE,0,VLOOKUP(B95,'WBV 4'!$B$3:$C$34,2,FALSE)),IF(ISNA(VLOOKUP(B95,'WBV 4'!$F$3:$G$34,2,FALSE))=TRUE,0,VLOOKUP(B95,'WBV 4'!$F$3:$G$34,2,FALSE)),IF(ISNA(VLOOKUP(B95,'WBV 4'!$J$3:$K$34,2,FALSE))=TRUE,0,VLOOKUP(B95,'WBV 4'!$J$3:$K$34,2,FALSE)),IF(ISNA(VLOOKUP(B95,'WBV 4'!$N$3:$O$34,2,FALSE))=TRUE,0,VLOOKUP(B95,'WBV 4'!$N$3:$O$34,2,FALSE)))</f>
        <v>0</v>
      </c>
      <c r="L95" s="19">
        <f>MAX(IF(ISNA(VLOOKUP(B95,'NÖBV 1'!$B$3:$C$34,2,FALSE))=TRUE,0,VLOOKUP(B95,'NÖBV 1'!$B$3:$C$34,2,FALSE)),IF(ISNA(VLOOKUP(B95,'NÖBV 1'!$F$3:$G$34,2,FALSE))=TRUE,0,VLOOKUP(B95,'NÖBV 1'!$F$3:$G$34,2,FALSE)),IF(ISNA(VLOOKUP(B95,'NÖBV 1'!$J$3:$K$34,2,FALSE))=TRUE,0,VLOOKUP(B95,'NÖBV 1'!$J$3:$K$34,2,FALSE)),IF(ISNA(VLOOKUP(B95,'NÖBV 1'!$N$3:$O$34,2,FALSE))=TRUE,0,VLOOKUP(B95,'NÖBV 1'!$N$3:$O$34,2,FALSE)))</f>
        <v>0</v>
      </c>
      <c r="M95" s="19">
        <f>MAX(IF(ISNA(VLOOKUP(B95,'NÖBV 2'!$B$3:$C$34,2,FALSE))=TRUE,0,VLOOKUP(B95,'NÖBV 2'!$B$3:$C$34,2,FALSE)),IF(ISNA(VLOOKUP(B95,'NÖBV 2'!$F$3:$G$34,2,FALSE))=TRUE,0,VLOOKUP(B95,'NÖBV 2'!$F$3:$G$34,2,FALSE)),IF(ISNA(VLOOKUP(B95,'NÖBV 2'!$J$3:$K$34,2,FALSE))=TRUE,0,VLOOKUP(B95,'NÖBV 2'!$J$3:$K$34,2,FALSE)),IF(ISNA(VLOOKUP(B95,'NÖBV 2'!$N$3:$O$34,2,FALSE))=TRUE,0,VLOOKUP(B95,'NÖBV 2'!$N$3:$O$34,2,FALSE)))</f>
        <v>0</v>
      </c>
      <c r="N95" s="19">
        <f>MAX(IF(ISNA(VLOOKUP(B95,'NÖBV 3'!$B$3:$C$34,2,FALSE))=TRUE,0,VLOOKUP(B95,'NÖBV 3'!$B$3:$C$34,2,FALSE)),IF(ISNA(VLOOKUP(B95,'NÖBV 3'!$F$3:$G$34,2,FALSE))=TRUE,0,VLOOKUP(B95,'NÖBV 3'!$F$3:$G$34,2,FALSE)),IF(ISNA(VLOOKUP(B95,'NÖBV 3'!$J$3:$K$34,2,FALSE))=TRUE,0,VLOOKUP(B95,'NÖBV 3'!$J$3:$K$34,2,FALSE)),IF(ISNA(VLOOKUP(B95,'NÖBV 3'!$N$3:$O$34,2,FALSE))=TRUE,0,VLOOKUP(B95,'NÖBV 3'!$N$3:$O$34,2,FALSE)))</f>
        <v>0</v>
      </c>
      <c r="O95" s="15">
        <f>MAX(IF(ISNA(VLOOKUP(B95,'Regioturnier 1'!$B$3:$C$34,2,FALSE))=TRUE,0,VLOOKUP(B95,'Regioturnier 1'!$B$3:$C$34,2,FALSE)),IF(ISNA(VLOOKUP(B95,'Regioturnier 1'!$F$3:$G$34,2,FALSE))=TRUE,0,VLOOKUP(B95,'Regioturnier 1'!$F$3:$G$34,2,FALSE)),IF(ISNA(VLOOKUP(B95,'Regioturnier 1'!$J$3:$K$34,2,FALSE))=TRUE,0,VLOOKUP(B95,'Regioturnier 1'!$J$3:$K$34,2,FALSE)),IF(ISNA(VLOOKUP(B95,'Regioturnier 1'!$N$3:$O$34,2,FALSE))=TRUE,0,VLOOKUP(B95,'Regioturnier 1'!$N$3:$O$34,2,FALSE)),IF(ISNA(VLOOKUP(B95,'Regioturnier 1'!$R$3:$S$34,2,FALSE))=TRUE,0,VLOOKUP(B95,'Regioturnier 1'!$R$3:$S$34,2,FALSE)), IF(ISNA(VLOOKUP(B95,'Regioturnier 1'!$V$3:$W$34,2,FALSE))=TRUE,0,VLOOKUP(B95,'Regioturnier 1'!$V$3:$W$34,2,FALSE)), IF(ISNA(VLOOKUP(B95,'Regioturnier 1'!$Z$3:$AA$34,2,FALSE))=TRUE,0,VLOOKUP(B95,'Regioturnier 1'!$Z$3:$AA$34,2,FALSE)))</f>
        <v>0</v>
      </c>
      <c r="P95" s="15">
        <f>MAX(IF(ISNA(VLOOKUP(B95,'Regioturnier 2'!$B$3:$C$34,2,FALSE))=TRUE,0,VLOOKUP(B95,'Regioturnier 2'!$B$3:$C$34,2,FALSE)),IF(ISNA(VLOOKUP(B95,'Regioturnier 2'!$F$3:$G$34,2,FALSE))=TRUE,0,VLOOKUP(B95,'Regioturnier 2'!$F$3:$G$34,2,FALSE)),IF(ISNA(VLOOKUP(B95,'Regioturnier 2'!$J$3:$K$34,2,FALSE))=TRUE,0,VLOOKUP(B95,'Regioturnier 2'!$J$3:$K$34,2,FALSE)),IF(ISNA(VLOOKUP(B95,'Regioturnier 2'!$N$3:$O$34,2,FALSE))=TRUE,0,VLOOKUP(B95,'Regioturnier 2'!$N$3:$O$34,2,FALSE)),IF(ISNA(VLOOKUP(B95,'Regioturnier 2'!$R$3:$S$34,2,FALSE))=TRUE,0,VLOOKUP(B95,'Regioturnier 2'!$R$3:$S$34,2,FALSE)), IF(ISNA(VLOOKUP(B95,'Regioturnier 2'!$V$3:$W$34,2,FALSE))=TRUE,0,VLOOKUP(B95,'Regioturnier 2'!$V$3:$W$34,2,FALSE)), IF(ISNA(VLOOKUP(B95,'Regioturnier 2'!$Z$3:$AA$34,2,FALSE))=TRUE,0,VLOOKUP(B95,'Regioturnier 2'!$Z$3:$AA$34,2,FALSE)))</f>
        <v>0</v>
      </c>
      <c r="Q95" s="15">
        <f>MAX(IF(ISNA(VLOOKUP(B95,'Regioturnier 3'!$B$3:$C$34,2,FALSE))=TRUE,0,VLOOKUP(B95,'Regioturnier 3'!$B$3:$C$34,2,FALSE)),IF(ISNA(VLOOKUP(B95,'Regioturnier 3'!$F$3:$G$34,2,FALSE))=TRUE,0,VLOOKUP(B95,'Regioturnier 3'!$F$3:$G$34,2,FALSE)),IF(ISNA(VLOOKUP(B95,'Regioturnier 3'!$J$3:$K$34,2,FALSE))=TRUE,0,VLOOKUP(B95,'Regioturnier 3'!$J$3:$K$34,2,FALSE)),IF(ISNA(VLOOKUP(B95,'Regioturnier 3'!$N$3:$O$34,2,FALSE))=TRUE,0,VLOOKUP(B95,'Regioturnier 3'!$N$3:$O$34,2,FALSE)),IF(ISNA(VLOOKUP(B95,'Regioturnier 3'!$R$3:$S$34,2,FALSE))=TRUE,0,VLOOKUP(B95,'Regioturnier 3'!$R$3:$S$34,2,FALSE)), IF(ISNA(VLOOKUP(B95,'Regioturnier 3'!$V$3:$W$34,2,FALSE))=TRUE,0,VLOOKUP(B95,'Regioturnier 3'!$V$3:$W$34,2,FALSE)), IF(ISNA(VLOOKUP(B95,'Regioturnier 3'!$Z$3:$AA$34,2,FALSE))=TRUE,0,VLOOKUP(B95,'Regioturnier 3'!$Z$3:$AA$34,2,FALSE)))</f>
        <v>0</v>
      </c>
      <c r="R95" s="20">
        <f>0.5*INDEX($H95:$N95,MATCH(LARGE($H95:$N95,1),$H95:$N95,0))+0.3*INDEX($H95:$N95,MATCH(LARGE($H95:$N95,2),$H95:$N95,0))+0.2*INDEX($H95:$N95,MATCH(LARGE($H95:$N95,3),$H95:$N95,0))</f>
        <v>98.8</v>
      </c>
      <c r="S95" s="20">
        <f>0.6*INDEX(O95:Q95,MATCH(LARGE(O95:Q95,1),O95:Q95,0))+0.4*INDEX(O95:Q95,MATCH(LARGE(O95:Q95,2),O95:Q95,0))+0*INDEX(O95:Q95,MATCH(LARGE(O95:Q95,3),O95:Q95,0))</f>
        <v>0</v>
      </c>
      <c r="T95" s="15">
        <f>1*INDEX(R95:S95,MATCH(LARGE(R95:S95,1),R95:S95,0))+0*INDEX(R95:S95,MATCH(LARGE(R95:S95,2),R95:S95,0))</f>
        <v>98.8</v>
      </c>
      <c r="U95" s="21"/>
      <c r="V95" s="21"/>
      <c r="W95" s="21"/>
      <c r="X95" s="21"/>
      <c r="Y95" s="21"/>
      <c r="Z95" s="21"/>
    </row>
    <row r="96" spans="1:26" ht="12.75" customHeight="1" x14ac:dyDescent="0.3">
      <c r="A96" s="15">
        <v>95</v>
      </c>
      <c r="B96" s="16" t="s">
        <v>537</v>
      </c>
      <c r="C96" s="17" t="s">
        <v>31</v>
      </c>
      <c r="D96" s="15" t="s">
        <v>26</v>
      </c>
      <c r="E96" s="18" t="s">
        <v>40</v>
      </c>
      <c r="F96" s="15" t="s">
        <v>637</v>
      </c>
      <c r="G96" s="22">
        <v>2017</v>
      </c>
      <c r="H96" s="15">
        <f>MAX(IF(ISNA(VLOOKUP(B96,'WBV 1'!$B$3:$C$34,2,FALSE))=TRUE,0,VLOOKUP(B96,'WBV 1'!$B$3:$C$34,2,FALSE)),IF(ISNA(VLOOKUP(B96,'WBV 1'!$F$3:$G$34,2,FALSE))=TRUE,0,VLOOKUP(B96,'WBV 1'!$F$3:$G$34,2,FALSE)),IF(ISNA(VLOOKUP(B96,'WBV 1'!$J$3:$K$34,2,FALSE))=TRUE,0,VLOOKUP(B96,'WBV 1'!$J$3:$K$34,2,FALSE)),IF(ISNA(VLOOKUP(B96,'WBV 1'!$N$3:$O$34,2,FALSE))=TRUE,0,VLOOKUP(B96,'WBV 1'!$N$3:$O$34,2,FALSE)))</f>
        <v>0</v>
      </c>
      <c r="I96" s="15">
        <f>MAX(IF(ISNA(VLOOKUP(B96,'WBV 2'!$B$3:$C$34,2,FALSE))=TRUE,0,VLOOKUP(B96,'WBV 2'!$B$3:$C$34,2,FALSE)),IF(ISNA(VLOOKUP(B96,'WBV 2'!$F$3:$G$34,2,FALSE))=TRUE,0,VLOOKUP(B96,'WBV 2'!$F$3:$G$34,2,FALSE)),IF(ISNA(VLOOKUP(B96,'WBV 2'!$J$3:$K$34,2,FALSE))=TRUE,0,VLOOKUP(B96,'WBV 2'!$J$3:$K$34,2,FALSE)),IF(ISNA(VLOOKUP(B96,'WBV 2'!$N$3:$O$34,2,FALSE))=TRUE,0,VLOOKUP(B96,'WBV 2'!$N$3:$O$34,2,FALSE)))</f>
        <v>117</v>
      </c>
      <c r="J96" s="15">
        <f>MAX(IF(ISNA(VLOOKUP(B96,'WBV 3'!$B$3:$C$34,2,FALSE))=TRUE,0,VLOOKUP(B96,'WBV 3'!$B$3:$C$34,2,FALSE)),IF(ISNA(VLOOKUP(B96,'WBV 3'!$F$3:$G$34,2,FALSE))=TRUE,0,VLOOKUP(B96,'WBV 3'!$F$3:$G$34,2,FALSE)),IF(ISNA(VLOOKUP(B96,'WBV 3'!$J$3:$K$34,2,FALSE))=TRUE,0,VLOOKUP(B96,'WBV 3'!$J$3:$K$34,2,FALSE)),IF(ISNA(VLOOKUP(B96,'WBV 3'!$N$3:$O$34,2,FALSE))=TRUE,0,VLOOKUP(B96,'WBV 3'!$N$3:$O$34,2,FALSE)))</f>
        <v>127</v>
      </c>
      <c r="K96" s="15">
        <f>MAX(IF(ISNA(VLOOKUP(B96,'WBV 4'!$B$3:$C$34,2,FALSE))=TRUE,0,VLOOKUP(B96,'WBV 4'!$B$3:$C$34,2,FALSE)),IF(ISNA(VLOOKUP(B96,'WBV 4'!$F$3:$G$34,2,FALSE))=TRUE,0,VLOOKUP(B96,'WBV 4'!$F$3:$G$34,2,FALSE)),IF(ISNA(VLOOKUP(B96,'WBV 4'!$J$3:$K$34,2,FALSE))=TRUE,0,VLOOKUP(B96,'WBV 4'!$J$3:$K$34,2,FALSE)),IF(ISNA(VLOOKUP(B96,'WBV 4'!$N$3:$O$34,2,FALSE))=TRUE,0,VLOOKUP(B96,'WBV 4'!$N$3:$O$34,2,FALSE)))</f>
        <v>0</v>
      </c>
      <c r="L96" s="19">
        <f>MAX(IF(ISNA(VLOOKUP(B96,'NÖBV 1'!$B$3:$C$34,2,FALSE))=TRUE,0,VLOOKUP(B96,'NÖBV 1'!$B$3:$C$34,2,FALSE)),IF(ISNA(VLOOKUP(B96,'NÖBV 1'!$F$3:$G$34,2,FALSE))=TRUE,0,VLOOKUP(B96,'NÖBV 1'!$F$3:$G$34,2,FALSE)),IF(ISNA(VLOOKUP(B96,'NÖBV 1'!$J$3:$K$34,2,FALSE))=TRUE,0,VLOOKUP(B96,'NÖBV 1'!$J$3:$K$34,2,FALSE)),IF(ISNA(VLOOKUP(B96,'NÖBV 1'!$N$3:$O$34,2,FALSE))=TRUE,0,VLOOKUP(B96,'NÖBV 1'!$N$3:$O$34,2,FALSE)))</f>
        <v>0</v>
      </c>
      <c r="M96" s="19">
        <f>MAX(IF(ISNA(VLOOKUP(B96,'NÖBV 2'!$B$3:$C$34,2,FALSE))=TRUE,0,VLOOKUP(B96,'NÖBV 2'!$B$3:$C$34,2,FALSE)),IF(ISNA(VLOOKUP(B96,'NÖBV 2'!$F$3:$G$34,2,FALSE))=TRUE,0,VLOOKUP(B96,'NÖBV 2'!$F$3:$G$34,2,FALSE)),IF(ISNA(VLOOKUP(B96,'NÖBV 2'!$J$3:$K$34,2,FALSE))=TRUE,0,VLOOKUP(B96,'NÖBV 2'!$J$3:$K$34,2,FALSE)),IF(ISNA(VLOOKUP(B96,'NÖBV 2'!$N$3:$O$34,2,FALSE))=TRUE,0,VLOOKUP(B96,'NÖBV 2'!$N$3:$O$34,2,FALSE)))</f>
        <v>0</v>
      </c>
      <c r="N96" s="19">
        <f>MAX(IF(ISNA(VLOOKUP(B96,'NÖBV 3'!$B$3:$C$34,2,FALSE))=TRUE,0,VLOOKUP(B96,'NÖBV 3'!$B$3:$C$34,2,FALSE)),IF(ISNA(VLOOKUP(B96,'NÖBV 3'!$F$3:$G$34,2,FALSE))=TRUE,0,VLOOKUP(B96,'NÖBV 3'!$F$3:$G$34,2,FALSE)),IF(ISNA(VLOOKUP(B96,'NÖBV 3'!$J$3:$K$34,2,FALSE))=TRUE,0,VLOOKUP(B96,'NÖBV 3'!$J$3:$K$34,2,FALSE)),IF(ISNA(VLOOKUP(B96,'NÖBV 3'!$N$3:$O$34,2,FALSE))=TRUE,0,VLOOKUP(B96,'NÖBV 3'!$N$3:$O$34,2,FALSE)))</f>
        <v>0</v>
      </c>
      <c r="O96" s="15">
        <f>MAX(IF(ISNA(VLOOKUP(B96,'Regioturnier 1'!$B$3:$C$34,2,FALSE))=TRUE,0,VLOOKUP(B96,'Regioturnier 1'!$B$3:$C$34,2,FALSE)),IF(ISNA(VLOOKUP(B96,'Regioturnier 1'!$F$3:$G$34,2,FALSE))=TRUE,0,VLOOKUP(B96,'Regioturnier 1'!$F$3:$G$34,2,FALSE)),IF(ISNA(VLOOKUP(B96,'Regioturnier 1'!$J$3:$K$34,2,FALSE))=TRUE,0,VLOOKUP(B96,'Regioturnier 1'!$J$3:$K$34,2,FALSE)),IF(ISNA(VLOOKUP(B96,'Regioturnier 1'!$N$3:$O$34,2,FALSE))=TRUE,0,VLOOKUP(B96,'Regioturnier 1'!$N$3:$O$34,2,FALSE)),IF(ISNA(VLOOKUP(B96,'Regioturnier 1'!$R$3:$S$34,2,FALSE))=TRUE,0,VLOOKUP(B96,'Regioturnier 1'!$R$3:$S$34,2,FALSE)), IF(ISNA(VLOOKUP(B96,'Regioturnier 1'!$V$3:$W$34,2,FALSE))=TRUE,0,VLOOKUP(B96,'Regioturnier 1'!$V$3:$W$34,2,FALSE)), IF(ISNA(VLOOKUP(B96,'Regioturnier 1'!$Z$3:$AA$34,2,FALSE))=TRUE,0,VLOOKUP(B96,'Regioturnier 1'!$Z$3:$AA$34,2,FALSE)))</f>
        <v>0</v>
      </c>
      <c r="P96" s="15">
        <f>MAX(IF(ISNA(VLOOKUP(B96,'Regioturnier 2'!$B$3:$C$34,2,FALSE))=TRUE,0,VLOOKUP(B96,'Regioturnier 2'!$B$3:$C$34,2,FALSE)),IF(ISNA(VLOOKUP(B96,'Regioturnier 2'!$F$3:$G$34,2,FALSE))=TRUE,0,VLOOKUP(B96,'Regioturnier 2'!$F$3:$G$34,2,FALSE)),IF(ISNA(VLOOKUP(B96,'Regioturnier 2'!$J$3:$K$34,2,FALSE))=TRUE,0,VLOOKUP(B96,'Regioturnier 2'!$J$3:$K$34,2,FALSE)),IF(ISNA(VLOOKUP(B96,'Regioturnier 2'!$N$3:$O$34,2,FALSE))=TRUE,0,VLOOKUP(B96,'Regioturnier 2'!$N$3:$O$34,2,FALSE)),IF(ISNA(VLOOKUP(B96,'Regioturnier 2'!$R$3:$S$34,2,FALSE))=TRUE,0,VLOOKUP(B96,'Regioturnier 2'!$R$3:$S$34,2,FALSE)), IF(ISNA(VLOOKUP(B96,'Regioturnier 2'!$V$3:$W$34,2,FALSE))=TRUE,0,VLOOKUP(B96,'Regioturnier 2'!$V$3:$W$34,2,FALSE)), IF(ISNA(VLOOKUP(B96,'Regioturnier 2'!$Z$3:$AA$34,2,FALSE))=TRUE,0,VLOOKUP(B96,'Regioturnier 2'!$Z$3:$AA$34,2,FALSE)))</f>
        <v>0</v>
      </c>
      <c r="Q96" s="15">
        <f>MAX(IF(ISNA(VLOOKUP(B96,'Regioturnier 3'!$B$3:$C$34,2,FALSE))=TRUE,0,VLOOKUP(B96,'Regioturnier 3'!$B$3:$C$34,2,FALSE)),IF(ISNA(VLOOKUP(B96,'Regioturnier 3'!$F$3:$G$34,2,FALSE))=TRUE,0,VLOOKUP(B96,'Regioturnier 3'!$F$3:$G$34,2,FALSE)),IF(ISNA(VLOOKUP(B96,'Regioturnier 3'!$J$3:$K$34,2,FALSE))=TRUE,0,VLOOKUP(B96,'Regioturnier 3'!$J$3:$K$34,2,FALSE)),IF(ISNA(VLOOKUP(B96,'Regioturnier 3'!$N$3:$O$34,2,FALSE))=TRUE,0,VLOOKUP(B96,'Regioturnier 3'!$N$3:$O$34,2,FALSE)),IF(ISNA(VLOOKUP(B96,'Regioturnier 3'!$R$3:$S$34,2,FALSE))=TRUE,0,VLOOKUP(B96,'Regioturnier 3'!$R$3:$S$34,2,FALSE)), IF(ISNA(VLOOKUP(B96,'Regioturnier 3'!$V$3:$W$34,2,FALSE))=TRUE,0,VLOOKUP(B96,'Regioturnier 3'!$V$3:$W$34,2,FALSE)), IF(ISNA(VLOOKUP(B96,'Regioturnier 3'!$Z$3:$AA$34,2,FALSE))=TRUE,0,VLOOKUP(B96,'Regioturnier 3'!$Z$3:$AA$34,2,FALSE)))</f>
        <v>0</v>
      </c>
      <c r="R96" s="20">
        <f>0.5*INDEX($H96:$N96,MATCH(LARGE($H96:$N96,1),$H96:$N96,0))+0.3*INDEX($H96:$N96,MATCH(LARGE($H96:$N96,2),$H96:$N96,0))+0.2*INDEX($H96:$N96,MATCH(LARGE($H96:$N96,3),$H96:$N96,0))</f>
        <v>98.6</v>
      </c>
      <c r="S96" s="20">
        <f>0.6*INDEX(O96:Q96,MATCH(LARGE(O96:Q96,1),O96:Q96,0))+0.4*INDEX(O96:Q96,MATCH(LARGE(O96:Q96,2),O96:Q96,0))+0*INDEX(O96:Q96,MATCH(LARGE(O96:Q96,3),O96:Q96,0))</f>
        <v>0</v>
      </c>
      <c r="T96" s="15">
        <f>1*INDEX(R96:S96,MATCH(LARGE(R96:S96,1),R96:S96,0))+0*INDEX(R96:S96,MATCH(LARGE(R96:S96,2),R96:S96,0))</f>
        <v>98.6</v>
      </c>
      <c r="U96" s="21"/>
      <c r="V96" s="21"/>
      <c r="W96" s="21"/>
      <c r="X96" s="21"/>
      <c r="Y96" s="21"/>
      <c r="Z96" s="21"/>
    </row>
    <row r="97" spans="1:26" ht="12.75" customHeight="1" x14ac:dyDescent="0.3">
      <c r="A97" s="15">
        <v>96</v>
      </c>
      <c r="B97" s="106" t="s">
        <v>600</v>
      </c>
      <c r="C97" s="106" t="s">
        <v>160</v>
      </c>
      <c r="D97" s="106" t="s">
        <v>26</v>
      </c>
      <c r="E97" s="18" t="s">
        <v>40</v>
      </c>
      <c r="F97" s="106" t="s">
        <v>605</v>
      </c>
      <c r="G97" s="107">
        <v>2016</v>
      </c>
      <c r="H97" s="105">
        <f>MAX(IF(ISNA(VLOOKUP(B97,'WBV 1'!$B$3:$C$34,2,FALSE))=TRUE,0,VLOOKUP(B97,'WBV 1'!$B$3:$C$34,2,FALSE)),IF(ISNA(VLOOKUP(B97,'WBV 1'!$F$3:$G$34,2,FALSE))=TRUE,0,VLOOKUP(B97,'WBV 1'!$F$3:$G$34,2,FALSE)),IF(ISNA(VLOOKUP(B97,'WBV 1'!$J$3:$K$34,2,FALSE))=TRUE,0,VLOOKUP(B97,'WBV 1'!$J$3:$K$34,2,FALSE)),IF(ISNA(VLOOKUP(B97,'WBV 1'!$N$3:$O$34,2,FALSE))=TRUE,0,VLOOKUP(B97,'WBV 1'!$N$3:$O$34,2,FALSE)))</f>
        <v>0</v>
      </c>
      <c r="I97" s="105">
        <f>MAX(IF(ISNA(VLOOKUP(B97,'WBV 2'!$B$3:$C$34,2,FALSE))=TRUE,0,VLOOKUP(B97,'WBV 2'!$B$3:$C$34,2,FALSE)),IF(ISNA(VLOOKUP(B97,'WBV 2'!$F$3:$G$34,2,FALSE))=TRUE,0,VLOOKUP(B97,'WBV 2'!$F$3:$G$34,2,FALSE)),IF(ISNA(VLOOKUP(B97,'WBV 2'!$J$3:$K$34,2,FALSE))=TRUE,0,VLOOKUP(B97,'WBV 2'!$J$3:$K$34,2,FALSE)),IF(ISNA(VLOOKUP(B97,'WBV 2'!$N$3:$O$34,2,FALSE))=TRUE,0,VLOOKUP(B97,'WBV 2'!$N$3:$O$34,2,FALSE)))</f>
        <v>0</v>
      </c>
      <c r="J97" s="105">
        <f>MAX(IF(ISNA(VLOOKUP(B97,'WBV 3'!$B$3:$C$34,2,FALSE))=TRUE,0,VLOOKUP(B97,'WBV 3'!$B$3:$C$34,2,FALSE)),IF(ISNA(VLOOKUP(B97,'WBV 3'!$F$3:$G$34,2,FALSE))=TRUE,0,VLOOKUP(B97,'WBV 3'!$F$3:$G$34,2,FALSE)),IF(ISNA(VLOOKUP(B97,'WBV 3'!$J$3:$K$34,2,FALSE))=TRUE,0,VLOOKUP(B97,'WBV 3'!$J$3:$K$34,2,FALSE)),IF(ISNA(VLOOKUP(B97,'WBV 3'!$N$3:$O$34,2,FALSE))=TRUE,0,VLOOKUP(B97,'WBV 3'!$N$3:$O$34,2,FALSE)))</f>
        <v>152</v>
      </c>
      <c r="K97" s="105">
        <f>MAX(IF(ISNA(VLOOKUP(B97,'WBV 4'!$B$3:$C$34,2,FALSE))=TRUE,0,VLOOKUP(B97,'WBV 4'!$B$3:$C$34,2,FALSE)),IF(ISNA(VLOOKUP(B97,'WBV 4'!$F$3:$G$34,2,FALSE))=TRUE,0,VLOOKUP(B97,'WBV 4'!$F$3:$G$34,2,FALSE)),IF(ISNA(VLOOKUP(B97,'WBV 4'!$J$3:$K$34,2,FALSE))=TRUE,0,VLOOKUP(B97,'WBV 4'!$J$3:$K$34,2,FALSE)),IF(ISNA(VLOOKUP(B97,'WBV 4'!$N$3:$O$34,2,FALSE))=TRUE,0,VLOOKUP(B97,'WBV 4'!$N$3:$O$34,2,FALSE)))</f>
        <v>0</v>
      </c>
      <c r="L97" s="105">
        <f>MAX(IF(ISNA(VLOOKUP(B97,'NÖBV 1'!$B$3:$C$34,2,FALSE))=TRUE,0,VLOOKUP(B97,'NÖBV 1'!$B$3:$C$34,2,FALSE)),IF(ISNA(VLOOKUP(B97,'NÖBV 1'!$F$3:$G$34,2,FALSE))=TRUE,0,VLOOKUP(B97,'NÖBV 1'!$F$3:$G$34,2,FALSE)),IF(ISNA(VLOOKUP(B97,'NÖBV 1'!$J$3:$K$34,2,FALSE))=TRUE,0,VLOOKUP(B97,'NÖBV 1'!$J$3:$K$34,2,FALSE)),IF(ISNA(VLOOKUP(B97,'NÖBV 1'!$N$3:$O$34,2,FALSE))=TRUE,0,VLOOKUP(B97,'NÖBV 1'!$N$3:$O$34,2,FALSE)))</f>
        <v>0</v>
      </c>
      <c r="M97" s="105">
        <f>MAX(IF(ISNA(VLOOKUP(B97,'NÖBV 2'!$B$3:$C$34,2,FALSE))=TRUE,0,VLOOKUP(B97,'NÖBV 2'!$B$3:$C$34,2,FALSE)),IF(ISNA(VLOOKUP(B97,'NÖBV 2'!$F$3:$G$34,2,FALSE))=TRUE,0,VLOOKUP(B97,'NÖBV 2'!$F$3:$G$34,2,FALSE)),IF(ISNA(VLOOKUP(B97,'NÖBV 2'!$J$3:$K$34,2,FALSE))=TRUE,0,VLOOKUP(B97,'NÖBV 2'!$J$3:$K$34,2,FALSE)),IF(ISNA(VLOOKUP(B97,'NÖBV 2'!$N$3:$O$34,2,FALSE))=TRUE,0,VLOOKUP(B97,'NÖBV 2'!$N$3:$O$34,2,FALSE)))</f>
        <v>0</v>
      </c>
      <c r="N97" s="105">
        <f>MAX(IF(ISNA(VLOOKUP(B97,'NÖBV 3'!$B$3:$C$34,2,FALSE))=TRUE,0,VLOOKUP(B97,'NÖBV 3'!$B$3:$C$34,2,FALSE)),IF(ISNA(VLOOKUP(B97,'NÖBV 3'!$F$3:$G$34,2,FALSE))=TRUE,0,VLOOKUP(B97,'NÖBV 3'!$F$3:$G$34,2,FALSE)),IF(ISNA(VLOOKUP(B97,'NÖBV 3'!$J$3:$K$34,2,FALSE))=TRUE,0,VLOOKUP(B97,'NÖBV 3'!$J$3:$K$34,2,FALSE)),IF(ISNA(VLOOKUP(B97,'NÖBV 3'!$N$3:$O$34,2,FALSE))=TRUE,0,VLOOKUP(B97,'NÖBV 3'!$N$3:$O$34,2,FALSE)))</f>
        <v>0</v>
      </c>
      <c r="O97" s="105">
        <f>MAX(IF(ISNA(VLOOKUP(B97,'Regioturnier 1'!$B$3:$C$34,2,FALSE))=TRUE,0,VLOOKUP(B97,'Regioturnier 1'!$B$3:$C$34,2,FALSE)),IF(ISNA(VLOOKUP(B97,'Regioturnier 1'!$F$3:$G$34,2,FALSE))=TRUE,0,VLOOKUP(B97,'Regioturnier 1'!$F$3:$G$34,2,FALSE)),IF(ISNA(VLOOKUP(B97,'Regioturnier 1'!$J$3:$K$34,2,FALSE))=TRUE,0,VLOOKUP(B97,'Regioturnier 1'!$J$3:$K$34,2,FALSE)),IF(ISNA(VLOOKUP(B97,'Regioturnier 1'!$N$3:$O$34,2,FALSE))=TRUE,0,VLOOKUP(B97,'Regioturnier 1'!$N$3:$O$34,2,FALSE)),IF(ISNA(VLOOKUP(B97,'Regioturnier 1'!$R$3:$S$34,2,FALSE))=TRUE,0,VLOOKUP(B97,'Regioturnier 1'!$R$3:$S$34,2,FALSE)), IF(ISNA(VLOOKUP(B97,'Regioturnier 1'!$V$3:$W$34,2,FALSE))=TRUE,0,VLOOKUP(B97,'Regioturnier 1'!$V$3:$W$34,2,FALSE)), IF(ISNA(VLOOKUP(B97,'Regioturnier 1'!$Z$3:$AA$34,2,FALSE))=TRUE,0,VLOOKUP(B97,'Regioturnier 1'!$Z$3:$AA$34,2,FALSE)))</f>
        <v>0</v>
      </c>
      <c r="P97" s="105">
        <f>MAX(IF(ISNA(VLOOKUP(B97,'Regioturnier 2'!$B$3:$C$34,2,FALSE))=TRUE,0,VLOOKUP(B97,'Regioturnier 2'!$B$3:$C$34,2,FALSE)),IF(ISNA(VLOOKUP(B97,'Regioturnier 2'!$F$3:$G$34,2,FALSE))=TRUE,0,VLOOKUP(B97,'Regioturnier 2'!$F$3:$G$34,2,FALSE)),IF(ISNA(VLOOKUP(B97,'Regioturnier 2'!$J$3:$K$34,2,FALSE))=TRUE,0,VLOOKUP(B97,'Regioturnier 2'!$J$3:$K$34,2,FALSE)),IF(ISNA(VLOOKUP(B97,'Regioturnier 2'!$N$3:$O$34,2,FALSE))=TRUE,0,VLOOKUP(B97,'Regioturnier 2'!$N$3:$O$34,2,FALSE)),IF(ISNA(VLOOKUP(B97,'Regioturnier 2'!$R$3:$S$34,2,FALSE))=TRUE,0,VLOOKUP(B97,'Regioturnier 2'!$R$3:$S$34,2,FALSE)), IF(ISNA(VLOOKUP(B97,'Regioturnier 2'!$V$3:$W$34,2,FALSE))=TRUE,0,VLOOKUP(B97,'Regioturnier 2'!$V$3:$W$34,2,FALSE)), IF(ISNA(VLOOKUP(B97,'Regioturnier 2'!$Z$3:$AA$34,2,FALSE))=TRUE,0,VLOOKUP(B97,'Regioturnier 2'!$Z$3:$AA$34,2,FALSE)))</f>
        <v>164</v>
      </c>
      <c r="Q97" s="105">
        <f>MAX(IF(ISNA(VLOOKUP(B97,'Regioturnier 3'!$B$3:$C$34,2,FALSE))=TRUE,0,VLOOKUP(B97,'Regioturnier 3'!$B$3:$C$34,2,FALSE)),IF(ISNA(VLOOKUP(B97,'Regioturnier 3'!$F$3:$G$34,2,FALSE))=TRUE,0,VLOOKUP(B97,'Regioturnier 3'!$F$3:$G$34,2,FALSE)),IF(ISNA(VLOOKUP(B97,'Regioturnier 3'!$J$3:$K$34,2,FALSE))=TRUE,0,VLOOKUP(B97,'Regioturnier 3'!$J$3:$K$34,2,FALSE)),IF(ISNA(VLOOKUP(B97,'Regioturnier 3'!$N$3:$O$34,2,FALSE))=TRUE,0,VLOOKUP(B97,'Regioturnier 3'!$N$3:$O$34,2,FALSE)),IF(ISNA(VLOOKUP(B97,'Regioturnier 3'!$R$3:$S$34,2,FALSE))=TRUE,0,VLOOKUP(B97,'Regioturnier 3'!$R$3:$S$34,2,FALSE)), IF(ISNA(VLOOKUP(B97,'Regioturnier 3'!$V$3:$W$34,2,FALSE))=TRUE,0,VLOOKUP(B97,'Regioturnier 3'!$V$3:$W$34,2,FALSE)), IF(ISNA(VLOOKUP(B97,'Regioturnier 3'!$Z$3:$AA$34,2,FALSE))=TRUE,0,VLOOKUP(B97,'Regioturnier 3'!$Z$3:$AA$34,2,FALSE)))</f>
        <v>0</v>
      </c>
      <c r="R97" s="108">
        <f>0.5*INDEX($H97:$N97,MATCH(LARGE($H97:$N97,1),$H97:$N97,0))+0.3*INDEX($H97:$N97,MATCH(LARGE($H97:$N97,2),$H97:$N97,0))+0.2*INDEX($H97:$N97,MATCH(LARGE($H97:$N97,3),$H97:$N97,0))</f>
        <v>76</v>
      </c>
      <c r="S97" s="108">
        <f>0.6*INDEX(O97:Q97,MATCH(LARGE(O97:Q97,1),O97:Q97,0))+0.4*INDEX(O97:Q97,MATCH(LARGE(O97:Q97,2),O97:Q97,0))+0*INDEX(O97:Q97,MATCH(LARGE(O97:Q97,3),O97:Q97,0))</f>
        <v>98.399999999999991</v>
      </c>
      <c r="T97" s="105">
        <f>1*INDEX(R97:S97,MATCH(LARGE(R97:S97,1),R97:S97,0))+0*INDEX(R97:S97,MATCH(LARGE(R97:S97,2),R97:S97,0))</f>
        <v>98.399999999999991</v>
      </c>
      <c r="U97" s="21"/>
      <c r="V97" s="21"/>
      <c r="W97" s="21"/>
      <c r="X97" s="21"/>
      <c r="Y97" s="21"/>
      <c r="Z97" s="21"/>
    </row>
    <row r="98" spans="1:26" ht="12.75" customHeight="1" x14ac:dyDescent="0.3">
      <c r="A98" s="15">
        <v>97</v>
      </c>
      <c r="B98" s="16" t="s">
        <v>56</v>
      </c>
      <c r="C98" s="17" t="s">
        <v>57</v>
      </c>
      <c r="D98" s="15" t="s">
        <v>26</v>
      </c>
      <c r="E98" s="18" t="s">
        <v>23</v>
      </c>
      <c r="F98" s="15">
        <v>109708</v>
      </c>
      <c r="G98" s="22">
        <v>2011</v>
      </c>
      <c r="H98" s="15">
        <f>MAX(IF(ISNA(VLOOKUP(B98,'WBV 1'!$B$3:$C$34,2,FALSE))=TRUE,0,VLOOKUP(B98,'WBV 1'!$B$3:$C$34,2,FALSE)),IF(ISNA(VLOOKUP(B98,'WBV 1'!$F$3:$G$34,2,FALSE))=TRUE,0,VLOOKUP(B98,'WBV 1'!$F$3:$G$34,2,FALSE)),IF(ISNA(VLOOKUP(B98,'WBV 1'!$J$3:$K$34,2,FALSE))=TRUE,0,VLOOKUP(B98,'WBV 1'!$J$3:$K$34,2,FALSE)),IF(ISNA(VLOOKUP(B98,'WBV 1'!$N$3:$O$34,2,FALSE))=TRUE,0,VLOOKUP(B98,'WBV 1'!$N$3:$O$34,2,FALSE)))</f>
        <v>0</v>
      </c>
      <c r="I98" s="15">
        <f>MAX(IF(ISNA(VLOOKUP(B98,'WBV 2'!$B$3:$C$34,2,FALSE))=TRUE,0,VLOOKUP(B98,'WBV 2'!$B$3:$C$34,2,FALSE)),IF(ISNA(VLOOKUP(B98,'WBV 2'!$F$3:$G$34,2,FALSE))=TRUE,0,VLOOKUP(B98,'WBV 2'!$F$3:$G$34,2,FALSE)),IF(ISNA(VLOOKUP(B98,'WBV 2'!$J$3:$K$34,2,FALSE))=TRUE,0,VLOOKUP(B98,'WBV 2'!$J$3:$K$34,2,FALSE)),IF(ISNA(VLOOKUP(B98,'WBV 2'!$N$3:$O$34,2,FALSE))=TRUE,0,VLOOKUP(B98,'WBV 2'!$N$3:$O$34,2,FALSE)))</f>
        <v>196</v>
      </c>
      <c r="J98" s="15">
        <f>MAX(IF(ISNA(VLOOKUP(B98,'WBV 3'!$B$3:$C$34,2,FALSE))=TRUE,0,VLOOKUP(B98,'WBV 3'!$B$3:$C$34,2,FALSE)),IF(ISNA(VLOOKUP(B98,'WBV 3'!$F$3:$G$34,2,FALSE))=TRUE,0,VLOOKUP(B98,'WBV 3'!$F$3:$G$34,2,FALSE)),IF(ISNA(VLOOKUP(B98,'WBV 3'!$J$3:$K$34,2,FALSE))=TRUE,0,VLOOKUP(B98,'WBV 3'!$J$3:$K$34,2,FALSE)),IF(ISNA(VLOOKUP(B98,'WBV 3'!$N$3:$O$34,2,FALSE))=TRUE,0,VLOOKUP(B98,'WBV 3'!$N$3:$O$34,2,FALSE)))</f>
        <v>0</v>
      </c>
      <c r="K98" s="15">
        <f>MAX(IF(ISNA(VLOOKUP(B98,'WBV 4'!$B$3:$C$34,2,FALSE))=TRUE,0,VLOOKUP(B98,'WBV 4'!$B$3:$C$34,2,FALSE)),IF(ISNA(VLOOKUP(B98,'WBV 4'!$F$3:$G$34,2,FALSE))=TRUE,0,VLOOKUP(B98,'WBV 4'!$F$3:$G$34,2,FALSE)),IF(ISNA(VLOOKUP(B98,'WBV 4'!$J$3:$K$34,2,FALSE))=TRUE,0,VLOOKUP(B98,'WBV 4'!$J$3:$K$34,2,FALSE)),IF(ISNA(VLOOKUP(B98,'WBV 4'!$N$3:$O$34,2,FALSE))=TRUE,0,VLOOKUP(B98,'WBV 4'!$N$3:$O$34,2,FALSE)))</f>
        <v>0</v>
      </c>
      <c r="L98" s="19">
        <f>MAX(IF(ISNA(VLOOKUP(B98,'NÖBV 1'!$B$3:$C$34,2,FALSE))=TRUE,0,VLOOKUP(B98,'NÖBV 1'!$B$3:$C$34,2,FALSE)),IF(ISNA(VLOOKUP(B98,'NÖBV 1'!$F$3:$G$34,2,FALSE))=TRUE,0,VLOOKUP(B98,'NÖBV 1'!$F$3:$G$34,2,FALSE)),IF(ISNA(VLOOKUP(B98,'NÖBV 1'!$J$3:$K$34,2,FALSE))=TRUE,0,VLOOKUP(B98,'NÖBV 1'!$J$3:$K$34,2,FALSE)),IF(ISNA(VLOOKUP(B98,'NÖBV 1'!$N$3:$O$34,2,FALSE))=TRUE,0,VLOOKUP(B98,'NÖBV 1'!$N$3:$O$34,2,FALSE)))</f>
        <v>0</v>
      </c>
      <c r="M98" s="19">
        <f>MAX(IF(ISNA(VLOOKUP(B98,'NÖBV 2'!$B$3:$C$34,2,FALSE))=TRUE,0,VLOOKUP(B98,'NÖBV 2'!$B$3:$C$34,2,FALSE)),IF(ISNA(VLOOKUP(B98,'NÖBV 2'!$F$3:$G$34,2,FALSE))=TRUE,0,VLOOKUP(B98,'NÖBV 2'!$F$3:$G$34,2,FALSE)),IF(ISNA(VLOOKUP(B98,'NÖBV 2'!$J$3:$K$34,2,FALSE))=TRUE,0,VLOOKUP(B98,'NÖBV 2'!$J$3:$K$34,2,FALSE)),IF(ISNA(VLOOKUP(B98,'NÖBV 2'!$N$3:$O$34,2,FALSE))=TRUE,0,VLOOKUP(B98,'NÖBV 2'!$N$3:$O$34,2,FALSE)))</f>
        <v>0</v>
      </c>
      <c r="N98" s="19">
        <f>MAX(IF(ISNA(VLOOKUP(B98,'NÖBV 3'!$B$3:$C$34,2,FALSE))=TRUE,0,VLOOKUP(B98,'NÖBV 3'!$B$3:$C$34,2,FALSE)),IF(ISNA(VLOOKUP(B98,'NÖBV 3'!$F$3:$G$34,2,FALSE))=TRUE,0,VLOOKUP(B98,'NÖBV 3'!$F$3:$G$34,2,FALSE)),IF(ISNA(VLOOKUP(B98,'NÖBV 3'!$J$3:$K$34,2,FALSE))=TRUE,0,VLOOKUP(B98,'NÖBV 3'!$J$3:$K$34,2,FALSE)),IF(ISNA(VLOOKUP(B98,'NÖBV 3'!$N$3:$O$34,2,FALSE))=TRUE,0,VLOOKUP(B98,'NÖBV 3'!$N$3:$O$34,2,FALSE)))</f>
        <v>0</v>
      </c>
      <c r="O98" s="15">
        <f>MAX(IF(ISNA(VLOOKUP(B98,'Regioturnier 1'!$B$3:$C$34,2,FALSE))=TRUE,0,VLOOKUP(B98,'Regioturnier 1'!$B$3:$C$34,2,FALSE)),IF(ISNA(VLOOKUP(B98,'Regioturnier 1'!$F$3:$G$34,2,FALSE))=TRUE,0,VLOOKUP(B98,'Regioturnier 1'!$F$3:$G$34,2,FALSE)),IF(ISNA(VLOOKUP(B98,'Regioturnier 1'!$J$3:$K$34,2,FALSE))=TRUE,0,VLOOKUP(B98,'Regioturnier 1'!$J$3:$K$34,2,FALSE)),IF(ISNA(VLOOKUP(B98,'Regioturnier 1'!$N$3:$O$34,2,FALSE))=TRUE,0,VLOOKUP(B98,'Regioturnier 1'!$N$3:$O$34,2,FALSE)),IF(ISNA(VLOOKUP(B98,'Regioturnier 1'!$R$3:$S$34,2,FALSE))=TRUE,0,VLOOKUP(B98,'Regioturnier 1'!$R$3:$S$34,2,FALSE)), IF(ISNA(VLOOKUP(B98,'Regioturnier 1'!$V$3:$W$34,2,FALSE))=TRUE,0,VLOOKUP(B98,'Regioturnier 1'!$V$3:$W$34,2,FALSE)), IF(ISNA(VLOOKUP(B98,'Regioturnier 1'!$Z$3:$AA$34,2,FALSE))=TRUE,0,VLOOKUP(B98,'Regioturnier 1'!$Z$3:$AA$34,2,FALSE)))</f>
        <v>0</v>
      </c>
      <c r="P98" s="15">
        <f>MAX(IF(ISNA(VLOOKUP(B98,'Regioturnier 2'!$B$3:$C$34,2,FALSE))=TRUE,0,VLOOKUP(B98,'Regioturnier 2'!$B$3:$C$34,2,FALSE)),IF(ISNA(VLOOKUP(B98,'Regioturnier 2'!$F$3:$G$34,2,FALSE))=TRUE,0,VLOOKUP(B98,'Regioturnier 2'!$F$3:$G$34,2,FALSE)),IF(ISNA(VLOOKUP(B98,'Regioturnier 2'!$J$3:$K$34,2,FALSE))=TRUE,0,VLOOKUP(B98,'Regioturnier 2'!$J$3:$K$34,2,FALSE)),IF(ISNA(VLOOKUP(B98,'Regioturnier 2'!$N$3:$O$34,2,FALSE))=TRUE,0,VLOOKUP(B98,'Regioturnier 2'!$N$3:$O$34,2,FALSE)),IF(ISNA(VLOOKUP(B98,'Regioturnier 2'!$R$3:$S$34,2,FALSE))=TRUE,0,VLOOKUP(B98,'Regioturnier 2'!$R$3:$S$34,2,FALSE)), IF(ISNA(VLOOKUP(B98,'Regioturnier 2'!$V$3:$W$34,2,FALSE))=TRUE,0,VLOOKUP(B98,'Regioturnier 2'!$V$3:$W$34,2,FALSE)), IF(ISNA(VLOOKUP(B98,'Regioturnier 2'!$Z$3:$AA$34,2,FALSE))=TRUE,0,VLOOKUP(B98,'Regioturnier 2'!$Z$3:$AA$34,2,FALSE)))</f>
        <v>0</v>
      </c>
      <c r="Q98" s="15">
        <f>MAX(IF(ISNA(VLOOKUP(B98,'Regioturnier 3'!$B$3:$C$34,2,FALSE))=TRUE,0,VLOOKUP(B98,'Regioturnier 3'!$B$3:$C$34,2,FALSE)),IF(ISNA(VLOOKUP(B98,'Regioturnier 3'!$F$3:$G$34,2,FALSE))=TRUE,0,VLOOKUP(B98,'Regioturnier 3'!$F$3:$G$34,2,FALSE)),IF(ISNA(VLOOKUP(B98,'Regioturnier 3'!$J$3:$K$34,2,FALSE))=TRUE,0,VLOOKUP(B98,'Regioturnier 3'!$J$3:$K$34,2,FALSE)),IF(ISNA(VLOOKUP(B98,'Regioturnier 3'!$N$3:$O$34,2,FALSE))=TRUE,0,VLOOKUP(B98,'Regioturnier 3'!$N$3:$O$34,2,FALSE)),IF(ISNA(VLOOKUP(B98,'Regioturnier 3'!$R$3:$S$34,2,FALSE))=TRUE,0,VLOOKUP(B98,'Regioturnier 3'!$R$3:$S$34,2,FALSE)), IF(ISNA(VLOOKUP(B98,'Regioturnier 3'!$V$3:$W$34,2,FALSE))=TRUE,0,VLOOKUP(B98,'Regioturnier 3'!$V$3:$W$34,2,FALSE)), IF(ISNA(VLOOKUP(B98,'Regioturnier 3'!$Z$3:$AA$34,2,FALSE))=TRUE,0,VLOOKUP(B98,'Regioturnier 3'!$Z$3:$AA$34,2,FALSE)))</f>
        <v>0</v>
      </c>
      <c r="R98" s="20">
        <f>0.5*INDEX($H98:$N98,MATCH(LARGE($H98:$N98,1),$H98:$N98,0))+0.3*INDEX($H98:$N98,MATCH(LARGE($H98:$N98,2),$H98:$N98,0))+0.2*INDEX($H98:$N98,MATCH(LARGE($H98:$N98,3),$H98:$N98,0))</f>
        <v>98</v>
      </c>
      <c r="S98" s="20">
        <f>0.6*INDEX(O98:Q98,MATCH(LARGE(O98:Q98,1),O98:Q98,0))+0.4*INDEX(O98:Q98,MATCH(LARGE(O98:Q98,2),O98:Q98,0))+0*INDEX(O98:Q98,MATCH(LARGE(O98:Q98,3),O98:Q98,0))</f>
        <v>0</v>
      </c>
      <c r="T98" s="15">
        <f>1*INDEX(R98:S98,MATCH(LARGE(R98:S98,1),R98:S98,0))+0*INDEX(R98:S98,MATCH(LARGE(R98:S98,2),R98:S98,0))</f>
        <v>98</v>
      </c>
      <c r="U98" s="21"/>
      <c r="V98" s="21"/>
      <c r="W98" s="21"/>
      <c r="X98" s="21"/>
      <c r="Y98" s="21"/>
      <c r="Z98" s="21"/>
    </row>
    <row r="99" spans="1:26" ht="12.75" customHeight="1" x14ac:dyDescent="0.3">
      <c r="A99" s="15">
        <v>98</v>
      </c>
      <c r="B99" s="16" t="s">
        <v>101</v>
      </c>
      <c r="C99" s="17" t="s">
        <v>97</v>
      </c>
      <c r="D99" s="15" t="s">
        <v>102</v>
      </c>
      <c r="E99" s="18" t="s">
        <v>23</v>
      </c>
      <c r="F99" s="15" t="s">
        <v>103</v>
      </c>
      <c r="G99" s="22">
        <v>2010</v>
      </c>
      <c r="H99" s="15">
        <f>MAX(IF(ISNA(VLOOKUP(B99,'WBV 1'!$B$3:$C$34,2,FALSE))=TRUE,0,VLOOKUP(B99,'WBV 1'!$B$3:$C$34,2,FALSE)),IF(ISNA(VLOOKUP(B99,'WBV 1'!$F$3:$G$34,2,FALSE))=TRUE,0,VLOOKUP(B99,'WBV 1'!$F$3:$G$34,2,FALSE)),IF(ISNA(VLOOKUP(B99,'WBV 1'!$J$3:$K$34,2,FALSE))=TRUE,0,VLOOKUP(B99,'WBV 1'!$J$3:$K$34,2,FALSE)),IF(ISNA(VLOOKUP(B99,'WBV 1'!$N$3:$O$34,2,FALSE))=TRUE,0,VLOOKUP(B99,'WBV 1'!$N$3:$O$34,2,FALSE)))</f>
        <v>0</v>
      </c>
      <c r="I99" s="15">
        <f>MAX(IF(ISNA(VLOOKUP(B99,'WBV 2'!$B$3:$C$34,2,FALSE))=TRUE,0,VLOOKUP(B99,'WBV 2'!$B$3:$C$34,2,FALSE)),IF(ISNA(VLOOKUP(B99,'WBV 2'!$F$3:$G$34,2,FALSE))=TRUE,0,VLOOKUP(B99,'WBV 2'!$F$3:$G$34,2,FALSE)),IF(ISNA(VLOOKUP(B99,'WBV 2'!$J$3:$K$34,2,FALSE))=TRUE,0,VLOOKUP(B99,'WBV 2'!$J$3:$K$34,2,FALSE)),IF(ISNA(VLOOKUP(B99,'WBV 2'!$N$3:$O$34,2,FALSE))=TRUE,0,VLOOKUP(B99,'WBV 2'!$N$3:$O$34,2,FALSE)))</f>
        <v>0</v>
      </c>
      <c r="J99" s="15">
        <f>MAX(IF(ISNA(VLOOKUP(B99,'WBV 3'!$B$3:$C$34,2,FALSE))=TRUE,0,VLOOKUP(B99,'WBV 3'!$B$3:$C$34,2,FALSE)),IF(ISNA(VLOOKUP(B99,'WBV 3'!$F$3:$G$34,2,FALSE))=TRUE,0,VLOOKUP(B99,'WBV 3'!$F$3:$G$34,2,FALSE)),IF(ISNA(VLOOKUP(B99,'WBV 3'!$J$3:$K$34,2,FALSE))=TRUE,0,VLOOKUP(B99,'WBV 3'!$J$3:$K$34,2,FALSE)),IF(ISNA(VLOOKUP(B99,'WBV 3'!$N$3:$O$34,2,FALSE))=TRUE,0,VLOOKUP(B99,'WBV 3'!$N$3:$O$34,2,FALSE)))</f>
        <v>0</v>
      </c>
      <c r="K99" s="15">
        <f>MAX(IF(ISNA(VLOOKUP(B99,'WBV 4'!$B$3:$C$34,2,FALSE))=TRUE,0,VLOOKUP(B99,'WBV 4'!$B$3:$C$34,2,FALSE)),IF(ISNA(VLOOKUP(B99,'WBV 4'!$F$3:$G$34,2,FALSE))=TRUE,0,VLOOKUP(B99,'WBV 4'!$F$3:$G$34,2,FALSE)),IF(ISNA(VLOOKUP(B99,'WBV 4'!$J$3:$K$34,2,FALSE))=TRUE,0,VLOOKUP(B99,'WBV 4'!$J$3:$K$34,2,FALSE)),IF(ISNA(VLOOKUP(B99,'WBV 4'!$N$3:$O$34,2,FALSE))=TRUE,0,VLOOKUP(B99,'WBV 4'!$N$3:$O$34,2,FALSE)))</f>
        <v>0</v>
      </c>
      <c r="L99" s="19">
        <f>MAX(IF(ISNA(VLOOKUP(B99,'NÖBV 1'!$B$3:$C$34,2,FALSE))=TRUE,0,VLOOKUP(B99,'NÖBV 1'!$B$3:$C$34,2,FALSE)),IF(ISNA(VLOOKUP(B99,'NÖBV 1'!$F$3:$G$34,2,FALSE))=TRUE,0,VLOOKUP(B99,'NÖBV 1'!$F$3:$G$34,2,FALSE)),IF(ISNA(VLOOKUP(B99,'NÖBV 1'!$J$3:$K$34,2,FALSE))=TRUE,0,VLOOKUP(B99,'NÖBV 1'!$J$3:$K$34,2,FALSE)),IF(ISNA(VLOOKUP(B99,'NÖBV 1'!$N$3:$O$34,2,FALSE))=TRUE,0,VLOOKUP(B99,'NÖBV 1'!$N$3:$O$34,2,FALSE)))</f>
        <v>0</v>
      </c>
      <c r="M99" s="19">
        <f>MAX(IF(ISNA(VLOOKUP(B99,'NÖBV 2'!$B$3:$C$34,2,FALSE))=TRUE,0,VLOOKUP(B99,'NÖBV 2'!$B$3:$C$34,2,FALSE)),IF(ISNA(VLOOKUP(B99,'NÖBV 2'!$F$3:$G$34,2,FALSE))=TRUE,0,VLOOKUP(B99,'NÖBV 2'!$F$3:$G$34,2,FALSE)),IF(ISNA(VLOOKUP(B99,'NÖBV 2'!$J$3:$K$34,2,FALSE))=TRUE,0,VLOOKUP(B99,'NÖBV 2'!$J$3:$K$34,2,FALSE)),IF(ISNA(VLOOKUP(B99,'NÖBV 2'!$N$3:$O$34,2,FALSE))=TRUE,0,VLOOKUP(B99,'NÖBV 2'!$N$3:$O$34,2,FALSE)))</f>
        <v>196</v>
      </c>
      <c r="N99" s="19">
        <f>MAX(IF(ISNA(VLOOKUP(B99,'NÖBV 3'!$B$3:$C$34,2,FALSE))=TRUE,0,VLOOKUP(B99,'NÖBV 3'!$B$3:$C$34,2,FALSE)),IF(ISNA(VLOOKUP(B99,'NÖBV 3'!$F$3:$G$34,2,FALSE))=TRUE,0,VLOOKUP(B99,'NÖBV 3'!$F$3:$G$34,2,FALSE)),IF(ISNA(VLOOKUP(B99,'NÖBV 3'!$J$3:$K$34,2,FALSE))=TRUE,0,VLOOKUP(B99,'NÖBV 3'!$J$3:$K$34,2,FALSE)),IF(ISNA(VLOOKUP(B99,'NÖBV 3'!$N$3:$O$34,2,FALSE))=TRUE,0,VLOOKUP(B99,'NÖBV 3'!$N$3:$O$34,2,FALSE)))</f>
        <v>0</v>
      </c>
      <c r="O99" s="15">
        <f>MAX(IF(ISNA(VLOOKUP(B99,'Regioturnier 1'!$B$3:$C$34,2,FALSE))=TRUE,0,VLOOKUP(B99,'Regioturnier 1'!$B$3:$C$34,2,FALSE)),IF(ISNA(VLOOKUP(B99,'Regioturnier 1'!$F$3:$G$34,2,FALSE))=TRUE,0,VLOOKUP(B99,'Regioturnier 1'!$F$3:$G$34,2,FALSE)),IF(ISNA(VLOOKUP(B99,'Regioturnier 1'!$J$3:$K$34,2,FALSE))=TRUE,0,VLOOKUP(B99,'Regioturnier 1'!$J$3:$K$34,2,FALSE)),IF(ISNA(VLOOKUP(B99,'Regioturnier 1'!$N$3:$O$34,2,FALSE))=TRUE,0,VLOOKUP(B99,'Regioturnier 1'!$N$3:$O$34,2,FALSE)),IF(ISNA(VLOOKUP(B99,'Regioturnier 1'!$R$3:$S$34,2,FALSE))=TRUE,0,VLOOKUP(B99,'Regioturnier 1'!$R$3:$S$34,2,FALSE)), IF(ISNA(VLOOKUP(B99,'Regioturnier 1'!$V$3:$W$34,2,FALSE))=TRUE,0,VLOOKUP(B99,'Regioturnier 1'!$V$3:$W$34,2,FALSE)), IF(ISNA(VLOOKUP(B99,'Regioturnier 1'!$Z$3:$AA$34,2,FALSE))=TRUE,0,VLOOKUP(B99,'Regioturnier 1'!$Z$3:$AA$34,2,FALSE)))</f>
        <v>0</v>
      </c>
      <c r="P99" s="15">
        <f>MAX(IF(ISNA(VLOOKUP(B99,'Regioturnier 2'!$B$3:$C$34,2,FALSE))=TRUE,0,VLOOKUP(B99,'Regioturnier 2'!$B$3:$C$34,2,FALSE)),IF(ISNA(VLOOKUP(B99,'Regioturnier 2'!$F$3:$G$34,2,FALSE))=TRUE,0,VLOOKUP(B99,'Regioturnier 2'!$F$3:$G$34,2,FALSE)),IF(ISNA(VLOOKUP(B99,'Regioturnier 2'!$J$3:$K$34,2,FALSE))=TRUE,0,VLOOKUP(B99,'Regioturnier 2'!$J$3:$K$34,2,FALSE)),IF(ISNA(VLOOKUP(B99,'Regioturnier 2'!$N$3:$O$34,2,FALSE))=TRUE,0,VLOOKUP(B99,'Regioturnier 2'!$N$3:$O$34,2,FALSE)),IF(ISNA(VLOOKUP(B99,'Regioturnier 2'!$R$3:$S$34,2,FALSE))=TRUE,0,VLOOKUP(B99,'Regioturnier 2'!$R$3:$S$34,2,FALSE)), IF(ISNA(VLOOKUP(B99,'Regioturnier 2'!$V$3:$W$34,2,FALSE))=TRUE,0,VLOOKUP(B99,'Regioturnier 2'!$V$3:$W$34,2,FALSE)), IF(ISNA(VLOOKUP(B99,'Regioturnier 2'!$Z$3:$AA$34,2,FALSE))=TRUE,0,VLOOKUP(B99,'Regioturnier 2'!$Z$3:$AA$34,2,FALSE)))</f>
        <v>0</v>
      </c>
      <c r="Q99" s="15">
        <f>MAX(IF(ISNA(VLOOKUP(B99,'Regioturnier 3'!$B$3:$C$34,2,FALSE))=TRUE,0,VLOOKUP(B99,'Regioturnier 3'!$B$3:$C$34,2,FALSE)),IF(ISNA(VLOOKUP(B99,'Regioturnier 3'!$F$3:$G$34,2,FALSE))=TRUE,0,VLOOKUP(B99,'Regioturnier 3'!$F$3:$G$34,2,FALSE)),IF(ISNA(VLOOKUP(B99,'Regioturnier 3'!$J$3:$K$34,2,FALSE))=TRUE,0,VLOOKUP(B99,'Regioturnier 3'!$J$3:$K$34,2,FALSE)),IF(ISNA(VLOOKUP(B99,'Regioturnier 3'!$N$3:$O$34,2,FALSE))=TRUE,0,VLOOKUP(B99,'Regioturnier 3'!$N$3:$O$34,2,FALSE)),IF(ISNA(VLOOKUP(B99,'Regioturnier 3'!$R$3:$S$34,2,FALSE))=TRUE,0,VLOOKUP(B99,'Regioturnier 3'!$R$3:$S$34,2,FALSE)), IF(ISNA(VLOOKUP(B99,'Regioturnier 3'!$V$3:$W$34,2,FALSE))=TRUE,0,VLOOKUP(B99,'Regioturnier 3'!$V$3:$W$34,2,FALSE)), IF(ISNA(VLOOKUP(B99,'Regioturnier 3'!$Z$3:$AA$34,2,FALSE))=TRUE,0,VLOOKUP(B99,'Regioturnier 3'!$Z$3:$AA$34,2,FALSE)))</f>
        <v>0</v>
      </c>
      <c r="R99" s="20">
        <f>0.5*INDEX($H99:$N99,MATCH(LARGE($H99:$N99,1),$H99:$N99,0))+0.3*INDEX($H99:$N99,MATCH(LARGE($H99:$N99,2),$H99:$N99,0))+0.2*INDEX($H99:$N99,MATCH(LARGE($H99:$N99,3),$H99:$N99,0))</f>
        <v>98</v>
      </c>
      <c r="S99" s="20">
        <f t="array" ref="S99">0.6*INDEX(O99:Q99,MATCH(LARGE(O99:Q99,1),O99:Q99,0))+0.4*INDEX(O99:Q99,MATCH(LARGE(O99:Q99,2),O99:Q99,0))+0*INDEX(O99:Q99,MATCH(LARGE(O99:Q99,3),O99:Q99,0))</f>
        <v>0</v>
      </c>
      <c r="T99" s="15">
        <f>1*INDEX(R99:S99,MATCH(LARGE(R99:S99,1),R99:S99,0))+0*INDEX(R99:S99,MATCH(LARGE(R99:S99,2),R99:S99,0))</f>
        <v>98</v>
      </c>
      <c r="U99" s="21"/>
      <c r="V99" s="21"/>
      <c r="W99" s="21"/>
      <c r="X99" s="21"/>
      <c r="Y99" s="21"/>
      <c r="Z99" s="21"/>
    </row>
    <row r="100" spans="1:26" ht="12.75" customHeight="1" x14ac:dyDescent="0.3">
      <c r="A100" s="15">
        <v>99</v>
      </c>
      <c r="B100" s="16" t="s">
        <v>85</v>
      </c>
      <c r="C100" s="17"/>
      <c r="D100" s="15" t="s">
        <v>26</v>
      </c>
      <c r="E100" s="18" t="s">
        <v>40</v>
      </c>
      <c r="F100" s="15"/>
      <c r="G100" s="22"/>
      <c r="H100" s="15">
        <f>MAX(IF(ISNA(VLOOKUP(B100,'WBV 1'!$B$3:$C$34,2,FALSE))=TRUE,0,VLOOKUP(B100,'WBV 1'!$B$3:$C$34,2,FALSE)),IF(ISNA(VLOOKUP(B100,'WBV 1'!$F$3:$G$34,2,FALSE))=TRUE,0,VLOOKUP(B100,'WBV 1'!$F$3:$G$34,2,FALSE)),IF(ISNA(VLOOKUP(B100,'WBV 1'!$J$3:$K$34,2,FALSE))=TRUE,0,VLOOKUP(B100,'WBV 1'!$J$3:$K$34,2,FALSE)),IF(ISNA(VLOOKUP(B100,'WBV 1'!$N$3:$O$34,2,FALSE))=TRUE,0,VLOOKUP(B100,'WBV 1'!$N$3:$O$34,2,FALSE)))</f>
        <v>195</v>
      </c>
      <c r="I100" s="15">
        <f>MAX(IF(ISNA(VLOOKUP(B100,'WBV 2'!$B$3:$C$34,2,FALSE))=TRUE,0,VLOOKUP(B100,'WBV 2'!$B$3:$C$34,2,FALSE)),IF(ISNA(VLOOKUP(B100,'WBV 2'!$F$3:$G$34,2,FALSE))=TRUE,0,VLOOKUP(B100,'WBV 2'!$F$3:$G$34,2,FALSE)),IF(ISNA(VLOOKUP(B100,'WBV 2'!$J$3:$K$34,2,FALSE))=TRUE,0,VLOOKUP(B100,'WBV 2'!$J$3:$K$34,2,FALSE)),IF(ISNA(VLOOKUP(B100,'WBV 2'!$N$3:$O$34,2,FALSE))=TRUE,0,VLOOKUP(B100,'WBV 2'!$N$3:$O$34,2,FALSE)))</f>
        <v>0</v>
      </c>
      <c r="J100" s="15">
        <f>MAX(IF(ISNA(VLOOKUP(B100,'WBV 3'!$B$3:$C$34,2,FALSE))=TRUE,0,VLOOKUP(B100,'WBV 3'!$B$3:$C$34,2,FALSE)),IF(ISNA(VLOOKUP(B100,'WBV 3'!$F$3:$G$34,2,FALSE))=TRUE,0,VLOOKUP(B100,'WBV 3'!$F$3:$G$34,2,FALSE)),IF(ISNA(VLOOKUP(B100,'WBV 3'!$J$3:$K$34,2,FALSE))=TRUE,0,VLOOKUP(B100,'WBV 3'!$J$3:$K$34,2,FALSE)),IF(ISNA(VLOOKUP(B100,'WBV 3'!$N$3:$O$34,2,FALSE))=TRUE,0,VLOOKUP(B100,'WBV 3'!$N$3:$O$34,2,FALSE)))</f>
        <v>0</v>
      </c>
      <c r="K100" s="15">
        <f>MAX(IF(ISNA(VLOOKUP(B100,'WBV 4'!$B$3:$C$34,2,FALSE))=TRUE,0,VLOOKUP(B100,'WBV 4'!$B$3:$C$34,2,FALSE)),IF(ISNA(VLOOKUP(B100,'WBV 4'!$F$3:$G$34,2,FALSE))=TRUE,0,VLOOKUP(B100,'WBV 4'!$F$3:$G$34,2,FALSE)),IF(ISNA(VLOOKUP(B100,'WBV 4'!$J$3:$K$34,2,FALSE))=TRUE,0,VLOOKUP(B100,'WBV 4'!$J$3:$K$34,2,FALSE)),IF(ISNA(VLOOKUP(B100,'WBV 4'!$N$3:$O$34,2,FALSE))=TRUE,0,VLOOKUP(B100,'WBV 4'!$N$3:$O$34,2,FALSE)))</f>
        <v>0</v>
      </c>
      <c r="L100" s="19">
        <f>MAX(IF(ISNA(VLOOKUP(B100,'NÖBV 1'!$B$3:$C$34,2,FALSE))=TRUE,0,VLOOKUP(B100,'NÖBV 1'!$B$3:$C$34,2,FALSE)),IF(ISNA(VLOOKUP(B100,'NÖBV 1'!$F$3:$G$34,2,FALSE))=TRUE,0,VLOOKUP(B100,'NÖBV 1'!$F$3:$G$34,2,FALSE)),IF(ISNA(VLOOKUP(B100,'NÖBV 1'!$J$3:$K$34,2,FALSE))=TRUE,0,VLOOKUP(B100,'NÖBV 1'!$J$3:$K$34,2,FALSE)),IF(ISNA(VLOOKUP(B100,'NÖBV 1'!$N$3:$O$34,2,FALSE))=TRUE,0,VLOOKUP(B100,'NÖBV 1'!$N$3:$O$34,2,FALSE)))</f>
        <v>0</v>
      </c>
      <c r="M100" s="19">
        <f>MAX(IF(ISNA(VLOOKUP(B100,'NÖBV 2'!$B$3:$C$34,2,FALSE))=TRUE,0,VLOOKUP(B100,'NÖBV 2'!$B$3:$C$34,2,FALSE)),IF(ISNA(VLOOKUP(B100,'NÖBV 2'!$F$3:$G$34,2,FALSE))=TRUE,0,VLOOKUP(B100,'NÖBV 2'!$F$3:$G$34,2,FALSE)),IF(ISNA(VLOOKUP(B100,'NÖBV 2'!$J$3:$K$34,2,FALSE))=TRUE,0,VLOOKUP(B100,'NÖBV 2'!$J$3:$K$34,2,FALSE)),IF(ISNA(VLOOKUP(B100,'NÖBV 2'!$N$3:$O$34,2,FALSE))=TRUE,0,VLOOKUP(B100,'NÖBV 2'!$N$3:$O$34,2,FALSE)))</f>
        <v>0</v>
      </c>
      <c r="N100" s="19">
        <f>MAX(IF(ISNA(VLOOKUP(B100,'NÖBV 3'!$B$3:$C$34,2,FALSE))=TRUE,0,VLOOKUP(B100,'NÖBV 3'!$B$3:$C$34,2,FALSE)),IF(ISNA(VLOOKUP(B100,'NÖBV 3'!$F$3:$G$34,2,FALSE))=TRUE,0,VLOOKUP(B100,'NÖBV 3'!$F$3:$G$34,2,FALSE)),IF(ISNA(VLOOKUP(B100,'NÖBV 3'!$J$3:$K$34,2,FALSE))=TRUE,0,VLOOKUP(B100,'NÖBV 3'!$J$3:$K$34,2,FALSE)),IF(ISNA(VLOOKUP(B100,'NÖBV 3'!$N$3:$O$34,2,FALSE))=TRUE,0,VLOOKUP(B100,'NÖBV 3'!$N$3:$O$34,2,FALSE)))</f>
        <v>0</v>
      </c>
      <c r="O100" s="15">
        <f>MAX(IF(ISNA(VLOOKUP(B100,'Regioturnier 1'!$B$3:$C$34,2,FALSE))=TRUE,0,VLOOKUP(B100,'Regioturnier 1'!$B$3:$C$34,2,FALSE)),IF(ISNA(VLOOKUP(B100,'Regioturnier 1'!$F$3:$G$34,2,FALSE))=TRUE,0,VLOOKUP(B100,'Regioturnier 1'!$F$3:$G$34,2,FALSE)),IF(ISNA(VLOOKUP(B100,'Regioturnier 1'!$J$3:$K$34,2,FALSE))=TRUE,0,VLOOKUP(B100,'Regioturnier 1'!$J$3:$K$34,2,FALSE)),IF(ISNA(VLOOKUP(B100,'Regioturnier 1'!$N$3:$O$34,2,FALSE))=TRUE,0,VLOOKUP(B100,'Regioturnier 1'!$N$3:$O$34,2,FALSE)),IF(ISNA(VLOOKUP(B100,'Regioturnier 1'!$R$3:$S$34,2,FALSE))=TRUE,0,VLOOKUP(B100,'Regioturnier 1'!$R$3:$S$34,2,FALSE)), IF(ISNA(VLOOKUP(B100,'Regioturnier 1'!$V$3:$W$34,2,FALSE))=TRUE,0,VLOOKUP(B100,'Regioturnier 1'!$V$3:$W$34,2,FALSE)), IF(ISNA(VLOOKUP(B100,'Regioturnier 1'!$Z$3:$AA$34,2,FALSE))=TRUE,0,VLOOKUP(B100,'Regioturnier 1'!$Z$3:$AA$34,2,FALSE)))</f>
        <v>0</v>
      </c>
      <c r="P100" s="15">
        <f>MAX(IF(ISNA(VLOOKUP(B100,'Regioturnier 2'!$B$3:$C$34,2,FALSE))=TRUE,0,VLOOKUP(B100,'Regioturnier 2'!$B$3:$C$34,2,FALSE)),IF(ISNA(VLOOKUP(B100,'Regioturnier 2'!$F$3:$G$34,2,FALSE))=TRUE,0,VLOOKUP(B100,'Regioturnier 2'!$F$3:$G$34,2,FALSE)),IF(ISNA(VLOOKUP(B100,'Regioturnier 2'!$J$3:$K$34,2,FALSE))=TRUE,0,VLOOKUP(B100,'Regioturnier 2'!$J$3:$K$34,2,FALSE)),IF(ISNA(VLOOKUP(B100,'Regioturnier 2'!$N$3:$O$34,2,FALSE))=TRUE,0,VLOOKUP(B100,'Regioturnier 2'!$N$3:$O$34,2,FALSE)),IF(ISNA(VLOOKUP(B100,'Regioturnier 2'!$R$3:$S$34,2,FALSE))=TRUE,0,VLOOKUP(B100,'Regioturnier 2'!$R$3:$S$34,2,FALSE)), IF(ISNA(VLOOKUP(B100,'Regioturnier 2'!$V$3:$W$34,2,FALSE))=TRUE,0,VLOOKUP(B100,'Regioturnier 2'!$V$3:$W$34,2,FALSE)), IF(ISNA(VLOOKUP(B100,'Regioturnier 2'!$Z$3:$AA$34,2,FALSE))=TRUE,0,VLOOKUP(B100,'Regioturnier 2'!$Z$3:$AA$34,2,FALSE)))</f>
        <v>0</v>
      </c>
      <c r="Q100" s="15">
        <f>MAX(IF(ISNA(VLOOKUP(B100,'Regioturnier 3'!$B$3:$C$34,2,FALSE))=TRUE,0,VLOOKUP(B100,'Regioturnier 3'!$B$3:$C$34,2,FALSE)),IF(ISNA(VLOOKUP(B100,'Regioturnier 3'!$F$3:$G$34,2,FALSE))=TRUE,0,VLOOKUP(B100,'Regioturnier 3'!$F$3:$G$34,2,FALSE)),IF(ISNA(VLOOKUP(B100,'Regioturnier 3'!$J$3:$K$34,2,FALSE))=TRUE,0,VLOOKUP(B100,'Regioturnier 3'!$J$3:$K$34,2,FALSE)),IF(ISNA(VLOOKUP(B100,'Regioturnier 3'!$N$3:$O$34,2,FALSE))=TRUE,0,VLOOKUP(B100,'Regioturnier 3'!$N$3:$O$34,2,FALSE)),IF(ISNA(VLOOKUP(B100,'Regioturnier 3'!$R$3:$S$34,2,FALSE))=TRUE,0,VLOOKUP(B100,'Regioturnier 3'!$R$3:$S$34,2,FALSE)), IF(ISNA(VLOOKUP(B100,'Regioturnier 3'!$V$3:$W$34,2,FALSE))=TRUE,0,VLOOKUP(B100,'Regioturnier 3'!$V$3:$W$34,2,FALSE)), IF(ISNA(VLOOKUP(B100,'Regioturnier 3'!$Z$3:$AA$34,2,FALSE))=TRUE,0,VLOOKUP(B100,'Regioturnier 3'!$Z$3:$AA$34,2,FALSE)))</f>
        <v>0</v>
      </c>
      <c r="R100" s="20">
        <f>0.5*INDEX($H100:$N100,MATCH(LARGE($H100:$N100,1),$H100:$N100,0))+0.3*INDEX($H100:$N100,MATCH(LARGE($H100:$N100,2),$H100:$N100,0))+0.2*INDEX($H100:$N100,MATCH(LARGE($H100:$N100,3),$H100:$N100,0))</f>
        <v>97.5</v>
      </c>
      <c r="S100" s="20">
        <f>0.6*INDEX(O100:Q100,MATCH(LARGE(O100:Q100,1),O100:Q100,0))+0.4*INDEX(O100:Q100,MATCH(LARGE(O100:Q100,2),O100:Q100,0))+0*INDEX(O100:Q100,MATCH(LARGE(O100:Q100,3),O100:Q100,0))</f>
        <v>0</v>
      </c>
      <c r="T100" s="15">
        <f>1*INDEX(R100:S100,MATCH(LARGE(R100:S100,1),R100:S100,0))+0*INDEX(R100:S100,MATCH(LARGE(R100:S100,2),R100:S100,0))</f>
        <v>97.5</v>
      </c>
      <c r="U100" s="21"/>
      <c r="V100" s="21"/>
      <c r="W100" s="21"/>
      <c r="X100" s="21"/>
      <c r="Y100" s="21"/>
      <c r="Z100" s="21"/>
    </row>
    <row r="101" spans="1:26" ht="12.75" customHeight="1" x14ac:dyDescent="0.3">
      <c r="A101" s="15">
        <v>100</v>
      </c>
      <c r="B101" s="16" t="s">
        <v>53</v>
      </c>
      <c r="C101" s="17" t="s">
        <v>54</v>
      </c>
      <c r="D101" s="15" t="s">
        <v>22</v>
      </c>
      <c r="E101" s="18" t="s">
        <v>23</v>
      </c>
      <c r="F101" s="15">
        <v>26593</v>
      </c>
      <c r="G101" s="22">
        <v>2010</v>
      </c>
      <c r="H101" s="15">
        <f>MAX(IF(ISNA(VLOOKUP(B101,'WBV 1'!$B$3:$C$34,2,FALSE))=TRUE,0,VLOOKUP(B101,'WBV 1'!$B$3:$C$34,2,FALSE)),IF(ISNA(VLOOKUP(B101,'WBV 1'!$F$3:$G$34,2,FALSE))=TRUE,0,VLOOKUP(B101,'WBV 1'!$F$3:$G$34,2,FALSE)),IF(ISNA(VLOOKUP(B101,'WBV 1'!$J$3:$K$34,2,FALSE))=TRUE,0,VLOOKUP(B101,'WBV 1'!$J$3:$K$34,2,FALSE)),IF(ISNA(VLOOKUP(B101,'WBV 1'!$N$3:$O$34,2,FALSE))=TRUE,0,VLOOKUP(B101,'WBV 1'!$N$3:$O$34,2,FALSE)))</f>
        <v>0</v>
      </c>
      <c r="I101" s="15">
        <f>MAX(IF(ISNA(VLOOKUP(B101,'WBV 2'!$B$3:$C$34,2,FALSE))=TRUE,0,VLOOKUP(B101,'WBV 2'!$B$3:$C$34,2,FALSE)),IF(ISNA(VLOOKUP(B101,'WBV 2'!$F$3:$G$34,2,FALSE))=TRUE,0,VLOOKUP(B101,'WBV 2'!$F$3:$G$34,2,FALSE)),IF(ISNA(VLOOKUP(B101,'WBV 2'!$J$3:$K$34,2,FALSE))=TRUE,0,VLOOKUP(B101,'WBV 2'!$J$3:$K$34,2,FALSE)),IF(ISNA(VLOOKUP(B101,'WBV 2'!$N$3:$O$34,2,FALSE))=TRUE,0,VLOOKUP(B101,'WBV 2'!$N$3:$O$34,2,FALSE)))</f>
        <v>0</v>
      </c>
      <c r="J101" s="15">
        <f>MAX(IF(ISNA(VLOOKUP(B101,'WBV 3'!$B$3:$C$34,2,FALSE))=TRUE,0,VLOOKUP(B101,'WBV 3'!$B$3:$C$34,2,FALSE)),IF(ISNA(VLOOKUP(B101,'WBV 3'!$F$3:$G$34,2,FALSE))=TRUE,0,VLOOKUP(B101,'WBV 3'!$F$3:$G$34,2,FALSE)),IF(ISNA(VLOOKUP(B101,'WBV 3'!$J$3:$K$34,2,FALSE))=TRUE,0,VLOOKUP(B101,'WBV 3'!$J$3:$K$34,2,FALSE)),IF(ISNA(VLOOKUP(B101,'WBV 3'!$N$3:$O$34,2,FALSE))=TRUE,0,VLOOKUP(B101,'WBV 3'!$N$3:$O$34,2,FALSE)))</f>
        <v>0</v>
      </c>
      <c r="K101" s="15">
        <f>MAX(IF(ISNA(VLOOKUP(B101,'WBV 4'!$B$3:$C$34,2,FALSE))=TRUE,0,VLOOKUP(B101,'WBV 4'!$B$3:$C$34,2,FALSE)),IF(ISNA(VLOOKUP(B101,'WBV 4'!$F$3:$G$34,2,FALSE))=TRUE,0,VLOOKUP(B101,'WBV 4'!$F$3:$G$34,2,FALSE)),IF(ISNA(VLOOKUP(B101,'WBV 4'!$J$3:$K$34,2,FALSE))=TRUE,0,VLOOKUP(B101,'WBV 4'!$J$3:$K$34,2,FALSE)),IF(ISNA(VLOOKUP(B101,'WBV 4'!$N$3:$O$34,2,FALSE))=TRUE,0,VLOOKUP(B101,'WBV 4'!$N$3:$O$34,2,FALSE)))</f>
        <v>0</v>
      </c>
      <c r="L101" s="19">
        <f>MAX(IF(ISNA(VLOOKUP(B101,'NÖBV 1'!$B$3:$C$34,2,FALSE))=TRUE,0,VLOOKUP(B101,'NÖBV 1'!$B$3:$C$34,2,FALSE)),IF(ISNA(VLOOKUP(B101,'NÖBV 1'!$F$3:$G$34,2,FALSE))=TRUE,0,VLOOKUP(B101,'NÖBV 1'!$F$3:$G$34,2,FALSE)),IF(ISNA(VLOOKUP(B101,'NÖBV 1'!$J$3:$K$34,2,FALSE))=TRUE,0,VLOOKUP(B101,'NÖBV 1'!$J$3:$K$34,2,FALSE)),IF(ISNA(VLOOKUP(B101,'NÖBV 1'!$N$3:$O$34,2,FALSE))=TRUE,0,VLOOKUP(B101,'NÖBV 1'!$N$3:$O$34,2,FALSE)))</f>
        <v>194</v>
      </c>
      <c r="M101" s="19">
        <f>MAX(IF(ISNA(VLOOKUP(B101,'NÖBV 2'!$B$3:$C$34,2,FALSE))=TRUE,0,VLOOKUP(B101,'NÖBV 2'!$B$3:$C$34,2,FALSE)),IF(ISNA(VLOOKUP(B101,'NÖBV 2'!$F$3:$G$34,2,FALSE))=TRUE,0,VLOOKUP(B101,'NÖBV 2'!$F$3:$G$34,2,FALSE)),IF(ISNA(VLOOKUP(B101,'NÖBV 2'!$J$3:$K$34,2,FALSE))=TRUE,0,VLOOKUP(B101,'NÖBV 2'!$J$3:$K$34,2,FALSE)),IF(ISNA(VLOOKUP(B101,'NÖBV 2'!$N$3:$O$34,2,FALSE))=TRUE,0,VLOOKUP(B101,'NÖBV 2'!$N$3:$O$34,2,FALSE)))</f>
        <v>0</v>
      </c>
      <c r="N101" s="19">
        <f>MAX(IF(ISNA(VLOOKUP(B101,'NÖBV 3'!$B$3:$C$34,2,FALSE))=TRUE,0,VLOOKUP(B101,'NÖBV 3'!$B$3:$C$34,2,FALSE)),IF(ISNA(VLOOKUP(B101,'NÖBV 3'!$F$3:$G$34,2,FALSE))=TRUE,0,VLOOKUP(B101,'NÖBV 3'!$F$3:$G$34,2,FALSE)),IF(ISNA(VLOOKUP(B101,'NÖBV 3'!$J$3:$K$34,2,FALSE))=TRUE,0,VLOOKUP(B101,'NÖBV 3'!$J$3:$K$34,2,FALSE)),IF(ISNA(VLOOKUP(B101,'NÖBV 3'!$N$3:$O$34,2,FALSE))=TRUE,0,VLOOKUP(B101,'NÖBV 3'!$N$3:$O$34,2,FALSE)))</f>
        <v>0</v>
      </c>
      <c r="O101" s="15">
        <f>MAX(IF(ISNA(VLOOKUP(B101,'Regioturnier 1'!$B$3:$C$34,2,FALSE))=TRUE,0,VLOOKUP(B101,'Regioturnier 1'!$B$3:$C$34,2,FALSE)),IF(ISNA(VLOOKUP(B101,'Regioturnier 1'!$F$3:$G$34,2,FALSE))=TRUE,0,VLOOKUP(B101,'Regioturnier 1'!$F$3:$G$34,2,FALSE)),IF(ISNA(VLOOKUP(B101,'Regioturnier 1'!$J$3:$K$34,2,FALSE))=TRUE,0,VLOOKUP(B101,'Regioturnier 1'!$J$3:$K$34,2,FALSE)),IF(ISNA(VLOOKUP(B101,'Regioturnier 1'!$N$3:$O$34,2,FALSE))=TRUE,0,VLOOKUP(B101,'Regioturnier 1'!$N$3:$O$34,2,FALSE)),IF(ISNA(VLOOKUP(B101,'Regioturnier 1'!$R$3:$S$34,2,FALSE))=TRUE,0,VLOOKUP(B101,'Regioturnier 1'!$R$3:$S$34,2,FALSE)), IF(ISNA(VLOOKUP(B101,'Regioturnier 1'!$V$3:$W$34,2,FALSE))=TRUE,0,VLOOKUP(B101,'Regioturnier 1'!$V$3:$W$34,2,FALSE)), IF(ISNA(VLOOKUP(B101,'Regioturnier 1'!$Z$3:$AA$34,2,FALSE))=TRUE,0,VLOOKUP(B101,'Regioturnier 1'!$Z$3:$AA$34,2,FALSE)))</f>
        <v>0</v>
      </c>
      <c r="P101" s="15">
        <f>MAX(IF(ISNA(VLOOKUP(B101,'Regioturnier 2'!$B$3:$C$34,2,FALSE))=TRUE,0,VLOOKUP(B101,'Regioturnier 2'!$B$3:$C$34,2,FALSE)),IF(ISNA(VLOOKUP(B101,'Regioturnier 2'!$F$3:$G$34,2,FALSE))=TRUE,0,VLOOKUP(B101,'Regioturnier 2'!$F$3:$G$34,2,FALSE)),IF(ISNA(VLOOKUP(B101,'Regioturnier 2'!$J$3:$K$34,2,FALSE))=TRUE,0,VLOOKUP(B101,'Regioturnier 2'!$J$3:$K$34,2,FALSE)),IF(ISNA(VLOOKUP(B101,'Regioturnier 2'!$N$3:$O$34,2,FALSE))=TRUE,0,VLOOKUP(B101,'Regioturnier 2'!$N$3:$O$34,2,FALSE)),IF(ISNA(VLOOKUP(B101,'Regioturnier 2'!$R$3:$S$34,2,FALSE))=TRUE,0,VLOOKUP(B101,'Regioturnier 2'!$R$3:$S$34,2,FALSE)), IF(ISNA(VLOOKUP(B101,'Regioturnier 2'!$V$3:$W$34,2,FALSE))=TRUE,0,VLOOKUP(B101,'Regioturnier 2'!$V$3:$W$34,2,FALSE)), IF(ISNA(VLOOKUP(B101,'Regioturnier 2'!$Z$3:$AA$34,2,FALSE))=TRUE,0,VLOOKUP(B101,'Regioturnier 2'!$Z$3:$AA$34,2,FALSE)))</f>
        <v>0</v>
      </c>
      <c r="Q101" s="15">
        <f>MAX(IF(ISNA(VLOOKUP(B101,'Regioturnier 3'!$B$3:$C$34,2,FALSE))=TRUE,0,VLOOKUP(B101,'Regioturnier 3'!$B$3:$C$34,2,FALSE)),IF(ISNA(VLOOKUP(B101,'Regioturnier 3'!$F$3:$G$34,2,FALSE))=TRUE,0,VLOOKUP(B101,'Regioturnier 3'!$F$3:$G$34,2,FALSE)),IF(ISNA(VLOOKUP(B101,'Regioturnier 3'!$J$3:$K$34,2,FALSE))=TRUE,0,VLOOKUP(B101,'Regioturnier 3'!$J$3:$K$34,2,FALSE)),IF(ISNA(VLOOKUP(B101,'Regioturnier 3'!$N$3:$O$34,2,FALSE))=TRUE,0,VLOOKUP(B101,'Regioturnier 3'!$N$3:$O$34,2,FALSE)),IF(ISNA(VLOOKUP(B101,'Regioturnier 3'!$R$3:$S$34,2,FALSE))=TRUE,0,VLOOKUP(B101,'Regioturnier 3'!$R$3:$S$34,2,FALSE)), IF(ISNA(VLOOKUP(B101,'Regioturnier 3'!$V$3:$W$34,2,FALSE))=TRUE,0,VLOOKUP(B101,'Regioturnier 3'!$V$3:$W$34,2,FALSE)), IF(ISNA(VLOOKUP(B101,'Regioturnier 3'!$Z$3:$AA$34,2,FALSE))=TRUE,0,VLOOKUP(B101,'Regioturnier 3'!$Z$3:$AA$34,2,FALSE)))</f>
        <v>0</v>
      </c>
      <c r="R101" s="20">
        <f>0.5*INDEX($H101:$N101,MATCH(LARGE($H101:$N101,1),$H101:$N101,0))+0.3*INDEX($H101:$N101,MATCH(LARGE($H101:$N101,2),$H101:$N101,0))+0.2*INDEX($H101:$N101,MATCH(LARGE($H101:$N101,3),$H101:$N101,0))</f>
        <v>97</v>
      </c>
      <c r="S101" s="20">
        <f>0.6*INDEX(O101:Q101,MATCH(LARGE(O101:Q101,1),O101:Q101,0))+0.4*INDEX(O101:Q101,MATCH(LARGE(O101:Q101,2),O101:Q101,0))+0*INDEX(O101:Q101,MATCH(LARGE(O101:Q101,3),O101:Q101,0))</f>
        <v>0</v>
      </c>
      <c r="T101" s="15">
        <f>1*INDEX(R101:S101,MATCH(LARGE(R101:S101,1),R101:S101,0))+0*INDEX(R101:S101,MATCH(LARGE(R101:S101,2),R101:S101,0))</f>
        <v>97</v>
      </c>
      <c r="U101" s="21"/>
      <c r="V101" s="21"/>
      <c r="W101" s="21"/>
      <c r="X101" s="21"/>
      <c r="Y101" s="21"/>
      <c r="Z101" s="21"/>
    </row>
    <row r="102" spans="1:26" ht="12.75" customHeight="1" x14ac:dyDescent="0.3">
      <c r="A102" s="15">
        <v>101</v>
      </c>
      <c r="B102" s="16" t="s">
        <v>319</v>
      </c>
      <c r="C102" s="17"/>
      <c r="D102" s="15" t="s">
        <v>22</v>
      </c>
      <c r="E102" s="18" t="s">
        <v>23</v>
      </c>
      <c r="F102" s="15">
        <v>26595</v>
      </c>
      <c r="G102" s="22">
        <v>2011</v>
      </c>
      <c r="H102" s="15">
        <f>MAX(IF(ISNA(VLOOKUP(B102,'WBV 1'!$B$3:$C$34,2,FALSE))=TRUE,0,VLOOKUP(B102,'WBV 1'!$B$3:$C$34,2,FALSE)),IF(ISNA(VLOOKUP(B102,'WBV 1'!$F$3:$G$34,2,FALSE))=TRUE,0,VLOOKUP(B102,'WBV 1'!$F$3:$G$34,2,FALSE)),IF(ISNA(VLOOKUP(B102,'WBV 1'!$J$3:$K$34,2,FALSE))=TRUE,0,VLOOKUP(B102,'WBV 1'!$J$3:$K$34,2,FALSE)),IF(ISNA(VLOOKUP(B102,'WBV 1'!$N$3:$O$34,2,FALSE))=TRUE,0,VLOOKUP(B102,'WBV 1'!$N$3:$O$34,2,FALSE)))</f>
        <v>0</v>
      </c>
      <c r="I102" s="15">
        <f>MAX(IF(ISNA(VLOOKUP(B102,'WBV 2'!$B$3:$C$34,2,FALSE))=TRUE,0,VLOOKUP(B102,'WBV 2'!$B$3:$C$34,2,FALSE)),IF(ISNA(VLOOKUP(B102,'WBV 2'!$F$3:$G$34,2,FALSE))=TRUE,0,VLOOKUP(B102,'WBV 2'!$F$3:$G$34,2,FALSE)),IF(ISNA(VLOOKUP(B102,'WBV 2'!$J$3:$K$34,2,FALSE))=TRUE,0,VLOOKUP(B102,'WBV 2'!$J$3:$K$34,2,FALSE)),IF(ISNA(VLOOKUP(B102,'WBV 2'!$N$3:$O$34,2,FALSE))=TRUE,0,VLOOKUP(B102,'WBV 2'!$N$3:$O$34,2,FALSE)))</f>
        <v>0</v>
      </c>
      <c r="J102" s="15">
        <f>MAX(IF(ISNA(VLOOKUP(B102,'WBV 3'!$B$3:$C$34,2,FALSE))=TRUE,0,VLOOKUP(B102,'WBV 3'!$B$3:$C$34,2,FALSE)),IF(ISNA(VLOOKUP(B102,'WBV 3'!$F$3:$G$34,2,FALSE))=TRUE,0,VLOOKUP(B102,'WBV 3'!$F$3:$G$34,2,FALSE)),IF(ISNA(VLOOKUP(B102,'WBV 3'!$J$3:$K$34,2,FALSE))=TRUE,0,VLOOKUP(B102,'WBV 3'!$J$3:$K$34,2,FALSE)),IF(ISNA(VLOOKUP(B102,'WBV 3'!$N$3:$O$34,2,FALSE))=TRUE,0,VLOOKUP(B102,'WBV 3'!$N$3:$O$34,2,FALSE)))</f>
        <v>0</v>
      </c>
      <c r="K102" s="15">
        <f>MAX(IF(ISNA(VLOOKUP(B102,'WBV 4'!$B$3:$C$34,2,FALSE))=TRUE,0,VLOOKUP(B102,'WBV 4'!$B$3:$C$34,2,FALSE)),IF(ISNA(VLOOKUP(B102,'WBV 4'!$F$3:$G$34,2,FALSE))=TRUE,0,VLOOKUP(B102,'WBV 4'!$F$3:$G$34,2,FALSE)),IF(ISNA(VLOOKUP(B102,'WBV 4'!$J$3:$K$34,2,FALSE))=TRUE,0,VLOOKUP(B102,'WBV 4'!$J$3:$K$34,2,FALSE)),IF(ISNA(VLOOKUP(B102,'WBV 4'!$N$3:$O$34,2,FALSE))=TRUE,0,VLOOKUP(B102,'WBV 4'!$N$3:$O$34,2,FALSE)))</f>
        <v>0</v>
      </c>
      <c r="L102" s="19">
        <f>MAX(IF(ISNA(VLOOKUP(B102,'NÖBV 1'!$B$3:$C$34,2,FALSE))=TRUE,0,VLOOKUP(B102,'NÖBV 1'!$B$3:$C$34,2,FALSE)),IF(ISNA(VLOOKUP(B102,'NÖBV 1'!$F$3:$G$34,2,FALSE))=TRUE,0,VLOOKUP(B102,'NÖBV 1'!$F$3:$G$34,2,FALSE)),IF(ISNA(VLOOKUP(B102,'NÖBV 1'!$J$3:$K$34,2,FALSE))=TRUE,0,VLOOKUP(B102,'NÖBV 1'!$J$3:$K$34,2,FALSE)),IF(ISNA(VLOOKUP(B102,'NÖBV 1'!$N$3:$O$34,2,FALSE))=TRUE,0,VLOOKUP(B102,'NÖBV 1'!$N$3:$O$34,2,FALSE)))</f>
        <v>0</v>
      </c>
      <c r="M102" s="19">
        <f>MAX(IF(ISNA(VLOOKUP(B102,'NÖBV 2'!$B$3:$C$34,2,FALSE))=TRUE,0,VLOOKUP(B102,'NÖBV 2'!$B$3:$C$34,2,FALSE)),IF(ISNA(VLOOKUP(B102,'NÖBV 2'!$F$3:$G$34,2,FALSE))=TRUE,0,VLOOKUP(B102,'NÖBV 2'!$F$3:$G$34,2,FALSE)),IF(ISNA(VLOOKUP(B102,'NÖBV 2'!$J$3:$K$34,2,FALSE))=TRUE,0,VLOOKUP(B102,'NÖBV 2'!$J$3:$K$34,2,FALSE)),IF(ISNA(VLOOKUP(B102,'NÖBV 2'!$N$3:$O$34,2,FALSE))=TRUE,0,VLOOKUP(B102,'NÖBV 2'!$N$3:$O$34,2,FALSE)))</f>
        <v>194</v>
      </c>
      <c r="N102" s="19">
        <f>MAX(IF(ISNA(VLOOKUP(B102,'NÖBV 3'!$B$3:$C$34,2,FALSE))=TRUE,0,VLOOKUP(B102,'NÖBV 3'!$B$3:$C$34,2,FALSE)),IF(ISNA(VLOOKUP(B102,'NÖBV 3'!$F$3:$G$34,2,FALSE))=TRUE,0,VLOOKUP(B102,'NÖBV 3'!$F$3:$G$34,2,FALSE)),IF(ISNA(VLOOKUP(B102,'NÖBV 3'!$J$3:$K$34,2,FALSE))=TRUE,0,VLOOKUP(B102,'NÖBV 3'!$J$3:$K$34,2,FALSE)),IF(ISNA(VLOOKUP(B102,'NÖBV 3'!$N$3:$O$34,2,FALSE))=TRUE,0,VLOOKUP(B102,'NÖBV 3'!$N$3:$O$34,2,FALSE)))</f>
        <v>0</v>
      </c>
      <c r="O102" s="15">
        <f>MAX(IF(ISNA(VLOOKUP(B102,'Regioturnier 1'!$B$3:$C$34,2,FALSE))=TRUE,0,VLOOKUP(B102,'Regioturnier 1'!$B$3:$C$34,2,FALSE)),IF(ISNA(VLOOKUP(B102,'Regioturnier 1'!$F$3:$G$34,2,FALSE))=TRUE,0,VLOOKUP(B102,'Regioturnier 1'!$F$3:$G$34,2,FALSE)),IF(ISNA(VLOOKUP(B102,'Regioturnier 1'!$J$3:$K$34,2,FALSE))=TRUE,0,VLOOKUP(B102,'Regioturnier 1'!$J$3:$K$34,2,FALSE)),IF(ISNA(VLOOKUP(B102,'Regioturnier 1'!$N$3:$O$34,2,FALSE))=TRUE,0,VLOOKUP(B102,'Regioturnier 1'!$N$3:$O$34,2,FALSE)),IF(ISNA(VLOOKUP(B102,'Regioturnier 1'!$R$3:$S$34,2,FALSE))=TRUE,0,VLOOKUP(B102,'Regioturnier 1'!$R$3:$S$34,2,FALSE)), IF(ISNA(VLOOKUP(B102,'Regioturnier 1'!$V$3:$W$34,2,FALSE))=TRUE,0,VLOOKUP(B102,'Regioturnier 1'!$V$3:$W$34,2,FALSE)), IF(ISNA(VLOOKUP(B102,'Regioturnier 1'!$Z$3:$AA$34,2,FALSE))=TRUE,0,VLOOKUP(B102,'Regioturnier 1'!$Z$3:$AA$34,2,FALSE)))</f>
        <v>0</v>
      </c>
      <c r="P102" s="15">
        <f>MAX(IF(ISNA(VLOOKUP(B102,'Regioturnier 2'!$B$3:$C$34,2,FALSE))=TRUE,0,VLOOKUP(B102,'Regioturnier 2'!$B$3:$C$34,2,FALSE)),IF(ISNA(VLOOKUP(B102,'Regioturnier 2'!$F$3:$G$34,2,FALSE))=TRUE,0,VLOOKUP(B102,'Regioturnier 2'!$F$3:$G$34,2,FALSE)),IF(ISNA(VLOOKUP(B102,'Regioturnier 2'!$J$3:$K$34,2,FALSE))=TRUE,0,VLOOKUP(B102,'Regioturnier 2'!$J$3:$K$34,2,FALSE)),IF(ISNA(VLOOKUP(B102,'Regioturnier 2'!$N$3:$O$34,2,FALSE))=TRUE,0,VLOOKUP(B102,'Regioturnier 2'!$N$3:$O$34,2,FALSE)),IF(ISNA(VLOOKUP(B102,'Regioturnier 2'!$R$3:$S$34,2,FALSE))=TRUE,0,VLOOKUP(B102,'Regioturnier 2'!$R$3:$S$34,2,FALSE)), IF(ISNA(VLOOKUP(B102,'Regioturnier 2'!$V$3:$W$34,2,FALSE))=TRUE,0,VLOOKUP(B102,'Regioturnier 2'!$V$3:$W$34,2,FALSE)), IF(ISNA(VLOOKUP(B102,'Regioturnier 2'!$Z$3:$AA$34,2,FALSE))=TRUE,0,VLOOKUP(B102,'Regioturnier 2'!$Z$3:$AA$34,2,FALSE)))</f>
        <v>0</v>
      </c>
      <c r="Q102" s="15">
        <f>MAX(IF(ISNA(VLOOKUP(B102,'Regioturnier 3'!$B$3:$C$34,2,FALSE))=TRUE,0,VLOOKUP(B102,'Regioturnier 3'!$B$3:$C$34,2,FALSE)),IF(ISNA(VLOOKUP(B102,'Regioturnier 3'!$F$3:$G$34,2,FALSE))=TRUE,0,VLOOKUP(B102,'Regioturnier 3'!$F$3:$G$34,2,FALSE)),IF(ISNA(VLOOKUP(B102,'Regioturnier 3'!$J$3:$K$34,2,FALSE))=TRUE,0,VLOOKUP(B102,'Regioturnier 3'!$J$3:$K$34,2,FALSE)),IF(ISNA(VLOOKUP(B102,'Regioturnier 3'!$N$3:$O$34,2,FALSE))=TRUE,0,VLOOKUP(B102,'Regioturnier 3'!$N$3:$O$34,2,FALSE)),IF(ISNA(VLOOKUP(B102,'Regioturnier 3'!$R$3:$S$34,2,FALSE))=TRUE,0,VLOOKUP(B102,'Regioturnier 3'!$R$3:$S$34,2,FALSE)), IF(ISNA(VLOOKUP(B102,'Regioturnier 3'!$V$3:$W$34,2,FALSE))=TRUE,0,VLOOKUP(B102,'Regioturnier 3'!$V$3:$W$34,2,FALSE)), IF(ISNA(VLOOKUP(B102,'Regioturnier 3'!$Z$3:$AA$34,2,FALSE))=TRUE,0,VLOOKUP(B102,'Regioturnier 3'!$Z$3:$AA$34,2,FALSE)))</f>
        <v>0</v>
      </c>
      <c r="R102" s="20">
        <f>0.5*INDEX($H102:$N102,MATCH(LARGE($H102:$N102,1),$H102:$N102,0))+0.3*INDEX($H102:$N102,MATCH(LARGE($H102:$N102,2),$H102:$N102,0))+0.2*INDEX($H102:$N102,MATCH(LARGE($H102:$N102,3),$H102:$N102,0))</f>
        <v>97</v>
      </c>
      <c r="S102" s="20">
        <f>0.6*INDEX(O102:Q102,MATCH(LARGE(O102:Q102,1),O102:Q102,0))+0.4*INDEX(O102:Q102,MATCH(LARGE(O102:Q102,2),O102:Q102,0))+0*INDEX(O102:Q102,MATCH(LARGE(O102:Q102,3),O102:Q102,0))</f>
        <v>0</v>
      </c>
      <c r="T102" s="15">
        <f>1*INDEX(R102:S102,MATCH(LARGE(R102:S102,1),R102:S102,0))+0*INDEX(R102:S102,MATCH(LARGE(R102:S102,2),R102:S102,0))</f>
        <v>97</v>
      </c>
      <c r="U102" s="21"/>
      <c r="V102" s="21"/>
      <c r="W102" s="21"/>
      <c r="X102" s="21"/>
      <c r="Y102" s="21"/>
      <c r="Z102" s="21"/>
    </row>
    <row r="103" spans="1:26" ht="12.75" customHeight="1" x14ac:dyDescent="0.3">
      <c r="A103" s="15">
        <v>102</v>
      </c>
      <c r="B103" s="16" t="s">
        <v>105</v>
      </c>
      <c r="C103" s="17" t="s">
        <v>57</v>
      </c>
      <c r="D103" s="15" t="s">
        <v>26</v>
      </c>
      <c r="E103" s="18" t="s">
        <v>23</v>
      </c>
      <c r="F103" s="15">
        <v>110727</v>
      </c>
      <c r="G103" s="22">
        <v>2010</v>
      </c>
      <c r="H103" s="15">
        <f>MAX(IF(ISNA(VLOOKUP(B103,'WBV 1'!$B$3:$C$34,2,FALSE))=TRUE,0,VLOOKUP(B103,'WBV 1'!$B$3:$C$34,2,FALSE)),IF(ISNA(VLOOKUP(B103,'WBV 1'!$F$3:$G$34,2,FALSE))=TRUE,0,VLOOKUP(B103,'WBV 1'!$F$3:$G$34,2,FALSE)),IF(ISNA(VLOOKUP(B103,'WBV 1'!$J$3:$K$34,2,FALSE))=TRUE,0,VLOOKUP(B103,'WBV 1'!$J$3:$K$34,2,FALSE)),IF(ISNA(VLOOKUP(B103,'WBV 1'!$N$3:$O$34,2,FALSE))=TRUE,0,VLOOKUP(B103,'WBV 1'!$N$3:$O$34,2,FALSE)))</f>
        <v>0</v>
      </c>
      <c r="I103" s="15">
        <f>MAX(IF(ISNA(VLOOKUP(B103,'WBV 2'!$B$3:$C$34,2,FALSE))=TRUE,0,VLOOKUP(B103,'WBV 2'!$B$3:$C$34,2,FALSE)),IF(ISNA(VLOOKUP(B103,'WBV 2'!$F$3:$G$34,2,FALSE))=TRUE,0,VLOOKUP(B103,'WBV 2'!$F$3:$G$34,2,FALSE)),IF(ISNA(VLOOKUP(B103,'WBV 2'!$J$3:$K$34,2,FALSE))=TRUE,0,VLOOKUP(B103,'WBV 2'!$J$3:$K$34,2,FALSE)),IF(ISNA(VLOOKUP(B103,'WBV 2'!$N$3:$O$34,2,FALSE))=TRUE,0,VLOOKUP(B103,'WBV 2'!$N$3:$O$34,2,FALSE)))</f>
        <v>193</v>
      </c>
      <c r="J103" s="15">
        <f>MAX(IF(ISNA(VLOOKUP(B103,'WBV 3'!$B$3:$C$34,2,FALSE))=TRUE,0,VLOOKUP(B103,'WBV 3'!$B$3:$C$34,2,FALSE)),IF(ISNA(VLOOKUP(B103,'WBV 3'!$F$3:$G$34,2,FALSE))=TRUE,0,VLOOKUP(B103,'WBV 3'!$F$3:$G$34,2,FALSE)),IF(ISNA(VLOOKUP(B103,'WBV 3'!$J$3:$K$34,2,FALSE))=TRUE,0,VLOOKUP(B103,'WBV 3'!$J$3:$K$34,2,FALSE)),IF(ISNA(VLOOKUP(B103,'WBV 3'!$N$3:$O$34,2,FALSE))=TRUE,0,VLOOKUP(B103,'WBV 3'!$N$3:$O$34,2,FALSE)))</f>
        <v>0</v>
      </c>
      <c r="K103" s="15">
        <f>MAX(IF(ISNA(VLOOKUP(B103,'WBV 4'!$B$3:$C$34,2,FALSE))=TRUE,0,VLOOKUP(B103,'WBV 4'!$B$3:$C$34,2,FALSE)),IF(ISNA(VLOOKUP(B103,'WBV 4'!$F$3:$G$34,2,FALSE))=TRUE,0,VLOOKUP(B103,'WBV 4'!$F$3:$G$34,2,FALSE)),IF(ISNA(VLOOKUP(B103,'WBV 4'!$J$3:$K$34,2,FALSE))=TRUE,0,VLOOKUP(B103,'WBV 4'!$J$3:$K$34,2,FALSE)),IF(ISNA(VLOOKUP(B103,'WBV 4'!$N$3:$O$34,2,FALSE))=TRUE,0,VLOOKUP(B103,'WBV 4'!$N$3:$O$34,2,FALSE)))</f>
        <v>0</v>
      </c>
      <c r="L103" s="19">
        <f>MAX(IF(ISNA(VLOOKUP(B103,'NÖBV 1'!$B$3:$C$34,2,FALSE))=TRUE,0,VLOOKUP(B103,'NÖBV 1'!$B$3:$C$34,2,FALSE)),IF(ISNA(VLOOKUP(B103,'NÖBV 1'!$F$3:$G$34,2,FALSE))=TRUE,0,VLOOKUP(B103,'NÖBV 1'!$F$3:$G$34,2,FALSE)),IF(ISNA(VLOOKUP(B103,'NÖBV 1'!$J$3:$K$34,2,FALSE))=TRUE,0,VLOOKUP(B103,'NÖBV 1'!$J$3:$K$34,2,FALSE)),IF(ISNA(VLOOKUP(B103,'NÖBV 1'!$N$3:$O$34,2,FALSE))=TRUE,0,VLOOKUP(B103,'NÖBV 1'!$N$3:$O$34,2,FALSE)))</f>
        <v>0</v>
      </c>
      <c r="M103" s="19">
        <f>MAX(IF(ISNA(VLOOKUP(B103,'NÖBV 2'!$B$3:$C$34,2,FALSE))=TRUE,0,VLOOKUP(B103,'NÖBV 2'!$B$3:$C$34,2,FALSE)),IF(ISNA(VLOOKUP(B103,'NÖBV 2'!$F$3:$G$34,2,FALSE))=TRUE,0,VLOOKUP(B103,'NÖBV 2'!$F$3:$G$34,2,FALSE)),IF(ISNA(VLOOKUP(B103,'NÖBV 2'!$J$3:$K$34,2,FALSE))=TRUE,0,VLOOKUP(B103,'NÖBV 2'!$J$3:$K$34,2,FALSE)),IF(ISNA(VLOOKUP(B103,'NÖBV 2'!$N$3:$O$34,2,FALSE))=TRUE,0,VLOOKUP(B103,'NÖBV 2'!$N$3:$O$34,2,FALSE)))</f>
        <v>0</v>
      </c>
      <c r="N103" s="19">
        <f>MAX(IF(ISNA(VLOOKUP(B103,'NÖBV 3'!$B$3:$C$34,2,FALSE))=TRUE,0,VLOOKUP(B103,'NÖBV 3'!$B$3:$C$34,2,FALSE)),IF(ISNA(VLOOKUP(B103,'NÖBV 3'!$F$3:$G$34,2,FALSE))=TRUE,0,VLOOKUP(B103,'NÖBV 3'!$F$3:$G$34,2,FALSE)),IF(ISNA(VLOOKUP(B103,'NÖBV 3'!$J$3:$K$34,2,FALSE))=TRUE,0,VLOOKUP(B103,'NÖBV 3'!$J$3:$K$34,2,FALSE)),IF(ISNA(VLOOKUP(B103,'NÖBV 3'!$N$3:$O$34,2,FALSE))=TRUE,0,VLOOKUP(B103,'NÖBV 3'!$N$3:$O$34,2,FALSE)))</f>
        <v>0</v>
      </c>
      <c r="O103" s="15">
        <f>MAX(IF(ISNA(VLOOKUP(B103,'Regioturnier 1'!$B$3:$C$34,2,FALSE))=TRUE,0,VLOOKUP(B103,'Regioturnier 1'!$B$3:$C$34,2,FALSE)),IF(ISNA(VLOOKUP(B103,'Regioturnier 1'!$F$3:$G$34,2,FALSE))=TRUE,0,VLOOKUP(B103,'Regioturnier 1'!$F$3:$G$34,2,FALSE)),IF(ISNA(VLOOKUP(B103,'Regioturnier 1'!$J$3:$K$34,2,FALSE))=TRUE,0,VLOOKUP(B103,'Regioturnier 1'!$J$3:$K$34,2,FALSE)),IF(ISNA(VLOOKUP(B103,'Regioturnier 1'!$N$3:$O$34,2,FALSE))=TRUE,0,VLOOKUP(B103,'Regioturnier 1'!$N$3:$O$34,2,FALSE)),IF(ISNA(VLOOKUP(B103,'Regioturnier 1'!$R$3:$S$34,2,FALSE))=TRUE,0,VLOOKUP(B103,'Regioturnier 1'!$R$3:$S$34,2,FALSE)), IF(ISNA(VLOOKUP(B103,'Regioturnier 1'!$V$3:$W$34,2,FALSE))=TRUE,0,VLOOKUP(B103,'Regioturnier 1'!$V$3:$W$34,2,FALSE)), IF(ISNA(VLOOKUP(B103,'Regioturnier 1'!$Z$3:$AA$34,2,FALSE))=TRUE,0,VLOOKUP(B103,'Regioturnier 1'!$Z$3:$AA$34,2,FALSE)))</f>
        <v>0</v>
      </c>
      <c r="P103" s="15">
        <f>MAX(IF(ISNA(VLOOKUP(B103,'Regioturnier 2'!$B$3:$C$34,2,FALSE))=TRUE,0,VLOOKUP(B103,'Regioturnier 2'!$B$3:$C$34,2,FALSE)),IF(ISNA(VLOOKUP(B103,'Regioturnier 2'!$F$3:$G$34,2,FALSE))=TRUE,0,VLOOKUP(B103,'Regioturnier 2'!$F$3:$G$34,2,FALSE)),IF(ISNA(VLOOKUP(B103,'Regioturnier 2'!$J$3:$K$34,2,FALSE))=TRUE,0,VLOOKUP(B103,'Regioturnier 2'!$J$3:$K$34,2,FALSE)),IF(ISNA(VLOOKUP(B103,'Regioturnier 2'!$N$3:$O$34,2,FALSE))=TRUE,0,VLOOKUP(B103,'Regioturnier 2'!$N$3:$O$34,2,FALSE)),IF(ISNA(VLOOKUP(B103,'Regioturnier 2'!$R$3:$S$34,2,FALSE))=TRUE,0,VLOOKUP(B103,'Regioturnier 2'!$R$3:$S$34,2,FALSE)), IF(ISNA(VLOOKUP(B103,'Regioturnier 2'!$V$3:$W$34,2,FALSE))=TRUE,0,VLOOKUP(B103,'Regioturnier 2'!$V$3:$W$34,2,FALSE)), IF(ISNA(VLOOKUP(B103,'Regioturnier 2'!$Z$3:$AA$34,2,FALSE))=TRUE,0,VLOOKUP(B103,'Regioturnier 2'!$Z$3:$AA$34,2,FALSE)))</f>
        <v>0</v>
      </c>
      <c r="Q103" s="15">
        <f>MAX(IF(ISNA(VLOOKUP(B103,'Regioturnier 3'!$B$3:$C$34,2,FALSE))=TRUE,0,VLOOKUP(B103,'Regioturnier 3'!$B$3:$C$34,2,FALSE)),IF(ISNA(VLOOKUP(B103,'Regioturnier 3'!$F$3:$G$34,2,FALSE))=TRUE,0,VLOOKUP(B103,'Regioturnier 3'!$F$3:$G$34,2,FALSE)),IF(ISNA(VLOOKUP(B103,'Regioturnier 3'!$J$3:$K$34,2,FALSE))=TRUE,0,VLOOKUP(B103,'Regioturnier 3'!$J$3:$K$34,2,FALSE)),IF(ISNA(VLOOKUP(B103,'Regioturnier 3'!$N$3:$O$34,2,FALSE))=TRUE,0,VLOOKUP(B103,'Regioturnier 3'!$N$3:$O$34,2,FALSE)),IF(ISNA(VLOOKUP(B103,'Regioturnier 3'!$R$3:$S$34,2,FALSE))=TRUE,0,VLOOKUP(B103,'Regioturnier 3'!$R$3:$S$34,2,FALSE)), IF(ISNA(VLOOKUP(B103,'Regioturnier 3'!$V$3:$W$34,2,FALSE))=TRUE,0,VLOOKUP(B103,'Regioturnier 3'!$V$3:$W$34,2,FALSE)), IF(ISNA(VLOOKUP(B103,'Regioturnier 3'!$Z$3:$AA$34,2,FALSE))=TRUE,0,VLOOKUP(B103,'Regioturnier 3'!$Z$3:$AA$34,2,FALSE)))</f>
        <v>0</v>
      </c>
      <c r="R103" s="20">
        <f>0.5*INDEX($H103:$N103,MATCH(LARGE($H103:$N103,1),$H103:$N103,0))+0.3*INDEX($H103:$N103,MATCH(LARGE($H103:$N103,2),$H103:$N103,0))+0.2*INDEX($H103:$N103,MATCH(LARGE($H103:$N103,3),$H103:$N103,0))</f>
        <v>96.5</v>
      </c>
      <c r="S103" s="20">
        <f>0.6*INDEX(O103:Q103,MATCH(LARGE(O103:Q103,1),O103:Q103,0))+0.4*INDEX(O103:Q103,MATCH(LARGE(O103:Q103,2),O103:Q103,0))+0*INDEX(O103:Q103,MATCH(LARGE(O103:Q103,3),O103:Q103,0))</f>
        <v>0</v>
      </c>
      <c r="T103" s="15">
        <f>1*INDEX(R103:S103,MATCH(LARGE(R103:S103,1),R103:S103,0))+0*INDEX(R103:S103,MATCH(LARGE(R103:S103,2),R103:S103,0))</f>
        <v>96.5</v>
      </c>
      <c r="U103" s="21"/>
      <c r="V103" s="21"/>
      <c r="W103" s="21"/>
      <c r="X103" s="21"/>
      <c r="Y103" s="21"/>
      <c r="Z103" s="21"/>
    </row>
    <row r="104" spans="1:26" ht="12.75" customHeight="1" x14ac:dyDescent="0.3">
      <c r="A104" s="15">
        <v>103</v>
      </c>
      <c r="B104" s="16" t="s">
        <v>58</v>
      </c>
      <c r="C104" s="109" t="s">
        <v>21</v>
      </c>
      <c r="D104" s="105" t="s">
        <v>22</v>
      </c>
      <c r="E104" s="18" t="s">
        <v>40</v>
      </c>
      <c r="F104" s="15">
        <v>109988</v>
      </c>
      <c r="G104" s="22">
        <v>2012</v>
      </c>
      <c r="H104" s="15">
        <f>MAX(IF(ISNA(VLOOKUP(B104,'WBV 1'!$B$3:$C$34,2,FALSE))=TRUE,0,VLOOKUP(B104,'WBV 1'!$B$3:$C$34,2,FALSE)),IF(ISNA(VLOOKUP(B104,'WBV 1'!$F$3:$G$34,2,FALSE))=TRUE,0,VLOOKUP(B104,'WBV 1'!$F$3:$G$34,2,FALSE)),IF(ISNA(VLOOKUP(B104,'WBV 1'!$J$3:$K$34,2,FALSE))=TRUE,0,VLOOKUP(B104,'WBV 1'!$J$3:$K$34,2,FALSE)),IF(ISNA(VLOOKUP(B104,'WBV 1'!$N$3:$O$34,2,FALSE))=TRUE,0,VLOOKUP(B104,'WBV 1'!$N$3:$O$34,2,FALSE)))</f>
        <v>193</v>
      </c>
      <c r="I104" s="15">
        <f>MAX(IF(ISNA(VLOOKUP(B104,'WBV 2'!$B$3:$C$34,2,FALSE))=TRUE,0,VLOOKUP(B104,'WBV 2'!$B$3:$C$34,2,FALSE)),IF(ISNA(VLOOKUP(B104,'WBV 2'!$F$3:$G$34,2,FALSE))=TRUE,0,VLOOKUP(B104,'WBV 2'!$F$3:$G$34,2,FALSE)),IF(ISNA(VLOOKUP(B104,'WBV 2'!$J$3:$K$34,2,FALSE))=TRUE,0,VLOOKUP(B104,'WBV 2'!$J$3:$K$34,2,FALSE)),IF(ISNA(VLOOKUP(B104,'WBV 2'!$N$3:$O$34,2,FALSE))=TRUE,0,VLOOKUP(B104,'WBV 2'!$N$3:$O$34,2,FALSE)))</f>
        <v>0</v>
      </c>
      <c r="J104" s="15">
        <f>MAX(IF(ISNA(VLOOKUP(B104,'WBV 3'!$B$3:$C$34,2,FALSE))=TRUE,0,VLOOKUP(B104,'WBV 3'!$B$3:$C$34,2,FALSE)),IF(ISNA(VLOOKUP(B104,'WBV 3'!$F$3:$G$34,2,FALSE))=TRUE,0,VLOOKUP(B104,'WBV 3'!$F$3:$G$34,2,FALSE)),IF(ISNA(VLOOKUP(B104,'WBV 3'!$J$3:$K$34,2,FALSE))=TRUE,0,VLOOKUP(B104,'WBV 3'!$J$3:$K$34,2,FALSE)),IF(ISNA(VLOOKUP(B104,'WBV 3'!$N$3:$O$34,2,FALSE))=TRUE,0,VLOOKUP(B104,'WBV 3'!$N$3:$O$34,2,FALSE)))</f>
        <v>0</v>
      </c>
      <c r="K104" s="15">
        <f>MAX(IF(ISNA(VLOOKUP(B104,'WBV 4'!$B$3:$C$34,2,FALSE))=TRUE,0,VLOOKUP(B104,'WBV 4'!$B$3:$C$34,2,FALSE)),IF(ISNA(VLOOKUP(B104,'WBV 4'!$F$3:$G$34,2,FALSE))=TRUE,0,VLOOKUP(B104,'WBV 4'!$F$3:$G$34,2,FALSE)),IF(ISNA(VLOOKUP(B104,'WBV 4'!$J$3:$K$34,2,FALSE))=TRUE,0,VLOOKUP(B104,'WBV 4'!$J$3:$K$34,2,FALSE)),IF(ISNA(VLOOKUP(B104,'WBV 4'!$N$3:$O$34,2,FALSE))=TRUE,0,VLOOKUP(B104,'WBV 4'!$N$3:$O$34,2,FALSE)))</f>
        <v>0</v>
      </c>
      <c r="L104" s="19">
        <f>MAX(IF(ISNA(VLOOKUP(B104,'NÖBV 1'!$B$3:$C$34,2,FALSE))=TRUE,0,VLOOKUP(B104,'NÖBV 1'!$B$3:$C$34,2,FALSE)),IF(ISNA(VLOOKUP(B104,'NÖBV 1'!$F$3:$G$34,2,FALSE))=TRUE,0,VLOOKUP(B104,'NÖBV 1'!$F$3:$G$34,2,FALSE)),IF(ISNA(VLOOKUP(B104,'NÖBV 1'!$J$3:$K$34,2,FALSE))=TRUE,0,VLOOKUP(B104,'NÖBV 1'!$J$3:$K$34,2,FALSE)),IF(ISNA(VLOOKUP(B104,'NÖBV 1'!$N$3:$O$34,2,FALSE))=TRUE,0,VLOOKUP(B104,'NÖBV 1'!$N$3:$O$34,2,FALSE)))</f>
        <v>0</v>
      </c>
      <c r="M104" s="19">
        <f>MAX(IF(ISNA(VLOOKUP(B104,'NÖBV 2'!$B$3:$C$34,2,FALSE))=TRUE,0,VLOOKUP(B104,'NÖBV 2'!$B$3:$C$34,2,FALSE)),IF(ISNA(VLOOKUP(B104,'NÖBV 2'!$F$3:$G$34,2,FALSE))=TRUE,0,VLOOKUP(B104,'NÖBV 2'!$F$3:$G$34,2,FALSE)),IF(ISNA(VLOOKUP(B104,'NÖBV 2'!$J$3:$K$34,2,FALSE))=TRUE,0,VLOOKUP(B104,'NÖBV 2'!$J$3:$K$34,2,FALSE)),IF(ISNA(VLOOKUP(B104,'NÖBV 2'!$N$3:$O$34,2,FALSE))=TRUE,0,VLOOKUP(B104,'NÖBV 2'!$N$3:$O$34,2,FALSE)))</f>
        <v>0</v>
      </c>
      <c r="N104" s="19">
        <f>MAX(IF(ISNA(VLOOKUP(B104,'NÖBV 3'!$B$3:$C$34,2,FALSE))=TRUE,0,VLOOKUP(B104,'NÖBV 3'!$B$3:$C$34,2,FALSE)),IF(ISNA(VLOOKUP(B104,'NÖBV 3'!$F$3:$G$34,2,FALSE))=TRUE,0,VLOOKUP(B104,'NÖBV 3'!$F$3:$G$34,2,FALSE)),IF(ISNA(VLOOKUP(B104,'NÖBV 3'!$J$3:$K$34,2,FALSE))=TRUE,0,VLOOKUP(B104,'NÖBV 3'!$J$3:$K$34,2,FALSE)),IF(ISNA(VLOOKUP(B104,'NÖBV 3'!$N$3:$O$34,2,FALSE))=TRUE,0,VLOOKUP(B104,'NÖBV 3'!$N$3:$O$34,2,FALSE)))</f>
        <v>0</v>
      </c>
      <c r="O104" s="15">
        <f>MAX(IF(ISNA(VLOOKUP(B104,'Regioturnier 1'!$B$3:$C$34,2,FALSE))=TRUE,0,VLOOKUP(B104,'Regioturnier 1'!$B$3:$C$34,2,FALSE)),IF(ISNA(VLOOKUP(B104,'Regioturnier 1'!$F$3:$G$34,2,FALSE))=TRUE,0,VLOOKUP(B104,'Regioturnier 1'!$F$3:$G$34,2,FALSE)),IF(ISNA(VLOOKUP(B104,'Regioturnier 1'!$J$3:$K$34,2,FALSE))=TRUE,0,VLOOKUP(B104,'Regioturnier 1'!$J$3:$K$34,2,FALSE)),IF(ISNA(VLOOKUP(B104,'Regioturnier 1'!$N$3:$O$34,2,FALSE))=TRUE,0,VLOOKUP(B104,'Regioturnier 1'!$N$3:$O$34,2,FALSE)),IF(ISNA(VLOOKUP(B104,'Regioturnier 1'!$R$3:$S$34,2,FALSE))=TRUE,0,VLOOKUP(B104,'Regioturnier 1'!$R$3:$S$34,2,FALSE)), IF(ISNA(VLOOKUP(B104,'Regioturnier 1'!$V$3:$W$34,2,FALSE))=TRUE,0,VLOOKUP(B104,'Regioturnier 1'!$V$3:$W$34,2,FALSE)), IF(ISNA(VLOOKUP(B104,'Regioturnier 1'!$Z$3:$AA$34,2,FALSE))=TRUE,0,VLOOKUP(B104,'Regioturnier 1'!$Z$3:$AA$34,2,FALSE)))</f>
        <v>0</v>
      </c>
      <c r="P104" s="15">
        <f>MAX(IF(ISNA(VLOOKUP(B104,'Regioturnier 2'!$B$3:$C$34,2,FALSE))=TRUE,0,VLOOKUP(B104,'Regioturnier 2'!$B$3:$C$34,2,FALSE)),IF(ISNA(VLOOKUP(B104,'Regioturnier 2'!$F$3:$G$34,2,FALSE))=TRUE,0,VLOOKUP(B104,'Regioturnier 2'!$F$3:$G$34,2,FALSE)),IF(ISNA(VLOOKUP(B104,'Regioturnier 2'!$J$3:$K$34,2,FALSE))=TRUE,0,VLOOKUP(B104,'Regioturnier 2'!$J$3:$K$34,2,FALSE)),IF(ISNA(VLOOKUP(B104,'Regioturnier 2'!$N$3:$O$34,2,FALSE))=TRUE,0,VLOOKUP(B104,'Regioturnier 2'!$N$3:$O$34,2,FALSE)),IF(ISNA(VLOOKUP(B104,'Regioturnier 2'!$R$3:$S$34,2,FALSE))=TRUE,0,VLOOKUP(B104,'Regioturnier 2'!$R$3:$S$34,2,FALSE)), IF(ISNA(VLOOKUP(B104,'Regioturnier 2'!$V$3:$W$34,2,FALSE))=TRUE,0,VLOOKUP(B104,'Regioturnier 2'!$V$3:$W$34,2,FALSE)), IF(ISNA(VLOOKUP(B104,'Regioturnier 2'!$Z$3:$AA$34,2,FALSE))=TRUE,0,VLOOKUP(B104,'Regioturnier 2'!$Z$3:$AA$34,2,FALSE)))</f>
        <v>0</v>
      </c>
      <c r="Q104" s="15">
        <f>MAX(IF(ISNA(VLOOKUP(B104,'Regioturnier 3'!$B$3:$C$34,2,FALSE))=TRUE,0,VLOOKUP(B104,'Regioturnier 3'!$B$3:$C$34,2,FALSE)),IF(ISNA(VLOOKUP(B104,'Regioturnier 3'!$F$3:$G$34,2,FALSE))=TRUE,0,VLOOKUP(B104,'Regioturnier 3'!$F$3:$G$34,2,FALSE)),IF(ISNA(VLOOKUP(B104,'Regioturnier 3'!$J$3:$K$34,2,FALSE))=TRUE,0,VLOOKUP(B104,'Regioturnier 3'!$J$3:$K$34,2,FALSE)),IF(ISNA(VLOOKUP(B104,'Regioturnier 3'!$N$3:$O$34,2,FALSE))=TRUE,0,VLOOKUP(B104,'Regioturnier 3'!$N$3:$O$34,2,FALSE)),IF(ISNA(VLOOKUP(B104,'Regioturnier 3'!$R$3:$S$34,2,FALSE))=TRUE,0,VLOOKUP(B104,'Regioturnier 3'!$R$3:$S$34,2,FALSE)), IF(ISNA(VLOOKUP(B104,'Regioturnier 3'!$V$3:$W$34,2,FALSE))=TRUE,0,VLOOKUP(B104,'Regioturnier 3'!$V$3:$W$34,2,FALSE)), IF(ISNA(VLOOKUP(B104,'Regioturnier 3'!$Z$3:$AA$34,2,FALSE))=TRUE,0,VLOOKUP(B104,'Regioturnier 3'!$Z$3:$AA$34,2,FALSE)))</f>
        <v>0</v>
      </c>
      <c r="R104" s="20">
        <f>0.5*INDEX($H104:$N104,MATCH(LARGE($H104:$N104,1),$H104:$N104,0))+0.3*INDEX($H104:$N104,MATCH(LARGE($H104:$N104,2),$H104:$N104,0))+0.2*INDEX($H104:$N104,MATCH(LARGE($H104:$N104,3),$H104:$N104,0))</f>
        <v>96.5</v>
      </c>
      <c r="S104" s="20">
        <f>0.6*INDEX(O104:Q104,MATCH(LARGE(O104:Q104,1),O104:Q104,0))+0.4*INDEX(O104:Q104,MATCH(LARGE(O104:Q104,2),O104:Q104,0))+0*INDEX(O104:Q104,MATCH(LARGE(O104:Q104,3),O104:Q104,0))</f>
        <v>0</v>
      </c>
      <c r="T104" s="15">
        <f>1*INDEX(R104:S104,MATCH(LARGE(R104:S104,1),R104:S104,0))+0*INDEX(R104:S104,MATCH(LARGE(R104:S104,2),R104:S104,0))</f>
        <v>96.5</v>
      </c>
      <c r="U104" s="21"/>
      <c r="V104" s="21"/>
      <c r="W104" s="21"/>
      <c r="X104" s="21"/>
      <c r="Y104" s="21"/>
      <c r="Z104" s="21"/>
    </row>
    <row r="105" spans="1:26" ht="12.75" customHeight="1" x14ac:dyDescent="0.3">
      <c r="A105" s="15">
        <v>104</v>
      </c>
      <c r="B105" s="16" t="s">
        <v>180</v>
      </c>
      <c r="C105" s="17" t="s">
        <v>181</v>
      </c>
      <c r="D105" s="15" t="s">
        <v>22</v>
      </c>
      <c r="E105" s="18" t="s">
        <v>23</v>
      </c>
      <c r="F105" s="15" t="s">
        <v>182</v>
      </c>
      <c r="G105" s="22">
        <v>2012</v>
      </c>
      <c r="H105" s="15">
        <f>MAX(IF(ISNA(VLOOKUP(B105,'WBV 1'!$B$3:$C$34,2,FALSE))=TRUE,0,VLOOKUP(B105,'WBV 1'!$B$3:$C$34,2,FALSE)),IF(ISNA(VLOOKUP(B105,'WBV 1'!$F$3:$G$34,2,FALSE))=TRUE,0,VLOOKUP(B105,'WBV 1'!$F$3:$G$34,2,FALSE)),IF(ISNA(VLOOKUP(B105,'WBV 1'!$J$3:$K$34,2,FALSE))=TRUE,0,VLOOKUP(B105,'WBV 1'!$J$3:$K$34,2,FALSE)),IF(ISNA(VLOOKUP(B105,'WBV 1'!$N$3:$O$34,2,FALSE))=TRUE,0,VLOOKUP(B105,'WBV 1'!$N$3:$O$34,2,FALSE)))</f>
        <v>0</v>
      </c>
      <c r="I105" s="15">
        <f>MAX(IF(ISNA(VLOOKUP(B105,'WBV 2'!$B$3:$C$34,2,FALSE))=TRUE,0,VLOOKUP(B105,'WBV 2'!$B$3:$C$34,2,FALSE)),IF(ISNA(VLOOKUP(B105,'WBV 2'!$F$3:$G$34,2,FALSE))=TRUE,0,VLOOKUP(B105,'WBV 2'!$F$3:$G$34,2,FALSE)),IF(ISNA(VLOOKUP(B105,'WBV 2'!$J$3:$K$34,2,FALSE))=TRUE,0,VLOOKUP(B105,'WBV 2'!$J$3:$K$34,2,FALSE)),IF(ISNA(VLOOKUP(B105,'WBV 2'!$N$3:$O$34,2,FALSE))=TRUE,0,VLOOKUP(B105,'WBV 2'!$N$3:$O$34,2,FALSE)))</f>
        <v>0</v>
      </c>
      <c r="J105" s="15">
        <f>MAX(IF(ISNA(VLOOKUP(B105,'WBV 3'!$B$3:$C$34,2,FALSE))=TRUE,0,VLOOKUP(B105,'WBV 3'!$B$3:$C$34,2,FALSE)),IF(ISNA(VLOOKUP(B105,'WBV 3'!$F$3:$G$34,2,FALSE))=TRUE,0,VLOOKUP(B105,'WBV 3'!$F$3:$G$34,2,FALSE)),IF(ISNA(VLOOKUP(B105,'WBV 3'!$J$3:$K$34,2,FALSE))=TRUE,0,VLOOKUP(B105,'WBV 3'!$J$3:$K$34,2,FALSE)),IF(ISNA(VLOOKUP(B105,'WBV 3'!$N$3:$O$34,2,FALSE))=TRUE,0,VLOOKUP(B105,'WBV 3'!$N$3:$O$34,2,FALSE)))</f>
        <v>0</v>
      </c>
      <c r="K105" s="15">
        <f>MAX(IF(ISNA(VLOOKUP(B105,'WBV 4'!$B$3:$C$34,2,FALSE))=TRUE,0,VLOOKUP(B105,'WBV 4'!$B$3:$C$34,2,FALSE)),IF(ISNA(VLOOKUP(B105,'WBV 4'!$F$3:$G$34,2,FALSE))=TRUE,0,VLOOKUP(B105,'WBV 4'!$F$3:$G$34,2,FALSE)),IF(ISNA(VLOOKUP(B105,'WBV 4'!$J$3:$K$34,2,FALSE))=TRUE,0,VLOOKUP(B105,'WBV 4'!$J$3:$K$34,2,FALSE)),IF(ISNA(VLOOKUP(B105,'WBV 4'!$N$3:$O$34,2,FALSE))=TRUE,0,VLOOKUP(B105,'WBV 4'!$N$3:$O$34,2,FALSE)))</f>
        <v>0</v>
      </c>
      <c r="L105" s="19">
        <f>MAX(IF(ISNA(VLOOKUP(B105,'NÖBV 1'!$B$3:$C$34,2,FALSE))=TRUE,0,VLOOKUP(B105,'NÖBV 1'!$B$3:$C$34,2,FALSE)),IF(ISNA(VLOOKUP(B105,'NÖBV 1'!$F$3:$G$34,2,FALSE))=TRUE,0,VLOOKUP(B105,'NÖBV 1'!$F$3:$G$34,2,FALSE)),IF(ISNA(VLOOKUP(B105,'NÖBV 1'!$J$3:$K$34,2,FALSE))=TRUE,0,VLOOKUP(B105,'NÖBV 1'!$J$3:$K$34,2,FALSE)),IF(ISNA(VLOOKUP(B105,'NÖBV 1'!$N$3:$O$34,2,FALSE))=TRUE,0,VLOOKUP(B105,'NÖBV 1'!$N$3:$O$34,2,FALSE)))</f>
        <v>0</v>
      </c>
      <c r="M105" s="19">
        <f>MAX(IF(ISNA(VLOOKUP(B105,'NÖBV 2'!$B$3:$C$34,2,FALSE))=TRUE,0,VLOOKUP(B105,'NÖBV 2'!$B$3:$C$34,2,FALSE)),IF(ISNA(VLOOKUP(B105,'NÖBV 2'!$F$3:$G$34,2,FALSE))=TRUE,0,VLOOKUP(B105,'NÖBV 2'!$F$3:$G$34,2,FALSE)),IF(ISNA(VLOOKUP(B105,'NÖBV 2'!$J$3:$K$34,2,FALSE))=TRUE,0,VLOOKUP(B105,'NÖBV 2'!$J$3:$K$34,2,FALSE)),IF(ISNA(VLOOKUP(B105,'NÖBV 2'!$N$3:$O$34,2,FALSE))=TRUE,0,VLOOKUP(B105,'NÖBV 2'!$N$3:$O$34,2,FALSE)))</f>
        <v>191</v>
      </c>
      <c r="N105" s="19">
        <f>MAX(IF(ISNA(VLOOKUP(B105,'NÖBV 3'!$B$3:$C$34,2,FALSE))=TRUE,0,VLOOKUP(B105,'NÖBV 3'!$B$3:$C$34,2,FALSE)),IF(ISNA(VLOOKUP(B105,'NÖBV 3'!$F$3:$G$34,2,FALSE))=TRUE,0,VLOOKUP(B105,'NÖBV 3'!$F$3:$G$34,2,FALSE)),IF(ISNA(VLOOKUP(B105,'NÖBV 3'!$J$3:$K$34,2,FALSE))=TRUE,0,VLOOKUP(B105,'NÖBV 3'!$J$3:$K$34,2,FALSE)),IF(ISNA(VLOOKUP(B105,'NÖBV 3'!$N$3:$O$34,2,FALSE))=TRUE,0,VLOOKUP(B105,'NÖBV 3'!$N$3:$O$34,2,FALSE)))</f>
        <v>0</v>
      </c>
      <c r="O105" s="15">
        <f>MAX(IF(ISNA(VLOOKUP(B105,'Regioturnier 1'!$B$3:$C$34,2,FALSE))=TRUE,0,VLOOKUP(B105,'Regioturnier 1'!$B$3:$C$34,2,FALSE)),IF(ISNA(VLOOKUP(B105,'Regioturnier 1'!$F$3:$G$34,2,FALSE))=TRUE,0,VLOOKUP(B105,'Regioturnier 1'!$F$3:$G$34,2,FALSE)),IF(ISNA(VLOOKUP(B105,'Regioturnier 1'!$J$3:$K$34,2,FALSE))=TRUE,0,VLOOKUP(B105,'Regioturnier 1'!$J$3:$K$34,2,FALSE)),IF(ISNA(VLOOKUP(B105,'Regioturnier 1'!$N$3:$O$34,2,FALSE))=TRUE,0,VLOOKUP(B105,'Regioturnier 1'!$N$3:$O$34,2,FALSE)),IF(ISNA(VLOOKUP(B105,'Regioturnier 1'!$R$3:$S$34,2,FALSE))=TRUE,0,VLOOKUP(B105,'Regioturnier 1'!$R$3:$S$34,2,FALSE)), IF(ISNA(VLOOKUP(B105,'Regioturnier 1'!$V$3:$W$34,2,FALSE))=TRUE,0,VLOOKUP(B105,'Regioturnier 1'!$V$3:$W$34,2,FALSE)), IF(ISNA(VLOOKUP(B105,'Regioturnier 1'!$Z$3:$AA$34,2,FALSE))=TRUE,0,VLOOKUP(B105,'Regioturnier 1'!$Z$3:$AA$34,2,FALSE)))</f>
        <v>0</v>
      </c>
      <c r="P105" s="15">
        <f>MAX(IF(ISNA(VLOOKUP(B105,'Regioturnier 2'!$B$3:$C$34,2,FALSE))=TRUE,0,VLOOKUP(B105,'Regioturnier 2'!$B$3:$C$34,2,FALSE)),IF(ISNA(VLOOKUP(B105,'Regioturnier 2'!$F$3:$G$34,2,FALSE))=TRUE,0,VLOOKUP(B105,'Regioturnier 2'!$F$3:$G$34,2,FALSE)),IF(ISNA(VLOOKUP(B105,'Regioturnier 2'!$J$3:$K$34,2,FALSE))=TRUE,0,VLOOKUP(B105,'Regioturnier 2'!$J$3:$K$34,2,FALSE)),IF(ISNA(VLOOKUP(B105,'Regioturnier 2'!$N$3:$O$34,2,FALSE))=TRUE,0,VLOOKUP(B105,'Regioturnier 2'!$N$3:$O$34,2,FALSE)),IF(ISNA(VLOOKUP(B105,'Regioturnier 2'!$R$3:$S$34,2,FALSE))=TRUE,0,VLOOKUP(B105,'Regioturnier 2'!$R$3:$S$34,2,FALSE)), IF(ISNA(VLOOKUP(B105,'Regioturnier 2'!$V$3:$W$34,2,FALSE))=TRUE,0,VLOOKUP(B105,'Regioturnier 2'!$V$3:$W$34,2,FALSE)), IF(ISNA(VLOOKUP(B105,'Regioturnier 2'!$Z$3:$AA$34,2,FALSE))=TRUE,0,VLOOKUP(B105,'Regioturnier 2'!$Z$3:$AA$34,2,FALSE)))</f>
        <v>0</v>
      </c>
      <c r="Q105" s="15">
        <f>MAX(IF(ISNA(VLOOKUP(B105,'Regioturnier 3'!$B$3:$C$34,2,FALSE))=TRUE,0,VLOOKUP(B105,'Regioturnier 3'!$B$3:$C$34,2,FALSE)),IF(ISNA(VLOOKUP(B105,'Regioturnier 3'!$F$3:$G$34,2,FALSE))=TRUE,0,VLOOKUP(B105,'Regioturnier 3'!$F$3:$G$34,2,FALSE)),IF(ISNA(VLOOKUP(B105,'Regioturnier 3'!$J$3:$K$34,2,FALSE))=TRUE,0,VLOOKUP(B105,'Regioturnier 3'!$J$3:$K$34,2,FALSE)),IF(ISNA(VLOOKUP(B105,'Regioturnier 3'!$N$3:$O$34,2,FALSE))=TRUE,0,VLOOKUP(B105,'Regioturnier 3'!$N$3:$O$34,2,FALSE)),IF(ISNA(VLOOKUP(B105,'Regioturnier 3'!$R$3:$S$34,2,FALSE))=TRUE,0,VLOOKUP(B105,'Regioturnier 3'!$R$3:$S$34,2,FALSE)), IF(ISNA(VLOOKUP(B105,'Regioturnier 3'!$V$3:$W$34,2,FALSE))=TRUE,0,VLOOKUP(B105,'Regioturnier 3'!$V$3:$W$34,2,FALSE)), IF(ISNA(VLOOKUP(B105,'Regioturnier 3'!$Z$3:$AA$34,2,FALSE))=TRUE,0,VLOOKUP(B105,'Regioturnier 3'!$Z$3:$AA$34,2,FALSE)))</f>
        <v>0</v>
      </c>
      <c r="R105" s="20">
        <f>0.5*INDEX($H105:$N105,MATCH(LARGE($H105:$N105,1),$H105:$N105,0))+0.3*INDEX($H105:$N105,MATCH(LARGE($H105:$N105,2),$H105:$N105,0))+0.2*INDEX($H105:$N105,MATCH(LARGE($H105:$N105,3),$H105:$N105,0))</f>
        <v>95.5</v>
      </c>
      <c r="S105" s="20">
        <f>0.6*INDEX(O105:Q105,MATCH(LARGE(O105:Q105,1),O105:Q105,0))+0.4*INDEX(O105:Q105,MATCH(LARGE(O105:Q105,2),O105:Q105,0))+0*INDEX(O105:Q105,MATCH(LARGE(O105:Q105,3),O105:Q105,0))</f>
        <v>0</v>
      </c>
      <c r="T105" s="15">
        <f>1*INDEX(R105:S105,MATCH(LARGE(R105:S105,1),R105:S105,0))+0*INDEX(R105:S105,MATCH(LARGE(R105:S105,2),R105:S105,0))</f>
        <v>95.5</v>
      </c>
      <c r="U105" s="21"/>
      <c r="V105" s="21"/>
      <c r="W105" s="21"/>
      <c r="X105" s="21"/>
      <c r="Y105" s="21"/>
      <c r="Z105" s="21"/>
    </row>
    <row r="106" spans="1:26" ht="12.75" customHeight="1" x14ac:dyDescent="0.3">
      <c r="A106" s="15">
        <v>105</v>
      </c>
      <c r="B106" s="16" t="s">
        <v>186</v>
      </c>
      <c r="C106" s="17" t="s">
        <v>181</v>
      </c>
      <c r="D106" s="15" t="s">
        <v>22</v>
      </c>
      <c r="E106" s="18" t="s">
        <v>23</v>
      </c>
      <c r="F106" s="15">
        <v>206894</v>
      </c>
      <c r="G106" s="22">
        <v>2011</v>
      </c>
      <c r="H106" s="15">
        <f>MAX(IF(ISNA(VLOOKUP(B106,'WBV 1'!$B$3:$C$34,2,FALSE))=TRUE,0,VLOOKUP(B106,'WBV 1'!$B$3:$C$34,2,FALSE)),IF(ISNA(VLOOKUP(B106,'WBV 1'!$F$3:$G$34,2,FALSE))=TRUE,0,VLOOKUP(B106,'WBV 1'!$F$3:$G$34,2,FALSE)),IF(ISNA(VLOOKUP(B106,'WBV 1'!$J$3:$K$34,2,FALSE))=TRUE,0,VLOOKUP(B106,'WBV 1'!$J$3:$K$34,2,FALSE)),IF(ISNA(VLOOKUP(B106,'WBV 1'!$N$3:$O$34,2,FALSE))=TRUE,0,VLOOKUP(B106,'WBV 1'!$N$3:$O$34,2,FALSE)))</f>
        <v>0</v>
      </c>
      <c r="I106" s="15">
        <f>MAX(IF(ISNA(VLOOKUP(B106,'WBV 2'!$B$3:$C$34,2,FALSE))=TRUE,0,VLOOKUP(B106,'WBV 2'!$B$3:$C$34,2,FALSE)),IF(ISNA(VLOOKUP(B106,'WBV 2'!$F$3:$G$34,2,FALSE))=TRUE,0,VLOOKUP(B106,'WBV 2'!$F$3:$G$34,2,FALSE)),IF(ISNA(VLOOKUP(B106,'WBV 2'!$J$3:$K$34,2,FALSE))=TRUE,0,VLOOKUP(B106,'WBV 2'!$J$3:$K$34,2,FALSE)),IF(ISNA(VLOOKUP(B106,'WBV 2'!$N$3:$O$34,2,FALSE))=TRUE,0,VLOOKUP(B106,'WBV 2'!$N$3:$O$34,2,FALSE)))</f>
        <v>0</v>
      </c>
      <c r="J106" s="15">
        <f>MAX(IF(ISNA(VLOOKUP(B106,'WBV 3'!$B$3:$C$34,2,FALSE))=TRUE,0,VLOOKUP(B106,'WBV 3'!$B$3:$C$34,2,FALSE)),IF(ISNA(VLOOKUP(B106,'WBV 3'!$F$3:$G$34,2,FALSE))=TRUE,0,VLOOKUP(B106,'WBV 3'!$F$3:$G$34,2,FALSE)),IF(ISNA(VLOOKUP(B106,'WBV 3'!$J$3:$K$34,2,FALSE))=TRUE,0,VLOOKUP(B106,'WBV 3'!$J$3:$K$34,2,FALSE)),IF(ISNA(VLOOKUP(B106,'WBV 3'!$N$3:$O$34,2,FALSE))=TRUE,0,VLOOKUP(B106,'WBV 3'!$N$3:$O$34,2,FALSE)))</f>
        <v>0</v>
      </c>
      <c r="K106" s="15">
        <f>MAX(IF(ISNA(VLOOKUP(B106,'WBV 4'!$B$3:$C$34,2,FALSE))=TRUE,0,VLOOKUP(B106,'WBV 4'!$B$3:$C$34,2,FALSE)),IF(ISNA(VLOOKUP(B106,'WBV 4'!$F$3:$G$34,2,FALSE))=TRUE,0,VLOOKUP(B106,'WBV 4'!$F$3:$G$34,2,FALSE)),IF(ISNA(VLOOKUP(B106,'WBV 4'!$J$3:$K$34,2,FALSE))=TRUE,0,VLOOKUP(B106,'WBV 4'!$J$3:$K$34,2,FALSE)),IF(ISNA(VLOOKUP(B106,'WBV 4'!$N$3:$O$34,2,FALSE))=TRUE,0,VLOOKUP(B106,'WBV 4'!$N$3:$O$34,2,FALSE)))</f>
        <v>0</v>
      </c>
      <c r="L106" s="19">
        <f>MAX(IF(ISNA(VLOOKUP(B106,'NÖBV 1'!$B$3:$C$34,2,FALSE))=TRUE,0,VLOOKUP(B106,'NÖBV 1'!$B$3:$C$34,2,FALSE)),IF(ISNA(VLOOKUP(B106,'NÖBV 1'!$F$3:$G$34,2,FALSE))=TRUE,0,VLOOKUP(B106,'NÖBV 1'!$F$3:$G$34,2,FALSE)),IF(ISNA(VLOOKUP(B106,'NÖBV 1'!$J$3:$K$34,2,FALSE))=TRUE,0,VLOOKUP(B106,'NÖBV 1'!$J$3:$K$34,2,FALSE)),IF(ISNA(VLOOKUP(B106,'NÖBV 1'!$N$3:$O$34,2,FALSE))=TRUE,0,VLOOKUP(B106,'NÖBV 1'!$N$3:$O$34,2,FALSE)))</f>
        <v>0</v>
      </c>
      <c r="M106" s="19">
        <f>MAX(IF(ISNA(VLOOKUP(B106,'NÖBV 2'!$B$3:$C$34,2,FALSE))=TRUE,0,VLOOKUP(B106,'NÖBV 2'!$B$3:$C$34,2,FALSE)),IF(ISNA(VLOOKUP(B106,'NÖBV 2'!$F$3:$G$34,2,FALSE))=TRUE,0,VLOOKUP(B106,'NÖBV 2'!$F$3:$G$34,2,FALSE)),IF(ISNA(VLOOKUP(B106,'NÖBV 2'!$J$3:$K$34,2,FALSE))=TRUE,0,VLOOKUP(B106,'NÖBV 2'!$J$3:$K$34,2,FALSE)),IF(ISNA(VLOOKUP(B106,'NÖBV 2'!$N$3:$O$34,2,FALSE))=TRUE,0,VLOOKUP(B106,'NÖBV 2'!$N$3:$O$34,2,FALSE)))</f>
        <v>189</v>
      </c>
      <c r="N106" s="19">
        <f>MAX(IF(ISNA(VLOOKUP(B106,'NÖBV 3'!$B$3:$C$34,2,FALSE))=TRUE,0,VLOOKUP(B106,'NÖBV 3'!$B$3:$C$34,2,FALSE)),IF(ISNA(VLOOKUP(B106,'NÖBV 3'!$F$3:$G$34,2,FALSE))=TRUE,0,VLOOKUP(B106,'NÖBV 3'!$F$3:$G$34,2,FALSE)),IF(ISNA(VLOOKUP(B106,'NÖBV 3'!$J$3:$K$34,2,FALSE))=TRUE,0,VLOOKUP(B106,'NÖBV 3'!$J$3:$K$34,2,FALSE)),IF(ISNA(VLOOKUP(B106,'NÖBV 3'!$N$3:$O$34,2,FALSE))=TRUE,0,VLOOKUP(B106,'NÖBV 3'!$N$3:$O$34,2,FALSE)))</f>
        <v>0</v>
      </c>
      <c r="O106" s="15">
        <f>MAX(IF(ISNA(VLOOKUP(B106,'Regioturnier 1'!$B$3:$C$34,2,FALSE))=TRUE,0,VLOOKUP(B106,'Regioturnier 1'!$B$3:$C$34,2,FALSE)),IF(ISNA(VLOOKUP(B106,'Regioturnier 1'!$F$3:$G$34,2,FALSE))=TRUE,0,VLOOKUP(B106,'Regioturnier 1'!$F$3:$G$34,2,FALSE)),IF(ISNA(VLOOKUP(B106,'Regioturnier 1'!$J$3:$K$34,2,FALSE))=TRUE,0,VLOOKUP(B106,'Regioturnier 1'!$J$3:$K$34,2,FALSE)),IF(ISNA(VLOOKUP(B106,'Regioturnier 1'!$N$3:$O$34,2,FALSE))=TRUE,0,VLOOKUP(B106,'Regioturnier 1'!$N$3:$O$34,2,FALSE)),IF(ISNA(VLOOKUP(B106,'Regioturnier 1'!$R$3:$S$34,2,FALSE))=TRUE,0,VLOOKUP(B106,'Regioturnier 1'!$R$3:$S$34,2,FALSE)), IF(ISNA(VLOOKUP(B106,'Regioturnier 1'!$V$3:$W$34,2,FALSE))=TRUE,0,VLOOKUP(B106,'Regioturnier 1'!$V$3:$W$34,2,FALSE)), IF(ISNA(VLOOKUP(B106,'Regioturnier 1'!$Z$3:$AA$34,2,FALSE))=TRUE,0,VLOOKUP(B106,'Regioturnier 1'!$Z$3:$AA$34,2,FALSE)))</f>
        <v>0</v>
      </c>
      <c r="P106" s="15">
        <f>MAX(IF(ISNA(VLOOKUP(B106,'Regioturnier 2'!$B$3:$C$34,2,FALSE))=TRUE,0,VLOOKUP(B106,'Regioturnier 2'!$B$3:$C$34,2,FALSE)),IF(ISNA(VLOOKUP(B106,'Regioturnier 2'!$F$3:$G$34,2,FALSE))=TRUE,0,VLOOKUP(B106,'Regioturnier 2'!$F$3:$G$34,2,FALSE)),IF(ISNA(VLOOKUP(B106,'Regioturnier 2'!$J$3:$K$34,2,FALSE))=TRUE,0,VLOOKUP(B106,'Regioturnier 2'!$J$3:$K$34,2,FALSE)),IF(ISNA(VLOOKUP(B106,'Regioturnier 2'!$N$3:$O$34,2,FALSE))=TRUE,0,VLOOKUP(B106,'Regioturnier 2'!$N$3:$O$34,2,FALSE)),IF(ISNA(VLOOKUP(B106,'Regioturnier 2'!$R$3:$S$34,2,FALSE))=TRUE,0,VLOOKUP(B106,'Regioturnier 2'!$R$3:$S$34,2,FALSE)), IF(ISNA(VLOOKUP(B106,'Regioturnier 2'!$V$3:$W$34,2,FALSE))=TRUE,0,VLOOKUP(B106,'Regioturnier 2'!$V$3:$W$34,2,FALSE)), IF(ISNA(VLOOKUP(B106,'Regioturnier 2'!$Z$3:$AA$34,2,FALSE))=TRUE,0,VLOOKUP(B106,'Regioturnier 2'!$Z$3:$AA$34,2,FALSE)))</f>
        <v>0</v>
      </c>
      <c r="Q106" s="15">
        <f>MAX(IF(ISNA(VLOOKUP(B106,'Regioturnier 3'!$B$3:$C$34,2,FALSE))=TRUE,0,VLOOKUP(B106,'Regioturnier 3'!$B$3:$C$34,2,FALSE)),IF(ISNA(VLOOKUP(B106,'Regioturnier 3'!$F$3:$G$34,2,FALSE))=TRUE,0,VLOOKUP(B106,'Regioturnier 3'!$F$3:$G$34,2,FALSE)),IF(ISNA(VLOOKUP(B106,'Regioturnier 3'!$J$3:$K$34,2,FALSE))=TRUE,0,VLOOKUP(B106,'Regioturnier 3'!$J$3:$K$34,2,FALSE)),IF(ISNA(VLOOKUP(B106,'Regioturnier 3'!$N$3:$O$34,2,FALSE))=TRUE,0,VLOOKUP(B106,'Regioturnier 3'!$N$3:$O$34,2,FALSE)),IF(ISNA(VLOOKUP(B106,'Regioturnier 3'!$R$3:$S$34,2,FALSE))=TRUE,0,VLOOKUP(B106,'Regioturnier 3'!$R$3:$S$34,2,FALSE)), IF(ISNA(VLOOKUP(B106,'Regioturnier 3'!$V$3:$W$34,2,FALSE))=TRUE,0,VLOOKUP(B106,'Regioturnier 3'!$V$3:$W$34,2,FALSE)), IF(ISNA(VLOOKUP(B106,'Regioturnier 3'!$Z$3:$AA$34,2,FALSE))=TRUE,0,VLOOKUP(B106,'Regioturnier 3'!$Z$3:$AA$34,2,FALSE)))</f>
        <v>0</v>
      </c>
      <c r="R106" s="20">
        <f>0.5*INDEX($H106:$N106,MATCH(LARGE($H106:$N106,1),$H106:$N106,0))+0.3*INDEX($H106:$N106,MATCH(LARGE($H106:$N106,2),$H106:$N106,0))+0.2*INDEX($H106:$N106,MATCH(LARGE($H106:$N106,3),$H106:$N106,0))</f>
        <v>94.5</v>
      </c>
      <c r="S106" s="20">
        <f>0.6*INDEX(O106:Q106,MATCH(LARGE(O106:Q106,1),O106:Q106,0))+0.4*INDEX(O106:Q106,MATCH(LARGE(O106:Q106,2),O106:Q106,0))+0*INDEX(O106:Q106,MATCH(LARGE(O106:Q106,3),O106:Q106,0))</f>
        <v>0</v>
      </c>
      <c r="T106" s="15">
        <f>1*INDEX(R106:S106,MATCH(LARGE(R106:S106,1),R106:S106,0))+0*INDEX(R106:S106,MATCH(LARGE(R106:S106,2),R106:S106,0))</f>
        <v>94.5</v>
      </c>
      <c r="U106" s="21"/>
      <c r="V106" s="21"/>
      <c r="W106" s="21"/>
      <c r="X106" s="21"/>
      <c r="Y106" s="21"/>
      <c r="Z106" s="21"/>
    </row>
    <row r="107" spans="1:26" ht="12.75" customHeight="1" x14ac:dyDescent="0.3">
      <c r="A107" s="15">
        <v>106</v>
      </c>
      <c r="B107" s="16" t="s">
        <v>88</v>
      </c>
      <c r="C107" s="17" t="s">
        <v>31</v>
      </c>
      <c r="D107" s="15" t="s">
        <v>26</v>
      </c>
      <c r="E107" s="18" t="s">
        <v>23</v>
      </c>
      <c r="F107" s="15">
        <v>108969</v>
      </c>
      <c r="G107" s="22">
        <v>2010</v>
      </c>
      <c r="H107" s="15">
        <f>MAX(IF(ISNA(VLOOKUP(B107,'WBV 1'!$B$3:$C$34,2,FALSE))=TRUE,0,VLOOKUP(B107,'WBV 1'!$B$3:$C$34,2,FALSE)),IF(ISNA(VLOOKUP(B107,'WBV 1'!$F$3:$G$34,2,FALSE))=TRUE,0,VLOOKUP(B107,'WBV 1'!$F$3:$G$34,2,FALSE)),IF(ISNA(VLOOKUP(B107,'WBV 1'!$J$3:$K$34,2,FALSE))=TRUE,0,VLOOKUP(B107,'WBV 1'!$J$3:$K$34,2,FALSE)),IF(ISNA(VLOOKUP(B107,'WBV 1'!$N$3:$O$34,2,FALSE))=TRUE,0,VLOOKUP(B107,'WBV 1'!$N$3:$O$34,2,FALSE)))</f>
        <v>189</v>
      </c>
      <c r="I107" s="15">
        <f>MAX(IF(ISNA(VLOOKUP(B107,'WBV 2'!$B$3:$C$34,2,FALSE))=TRUE,0,VLOOKUP(B107,'WBV 2'!$B$3:$C$34,2,FALSE)),IF(ISNA(VLOOKUP(B107,'WBV 2'!$F$3:$G$34,2,FALSE))=TRUE,0,VLOOKUP(B107,'WBV 2'!$F$3:$G$34,2,FALSE)),IF(ISNA(VLOOKUP(B107,'WBV 2'!$J$3:$K$34,2,FALSE))=TRUE,0,VLOOKUP(B107,'WBV 2'!$J$3:$K$34,2,FALSE)),IF(ISNA(VLOOKUP(B107,'WBV 2'!$N$3:$O$34,2,FALSE))=TRUE,0,VLOOKUP(B107,'WBV 2'!$N$3:$O$34,2,FALSE)))</f>
        <v>0</v>
      </c>
      <c r="J107" s="15">
        <f>MAX(IF(ISNA(VLOOKUP(B107,'WBV 3'!$B$3:$C$34,2,FALSE))=TRUE,0,VLOOKUP(B107,'WBV 3'!$B$3:$C$34,2,FALSE)),IF(ISNA(VLOOKUP(B107,'WBV 3'!$F$3:$G$34,2,FALSE))=TRUE,0,VLOOKUP(B107,'WBV 3'!$F$3:$G$34,2,FALSE)),IF(ISNA(VLOOKUP(B107,'WBV 3'!$J$3:$K$34,2,FALSE))=TRUE,0,VLOOKUP(B107,'WBV 3'!$J$3:$K$34,2,FALSE)),IF(ISNA(VLOOKUP(B107,'WBV 3'!$N$3:$O$34,2,FALSE))=TRUE,0,VLOOKUP(B107,'WBV 3'!$N$3:$O$34,2,FALSE)))</f>
        <v>0</v>
      </c>
      <c r="K107" s="15">
        <f>MAX(IF(ISNA(VLOOKUP(B107,'WBV 4'!$B$3:$C$34,2,FALSE))=TRUE,0,VLOOKUP(B107,'WBV 4'!$B$3:$C$34,2,FALSE)),IF(ISNA(VLOOKUP(B107,'WBV 4'!$F$3:$G$34,2,FALSE))=TRUE,0,VLOOKUP(B107,'WBV 4'!$F$3:$G$34,2,FALSE)),IF(ISNA(VLOOKUP(B107,'WBV 4'!$J$3:$K$34,2,FALSE))=TRUE,0,VLOOKUP(B107,'WBV 4'!$J$3:$K$34,2,FALSE)),IF(ISNA(VLOOKUP(B107,'WBV 4'!$N$3:$O$34,2,FALSE))=TRUE,0,VLOOKUP(B107,'WBV 4'!$N$3:$O$34,2,FALSE)))</f>
        <v>0</v>
      </c>
      <c r="L107" s="19">
        <f>MAX(IF(ISNA(VLOOKUP(B107,'NÖBV 1'!$B$3:$C$34,2,FALSE))=TRUE,0,VLOOKUP(B107,'NÖBV 1'!$B$3:$C$34,2,FALSE)),IF(ISNA(VLOOKUP(B107,'NÖBV 1'!$F$3:$G$34,2,FALSE))=TRUE,0,VLOOKUP(B107,'NÖBV 1'!$F$3:$G$34,2,FALSE)),IF(ISNA(VLOOKUP(B107,'NÖBV 1'!$J$3:$K$34,2,FALSE))=TRUE,0,VLOOKUP(B107,'NÖBV 1'!$J$3:$K$34,2,FALSE)),IF(ISNA(VLOOKUP(B107,'NÖBV 1'!$N$3:$O$34,2,FALSE))=TRUE,0,VLOOKUP(B107,'NÖBV 1'!$N$3:$O$34,2,FALSE)))</f>
        <v>0</v>
      </c>
      <c r="M107" s="19">
        <f>MAX(IF(ISNA(VLOOKUP(B107,'NÖBV 2'!$B$3:$C$34,2,FALSE))=TRUE,0,VLOOKUP(B107,'NÖBV 2'!$B$3:$C$34,2,FALSE)),IF(ISNA(VLOOKUP(B107,'NÖBV 2'!$F$3:$G$34,2,FALSE))=TRUE,0,VLOOKUP(B107,'NÖBV 2'!$F$3:$G$34,2,FALSE)),IF(ISNA(VLOOKUP(B107,'NÖBV 2'!$J$3:$K$34,2,FALSE))=TRUE,0,VLOOKUP(B107,'NÖBV 2'!$J$3:$K$34,2,FALSE)),IF(ISNA(VLOOKUP(B107,'NÖBV 2'!$N$3:$O$34,2,FALSE))=TRUE,0,VLOOKUP(B107,'NÖBV 2'!$N$3:$O$34,2,FALSE)))</f>
        <v>0</v>
      </c>
      <c r="N107" s="19">
        <f>MAX(IF(ISNA(VLOOKUP(B107,'NÖBV 3'!$B$3:$C$34,2,FALSE))=TRUE,0,VLOOKUP(B107,'NÖBV 3'!$B$3:$C$34,2,FALSE)),IF(ISNA(VLOOKUP(B107,'NÖBV 3'!$F$3:$G$34,2,FALSE))=TRUE,0,VLOOKUP(B107,'NÖBV 3'!$F$3:$G$34,2,FALSE)),IF(ISNA(VLOOKUP(B107,'NÖBV 3'!$J$3:$K$34,2,FALSE))=TRUE,0,VLOOKUP(B107,'NÖBV 3'!$J$3:$K$34,2,FALSE)),IF(ISNA(VLOOKUP(B107,'NÖBV 3'!$N$3:$O$34,2,FALSE))=TRUE,0,VLOOKUP(B107,'NÖBV 3'!$N$3:$O$34,2,FALSE)))</f>
        <v>0</v>
      </c>
      <c r="O107" s="15">
        <f>MAX(IF(ISNA(VLOOKUP(B107,'Regioturnier 1'!$B$3:$C$34,2,FALSE))=TRUE,0,VLOOKUP(B107,'Regioturnier 1'!$B$3:$C$34,2,FALSE)),IF(ISNA(VLOOKUP(B107,'Regioturnier 1'!$F$3:$G$34,2,FALSE))=TRUE,0,VLOOKUP(B107,'Regioturnier 1'!$F$3:$G$34,2,FALSE)),IF(ISNA(VLOOKUP(B107,'Regioturnier 1'!$J$3:$K$34,2,FALSE))=TRUE,0,VLOOKUP(B107,'Regioturnier 1'!$J$3:$K$34,2,FALSE)),IF(ISNA(VLOOKUP(B107,'Regioturnier 1'!$N$3:$O$34,2,FALSE))=TRUE,0,VLOOKUP(B107,'Regioturnier 1'!$N$3:$O$34,2,FALSE)),IF(ISNA(VLOOKUP(B107,'Regioturnier 1'!$R$3:$S$34,2,FALSE))=TRUE,0,VLOOKUP(B107,'Regioturnier 1'!$R$3:$S$34,2,FALSE)), IF(ISNA(VLOOKUP(B107,'Regioturnier 1'!$V$3:$W$34,2,FALSE))=TRUE,0,VLOOKUP(B107,'Regioturnier 1'!$V$3:$W$34,2,FALSE)), IF(ISNA(VLOOKUP(B107,'Regioturnier 1'!$Z$3:$AA$34,2,FALSE))=TRUE,0,VLOOKUP(B107,'Regioturnier 1'!$Z$3:$AA$34,2,FALSE)))</f>
        <v>0</v>
      </c>
      <c r="P107" s="15">
        <f>MAX(IF(ISNA(VLOOKUP(B107,'Regioturnier 2'!$B$3:$C$34,2,FALSE))=TRUE,0,VLOOKUP(B107,'Regioturnier 2'!$B$3:$C$34,2,FALSE)),IF(ISNA(VLOOKUP(B107,'Regioturnier 2'!$F$3:$G$34,2,FALSE))=TRUE,0,VLOOKUP(B107,'Regioturnier 2'!$F$3:$G$34,2,FALSE)),IF(ISNA(VLOOKUP(B107,'Regioturnier 2'!$J$3:$K$34,2,FALSE))=TRUE,0,VLOOKUP(B107,'Regioturnier 2'!$J$3:$K$34,2,FALSE)),IF(ISNA(VLOOKUP(B107,'Regioturnier 2'!$N$3:$O$34,2,FALSE))=TRUE,0,VLOOKUP(B107,'Regioturnier 2'!$N$3:$O$34,2,FALSE)),IF(ISNA(VLOOKUP(B107,'Regioturnier 2'!$R$3:$S$34,2,FALSE))=TRUE,0,VLOOKUP(B107,'Regioturnier 2'!$R$3:$S$34,2,FALSE)), IF(ISNA(VLOOKUP(B107,'Regioturnier 2'!$V$3:$W$34,2,FALSE))=TRUE,0,VLOOKUP(B107,'Regioturnier 2'!$V$3:$W$34,2,FALSE)), IF(ISNA(VLOOKUP(B107,'Regioturnier 2'!$Z$3:$AA$34,2,FALSE))=TRUE,0,VLOOKUP(B107,'Regioturnier 2'!$Z$3:$AA$34,2,FALSE)))</f>
        <v>0</v>
      </c>
      <c r="Q107" s="15">
        <f>MAX(IF(ISNA(VLOOKUP(B107,'Regioturnier 3'!$B$3:$C$34,2,FALSE))=TRUE,0,VLOOKUP(B107,'Regioturnier 3'!$B$3:$C$34,2,FALSE)),IF(ISNA(VLOOKUP(B107,'Regioturnier 3'!$F$3:$G$34,2,FALSE))=TRUE,0,VLOOKUP(B107,'Regioturnier 3'!$F$3:$G$34,2,FALSE)),IF(ISNA(VLOOKUP(B107,'Regioturnier 3'!$J$3:$K$34,2,FALSE))=TRUE,0,VLOOKUP(B107,'Regioturnier 3'!$J$3:$K$34,2,FALSE)),IF(ISNA(VLOOKUP(B107,'Regioturnier 3'!$N$3:$O$34,2,FALSE))=TRUE,0,VLOOKUP(B107,'Regioturnier 3'!$N$3:$O$34,2,FALSE)),IF(ISNA(VLOOKUP(B107,'Regioturnier 3'!$R$3:$S$34,2,FALSE))=TRUE,0,VLOOKUP(B107,'Regioturnier 3'!$R$3:$S$34,2,FALSE)), IF(ISNA(VLOOKUP(B107,'Regioturnier 3'!$V$3:$W$34,2,FALSE))=TRUE,0,VLOOKUP(B107,'Regioturnier 3'!$V$3:$W$34,2,FALSE)), IF(ISNA(VLOOKUP(B107,'Regioturnier 3'!$Z$3:$AA$34,2,FALSE))=TRUE,0,VLOOKUP(B107,'Regioturnier 3'!$Z$3:$AA$34,2,FALSE)))</f>
        <v>0</v>
      </c>
      <c r="R107" s="20">
        <f>0.5*INDEX($H107:$N107,MATCH(LARGE($H107:$N107,1),$H107:$N107,0))+0.3*INDEX($H107:$N107,MATCH(LARGE($H107:$N107,2),$H107:$N107,0))+0.2*INDEX($H107:$N107,MATCH(LARGE($H107:$N107,3),$H107:$N107,0))</f>
        <v>94.5</v>
      </c>
      <c r="S107" s="20">
        <f>0.6*INDEX(O107:Q107,MATCH(LARGE(O107:Q107,1),O107:Q107,0))+0.4*INDEX(O107:Q107,MATCH(LARGE(O107:Q107,2),O107:Q107,0))+0*INDEX(O107:Q107,MATCH(LARGE(O107:Q107,3),O107:Q107,0))</f>
        <v>0</v>
      </c>
      <c r="T107" s="15">
        <f>1*INDEX(R107:S107,MATCH(LARGE(R107:S107,1),R107:S107,0))+0*INDEX(R107:S107,MATCH(LARGE(R107:S107,2),R107:S107,0))</f>
        <v>94.5</v>
      </c>
      <c r="U107" s="21"/>
      <c r="V107" s="21"/>
      <c r="W107" s="21"/>
      <c r="X107" s="21"/>
      <c r="Y107" s="21"/>
      <c r="Z107" s="21"/>
    </row>
    <row r="108" spans="1:26" ht="12.75" customHeight="1" x14ac:dyDescent="0.3">
      <c r="A108" s="15">
        <v>107</v>
      </c>
      <c r="B108" s="21" t="s">
        <v>609</v>
      </c>
      <c r="C108" s="21" t="s">
        <v>25</v>
      </c>
      <c r="D108" s="15" t="s">
        <v>26</v>
      </c>
      <c r="E108" s="15" t="s">
        <v>23</v>
      </c>
      <c r="F108" s="15" t="s">
        <v>632</v>
      </c>
      <c r="G108" s="15">
        <v>2012</v>
      </c>
      <c r="H108" s="15">
        <f>MAX(IF(ISNA(VLOOKUP(B108,'WBV 1'!$B$3:$C$34,2,FALSE))=TRUE,0,VLOOKUP(B108,'WBV 1'!$B$3:$C$34,2,FALSE)),IF(ISNA(VLOOKUP(B108,'WBV 1'!$F$3:$G$34,2,FALSE))=TRUE,0,VLOOKUP(B108,'WBV 1'!$F$3:$G$34,2,FALSE)),IF(ISNA(VLOOKUP(B108,'WBV 1'!$J$3:$K$34,2,FALSE))=TRUE,0,VLOOKUP(B108,'WBV 1'!$J$3:$K$34,2,FALSE)),IF(ISNA(VLOOKUP(B108,'WBV 1'!$N$3:$O$34,2,FALSE))=TRUE,0,VLOOKUP(B108,'WBV 1'!$N$3:$O$34,2,FALSE)))</f>
        <v>0</v>
      </c>
      <c r="I108" s="15">
        <f>MAX(IF(ISNA(VLOOKUP(B108,'WBV 2'!$B$3:$C$34,2,FALSE))=TRUE,0,VLOOKUP(B108,'WBV 2'!$B$3:$C$34,2,FALSE)),IF(ISNA(VLOOKUP(B108,'WBV 2'!$F$3:$G$34,2,FALSE))=TRUE,0,VLOOKUP(B108,'WBV 2'!$F$3:$G$34,2,FALSE)),IF(ISNA(VLOOKUP(B108,'WBV 2'!$J$3:$K$34,2,FALSE))=TRUE,0,VLOOKUP(B108,'WBV 2'!$J$3:$K$34,2,FALSE)),IF(ISNA(VLOOKUP(B108,'WBV 2'!$N$3:$O$34,2,FALSE))=TRUE,0,VLOOKUP(B108,'WBV 2'!$N$3:$O$34,2,FALSE)))</f>
        <v>0</v>
      </c>
      <c r="J108" s="15">
        <f>MAX(IF(ISNA(VLOOKUP(B108,'WBV 3'!$B$3:$C$34,2,FALSE))=TRUE,0,VLOOKUP(B108,'WBV 3'!$B$3:$C$34,2,FALSE)),IF(ISNA(VLOOKUP(B108,'WBV 3'!$F$3:$G$34,2,FALSE))=TRUE,0,VLOOKUP(B108,'WBV 3'!$F$3:$G$34,2,FALSE)),IF(ISNA(VLOOKUP(B108,'WBV 3'!$J$3:$K$34,2,FALSE))=TRUE,0,VLOOKUP(B108,'WBV 3'!$J$3:$K$34,2,FALSE)),IF(ISNA(VLOOKUP(B108,'WBV 3'!$N$3:$O$34,2,FALSE))=TRUE,0,VLOOKUP(B108,'WBV 3'!$N$3:$O$34,2,FALSE)))</f>
        <v>185</v>
      </c>
      <c r="K108" s="15">
        <f>MAX(IF(ISNA(VLOOKUP(B108,'WBV 4'!$B$3:$C$34,2,FALSE))=TRUE,0,VLOOKUP(B108,'WBV 4'!$B$3:$C$34,2,FALSE)),IF(ISNA(VLOOKUP(B108,'WBV 4'!$F$3:$G$34,2,FALSE))=TRUE,0,VLOOKUP(B108,'WBV 4'!$F$3:$G$34,2,FALSE)),IF(ISNA(VLOOKUP(B108,'WBV 4'!$J$3:$K$34,2,FALSE))=TRUE,0,VLOOKUP(B108,'WBV 4'!$J$3:$K$34,2,FALSE)),IF(ISNA(VLOOKUP(B108,'WBV 4'!$N$3:$O$34,2,FALSE))=TRUE,0,VLOOKUP(B108,'WBV 4'!$N$3:$O$34,2,FALSE)))</f>
        <v>0</v>
      </c>
      <c r="L108" s="19">
        <f>MAX(IF(ISNA(VLOOKUP(B108,'NÖBV 1'!$B$3:$C$34,2,FALSE))=TRUE,0,VLOOKUP(B108,'NÖBV 1'!$B$3:$C$34,2,FALSE)),IF(ISNA(VLOOKUP(B108,'NÖBV 1'!$F$3:$G$34,2,FALSE))=TRUE,0,VLOOKUP(B108,'NÖBV 1'!$F$3:$G$34,2,FALSE)),IF(ISNA(VLOOKUP(B108,'NÖBV 1'!$J$3:$K$34,2,FALSE))=TRUE,0,VLOOKUP(B108,'NÖBV 1'!$J$3:$K$34,2,FALSE)),IF(ISNA(VLOOKUP(B108,'NÖBV 1'!$N$3:$O$34,2,FALSE))=TRUE,0,VLOOKUP(B108,'NÖBV 1'!$N$3:$O$34,2,FALSE)))</f>
        <v>0</v>
      </c>
      <c r="M108" s="19">
        <f>MAX(IF(ISNA(VLOOKUP(B108,'NÖBV 2'!$B$3:$C$34,2,FALSE))=TRUE,0,VLOOKUP(B108,'NÖBV 2'!$B$3:$C$34,2,FALSE)),IF(ISNA(VLOOKUP(B108,'NÖBV 2'!$F$3:$G$34,2,FALSE))=TRUE,0,VLOOKUP(B108,'NÖBV 2'!$F$3:$G$34,2,FALSE)),IF(ISNA(VLOOKUP(B108,'NÖBV 2'!$J$3:$K$34,2,FALSE))=TRUE,0,VLOOKUP(B108,'NÖBV 2'!$J$3:$K$34,2,FALSE)),IF(ISNA(VLOOKUP(B108,'NÖBV 2'!$N$3:$O$34,2,FALSE))=TRUE,0,VLOOKUP(B108,'NÖBV 2'!$N$3:$O$34,2,FALSE)))</f>
        <v>0</v>
      </c>
      <c r="N108" s="19">
        <f>MAX(IF(ISNA(VLOOKUP(B108,'NÖBV 3'!$B$3:$C$34,2,FALSE))=TRUE,0,VLOOKUP(B108,'NÖBV 3'!$B$3:$C$34,2,FALSE)),IF(ISNA(VLOOKUP(B108,'NÖBV 3'!$F$3:$G$34,2,FALSE))=TRUE,0,VLOOKUP(B108,'NÖBV 3'!$F$3:$G$34,2,FALSE)),IF(ISNA(VLOOKUP(B108,'NÖBV 3'!$J$3:$K$34,2,FALSE))=TRUE,0,VLOOKUP(B108,'NÖBV 3'!$J$3:$K$34,2,FALSE)),IF(ISNA(VLOOKUP(B108,'NÖBV 3'!$N$3:$O$34,2,FALSE))=TRUE,0,VLOOKUP(B108,'NÖBV 3'!$N$3:$O$34,2,FALSE)))</f>
        <v>0</v>
      </c>
      <c r="O108" s="15">
        <f>MAX(IF(ISNA(VLOOKUP(B108,'Regioturnier 1'!$B$3:$C$34,2,FALSE))=TRUE,0,VLOOKUP(B108,'Regioturnier 1'!$B$3:$C$34,2,FALSE)),IF(ISNA(VLOOKUP(B108,'Regioturnier 1'!$F$3:$G$34,2,FALSE))=TRUE,0,VLOOKUP(B108,'Regioturnier 1'!$F$3:$G$34,2,FALSE)),IF(ISNA(VLOOKUP(B108,'Regioturnier 1'!$J$3:$K$34,2,FALSE))=TRUE,0,VLOOKUP(B108,'Regioturnier 1'!$J$3:$K$34,2,FALSE)),IF(ISNA(VLOOKUP(B108,'Regioturnier 1'!$N$3:$O$34,2,FALSE))=TRUE,0,VLOOKUP(B108,'Regioturnier 1'!$N$3:$O$34,2,FALSE)),IF(ISNA(VLOOKUP(B108,'Regioturnier 1'!$R$3:$S$34,2,FALSE))=TRUE,0,VLOOKUP(B108,'Regioturnier 1'!$R$3:$S$34,2,FALSE)), IF(ISNA(VLOOKUP(B108,'Regioturnier 1'!$V$3:$W$34,2,FALSE))=TRUE,0,VLOOKUP(B108,'Regioturnier 1'!$V$3:$W$34,2,FALSE)), IF(ISNA(VLOOKUP(B108,'Regioturnier 1'!$Z$3:$AA$34,2,FALSE))=TRUE,0,VLOOKUP(B108,'Regioturnier 1'!$Z$3:$AA$34,2,FALSE)))</f>
        <v>0</v>
      </c>
      <c r="P108" s="15">
        <f>MAX(IF(ISNA(VLOOKUP(B108,'Regioturnier 2'!$B$3:$C$34,2,FALSE))=TRUE,0,VLOOKUP(B108,'Regioturnier 2'!$B$3:$C$34,2,FALSE)),IF(ISNA(VLOOKUP(B108,'Regioturnier 2'!$F$3:$G$34,2,FALSE))=TRUE,0,VLOOKUP(B108,'Regioturnier 2'!$F$3:$G$34,2,FALSE)),IF(ISNA(VLOOKUP(B108,'Regioturnier 2'!$J$3:$K$34,2,FALSE))=TRUE,0,VLOOKUP(B108,'Regioturnier 2'!$J$3:$K$34,2,FALSE)),IF(ISNA(VLOOKUP(B108,'Regioturnier 2'!$N$3:$O$34,2,FALSE))=TRUE,0,VLOOKUP(B108,'Regioturnier 2'!$N$3:$O$34,2,FALSE)),IF(ISNA(VLOOKUP(B108,'Regioturnier 2'!$R$3:$S$34,2,FALSE))=TRUE,0,VLOOKUP(B108,'Regioturnier 2'!$R$3:$S$34,2,FALSE)), IF(ISNA(VLOOKUP(B108,'Regioturnier 2'!$V$3:$W$34,2,FALSE))=TRUE,0,VLOOKUP(B108,'Regioturnier 2'!$V$3:$W$34,2,FALSE)), IF(ISNA(VLOOKUP(B108,'Regioturnier 2'!$Z$3:$AA$34,2,FALSE))=TRUE,0,VLOOKUP(B108,'Regioturnier 2'!$Z$3:$AA$34,2,FALSE)))</f>
        <v>0</v>
      </c>
      <c r="Q108" s="15">
        <f>MAX(IF(ISNA(VLOOKUP(B108,'Regioturnier 3'!$B$3:$C$34,2,FALSE))=TRUE,0,VLOOKUP(B108,'Regioturnier 3'!$B$3:$C$34,2,FALSE)),IF(ISNA(VLOOKUP(B108,'Regioturnier 3'!$F$3:$G$34,2,FALSE))=TRUE,0,VLOOKUP(B108,'Regioturnier 3'!$F$3:$G$34,2,FALSE)),IF(ISNA(VLOOKUP(B108,'Regioturnier 3'!$J$3:$K$34,2,FALSE))=TRUE,0,VLOOKUP(B108,'Regioturnier 3'!$J$3:$K$34,2,FALSE)),IF(ISNA(VLOOKUP(B108,'Regioturnier 3'!$N$3:$O$34,2,FALSE))=TRUE,0,VLOOKUP(B108,'Regioturnier 3'!$N$3:$O$34,2,FALSE)),IF(ISNA(VLOOKUP(B108,'Regioturnier 3'!$R$3:$S$34,2,FALSE))=TRUE,0,VLOOKUP(B108,'Regioturnier 3'!$R$3:$S$34,2,FALSE)), IF(ISNA(VLOOKUP(B108,'Regioturnier 3'!$V$3:$W$34,2,FALSE))=TRUE,0,VLOOKUP(B108,'Regioturnier 3'!$V$3:$W$34,2,FALSE)), IF(ISNA(VLOOKUP(B108,'Regioturnier 3'!$Z$3:$AA$34,2,FALSE))=TRUE,0,VLOOKUP(B108,'Regioturnier 3'!$Z$3:$AA$34,2,FALSE)))</f>
        <v>0</v>
      </c>
      <c r="R108" s="20">
        <f>0.5*INDEX($H108:$N108,MATCH(LARGE($H108:$N108,1),$H108:$N108,0))+0.3*INDEX($H108:$N108,MATCH(LARGE($H108:$N108,2),$H108:$N108,0))+0.2*INDEX($H108:$N108,MATCH(LARGE($H108:$N108,3),$H108:$N108,0))</f>
        <v>92.5</v>
      </c>
      <c r="S108" s="20">
        <f>0.6*INDEX(O108:Q108,MATCH(LARGE(O108:Q108,1),O108:Q108,0))+0.4*INDEX(O108:Q108,MATCH(LARGE(O108:Q108,2),O108:Q108,0))+0*INDEX(O108:Q108,MATCH(LARGE(O108:Q108,3),O108:Q108,0))</f>
        <v>0</v>
      </c>
      <c r="T108" s="15">
        <f>1*INDEX(R108:S108,MATCH(LARGE(R108:S108,1),R108:S108,0))+0*INDEX(R108:S108,MATCH(LARGE(R108:S108,2),R108:S108,0))</f>
        <v>92.5</v>
      </c>
      <c r="U108" s="21"/>
      <c r="V108" s="21"/>
      <c r="W108" s="21"/>
      <c r="X108" s="21"/>
      <c r="Y108" s="21"/>
      <c r="Z108" s="21"/>
    </row>
    <row r="109" spans="1:26" ht="12.75" customHeight="1" x14ac:dyDescent="0.3">
      <c r="A109" s="15">
        <v>108</v>
      </c>
      <c r="B109" s="106" t="s">
        <v>563</v>
      </c>
      <c r="C109" s="106" t="s">
        <v>181</v>
      </c>
      <c r="D109" s="106" t="s">
        <v>22</v>
      </c>
      <c r="E109" s="106" t="s">
        <v>23</v>
      </c>
      <c r="F109" s="106" t="s">
        <v>579</v>
      </c>
      <c r="G109" s="107">
        <v>2010</v>
      </c>
      <c r="H109" s="105">
        <f>MAX(IF(ISNA(VLOOKUP(B109,'WBV 1'!$B$3:$C$34,2,FALSE))=TRUE,0,VLOOKUP(B109,'WBV 1'!$B$3:$C$34,2,FALSE)),IF(ISNA(VLOOKUP(B109,'WBV 1'!$F$3:$G$34,2,FALSE))=TRUE,0,VLOOKUP(B109,'WBV 1'!$F$3:$G$34,2,FALSE)),IF(ISNA(VLOOKUP(B109,'WBV 1'!$J$3:$K$34,2,FALSE))=TRUE,0,VLOOKUP(B109,'WBV 1'!$J$3:$K$34,2,FALSE)),IF(ISNA(VLOOKUP(B109,'WBV 1'!$N$3:$O$34,2,FALSE))=TRUE,0,VLOOKUP(B109,'WBV 1'!$N$3:$O$34,2,FALSE)))</f>
        <v>0</v>
      </c>
      <c r="I109" s="105">
        <f>MAX(IF(ISNA(VLOOKUP(B109,'WBV 2'!$B$3:$C$34,2,FALSE))=TRUE,0,VLOOKUP(B109,'WBV 2'!$B$3:$C$34,2,FALSE)),IF(ISNA(VLOOKUP(B109,'WBV 2'!$F$3:$G$34,2,FALSE))=TRUE,0,VLOOKUP(B109,'WBV 2'!$F$3:$G$34,2,FALSE)),IF(ISNA(VLOOKUP(B109,'WBV 2'!$J$3:$K$34,2,FALSE))=TRUE,0,VLOOKUP(B109,'WBV 2'!$J$3:$K$34,2,FALSE)),IF(ISNA(VLOOKUP(B109,'WBV 2'!$N$3:$O$34,2,FALSE))=TRUE,0,VLOOKUP(B109,'WBV 2'!$N$3:$O$34,2,FALSE)))</f>
        <v>0</v>
      </c>
      <c r="J109" s="105">
        <f>MAX(IF(ISNA(VLOOKUP(B109,'WBV 3'!$B$3:$C$34,2,FALSE))=TRUE,0,VLOOKUP(B109,'WBV 3'!$B$3:$C$34,2,FALSE)),IF(ISNA(VLOOKUP(B109,'WBV 3'!$F$3:$G$34,2,FALSE))=TRUE,0,VLOOKUP(B109,'WBV 3'!$F$3:$G$34,2,FALSE)),IF(ISNA(VLOOKUP(B109,'WBV 3'!$J$3:$K$34,2,FALSE))=TRUE,0,VLOOKUP(B109,'WBV 3'!$J$3:$K$34,2,FALSE)),IF(ISNA(VLOOKUP(B109,'WBV 3'!$N$3:$O$34,2,FALSE))=TRUE,0,VLOOKUP(B109,'WBV 3'!$N$3:$O$34,2,FALSE)))</f>
        <v>0</v>
      </c>
      <c r="K109" s="105">
        <f>MAX(IF(ISNA(VLOOKUP(B109,'WBV 4'!$B$3:$C$34,2,FALSE))=TRUE,0,VLOOKUP(B109,'WBV 4'!$B$3:$C$34,2,FALSE)),IF(ISNA(VLOOKUP(B109,'WBV 4'!$F$3:$G$34,2,FALSE))=TRUE,0,VLOOKUP(B109,'WBV 4'!$F$3:$G$34,2,FALSE)),IF(ISNA(VLOOKUP(B109,'WBV 4'!$J$3:$K$34,2,FALSE))=TRUE,0,VLOOKUP(B109,'WBV 4'!$J$3:$K$34,2,FALSE)),IF(ISNA(VLOOKUP(B109,'WBV 4'!$N$3:$O$34,2,FALSE))=TRUE,0,VLOOKUP(B109,'WBV 4'!$N$3:$O$34,2,FALSE)))</f>
        <v>0</v>
      </c>
      <c r="L109" s="105">
        <f>MAX(IF(ISNA(VLOOKUP(B109,'NÖBV 1'!$B$3:$C$34,2,FALSE))=TRUE,0,VLOOKUP(B109,'NÖBV 1'!$B$3:$C$34,2,FALSE)),IF(ISNA(VLOOKUP(B109,'NÖBV 1'!$F$3:$G$34,2,FALSE))=TRUE,0,VLOOKUP(B109,'NÖBV 1'!$F$3:$G$34,2,FALSE)),IF(ISNA(VLOOKUP(B109,'NÖBV 1'!$J$3:$K$34,2,FALSE))=TRUE,0,VLOOKUP(B109,'NÖBV 1'!$J$3:$K$34,2,FALSE)),IF(ISNA(VLOOKUP(B109,'NÖBV 1'!$N$3:$O$34,2,FALSE))=TRUE,0,VLOOKUP(B109,'NÖBV 1'!$N$3:$O$34,2,FALSE)))</f>
        <v>0</v>
      </c>
      <c r="M109" s="105">
        <f>MAX(IF(ISNA(VLOOKUP(B109,'NÖBV 2'!$B$3:$C$34,2,FALSE))=TRUE,0,VLOOKUP(B109,'NÖBV 2'!$B$3:$C$34,2,FALSE)),IF(ISNA(VLOOKUP(B109,'NÖBV 2'!$F$3:$G$34,2,FALSE))=TRUE,0,VLOOKUP(B109,'NÖBV 2'!$F$3:$G$34,2,FALSE)),IF(ISNA(VLOOKUP(B109,'NÖBV 2'!$J$3:$K$34,2,FALSE))=TRUE,0,VLOOKUP(B109,'NÖBV 2'!$J$3:$K$34,2,FALSE)),IF(ISNA(VLOOKUP(B109,'NÖBV 2'!$N$3:$O$34,2,FALSE))=TRUE,0,VLOOKUP(B109,'NÖBV 2'!$N$3:$O$34,2,FALSE)))</f>
        <v>185</v>
      </c>
      <c r="N109" s="105">
        <f>MAX(IF(ISNA(VLOOKUP(B109,'NÖBV 3'!$B$3:$C$34,2,FALSE))=TRUE,0,VLOOKUP(B109,'NÖBV 3'!$B$3:$C$34,2,FALSE)),IF(ISNA(VLOOKUP(B109,'NÖBV 3'!$F$3:$G$34,2,FALSE))=TRUE,0,VLOOKUP(B109,'NÖBV 3'!$F$3:$G$34,2,FALSE)),IF(ISNA(VLOOKUP(B109,'NÖBV 3'!$J$3:$K$34,2,FALSE))=TRUE,0,VLOOKUP(B109,'NÖBV 3'!$J$3:$K$34,2,FALSE)),IF(ISNA(VLOOKUP(B109,'NÖBV 3'!$N$3:$O$34,2,FALSE))=TRUE,0,VLOOKUP(B109,'NÖBV 3'!$N$3:$O$34,2,FALSE)))</f>
        <v>0</v>
      </c>
      <c r="O109" s="105">
        <f>MAX(IF(ISNA(VLOOKUP(B109,'Regioturnier 1'!$B$3:$C$34,2,FALSE))=TRUE,0,VLOOKUP(B109,'Regioturnier 1'!$B$3:$C$34,2,FALSE)),IF(ISNA(VLOOKUP(B109,'Regioturnier 1'!$F$3:$G$34,2,FALSE))=TRUE,0,VLOOKUP(B109,'Regioturnier 1'!$F$3:$G$34,2,FALSE)),IF(ISNA(VLOOKUP(B109,'Regioturnier 1'!$J$3:$K$34,2,FALSE))=TRUE,0,VLOOKUP(B109,'Regioturnier 1'!$J$3:$K$34,2,FALSE)),IF(ISNA(VLOOKUP(B109,'Regioturnier 1'!$N$3:$O$34,2,FALSE))=TRUE,0,VLOOKUP(B109,'Regioturnier 1'!$N$3:$O$34,2,FALSE)),IF(ISNA(VLOOKUP(B109,'Regioturnier 1'!$R$3:$S$34,2,FALSE))=TRUE,0,VLOOKUP(B109,'Regioturnier 1'!$R$3:$S$34,2,FALSE)), IF(ISNA(VLOOKUP(B109,'Regioturnier 1'!$V$3:$W$34,2,FALSE))=TRUE,0,VLOOKUP(B109,'Regioturnier 1'!$V$3:$W$34,2,FALSE)), IF(ISNA(VLOOKUP(B109,'Regioturnier 1'!$Z$3:$AA$34,2,FALSE))=TRUE,0,VLOOKUP(B109,'Regioturnier 1'!$Z$3:$AA$34,2,FALSE)))</f>
        <v>0</v>
      </c>
      <c r="P109" s="105">
        <f>MAX(IF(ISNA(VLOOKUP(B109,'Regioturnier 2'!$B$3:$C$34,2,FALSE))=TRUE,0,VLOOKUP(B109,'Regioturnier 2'!$B$3:$C$34,2,FALSE)),IF(ISNA(VLOOKUP(B109,'Regioturnier 2'!$F$3:$G$34,2,FALSE))=TRUE,0,VLOOKUP(B109,'Regioturnier 2'!$F$3:$G$34,2,FALSE)),IF(ISNA(VLOOKUP(B109,'Regioturnier 2'!$J$3:$K$34,2,FALSE))=TRUE,0,VLOOKUP(B109,'Regioturnier 2'!$J$3:$K$34,2,FALSE)),IF(ISNA(VLOOKUP(B109,'Regioturnier 2'!$N$3:$O$34,2,FALSE))=TRUE,0,VLOOKUP(B109,'Regioturnier 2'!$N$3:$O$34,2,FALSE)),IF(ISNA(VLOOKUP(B109,'Regioturnier 2'!$R$3:$S$34,2,FALSE))=TRUE,0,VLOOKUP(B109,'Regioturnier 2'!$R$3:$S$34,2,FALSE)), IF(ISNA(VLOOKUP(B109,'Regioturnier 2'!$V$3:$W$34,2,FALSE))=TRUE,0,VLOOKUP(B109,'Regioturnier 2'!$V$3:$W$34,2,FALSE)), IF(ISNA(VLOOKUP(B109,'Regioturnier 2'!$Z$3:$AA$34,2,FALSE))=TRUE,0,VLOOKUP(B109,'Regioturnier 2'!$Z$3:$AA$34,2,FALSE)))</f>
        <v>0</v>
      </c>
      <c r="Q109" s="105">
        <f>MAX(IF(ISNA(VLOOKUP(B109,'Regioturnier 3'!$B$3:$C$34,2,FALSE))=TRUE,0,VLOOKUP(B109,'Regioturnier 3'!$B$3:$C$34,2,FALSE)),IF(ISNA(VLOOKUP(B109,'Regioturnier 3'!$F$3:$G$34,2,FALSE))=TRUE,0,VLOOKUP(B109,'Regioturnier 3'!$F$3:$G$34,2,FALSE)),IF(ISNA(VLOOKUP(B109,'Regioturnier 3'!$J$3:$K$34,2,FALSE))=TRUE,0,VLOOKUP(B109,'Regioturnier 3'!$J$3:$K$34,2,FALSE)),IF(ISNA(VLOOKUP(B109,'Regioturnier 3'!$N$3:$O$34,2,FALSE))=TRUE,0,VLOOKUP(B109,'Regioturnier 3'!$N$3:$O$34,2,FALSE)),IF(ISNA(VLOOKUP(B109,'Regioturnier 3'!$R$3:$S$34,2,FALSE))=TRUE,0,VLOOKUP(B109,'Regioturnier 3'!$R$3:$S$34,2,FALSE)), IF(ISNA(VLOOKUP(B109,'Regioturnier 3'!$V$3:$W$34,2,FALSE))=TRUE,0,VLOOKUP(B109,'Regioturnier 3'!$V$3:$W$34,2,FALSE)), IF(ISNA(VLOOKUP(B109,'Regioturnier 3'!$Z$3:$AA$34,2,FALSE))=TRUE,0,VLOOKUP(B109,'Regioturnier 3'!$Z$3:$AA$34,2,FALSE)))</f>
        <v>0</v>
      </c>
      <c r="R109" s="108">
        <f>0.5*INDEX($H109:$N109,MATCH(LARGE($H109:$N109,1),$H109:$N109,0))+0.3*INDEX($H109:$N109,MATCH(LARGE($H109:$N109,2),$H109:$N109,0))+0.2*INDEX($H109:$N109,MATCH(LARGE($H109:$N109,3),$H109:$N109,0))</f>
        <v>92.5</v>
      </c>
      <c r="S109" s="108">
        <f>0.6*INDEX(O109:Q109,MATCH(LARGE(O109:Q109,1),O109:Q109,0))+0.4*INDEX(O109:Q109,MATCH(LARGE(O109:Q109,2),O109:Q109,0))+0*INDEX(O109:Q109,MATCH(LARGE(O109:Q109,3),O109:Q109,0))</f>
        <v>0</v>
      </c>
      <c r="T109" s="105">
        <f>1*INDEX(R109:S109,MATCH(LARGE(R109:S109,1),R109:S109,0))+0*INDEX(R109:S109,MATCH(LARGE(R109:S109,2),R109:S109,0))</f>
        <v>92.5</v>
      </c>
      <c r="U109" s="21"/>
      <c r="V109" s="21"/>
      <c r="W109" s="21"/>
      <c r="X109" s="21"/>
      <c r="Y109" s="21"/>
      <c r="Z109" s="21"/>
    </row>
    <row r="110" spans="1:26" ht="12.75" customHeight="1" x14ac:dyDescent="0.3">
      <c r="A110" s="15">
        <v>109</v>
      </c>
      <c r="B110" s="21" t="s">
        <v>640</v>
      </c>
      <c r="C110" s="21" t="s">
        <v>646</v>
      </c>
      <c r="D110" s="15" t="s">
        <v>587</v>
      </c>
      <c r="E110" s="15" t="s">
        <v>40</v>
      </c>
      <c r="F110" s="15">
        <v>900380</v>
      </c>
      <c r="G110" s="15">
        <v>2015</v>
      </c>
      <c r="H110" s="15">
        <f>MAX(IF(ISNA(VLOOKUP(B110,'WBV 1'!$B$3:$C$34,2,FALSE))=TRUE,0,VLOOKUP(B110,'WBV 1'!$B$3:$C$34,2,FALSE)),IF(ISNA(VLOOKUP(B110,'WBV 1'!$F$3:$G$34,2,FALSE))=TRUE,0,VLOOKUP(B110,'WBV 1'!$F$3:$G$34,2,FALSE)),IF(ISNA(VLOOKUP(B110,'WBV 1'!$J$3:$K$34,2,FALSE))=TRUE,0,VLOOKUP(B110,'WBV 1'!$J$3:$K$34,2,FALSE)),IF(ISNA(VLOOKUP(B110,'WBV 1'!$N$3:$O$34,2,FALSE))=TRUE,0,VLOOKUP(B110,'WBV 1'!$N$3:$O$34,2,FALSE)))</f>
        <v>0</v>
      </c>
      <c r="I110" s="15">
        <f>MAX(IF(ISNA(VLOOKUP(B110,'WBV 2'!$B$3:$C$34,2,FALSE))=TRUE,0,VLOOKUP(B110,'WBV 2'!$B$3:$C$34,2,FALSE)),IF(ISNA(VLOOKUP(B110,'WBV 2'!$F$3:$G$34,2,FALSE))=TRUE,0,VLOOKUP(B110,'WBV 2'!$F$3:$G$34,2,FALSE)),IF(ISNA(VLOOKUP(B110,'WBV 2'!$J$3:$K$34,2,FALSE))=TRUE,0,VLOOKUP(B110,'WBV 2'!$J$3:$K$34,2,FALSE)),IF(ISNA(VLOOKUP(B110,'WBV 2'!$N$3:$O$34,2,FALSE))=TRUE,0,VLOOKUP(B110,'WBV 2'!$N$3:$O$34,2,FALSE)))</f>
        <v>0</v>
      </c>
      <c r="J110" s="15">
        <f>MAX(IF(ISNA(VLOOKUP(B110,'WBV 3'!$B$3:$C$34,2,FALSE))=TRUE,0,VLOOKUP(B110,'WBV 3'!$B$3:$C$34,2,FALSE)),IF(ISNA(VLOOKUP(B110,'WBV 3'!$F$3:$G$34,2,FALSE))=TRUE,0,VLOOKUP(B110,'WBV 3'!$F$3:$G$34,2,FALSE)),IF(ISNA(VLOOKUP(B110,'WBV 3'!$J$3:$K$34,2,FALSE))=TRUE,0,VLOOKUP(B110,'WBV 3'!$J$3:$K$34,2,FALSE)),IF(ISNA(VLOOKUP(B110,'WBV 3'!$N$3:$O$34,2,FALSE))=TRUE,0,VLOOKUP(B110,'WBV 3'!$N$3:$O$34,2,FALSE)))</f>
        <v>0</v>
      </c>
      <c r="K110" s="15">
        <f>MAX(IF(ISNA(VLOOKUP(B110,'WBV 4'!$B$3:$C$34,2,FALSE))=TRUE,0,VLOOKUP(B110,'WBV 4'!$B$3:$C$34,2,FALSE)),IF(ISNA(VLOOKUP(B110,'WBV 4'!$F$3:$G$34,2,FALSE))=TRUE,0,VLOOKUP(B110,'WBV 4'!$F$3:$G$34,2,FALSE)),IF(ISNA(VLOOKUP(B110,'WBV 4'!$J$3:$K$34,2,FALSE))=TRUE,0,VLOOKUP(B110,'WBV 4'!$J$3:$K$34,2,FALSE)),IF(ISNA(VLOOKUP(B110,'WBV 4'!$N$3:$O$34,2,FALSE))=TRUE,0,VLOOKUP(B110,'WBV 4'!$N$3:$O$34,2,FALSE)))</f>
        <v>0</v>
      </c>
      <c r="L110" s="19">
        <f>MAX(IF(ISNA(VLOOKUP(B110,'NÖBV 1'!$B$3:$C$34,2,FALSE))=TRUE,0,VLOOKUP(B110,'NÖBV 1'!$B$3:$C$34,2,FALSE)),IF(ISNA(VLOOKUP(B110,'NÖBV 1'!$F$3:$G$34,2,FALSE))=TRUE,0,VLOOKUP(B110,'NÖBV 1'!$F$3:$G$34,2,FALSE)),IF(ISNA(VLOOKUP(B110,'NÖBV 1'!$J$3:$K$34,2,FALSE))=TRUE,0,VLOOKUP(B110,'NÖBV 1'!$J$3:$K$34,2,FALSE)),IF(ISNA(VLOOKUP(B110,'NÖBV 1'!$N$3:$O$34,2,FALSE))=TRUE,0,VLOOKUP(B110,'NÖBV 1'!$N$3:$O$34,2,FALSE)))</f>
        <v>0</v>
      </c>
      <c r="M110" s="19">
        <f>MAX(IF(ISNA(VLOOKUP(B110,'NÖBV 2'!$B$3:$C$34,2,FALSE))=TRUE,0,VLOOKUP(B110,'NÖBV 2'!$B$3:$C$34,2,FALSE)),IF(ISNA(VLOOKUP(B110,'NÖBV 2'!$F$3:$G$34,2,FALSE))=TRUE,0,VLOOKUP(B110,'NÖBV 2'!$F$3:$G$34,2,FALSE)),IF(ISNA(VLOOKUP(B110,'NÖBV 2'!$J$3:$K$34,2,FALSE))=TRUE,0,VLOOKUP(B110,'NÖBV 2'!$J$3:$K$34,2,FALSE)),IF(ISNA(VLOOKUP(B110,'NÖBV 2'!$N$3:$O$34,2,FALSE))=TRUE,0,VLOOKUP(B110,'NÖBV 2'!$N$3:$O$34,2,FALSE)))</f>
        <v>0</v>
      </c>
      <c r="N110" s="19">
        <f>MAX(IF(ISNA(VLOOKUP(B110,'NÖBV 3'!$B$3:$C$34,2,FALSE))=TRUE,0,VLOOKUP(B110,'NÖBV 3'!$B$3:$C$34,2,FALSE)),IF(ISNA(VLOOKUP(B110,'NÖBV 3'!$F$3:$G$34,2,FALSE))=TRUE,0,VLOOKUP(B110,'NÖBV 3'!$F$3:$G$34,2,FALSE)),IF(ISNA(VLOOKUP(B110,'NÖBV 3'!$J$3:$K$34,2,FALSE))=TRUE,0,VLOOKUP(B110,'NÖBV 3'!$J$3:$K$34,2,FALSE)),IF(ISNA(VLOOKUP(B110,'NÖBV 3'!$N$3:$O$34,2,FALSE))=TRUE,0,VLOOKUP(B110,'NÖBV 3'!$N$3:$O$34,2,FALSE)))</f>
        <v>184</v>
      </c>
      <c r="O110" s="15">
        <f>MAX(IF(ISNA(VLOOKUP(B110,'Regioturnier 1'!$B$3:$C$34,2,FALSE))=TRUE,0,VLOOKUP(B110,'Regioturnier 1'!$B$3:$C$34,2,FALSE)),IF(ISNA(VLOOKUP(B110,'Regioturnier 1'!$F$3:$G$34,2,FALSE))=TRUE,0,VLOOKUP(B110,'Regioturnier 1'!$F$3:$G$34,2,FALSE)),IF(ISNA(VLOOKUP(B110,'Regioturnier 1'!$J$3:$K$34,2,FALSE))=TRUE,0,VLOOKUP(B110,'Regioturnier 1'!$J$3:$K$34,2,FALSE)),IF(ISNA(VLOOKUP(B110,'Regioturnier 1'!$N$3:$O$34,2,FALSE))=TRUE,0,VLOOKUP(B110,'Regioturnier 1'!$N$3:$O$34,2,FALSE)),IF(ISNA(VLOOKUP(B110,'Regioturnier 1'!$R$3:$S$34,2,FALSE))=TRUE,0,VLOOKUP(B110,'Regioturnier 1'!$R$3:$S$34,2,FALSE)), IF(ISNA(VLOOKUP(B110,'Regioturnier 1'!$V$3:$W$34,2,FALSE))=TRUE,0,VLOOKUP(B110,'Regioturnier 1'!$V$3:$W$34,2,FALSE)), IF(ISNA(VLOOKUP(B110,'Regioturnier 1'!$Z$3:$AA$34,2,FALSE))=TRUE,0,VLOOKUP(B110,'Regioturnier 1'!$Z$3:$AA$34,2,FALSE)))</f>
        <v>0</v>
      </c>
      <c r="P110" s="15">
        <f>MAX(IF(ISNA(VLOOKUP(B110,'Regioturnier 2'!$B$3:$C$34,2,FALSE))=TRUE,0,VLOOKUP(B110,'Regioturnier 2'!$B$3:$C$34,2,FALSE)),IF(ISNA(VLOOKUP(B110,'Regioturnier 2'!$F$3:$G$34,2,FALSE))=TRUE,0,VLOOKUP(B110,'Regioturnier 2'!$F$3:$G$34,2,FALSE)),IF(ISNA(VLOOKUP(B110,'Regioturnier 2'!$J$3:$K$34,2,FALSE))=TRUE,0,VLOOKUP(B110,'Regioturnier 2'!$J$3:$K$34,2,FALSE)),IF(ISNA(VLOOKUP(B110,'Regioturnier 2'!$N$3:$O$34,2,FALSE))=TRUE,0,VLOOKUP(B110,'Regioturnier 2'!$N$3:$O$34,2,FALSE)),IF(ISNA(VLOOKUP(B110,'Regioturnier 2'!$R$3:$S$34,2,FALSE))=TRUE,0,VLOOKUP(B110,'Regioturnier 2'!$R$3:$S$34,2,FALSE)), IF(ISNA(VLOOKUP(B110,'Regioturnier 2'!$V$3:$W$34,2,FALSE))=TRUE,0,VLOOKUP(B110,'Regioturnier 2'!$V$3:$W$34,2,FALSE)), IF(ISNA(VLOOKUP(B110,'Regioturnier 2'!$Z$3:$AA$34,2,FALSE))=TRUE,0,VLOOKUP(B110,'Regioturnier 2'!$Z$3:$AA$34,2,FALSE)))</f>
        <v>0</v>
      </c>
      <c r="Q110" s="15">
        <f>MAX(IF(ISNA(VLOOKUP(B110,'Regioturnier 3'!$B$3:$C$34,2,FALSE))=TRUE,0,VLOOKUP(B110,'Regioturnier 3'!$B$3:$C$34,2,FALSE)),IF(ISNA(VLOOKUP(B110,'Regioturnier 3'!$F$3:$G$34,2,FALSE))=TRUE,0,VLOOKUP(B110,'Regioturnier 3'!$F$3:$G$34,2,FALSE)),IF(ISNA(VLOOKUP(B110,'Regioturnier 3'!$J$3:$K$34,2,FALSE))=TRUE,0,VLOOKUP(B110,'Regioturnier 3'!$J$3:$K$34,2,FALSE)),IF(ISNA(VLOOKUP(B110,'Regioturnier 3'!$N$3:$O$34,2,FALSE))=TRUE,0,VLOOKUP(B110,'Regioturnier 3'!$N$3:$O$34,2,FALSE)),IF(ISNA(VLOOKUP(B110,'Regioturnier 3'!$R$3:$S$34,2,FALSE))=TRUE,0,VLOOKUP(B110,'Regioturnier 3'!$R$3:$S$34,2,FALSE)), IF(ISNA(VLOOKUP(B110,'Regioturnier 3'!$V$3:$W$34,2,FALSE))=TRUE,0,VLOOKUP(B110,'Regioturnier 3'!$V$3:$W$34,2,FALSE)), IF(ISNA(VLOOKUP(B110,'Regioturnier 3'!$Z$3:$AA$34,2,FALSE))=TRUE,0,VLOOKUP(B110,'Regioturnier 3'!$Z$3:$AA$34,2,FALSE)))</f>
        <v>0</v>
      </c>
      <c r="R110" s="20">
        <f>0.5*INDEX($H110:$N110,MATCH(LARGE($H110:$N110,1),$H110:$N110,0))+0.3*INDEX($H110:$N110,MATCH(LARGE($H110:$N110,2),$H110:$N110,0))+0.2*INDEX($H110:$N110,MATCH(LARGE($H110:$N110,3),$H110:$N110,0))</f>
        <v>92</v>
      </c>
      <c r="S110" s="20">
        <f>0.6*INDEX(O110:Q110,MATCH(LARGE(O110:Q110,1),O110:Q110,0))+0.4*INDEX(O110:Q110,MATCH(LARGE(O110:Q110,2),O110:Q110,0))+0*INDEX(O110:Q110,MATCH(LARGE(O110:Q110,3),O110:Q110,0))</f>
        <v>0</v>
      </c>
      <c r="T110" s="15">
        <f>1*INDEX(R110:S110,MATCH(LARGE(R110:S110,1),R110:S110,0))+0*INDEX(R110:S110,MATCH(LARGE(R110:S110,2),R110:S110,0))</f>
        <v>92</v>
      </c>
      <c r="U110" s="21"/>
      <c r="V110" s="21"/>
      <c r="W110" s="21"/>
      <c r="X110" s="21"/>
      <c r="Y110" s="21"/>
      <c r="Z110" s="21"/>
    </row>
    <row r="111" spans="1:26" ht="12.75" customHeight="1" x14ac:dyDescent="0.3">
      <c r="A111" s="15">
        <v>110</v>
      </c>
      <c r="B111" s="21" t="s">
        <v>610</v>
      </c>
      <c r="C111" s="21" t="s">
        <v>25</v>
      </c>
      <c r="D111" s="15" t="s">
        <v>26</v>
      </c>
      <c r="E111" s="15" t="s">
        <v>23</v>
      </c>
      <c r="F111" s="15" t="s">
        <v>625</v>
      </c>
      <c r="G111" s="15">
        <v>2014</v>
      </c>
      <c r="H111" s="15">
        <f>MAX(IF(ISNA(VLOOKUP(B111,'WBV 1'!$B$3:$C$34,2,FALSE))=TRUE,0,VLOOKUP(B111,'WBV 1'!$B$3:$C$34,2,FALSE)),IF(ISNA(VLOOKUP(B111,'WBV 1'!$F$3:$G$34,2,FALSE))=TRUE,0,VLOOKUP(B111,'WBV 1'!$F$3:$G$34,2,FALSE)),IF(ISNA(VLOOKUP(B111,'WBV 1'!$J$3:$K$34,2,FALSE))=TRUE,0,VLOOKUP(B111,'WBV 1'!$J$3:$K$34,2,FALSE)),IF(ISNA(VLOOKUP(B111,'WBV 1'!$N$3:$O$34,2,FALSE))=TRUE,0,VLOOKUP(B111,'WBV 1'!$N$3:$O$34,2,FALSE)))</f>
        <v>0</v>
      </c>
      <c r="I111" s="15">
        <f>MAX(IF(ISNA(VLOOKUP(B111,'WBV 2'!$B$3:$C$34,2,FALSE))=TRUE,0,VLOOKUP(B111,'WBV 2'!$B$3:$C$34,2,FALSE)),IF(ISNA(VLOOKUP(B111,'WBV 2'!$F$3:$G$34,2,FALSE))=TRUE,0,VLOOKUP(B111,'WBV 2'!$F$3:$G$34,2,FALSE)),IF(ISNA(VLOOKUP(B111,'WBV 2'!$J$3:$K$34,2,FALSE))=TRUE,0,VLOOKUP(B111,'WBV 2'!$J$3:$K$34,2,FALSE)),IF(ISNA(VLOOKUP(B111,'WBV 2'!$N$3:$O$34,2,FALSE))=TRUE,0,VLOOKUP(B111,'WBV 2'!$N$3:$O$34,2,FALSE)))</f>
        <v>0</v>
      </c>
      <c r="J111" s="15">
        <f>MAX(IF(ISNA(VLOOKUP(B111,'WBV 3'!$B$3:$C$34,2,FALSE))=TRUE,0,VLOOKUP(B111,'WBV 3'!$B$3:$C$34,2,FALSE)),IF(ISNA(VLOOKUP(B111,'WBV 3'!$F$3:$G$34,2,FALSE))=TRUE,0,VLOOKUP(B111,'WBV 3'!$F$3:$G$34,2,FALSE)),IF(ISNA(VLOOKUP(B111,'WBV 3'!$J$3:$K$34,2,FALSE))=TRUE,0,VLOOKUP(B111,'WBV 3'!$J$3:$K$34,2,FALSE)),IF(ISNA(VLOOKUP(B111,'WBV 3'!$N$3:$O$34,2,FALSE))=TRUE,0,VLOOKUP(B111,'WBV 3'!$N$3:$O$34,2,FALSE)))</f>
        <v>181</v>
      </c>
      <c r="K111" s="15">
        <f>MAX(IF(ISNA(VLOOKUP(B111,'WBV 4'!$B$3:$C$34,2,FALSE))=TRUE,0,VLOOKUP(B111,'WBV 4'!$B$3:$C$34,2,FALSE)),IF(ISNA(VLOOKUP(B111,'WBV 4'!$F$3:$G$34,2,FALSE))=TRUE,0,VLOOKUP(B111,'WBV 4'!$F$3:$G$34,2,FALSE)),IF(ISNA(VLOOKUP(B111,'WBV 4'!$J$3:$K$34,2,FALSE))=TRUE,0,VLOOKUP(B111,'WBV 4'!$J$3:$K$34,2,FALSE)),IF(ISNA(VLOOKUP(B111,'WBV 4'!$N$3:$O$34,2,FALSE))=TRUE,0,VLOOKUP(B111,'WBV 4'!$N$3:$O$34,2,FALSE)))</f>
        <v>0</v>
      </c>
      <c r="L111" s="19">
        <f>MAX(IF(ISNA(VLOOKUP(B111,'NÖBV 1'!$B$3:$C$34,2,FALSE))=TRUE,0,VLOOKUP(B111,'NÖBV 1'!$B$3:$C$34,2,FALSE)),IF(ISNA(VLOOKUP(B111,'NÖBV 1'!$F$3:$G$34,2,FALSE))=TRUE,0,VLOOKUP(B111,'NÖBV 1'!$F$3:$G$34,2,FALSE)),IF(ISNA(VLOOKUP(B111,'NÖBV 1'!$J$3:$K$34,2,FALSE))=TRUE,0,VLOOKUP(B111,'NÖBV 1'!$J$3:$K$34,2,FALSE)),IF(ISNA(VLOOKUP(B111,'NÖBV 1'!$N$3:$O$34,2,FALSE))=TRUE,0,VLOOKUP(B111,'NÖBV 1'!$N$3:$O$34,2,FALSE)))</f>
        <v>0</v>
      </c>
      <c r="M111" s="19">
        <f>MAX(IF(ISNA(VLOOKUP(B111,'NÖBV 2'!$B$3:$C$34,2,FALSE))=TRUE,0,VLOOKUP(B111,'NÖBV 2'!$B$3:$C$34,2,FALSE)),IF(ISNA(VLOOKUP(B111,'NÖBV 2'!$F$3:$G$34,2,FALSE))=TRUE,0,VLOOKUP(B111,'NÖBV 2'!$F$3:$G$34,2,FALSE)),IF(ISNA(VLOOKUP(B111,'NÖBV 2'!$J$3:$K$34,2,FALSE))=TRUE,0,VLOOKUP(B111,'NÖBV 2'!$J$3:$K$34,2,FALSE)),IF(ISNA(VLOOKUP(B111,'NÖBV 2'!$N$3:$O$34,2,FALSE))=TRUE,0,VLOOKUP(B111,'NÖBV 2'!$N$3:$O$34,2,FALSE)))</f>
        <v>0</v>
      </c>
      <c r="N111" s="19">
        <f>MAX(IF(ISNA(VLOOKUP(B111,'NÖBV 3'!$B$3:$C$34,2,FALSE))=TRUE,0,VLOOKUP(B111,'NÖBV 3'!$B$3:$C$34,2,FALSE)),IF(ISNA(VLOOKUP(B111,'NÖBV 3'!$F$3:$G$34,2,FALSE))=TRUE,0,VLOOKUP(B111,'NÖBV 3'!$F$3:$G$34,2,FALSE)),IF(ISNA(VLOOKUP(B111,'NÖBV 3'!$J$3:$K$34,2,FALSE))=TRUE,0,VLOOKUP(B111,'NÖBV 3'!$J$3:$K$34,2,FALSE)),IF(ISNA(VLOOKUP(B111,'NÖBV 3'!$N$3:$O$34,2,FALSE))=TRUE,0,VLOOKUP(B111,'NÖBV 3'!$N$3:$O$34,2,FALSE)))</f>
        <v>0</v>
      </c>
      <c r="O111" s="15">
        <f>MAX(IF(ISNA(VLOOKUP(B111,'Regioturnier 1'!$B$3:$C$34,2,FALSE))=TRUE,0,VLOOKUP(B111,'Regioturnier 1'!$B$3:$C$34,2,FALSE)),IF(ISNA(VLOOKUP(B111,'Regioturnier 1'!$F$3:$G$34,2,FALSE))=TRUE,0,VLOOKUP(B111,'Regioturnier 1'!$F$3:$G$34,2,FALSE)),IF(ISNA(VLOOKUP(B111,'Regioturnier 1'!$J$3:$K$34,2,FALSE))=TRUE,0,VLOOKUP(B111,'Regioturnier 1'!$J$3:$K$34,2,FALSE)),IF(ISNA(VLOOKUP(B111,'Regioturnier 1'!$N$3:$O$34,2,FALSE))=TRUE,0,VLOOKUP(B111,'Regioturnier 1'!$N$3:$O$34,2,FALSE)),IF(ISNA(VLOOKUP(B111,'Regioturnier 1'!$R$3:$S$34,2,FALSE))=TRUE,0,VLOOKUP(B111,'Regioturnier 1'!$R$3:$S$34,2,FALSE)), IF(ISNA(VLOOKUP(B111,'Regioturnier 1'!$V$3:$W$34,2,FALSE))=TRUE,0,VLOOKUP(B111,'Regioturnier 1'!$V$3:$W$34,2,FALSE)), IF(ISNA(VLOOKUP(B111,'Regioturnier 1'!$Z$3:$AA$34,2,FALSE))=TRUE,0,VLOOKUP(B111,'Regioturnier 1'!$Z$3:$AA$34,2,FALSE)))</f>
        <v>0</v>
      </c>
      <c r="P111" s="15">
        <f>MAX(IF(ISNA(VLOOKUP(B111,'Regioturnier 2'!$B$3:$C$34,2,FALSE))=TRUE,0,VLOOKUP(B111,'Regioturnier 2'!$B$3:$C$34,2,FALSE)),IF(ISNA(VLOOKUP(B111,'Regioturnier 2'!$F$3:$G$34,2,FALSE))=TRUE,0,VLOOKUP(B111,'Regioturnier 2'!$F$3:$G$34,2,FALSE)),IF(ISNA(VLOOKUP(B111,'Regioturnier 2'!$J$3:$K$34,2,FALSE))=TRUE,0,VLOOKUP(B111,'Regioturnier 2'!$J$3:$K$34,2,FALSE)),IF(ISNA(VLOOKUP(B111,'Regioturnier 2'!$N$3:$O$34,2,FALSE))=TRUE,0,VLOOKUP(B111,'Regioturnier 2'!$N$3:$O$34,2,FALSE)),IF(ISNA(VLOOKUP(B111,'Regioturnier 2'!$R$3:$S$34,2,FALSE))=TRUE,0,VLOOKUP(B111,'Regioturnier 2'!$R$3:$S$34,2,FALSE)), IF(ISNA(VLOOKUP(B111,'Regioturnier 2'!$V$3:$W$34,2,FALSE))=TRUE,0,VLOOKUP(B111,'Regioturnier 2'!$V$3:$W$34,2,FALSE)), IF(ISNA(VLOOKUP(B111,'Regioturnier 2'!$Z$3:$AA$34,2,FALSE))=TRUE,0,VLOOKUP(B111,'Regioturnier 2'!$Z$3:$AA$34,2,FALSE)))</f>
        <v>0</v>
      </c>
      <c r="Q111" s="15">
        <f>MAX(IF(ISNA(VLOOKUP(B111,'Regioturnier 3'!$B$3:$C$34,2,FALSE))=TRUE,0,VLOOKUP(B111,'Regioturnier 3'!$B$3:$C$34,2,FALSE)),IF(ISNA(VLOOKUP(B111,'Regioturnier 3'!$F$3:$G$34,2,FALSE))=TRUE,0,VLOOKUP(B111,'Regioturnier 3'!$F$3:$G$34,2,FALSE)),IF(ISNA(VLOOKUP(B111,'Regioturnier 3'!$J$3:$K$34,2,FALSE))=TRUE,0,VLOOKUP(B111,'Regioturnier 3'!$J$3:$K$34,2,FALSE)),IF(ISNA(VLOOKUP(B111,'Regioturnier 3'!$N$3:$O$34,2,FALSE))=TRUE,0,VLOOKUP(B111,'Regioturnier 3'!$N$3:$O$34,2,FALSE)),IF(ISNA(VLOOKUP(B111,'Regioturnier 3'!$R$3:$S$34,2,FALSE))=TRUE,0,VLOOKUP(B111,'Regioturnier 3'!$R$3:$S$34,2,FALSE)), IF(ISNA(VLOOKUP(B111,'Regioturnier 3'!$V$3:$W$34,2,FALSE))=TRUE,0,VLOOKUP(B111,'Regioturnier 3'!$V$3:$W$34,2,FALSE)), IF(ISNA(VLOOKUP(B111,'Regioturnier 3'!$Z$3:$AA$34,2,FALSE))=TRUE,0,VLOOKUP(B111,'Regioturnier 3'!$Z$3:$AA$34,2,FALSE)))</f>
        <v>0</v>
      </c>
      <c r="R111" s="20">
        <f>0.5*INDEX($H111:$N111,MATCH(LARGE($H111:$N111,1),$H111:$N111,0))+0.3*INDEX($H111:$N111,MATCH(LARGE($H111:$N111,2),$H111:$N111,0))+0.2*INDEX($H111:$N111,MATCH(LARGE($H111:$N111,3),$H111:$N111,0))</f>
        <v>90.5</v>
      </c>
      <c r="S111" s="20">
        <f>0.6*INDEX(O111:Q111,MATCH(LARGE(O111:Q111,1),O111:Q111,0))+0.4*INDEX(O111:Q111,MATCH(LARGE(O111:Q111,2),O111:Q111,0))+0*INDEX(O111:Q111,MATCH(LARGE(O111:Q111,3),O111:Q111,0))</f>
        <v>0</v>
      </c>
      <c r="T111" s="15">
        <f>1*INDEX(R111:S111,MATCH(LARGE(R111:S111,1),R111:S111,0))+0*INDEX(R111:S111,MATCH(LARGE(R111:S111,2),R111:S111,0))</f>
        <v>90.5</v>
      </c>
      <c r="U111" s="21"/>
      <c r="V111" s="21"/>
      <c r="W111" s="21"/>
      <c r="X111" s="21"/>
      <c r="Y111" s="21"/>
      <c r="Z111" s="21"/>
    </row>
    <row r="112" spans="1:26" ht="12.75" customHeight="1" x14ac:dyDescent="0.3">
      <c r="A112" s="15">
        <v>111</v>
      </c>
      <c r="B112" s="16" t="s">
        <v>323</v>
      </c>
      <c r="C112" s="17"/>
      <c r="D112" s="15" t="s">
        <v>22</v>
      </c>
      <c r="E112" s="18" t="s">
        <v>23</v>
      </c>
      <c r="F112" s="15">
        <v>208173</v>
      </c>
      <c r="G112" s="22">
        <v>2011</v>
      </c>
      <c r="H112" s="15">
        <f>MAX(IF(ISNA(VLOOKUP(B112,'WBV 1'!$B$3:$C$34,2,FALSE))=TRUE,0,VLOOKUP(B112,'WBV 1'!$B$3:$C$34,2,FALSE)),IF(ISNA(VLOOKUP(B112,'WBV 1'!$F$3:$G$34,2,FALSE))=TRUE,0,VLOOKUP(B112,'WBV 1'!$F$3:$G$34,2,FALSE)),IF(ISNA(VLOOKUP(B112,'WBV 1'!$J$3:$K$34,2,FALSE))=TRUE,0,VLOOKUP(B112,'WBV 1'!$J$3:$K$34,2,FALSE)),IF(ISNA(VLOOKUP(B112,'WBV 1'!$N$3:$O$34,2,FALSE))=TRUE,0,VLOOKUP(B112,'WBV 1'!$N$3:$O$34,2,FALSE)))</f>
        <v>0</v>
      </c>
      <c r="I112" s="15">
        <f>MAX(IF(ISNA(VLOOKUP(B112,'WBV 2'!$B$3:$C$34,2,FALSE))=TRUE,0,VLOOKUP(B112,'WBV 2'!$B$3:$C$34,2,FALSE)),IF(ISNA(VLOOKUP(B112,'WBV 2'!$F$3:$G$34,2,FALSE))=TRUE,0,VLOOKUP(B112,'WBV 2'!$F$3:$G$34,2,FALSE)),IF(ISNA(VLOOKUP(B112,'WBV 2'!$J$3:$K$34,2,FALSE))=TRUE,0,VLOOKUP(B112,'WBV 2'!$J$3:$K$34,2,FALSE)),IF(ISNA(VLOOKUP(B112,'WBV 2'!$N$3:$O$34,2,FALSE))=TRUE,0,VLOOKUP(B112,'WBV 2'!$N$3:$O$34,2,FALSE)))</f>
        <v>0</v>
      </c>
      <c r="J112" s="15">
        <f>MAX(IF(ISNA(VLOOKUP(B112,'WBV 3'!$B$3:$C$34,2,FALSE))=TRUE,0,VLOOKUP(B112,'WBV 3'!$B$3:$C$34,2,FALSE)),IF(ISNA(VLOOKUP(B112,'WBV 3'!$F$3:$G$34,2,FALSE))=TRUE,0,VLOOKUP(B112,'WBV 3'!$F$3:$G$34,2,FALSE)),IF(ISNA(VLOOKUP(B112,'WBV 3'!$J$3:$K$34,2,FALSE))=TRUE,0,VLOOKUP(B112,'WBV 3'!$J$3:$K$34,2,FALSE)),IF(ISNA(VLOOKUP(B112,'WBV 3'!$N$3:$O$34,2,FALSE))=TRUE,0,VLOOKUP(B112,'WBV 3'!$N$3:$O$34,2,FALSE)))</f>
        <v>0</v>
      </c>
      <c r="K112" s="15">
        <f>MAX(IF(ISNA(VLOOKUP(B112,'WBV 4'!$B$3:$C$34,2,FALSE))=TRUE,0,VLOOKUP(B112,'WBV 4'!$B$3:$C$34,2,FALSE)),IF(ISNA(VLOOKUP(B112,'WBV 4'!$F$3:$G$34,2,FALSE))=TRUE,0,VLOOKUP(B112,'WBV 4'!$F$3:$G$34,2,FALSE)),IF(ISNA(VLOOKUP(B112,'WBV 4'!$J$3:$K$34,2,FALSE))=TRUE,0,VLOOKUP(B112,'WBV 4'!$J$3:$K$34,2,FALSE)),IF(ISNA(VLOOKUP(B112,'WBV 4'!$N$3:$O$34,2,FALSE))=TRUE,0,VLOOKUP(B112,'WBV 4'!$N$3:$O$34,2,FALSE)))</f>
        <v>0</v>
      </c>
      <c r="L112" s="19">
        <f>MAX(IF(ISNA(VLOOKUP(B112,'NÖBV 1'!$B$3:$C$34,2,FALSE))=TRUE,0,VLOOKUP(B112,'NÖBV 1'!$B$3:$C$34,2,FALSE)),IF(ISNA(VLOOKUP(B112,'NÖBV 1'!$F$3:$G$34,2,FALSE))=TRUE,0,VLOOKUP(B112,'NÖBV 1'!$F$3:$G$34,2,FALSE)),IF(ISNA(VLOOKUP(B112,'NÖBV 1'!$J$3:$K$34,2,FALSE))=TRUE,0,VLOOKUP(B112,'NÖBV 1'!$J$3:$K$34,2,FALSE)),IF(ISNA(VLOOKUP(B112,'NÖBV 1'!$N$3:$O$34,2,FALSE))=TRUE,0,VLOOKUP(B112,'NÖBV 1'!$N$3:$O$34,2,FALSE)))</f>
        <v>0</v>
      </c>
      <c r="M112" s="19">
        <f>MAX(IF(ISNA(VLOOKUP(B112,'NÖBV 2'!$B$3:$C$34,2,FALSE))=TRUE,0,VLOOKUP(B112,'NÖBV 2'!$B$3:$C$34,2,FALSE)),IF(ISNA(VLOOKUP(B112,'NÖBV 2'!$F$3:$G$34,2,FALSE))=TRUE,0,VLOOKUP(B112,'NÖBV 2'!$F$3:$G$34,2,FALSE)),IF(ISNA(VLOOKUP(B112,'NÖBV 2'!$J$3:$K$34,2,FALSE))=TRUE,0,VLOOKUP(B112,'NÖBV 2'!$J$3:$K$34,2,FALSE)),IF(ISNA(VLOOKUP(B112,'NÖBV 2'!$N$3:$O$34,2,FALSE))=TRUE,0,VLOOKUP(B112,'NÖBV 2'!$N$3:$O$34,2,FALSE)))</f>
        <v>181</v>
      </c>
      <c r="N112" s="19">
        <f>MAX(IF(ISNA(VLOOKUP(B112,'NÖBV 3'!$B$3:$C$34,2,FALSE))=TRUE,0,VLOOKUP(B112,'NÖBV 3'!$B$3:$C$34,2,FALSE)),IF(ISNA(VLOOKUP(B112,'NÖBV 3'!$F$3:$G$34,2,FALSE))=TRUE,0,VLOOKUP(B112,'NÖBV 3'!$F$3:$G$34,2,FALSE)),IF(ISNA(VLOOKUP(B112,'NÖBV 3'!$J$3:$K$34,2,FALSE))=TRUE,0,VLOOKUP(B112,'NÖBV 3'!$J$3:$K$34,2,FALSE)),IF(ISNA(VLOOKUP(B112,'NÖBV 3'!$N$3:$O$34,2,FALSE))=TRUE,0,VLOOKUP(B112,'NÖBV 3'!$N$3:$O$34,2,FALSE)))</f>
        <v>0</v>
      </c>
      <c r="O112" s="15">
        <f>MAX(IF(ISNA(VLOOKUP(B112,'Regioturnier 1'!$B$3:$C$34,2,FALSE))=TRUE,0,VLOOKUP(B112,'Regioturnier 1'!$B$3:$C$34,2,FALSE)),IF(ISNA(VLOOKUP(B112,'Regioturnier 1'!$F$3:$G$34,2,FALSE))=TRUE,0,VLOOKUP(B112,'Regioturnier 1'!$F$3:$G$34,2,FALSE)),IF(ISNA(VLOOKUP(B112,'Regioturnier 1'!$J$3:$K$34,2,FALSE))=TRUE,0,VLOOKUP(B112,'Regioturnier 1'!$J$3:$K$34,2,FALSE)),IF(ISNA(VLOOKUP(B112,'Regioturnier 1'!$N$3:$O$34,2,FALSE))=TRUE,0,VLOOKUP(B112,'Regioturnier 1'!$N$3:$O$34,2,FALSE)),IF(ISNA(VLOOKUP(B112,'Regioturnier 1'!$R$3:$S$34,2,FALSE))=TRUE,0,VLOOKUP(B112,'Regioturnier 1'!$R$3:$S$34,2,FALSE)), IF(ISNA(VLOOKUP(B112,'Regioturnier 1'!$V$3:$W$34,2,FALSE))=TRUE,0,VLOOKUP(B112,'Regioturnier 1'!$V$3:$W$34,2,FALSE)), IF(ISNA(VLOOKUP(B112,'Regioturnier 1'!$Z$3:$AA$34,2,FALSE))=TRUE,0,VLOOKUP(B112,'Regioturnier 1'!$Z$3:$AA$34,2,FALSE)))</f>
        <v>0</v>
      </c>
      <c r="P112" s="15">
        <f>MAX(IF(ISNA(VLOOKUP(B112,'Regioturnier 2'!$B$3:$C$34,2,FALSE))=TRUE,0,VLOOKUP(B112,'Regioturnier 2'!$B$3:$C$34,2,FALSE)),IF(ISNA(VLOOKUP(B112,'Regioturnier 2'!$F$3:$G$34,2,FALSE))=TRUE,0,VLOOKUP(B112,'Regioturnier 2'!$F$3:$G$34,2,FALSE)),IF(ISNA(VLOOKUP(B112,'Regioturnier 2'!$J$3:$K$34,2,FALSE))=TRUE,0,VLOOKUP(B112,'Regioturnier 2'!$J$3:$K$34,2,FALSE)),IF(ISNA(VLOOKUP(B112,'Regioturnier 2'!$N$3:$O$34,2,FALSE))=TRUE,0,VLOOKUP(B112,'Regioturnier 2'!$N$3:$O$34,2,FALSE)),IF(ISNA(VLOOKUP(B112,'Regioturnier 2'!$R$3:$S$34,2,FALSE))=TRUE,0,VLOOKUP(B112,'Regioturnier 2'!$R$3:$S$34,2,FALSE)), IF(ISNA(VLOOKUP(B112,'Regioturnier 2'!$V$3:$W$34,2,FALSE))=TRUE,0,VLOOKUP(B112,'Regioturnier 2'!$V$3:$W$34,2,FALSE)), IF(ISNA(VLOOKUP(B112,'Regioturnier 2'!$Z$3:$AA$34,2,FALSE))=TRUE,0,VLOOKUP(B112,'Regioturnier 2'!$Z$3:$AA$34,2,FALSE)))</f>
        <v>0</v>
      </c>
      <c r="Q112" s="15">
        <f>MAX(IF(ISNA(VLOOKUP(B112,'Regioturnier 3'!$B$3:$C$34,2,FALSE))=TRUE,0,VLOOKUP(B112,'Regioturnier 3'!$B$3:$C$34,2,FALSE)),IF(ISNA(VLOOKUP(B112,'Regioturnier 3'!$F$3:$G$34,2,FALSE))=TRUE,0,VLOOKUP(B112,'Regioturnier 3'!$F$3:$G$34,2,FALSE)),IF(ISNA(VLOOKUP(B112,'Regioturnier 3'!$J$3:$K$34,2,FALSE))=TRUE,0,VLOOKUP(B112,'Regioturnier 3'!$J$3:$K$34,2,FALSE)),IF(ISNA(VLOOKUP(B112,'Regioturnier 3'!$N$3:$O$34,2,FALSE))=TRUE,0,VLOOKUP(B112,'Regioturnier 3'!$N$3:$O$34,2,FALSE)),IF(ISNA(VLOOKUP(B112,'Regioturnier 3'!$R$3:$S$34,2,FALSE))=TRUE,0,VLOOKUP(B112,'Regioturnier 3'!$R$3:$S$34,2,FALSE)), IF(ISNA(VLOOKUP(B112,'Regioturnier 3'!$V$3:$W$34,2,FALSE))=TRUE,0,VLOOKUP(B112,'Regioturnier 3'!$V$3:$W$34,2,FALSE)), IF(ISNA(VLOOKUP(B112,'Regioturnier 3'!$Z$3:$AA$34,2,FALSE))=TRUE,0,VLOOKUP(B112,'Regioturnier 3'!$Z$3:$AA$34,2,FALSE)))</f>
        <v>0</v>
      </c>
      <c r="R112" s="20">
        <f>0.5*INDEX($H112:$N112,MATCH(LARGE($H112:$N112,1),$H112:$N112,0))+0.3*INDEX($H112:$N112,MATCH(LARGE($H112:$N112,2),$H112:$N112,0))+0.2*INDEX($H112:$N112,MATCH(LARGE($H112:$N112,3),$H112:$N112,0))</f>
        <v>90.5</v>
      </c>
      <c r="S112" s="20">
        <f>0.6*INDEX(O112:Q112,MATCH(LARGE(O112:Q112,1),O112:Q112,0))+0.4*INDEX(O112:Q112,MATCH(LARGE(O112:Q112,2),O112:Q112,0))+0*INDEX(O112:Q112,MATCH(LARGE(O112:Q112,3),O112:Q112,0))</f>
        <v>0</v>
      </c>
      <c r="T112" s="15">
        <f>1*INDEX(R112:S112,MATCH(LARGE(R112:S112,1),R112:S112,0))+0*INDEX(R112:S112,MATCH(LARGE(R112:S112,2),R112:S112,0))</f>
        <v>90.5</v>
      </c>
      <c r="U112" s="21"/>
      <c r="V112" s="21"/>
      <c r="W112" s="21"/>
      <c r="X112" s="21"/>
      <c r="Y112" s="21"/>
      <c r="Z112" s="21"/>
    </row>
    <row r="113" spans="1:26" ht="12.75" customHeight="1" x14ac:dyDescent="0.3">
      <c r="A113" s="15">
        <v>112</v>
      </c>
      <c r="B113" s="16" t="s">
        <v>99</v>
      </c>
      <c r="C113" s="17" t="s">
        <v>93</v>
      </c>
      <c r="D113" s="15" t="s">
        <v>22</v>
      </c>
      <c r="E113" s="18" t="s">
        <v>40</v>
      </c>
      <c r="F113" s="15" t="s">
        <v>100</v>
      </c>
      <c r="G113" s="22">
        <v>2012</v>
      </c>
      <c r="H113" s="15">
        <f>MAX(IF(ISNA(VLOOKUP(B113,'WBV 1'!$B$3:$C$34,2,FALSE))=TRUE,0,VLOOKUP(B113,'WBV 1'!$B$3:$C$34,2,FALSE)),IF(ISNA(VLOOKUP(B113,'WBV 1'!$F$3:$G$34,2,FALSE))=TRUE,0,VLOOKUP(B113,'WBV 1'!$F$3:$G$34,2,FALSE)),IF(ISNA(VLOOKUP(B113,'WBV 1'!$J$3:$K$34,2,FALSE))=TRUE,0,VLOOKUP(B113,'WBV 1'!$J$3:$K$34,2,FALSE)),IF(ISNA(VLOOKUP(B113,'WBV 1'!$N$3:$O$34,2,FALSE))=TRUE,0,VLOOKUP(B113,'WBV 1'!$N$3:$O$34,2,FALSE)))</f>
        <v>0</v>
      </c>
      <c r="I113" s="15">
        <f>MAX(IF(ISNA(VLOOKUP(B113,'WBV 2'!$B$3:$C$34,2,FALSE))=TRUE,0,VLOOKUP(B113,'WBV 2'!$B$3:$C$34,2,FALSE)),IF(ISNA(VLOOKUP(B113,'WBV 2'!$F$3:$G$34,2,FALSE))=TRUE,0,VLOOKUP(B113,'WBV 2'!$F$3:$G$34,2,FALSE)),IF(ISNA(VLOOKUP(B113,'WBV 2'!$J$3:$K$34,2,FALSE))=TRUE,0,VLOOKUP(B113,'WBV 2'!$J$3:$K$34,2,FALSE)),IF(ISNA(VLOOKUP(B113,'WBV 2'!$N$3:$O$34,2,FALSE))=TRUE,0,VLOOKUP(B113,'WBV 2'!$N$3:$O$34,2,FALSE)))</f>
        <v>0</v>
      </c>
      <c r="J113" s="15">
        <f>MAX(IF(ISNA(VLOOKUP(B113,'WBV 3'!$B$3:$C$34,2,FALSE))=TRUE,0,VLOOKUP(B113,'WBV 3'!$B$3:$C$34,2,FALSE)),IF(ISNA(VLOOKUP(B113,'WBV 3'!$F$3:$G$34,2,FALSE))=TRUE,0,VLOOKUP(B113,'WBV 3'!$F$3:$G$34,2,FALSE)),IF(ISNA(VLOOKUP(B113,'WBV 3'!$J$3:$K$34,2,FALSE))=TRUE,0,VLOOKUP(B113,'WBV 3'!$J$3:$K$34,2,FALSE)),IF(ISNA(VLOOKUP(B113,'WBV 3'!$N$3:$O$34,2,FALSE))=TRUE,0,VLOOKUP(B113,'WBV 3'!$N$3:$O$34,2,FALSE)))</f>
        <v>0</v>
      </c>
      <c r="K113" s="15">
        <f>MAX(IF(ISNA(VLOOKUP(B113,'WBV 4'!$B$3:$C$34,2,FALSE))=TRUE,0,VLOOKUP(B113,'WBV 4'!$B$3:$C$34,2,FALSE)),IF(ISNA(VLOOKUP(B113,'WBV 4'!$F$3:$G$34,2,FALSE))=TRUE,0,VLOOKUP(B113,'WBV 4'!$F$3:$G$34,2,FALSE)),IF(ISNA(VLOOKUP(B113,'WBV 4'!$J$3:$K$34,2,FALSE))=TRUE,0,VLOOKUP(B113,'WBV 4'!$J$3:$K$34,2,FALSE)),IF(ISNA(VLOOKUP(B113,'WBV 4'!$N$3:$O$34,2,FALSE))=TRUE,0,VLOOKUP(B113,'WBV 4'!$N$3:$O$34,2,FALSE)))</f>
        <v>0</v>
      </c>
      <c r="L113" s="19">
        <f>MAX(IF(ISNA(VLOOKUP(B113,'NÖBV 1'!$B$3:$C$34,2,FALSE))=TRUE,0,VLOOKUP(B113,'NÖBV 1'!$B$3:$C$34,2,FALSE)),IF(ISNA(VLOOKUP(B113,'NÖBV 1'!$F$3:$G$34,2,FALSE))=TRUE,0,VLOOKUP(B113,'NÖBV 1'!$F$3:$G$34,2,FALSE)),IF(ISNA(VLOOKUP(B113,'NÖBV 1'!$J$3:$K$34,2,FALSE))=TRUE,0,VLOOKUP(B113,'NÖBV 1'!$J$3:$K$34,2,FALSE)),IF(ISNA(VLOOKUP(B113,'NÖBV 1'!$N$3:$O$34,2,FALSE))=TRUE,0,VLOOKUP(B113,'NÖBV 1'!$N$3:$O$34,2,FALSE)))</f>
        <v>180</v>
      </c>
      <c r="M113" s="19">
        <f>MAX(IF(ISNA(VLOOKUP(B113,'NÖBV 2'!$B$3:$C$34,2,FALSE))=TRUE,0,VLOOKUP(B113,'NÖBV 2'!$B$3:$C$34,2,FALSE)),IF(ISNA(VLOOKUP(B113,'NÖBV 2'!$F$3:$G$34,2,FALSE))=TRUE,0,VLOOKUP(B113,'NÖBV 2'!$F$3:$G$34,2,FALSE)),IF(ISNA(VLOOKUP(B113,'NÖBV 2'!$J$3:$K$34,2,FALSE))=TRUE,0,VLOOKUP(B113,'NÖBV 2'!$J$3:$K$34,2,FALSE)),IF(ISNA(VLOOKUP(B113,'NÖBV 2'!$N$3:$O$34,2,FALSE))=TRUE,0,VLOOKUP(B113,'NÖBV 2'!$N$3:$O$34,2,FALSE)))</f>
        <v>0</v>
      </c>
      <c r="N113" s="19">
        <f>MAX(IF(ISNA(VLOOKUP(B113,'NÖBV 3'!$B$3:$C$34,2,FALSE))=TRUE,0,VLOOKUP(B113,'NÖBV 3'!$B$3:$C$34,2,FALSE)),IF(ISNA(VLOOKUP(B113,'NÖBV 3'!$F$3:$G$34,2,FALSE))=TRUE,0,VLOOKUP(B113,'NÖBV 3'!$F$3:$G$34,2,FALSE)),IF(ISNA(VLOOKUP(B113,'NÖBV 3'!$J$3:$K$34,2,FALSE))=TRUE,0,VLOOKUP(B113,'NÖBV 3'!$J$3:$K$34,2,FALSE)),IF(ISNA(VLOOKUP(B113,'NÖBV 3'!$N$3:$O$34,2,FALSE))=TRUE,0,VLOOKUP(B113,'NÖBV 3'!$N$3:$O$34,2,FALSE)))</f>
        <v>0</v>
      </c>
      <c r="O113" s="15">
        <f>MAX(IF(ISNA(VLOOKUP(B113,'Regioturnier 1'!$B$3:$C$34,2,FALSE))=TRUE,0,VLOOKUP(B113,'Regioturnier 1'!$B$3:$C$34,2,FALSE)),IF(ISNA(VLOOKUP(B113,'Regioturnier 1'!$F$3:$G$34,2,FALSE))=TRUE,0,VLOOKUP(B113,'Regioturnier 1'!$F$3:$G$34,2,FALSE)),IF(ISNA(VLOOKUP(B113,'Regioturnier 1'!$J$3:$K$34,2,FALSE))=TRUE,0,VLOOKUP(B113,'Regioturnier 1'!$J$3:$K$34,2,FALSE)),IF(ISNA(VLOOKUP(B113,'Regioturnier 1'!$N$3:$O$34,2,FALSE))=TRUE,0,VLOOKUP(B113,'Regioturnier 1'!$N$3:$O$34,2,FALSE)),IF(ISNA(VLOOKUP(B113,'Regioturnier 1'!$R$3:$S$34,2,FALSE))=TRUE,0,VLOOKUP(B113,'Regioturnier 1'!$R$3:$S$34,2,FALSE)), IF(ISNA(VLOOKUP(B113,'Regioturnier 1'!$V$3:$W$34,2,FALSE))=TRUE,0,VLOOKUP(B113,'Regioturnier 1'!$V$3:$W$34,2,FALSE)), IF(ISNA(VLOOKUP(B113,'Regioturnier 1'!$Z$3:$AA$34,2,FALSE))=TRUE,0,VLOOKUP(B113,'Regioturnier 1'!$Z$3:$AA$34,2,FALSE)))</f>
        <v>0</v>
      </c>
      <c r="P113" s="15">
        <f>MAX(IF(ISNA(VLOOKUP(B113,'Regioturnier 2'!$B$3:$C$34,2,FALSE))=TRUE,0,VLOOKUP(B113,'Regioturnier 2'!$B$3:$C$34,2,FALSE)),IF(ISNA(VLOOKUP(B113,'Regioturnier 2'!$F$3:$G$34,2,FALSE))=TRUE,0,VLOOKUP(B113,'Regioturnier 2'!$F$3:$G$34,2,FALSE)),IF(ISNA(VLOOKUP(B113,'Regioturnier 2'!$J$3:$K$34,2,FALSE))=TRUE,0,VLOOKUP(B113,'Regioturnier 2'!$J$3:$K$34,2,FALSE)),IF(ISNA(VLOOKUP(B113,'Regioturnier 2'!$N$3:$O$34,2,FALSE))=TRUE,0,VLOOKUP(B113,'Regioturnier 2'!$N$3:$O$34,2,FALSE)),IF(ISNA(VLOOKUP(B113,'Regioturnier 2'!$R$3:$S$34,2,FALSE))=TRUE,0,VLOOKUP(B113,'Regioturnier 2'!$R$3:$S$34,2,FALSE)), IF(ISNA(VLOOKUP(B113,'Regioturnier 2'!$V$3:$W$34,2,FALSE))=TRUE,0,VLOOKUP(B113,'Regioturnier 2'!$V$3:$W$34,2,FALSE)), IF(ISNA(VLOOKUP(B113,'Regioturnier 2'!$Z$3:$AA$34,2,FALSE))=TRUE,0,VLOOKUP(B113,'Regioturnier 2'!$Z$3:$AA$34,2,FALSE)))</f>
        <v>0</v>
      </c>
      <c r="Q113" s="15">
        <f>MAX(IF(ISNA(VLOOKUP(B113,'Regioturnier 3'!$B$3:$C$34,2,FALSE))=TRUE,0,VLOOKUP(B113,'Regioturnier 3'!$B$3:$C$34,2,FALSE)),IF(ISNA(VLOOKUP(B113,'Regioturnier 3'!$F$3:$G$34,2,FALSE))=TRUE,0,VLOOKUP(B113,'Regioturnier 3'!$F$3:$G$34,2,FALSE)),IF(ISNA(VLOOKUP(B113,'Regioturnier 3'!$J$3:$K$34,2,FALSE))=TRUE,0,VLOOKUP(B113,'Regioturnier 3'!$J$3:$K$34,2,FALSE)),IF(ISNA(VLOOKUP(B113,'Regioturnier 3'!$N$3:$O$34,2,FALSE))=TRUE,0,VLOOKUP(B113,'Regioturnier 3'!$N$3:$O$34,2,FALSE)),IF(ISNA(VLOOKUP(B113,'Regioturnier 3'!$R$3:$S$34,2,FALSE))=TRUE,0,VLOOKUP(B113,'Regioturnier 3'!$R$3:$S$34,2,FALSE)), IF(ISNA(VLOOKUP(B113,'Regioturnier 3'!$V$3:$W$34,2,FALSE))=TRUE,0,VLOOKUP(B113,'Regioturnier 3'!$V$3:$W$34,2,FALSE)), IF(ISNA(VLOOKUP(B113,'Regioturnier 3'!$Z$3:$AA$34,2,FALSE))=TRUE,0,VLOOKUP(B113,'Regioturnier 3'!$Z$3:$AA$34,2,FALSE)))</f>
        <v>0</v>
      </c>
      <c r="R113" s="20">
        <f>0.5*INDEX($H113:$N113,MATCH(LARGE($H113:$N113,1),$H113:$N113,0))+0.3*INDEX($H113:$N113,MATCH(LARGE($H113:$N113,2),$H113:$N113,0))+0.2*INDEX($H113:$N113,MATCH(LARGE($H113:$N113,3),$H113:$N113,0))</f>
        <v>90</v>
      </c>
      <c r="S113" s="20">
        <f>0.6*INDEX(O113:Q113,MATCH(LARGE(O113:Q113,1),O113:Q113,0))+0.4*INDEX(O113:Q113,MATCH(LARGE(O113:Q113,2),O113:Q113,0))+0*INDEX(O113:Q113,MATCH(LARGE(O113:Q113,3),O113:Q113,0))</f>
        <v>0</v>
      </c>
      <c r="T113" s="15">
        <f>1*INDEX(R113:S113,MATCH(LARGE(R113:S113,1),R113:S113,0))+0*INDEX(R113:S113,MATCH(LARGE(R113:S113,2),R113:S113,0))</f>
        <v>90</v>
      </c>
      <c r="U113" s="21"/>
      <c r="V113" s="21"/>
      <c r="W113" s="21"/>
      <c r="X113" s="21"/>
      <c r="Y113" s="21"/>
      <c r="Z113" s="21"/>
    </row>
    <row r="114" spans="1:26" ht="12.75" customHeight="1" x14ac:dyDescent="0.3">
      <c r="A114" s="15">
        <v>113</v>
      </c>
      <c r="B114" s="106" t="s">
        <v>564</v>
      </c>
      <c r="C114" s="106" t="s">
        <v>586</v>
      </c>
      <c r="D114" s="106" t="s">
        <v>587</v>
      </c>
      <c r="E114" s="106" t="s">
        <v>23</v>
      </c>
      <c r="F114" s="106" t="s">
        <v>588</v>
      </c>
      <c r="G114" s="107">
        <v>2011</v>
      </c>
      <c r="H114" s="105">
        <f>MAX(IF(ISNA(VLOOKUP(B114,'WBV 1'!$B$3:$C$34,2,FALSE))=TRUE,0,VLOOKUP(B114,'WBV 1'!$B$3:$C$34,2,FALSE)),IF(ISNA(VLOOKUP(B114,'WBV 1'!$F$3:$G$34,2,FALSE))=TRUE,0,VLOOKUP(B114,'WBV 1'!$F$3:$G$34,2,FALSE)),IF(ISNA(VLOOKUP(B114,'WBV 1'!$J$3:$K$34,2,FALSE))=TRUE,0,VLOOKUP(B114,'WBV 1'!$J$3:$K$34,2,FALSE)),IF(ISNA(VLOOKUP(B114,'WBV 1'!$N$3:$O$34,2,FALSE))=TRUE,0,VLOOKUP(B114,'WBV 1'!$N$3:$O$34,2,FALSE)))</f>
        <v>0</v>
      </c>
      <c r="I114" s="105">
        <f>MAX(IF(ISNA(VLOOKUP(B114,'WBV 2'!$B$3:$C$34,2,FALSE))=TRUE,0,VLOOKUP(B114,'WBV 2'!$B$3:$C$34,2,FALSE)),IF(ISNA(VLOOKUP(B114,'WBV 2'!$F$3:$G$34,2,FALSE))=TRUE,0,VLOOKUP(B114,'WBV 2'!$F$3:$G$34,2,FALSE)),IF(ISNA(VLOOKUP(B114,'WBV 2'!$J$3:$K$34,2,FALSE))=TRUE,0,VLOOKUP(B114,'WBV 2'!$J$3:$K$34,2,FALSE)),IF(ISNA(VLOOKUP(B114,'WBV 2'!$N$3:$O$34,2,FALSE))=TRUE,0,VLOOKUP(B114,'WBV 2'!$N$3:$O$34,2,FALSE)))</f>
        <v>0</v>
      </c>
      <c r="J114" s="105">
        <f>MAX(IF(ISNA(VLOOKUP(B114,'WBV 3'!$B$3:$C$34,2,FALSE))=TRUE,0,VLOOKUP(B114,'WBV 3'!$B$3:$C$34,2,FALSE)),IF(ISNA(VLOOKUP(B114,'WBV 3'!$F$3:$G$34,2,FALSE))=TRUE,0,VLOOKUP(B114,'WBV 3'!$F$3:$G$34,2,FALSE)),IF(ISNA(VLOOKUP(B114,'WBV 3'!$J$3:$K$34,2,FALSE))=TRUE,0,VLOOKUP(B114,'WBV 3'!$J$3:$K$34,2,FALSE)),IF(ISNA(VLOOKUP(B114,'WBV 3'!$N$3:$O$34,2,FALSE))=TRUE,0,VLOOKUP(B114,'WBV 3'!$N$3:$O$34,2,FALSE)))</f>
        <v>0</v>
      </c>
      <c r="K114" s="105">
        <f>MAX(IF(ISNA(VLOOKUP(B114,'WBV 4'!$B$3:$C$34,2,FALSE))=TRUE,0,VLOOKUP(B114,'WBV 4'!$B$3:$C$34,2,FALSE)),IF(ISNA(VLOOKUP(B114,'WBV 4'!$F$3:$G$34,2,FALSE))=TRUE,0,VLOOKUP(B114,'WBV 4'!$F$3:$G$34,2,FALSE)),IF(ISNA(VLOOKUP(B114,'WBV 4'!$J$3:$K$34,2,FALSE))=TRUE,0,VLOOKUP(B114,'WBV 4'!$J$3:$K$34,2,FALSE)),IF(ISNA(VLOOKUP(B114,'WBV 4'!$N$3:$O$34,2,FALSE))=TRUE,0,VLOOKUP(B114,'WBV 4'!$N$3:$O$34,2,FALSE)))</f>
        <v>0</v>
      </c>
      <c r="L114" s="105">
        <f>MAX(IF(ISNA(VLOOKUP(B114,'NÖBV 1'!$B$3:$C$34,2,FALSE))=TRUE,0,VLOOKUP(B114,'NÖBV 1'!$B$3:$C$34,2,FALSE)),IF(ISNA(VLOOKUP(B114,'NÖBV 1'!$F$3:$G$34,2,FALSE))=TRUE,0,VLOOKUP(B114,'NÖBV 1'!$F$3:$G$34,2,FALSE)),IF(ISNA(VLOOKUP(B114,'NÖBV 1'!$J$3:$K$34,2,FALSE))=TRUE,0,VLOOKUP(B114,'NÖBV 1'!$J$3:$K$34,2,FALSE)),IF(ISNA(VLOOKUP(B114,'NÖBV 1'!$N$3:$O$34,2,FALSE))=TRUE,0,VLOOKUP(B114,'NÖBV 1'!$N$3:$O$34,2,FALSE)))</f>
        <v>0</v>
      </c>
      <c r="M114" s="105">
        <f>MAX(IF(ISNA(VLOOKUP(B114,'NÖBV 2'!$B$3:$C$34,2,FALSE))=TRUE,0,VLOOKUP(B114,'NÖBV 2'!$B$3:$C$34,2,FALSE)),IF(ISNA(VLOOKUP(B114,'NÖBV 2'!$F$3:$G$34,2,FALSE))=TRUE,0,VLOOKUP(B114,'NÖBV 2'!$F$3:$G$34,2,FALSE)),IF(ISNA(VLOOKUP(B114,'NÖBV 2'!$J$3:$K$34,2,FALSE))=TRUE,0,VLOOKUP(B114,'NÖBV 2'!$J$3:$K$34,2,FALSE)),IF(ISNA(VLOOKUP(B114,'NÖBV 2'!$N$3:$O$34,2,FALSE))=TRUE,0,VLOOKUP(B114,'NÖBV 2'!$N$3:$O$34,2,FALSE)))</f>
        <v>179</v>
      </c>
      <c r="N114" s="105">
        <f>MAX(IF(ISNA(VLOOKUP(B114,'NÖBV 3'!$B$3:$C$34,2,FALSE))=TRUE,0,VLOOKUP(B114,'NÖBV 3'!$B$3:$C$34,2,FALSE)),IF(ISNA(VLOOKUP(B114,'NÖBV 3'!$F$3:$G$34,2,FALSE))=TRUE,0,VLOOKUP(B114,'NÖBV 3'!$F$3:$G$34,2,FALSE)),IF(ISNA(VLOOKUP(B114,'NÖBV 3'!$J$3:$K$34,2,FALSE))=TRUE,0,VLOOKUP(B114,'NÖBV 3'!$J$3:$K$34,2,FALSE)),IF(ISNA(VLOOKUP(B114,'NÖBV 3'!$N$3:$O$34,2,FALSE))=TRUE,0,VLOOKUP(B114,'NÖBV 3'!$N$3:$O$34,2,FALSE)))</f>
        <v>0</v>
      </c>
      <c r="O114" s="105">
        <f>MAX(IF(ISNA(VLOOKUP(B114,'Regioturnier 1'!$B$3:$C$34,2,FALSE))=TRUE,0,VLOOKUP(B114,'Regioturnier 1'!$B$3:$C$34,2,FALSE)),IF(ISNA(VLOOKUP(B114,'Regioturnier 1'!$F$3:$G$34,2,FALSE))=TRUE,0,VLOOKUP(B114,'Regioturnier 1'!$F$3:$G$34,2,FALSE)),IF(ISNA(VLOOKUP(B114,'Regioturnier 1'!$J$3:$K$34,2,FALSE))=TRUE,0,VLOOKUP(B114,'Regioturnier 1'!$J$3:$K$34,2,FALSE)),IF(ISNA(VLOOKUP(B114,'Regioturnier 1'!$N$3:$O$34,2,FALSE))=TRUE,0,VLOOKUP(B114,'Regioturnier 1'!$N$3:$O$34,2,FALSE)),IF(ISNA(VLOOKUP(B114,'Regioturnier 1'!$R$3:$S$34,2,FALSE))=TRUE,0,VLOOKUP(B114,'Regioturnier 1'!$R$3:$S$34,2,FALSE)), IF(ISNA(VLOOKUP(B114,'Regioturnier 1'!$V$3:$W$34,2,FALSE))=TRUE,0,VLOOKUP(B114,'Regioturnier 1'!$V$3:$W$34,2,FALSE)), IF(ISNA(VLOOKUP(B114,'Regioturnier 1'!$Z$3:$AA$34,2,FALSE))=TRUE,0,VLOOKUP(B114,'Regioturnier 1'!$Z$3:$AA$34,2,FALSE)))</f>
        <v>0</v>
      </c>
      <c r="P114" s="105">
        <f>MAX(IF(ISNA(VLOOKUP(B114,'Regioturnier 2'!$B$3:$C$34,2,FALSE))=TRUE,0,VLOOKUP(B114,'Regioturnier 2'!$B$3:$C$34,2,FALSE)),IF(ISNA(VLOOKUP(B114,'Regioturnier 2'!$F$3:$G$34,2,FALSE))=TRUE,0,VLOOKUP(B114,'Regioturnier 2'!$F$3:$G$34,2,FALSE)),IF(ISNA(VLOOKUP(B114,'Regioturnier 2'!$J$3:$K$34,2,FALSE))=TRUE,0,VLOOKUP(B114,'Regioturnier 2'!$J$3:$K$34,2,FALSE)),IF(ISNA(VLOOKUP(B114,'Regioturnier 2'!$N$3:$O$34,2,FALSE))=TRUE,0,VLOOKUP(B114,'Regioturnier 2'!$N$3:$O$34,2,FALSE)),IF(ISNA(VLOOKUP(B114,'Regioturnier 2'!$R$3:$S$34,2,FALSE))=TRUE,0,VLOOKUP(B114,'Regioturnier 2'!$R$3:$S$34,2,FALSE)), IF(ISNA(VLOOKUP(B114,'Regioturnier 2'!$V$3:$W$34,2,FALSE))=TRUE,0,VLOOKUP(B114,'Regioturnier 2'!$V$3:$W$34,2,FALSE)), IF(ISNA(VLOOKUP(B114,'Regioturnier 2'!$Z$3:$AA$34,2,FALSE))=TRUE,0,VLOOKUP(B114,'Regioturnier 2'!$Z$3:$AA$34,2,FALSE)))</f>
        <v>0</v>
      </c>
      <c r="Q114" s="105">
        <f>MAX(IF(ISNA(VLOOKUP(B114,'Regioturnier 3'!$B$3:$C$34,2,FALSE))=TRUE,0,VLOOKUP(B114,'Regioturnier 3'!$B$3:$C$34,2,FALSE)),IF(ISNA(VLOOKUP(B114,'Regioturnier 3'!$F$3:$G$34,2,FALSE))=TRUE,0,VLOOKUP(B114,'Regioturnier 3'!$F$3:$G$34,2,FALSE)),IF(ISNA(VLOOKUP(B114,'Regioturnier 3'!$J$3:$K$34,2,FALSE))=TRUE,0,VLOOKUP(B114,'Regioturnier 3'!$J$3:$K$34,2,FALSE)),IF(ISNA(VLOOKUP(B114,'Regioturnier 3'!$N$3:$O$34,2,FALSE))=TRUE,0,VLOOKUP(B114,'Regioturnier 3'!$N$3:$O$34,2,FALSE)),IF(ISNA(VLOOKUP(B114,'Regioturnier 3'!$R$3:$S$34,2,FALSE))=TRUE,0,VLOOKUP(B114,'Regioturnier 3'!$R$3:$S$34,2,FALSE)), IF(ISNA(VLOOKUP(B114,'Regioturnier 3'!$V$3:$W$34,2,FALSE))=TRUE,0,VLOOKUP(B114,'Regioturnier 3'!$V$3:$W$34,2,FALSE)), IF(ISNA(VLOOKUP(B114,'Regioturnier 3'!$Z$3:$AA$34,2,FALSE))=TRUE,0,VLOOKUP(B114,'Regioturnier 3'!$Z$3:$AA$34,2,FALSE)))</f>
        <v>0</v>
      </c>
      <c r="R114" s="108">
        <f>0.5*INDEX($H114:$N114,MATCH(LARGE($H114:$N114,1),$H114:$N114,0))+0.3*INDEX($H114:$N114,MATCH(LARGE($H114:$N114,2),$H114:$N114,0))+0.2*INDEX($H114:$N114,MATCH(LARGE($H114:$N114,3),$H114:$N114,0))</f>
        <v>89.5</v>
      </c>
      <c r="S114" s="108">
        <f>0.6*INDEX(O114:Q114,MATCH(LARGE(O114:Q114,1),O114:Q114,0))+0.4*INDEX(O114:Q114,MATCH(LARGE(O114:Q114,2),O114:Q114,0))+0*INDEX(O114:Q114,MATCH(LARGE(O114:Q114,3),O114:Q114,0))</f>
        <v>0</v>
      </c>
      <c r="T114" s="105">
        <f>1*INDEX(R114:S114,MATCH(LARGE(R114:S114,1),R114:S114,0))+0*INDEX(R114:S114,MATCH(LARGE(R114:S114,2),R114:S114,0))</f>
        <v>89.5</v>
      </c>
      <c r="U114" s="21"/>
      <c r="V114" s="21"/>
      <c r="W114" s="21"/>
      <c r="X114" s="21"/>
      <c r="Y114" s="21"/>
      <c r="Z114" s="21"/>
    </row>
    <row r="115" spans="1:26" ht="12.75" customHeight="1" x14ac:dyDescent="0.3">
      <c r="A115" s="15">
        <v>114</v>
      </c>
      <c r="B115" s="106" t="s">
        <v>566</v>
      </c>
      <c r="C115" s="106" t="s">
        <v>181</v>
      </c>
      <c r="D115" s="106" t="s">
        <v>22</v>
      </c>
      <c r="E115" s="106" t="s">
        <v>23</v>
      </c>
      <c r="F115" s="106" t="s">
        <v>580</v>
      </c>
      <c r="G115" s="107">
        <v>2011</v>
      </c>
      <c r="H115" s="105">
        <f>MAX(IF(ISNA(VLOOKUP(B115,'WBV 1'!$B$3:$C$34,2,FALSE))=TRUE,0,VLOOKUP(B115,'WBV 1'!$B$3:$C$34,2,FALSE)),IF(ISNA(VLOOKUP(B115,'WBV 1'!$F$3:$G$34,2,FALSE))=TRUE,0,VLOOKUP(B115,'WBV 1'!$F$3:$G$34,2,FALSE)),IF(ISNA(VLOOKUP(B115,'WBV 1'!$J$3:$K$34,2,FALSE))=TRUE,0,VLOOKUP(B115,'WBV 1'!$J$3:$K$34,2,FALSE)),IF(ISNA(VLOOKUP(B115,'WBV 1'!$N$3:$O$34,2,FALSE))=TRUE,0,VLOOKUP(B115,'WBV 1'!$N$3:$O$34,2,FALSE)))</f>
        <v>0</v>
      </c>
      <c r="I115" s="105">
        <f>MAX(IF(ISNA(VLOOKUP(B115,'WBV 2'!$B$3:$C$34,2,FALSE))=TRUE,0,VLOOKUP(B115,'WBV 2'!$B$3:$C$34,2,FALSE)),IF(ISNA(VLOOKUP(B115,'WBV 2'!$F$3:$G$34,2,FALSE))=TRUE,0,VLOOKUP(B115,'WBV 2'!$F$3:$G$34,2,FALSE)),IF(ISNA(VLOOKUP(B115,'WBV 2'!$J$3:$K$34,2,FALSE))=TRUE,0,VLOOKUP(B115,'WBV 2'!$J$3:$K$34,2,FALSE)),IF(ISNA(VLOOKUP(B115,'WBV 2'!$N$3:$O$34,2,FALSE))=TRUE,0,VLOOKUP(B115,'WBV 2'!$N$3:$O$34,2,FALSE)))</f>
        <v>0</v>
      </c>
      <c r="J115" s="105">
        <f>MAX(IF(ISNA(VLOOKUP(B115,'WBV 3'!$B$3:$C$34,2,FALSE))=TRUE,0,VLOOKUP(B115,'WBV 3'!$B$3:$C$34,2,FALSE)),IF(ISNA(VLOOKUP(B115,'WBV 3'!$F$3:$G$34,2,FALSE))=TRUE,0,VLOOKUP(B115,'WBV 3'!$F$3:$G$34,2,FALSE)),IF(ISNA(VLOOKUP(B115,'WBV 3'!$J$3:$K$34,2,FALSE))=TRUE,0,VLOOKUP(B115,'WBV 3'!$J$3:$K$34,2,FALSE)),IF(ISNA(VLOOKUP(B115,'WBV 3'!$N$3:$O$34,2,FALSE))=TRUE,0,VLOOKUP(B115,'WBV 3'!$N$3:$O$34,2,FALSE)))</f>
        <v>0</v>
      </c>
      <c r="K115" s="105">
        <f>MAX(IF(ISNA(VLOOKUP(B115,'WBV 4'!$B$3:$C$34,2,FALSE))=TRUE,0,VLOOKUP(B115,'WBV 4'!$B$3:$C$34,2,FALSE)),IF(ISNA(VLOOKUP(B115,'WBV 4'!$F$3:$G$34,2,FALSE))=TRUE,0,VLOOKUP(B115,'WBV 4'!$F$3:$G$34,2,FALSE)),IF(ISNA(VLOOKUP(B115,'WBV 4'!$J$3:$K$34,2,FALSE))=TRUE,0,VLOOKUP(B115,'WBV 4'!$J$3:$K$34,2,FALSE)),IF(ISNA(VLOOKUP(B115,'WBV 4'!$N$3:$O$34,2,FALSE))=TRUE,0,VLOOKUP(B115,'WBV 4'!$N$3:$O$34,2,FALSE)))</f>
        <v>0</v>
      </c>
      <c r="L115" s="105">
        <f>MAX(IF(ISNA(VLOOKUP(B115,'NÖBV 1'!$B$3:$C$34,2,FALSE))=TRUE,0,VLOOKUP(B115,'NÖBV 1'!$B$3:$C$34,2,FALSE)),IF(ISNA(VLOOKUP(B115,'NÖBV 1'!$F$3:$G$34,2,FALSE))=TRUE,0,VLOOKUP(B115,'NÖBV 1'!$F$3:$G$34,2,FALSE)),IF(ISNA(VLOOKUP(B115,'NÖBV 1'!$J$3:$K$34,2,FALSE))=TRUE,0,VLOOKUP(B115,'NÖBV 1'!$J$3:$K$34,2,FALSE)),IF(ISNA(VLOOKUP(B115,'NÖBV 1'!$N$3:$O$34,2,FALSE))=TRUE,0,VLOOKUP(B115,'NÖBV 1'!$N$3:$O$34,2,FALSE)))</f>
        <v>0</v>
      </c>
      <c r="M115" s="105">
        <f>MAX(IF(ISNA(VLOOKUP(B115,'NÖBV 2'!$B$3:$C$34,2,FALSE))=TRUE,0,VLOOKUP(B115,'NÖBV 2'!$B$3:$C$34,2,FALSE)),IF(ISNA(VLOOKUP(B115,'NÖBV 2'!$F$3:$G$34,2,FALSE))=TRUE,0,VLOOKUP(B115,'NÖBV 2'!$F$3:$G$34,2,FALSE)),IF(ISNA(VLOOKUP(B115,'NÖBV 2'!$J$3:$K$34,2,FALSE))=TRUE,0,VLOOKUP(B115,'NÖBV 2'!$J$3:$K$34,2,FALSE)),IF(ISNA(VLOOKUP(B115,'NÖBV 2'!$N$3:$O$34,2,FALSE))=TRUE,0,VLOOKUP(B115,'NÖBV 2'!$N$3:$O$34,2,FALSE)))</f>
        <v>175</v>
      </c>
      <c r="N115" s="105">
        <f>MAX(IF(ISNA(VLOOKUP(B115,'NÖBV 3'!$B$3:$C$34,2,FALSE))=TRUE,0,VLOOKUP(B115,'NÖBV 3'!$B$3:$C$34,2,FALSE)),IF(ISNA(VLOOKUP(B115,'NÖBV 3'!$F$3:$G$34,2,FALSE))=TRUE,0,VLOOKUP(B115,'NÖBV 3'!$F$3:$G$34,2,FALSE)),IF(ISNA(VLOOKUP(B115,'NÖBV 3'!$J$3:$K$34,2,FALSE))=TRUE,0,VLOOKUP(B115,'NÖBV 3'!$J$3:$K$34,2,FALSE)),IF(ISNA(VLOOKUP(B115,'NÖBV 3'!$N$3:$O$34,2,FALSE))=TRUE,0,VLOOKUP(B115,'NÖBV 3'!$N$3:$O$34,2,FALSE)))</f>
        <v>0</v>
      </c>
      <c r="O115" s="105">
        <f>MAX(IF(ISNA(VLOOKUP(B115,'Regioturnier 1'!$B$3:$C$34,2,FALSE))=TRUE,0,VLOOKUP(B115,'Regioturnier 1'!$B$3:$C$34,2,FALSE)),IF(ISNA(VLOOKUP(B115,'Regioturnier 1'!$F$3:$G$34,2,FALSE))=TRUE,0,VLOOKUP(B115,'Regioturnier 1'!$F$3:$G$34,2,FALSE)),IF(ISNA(VLOOKUP(B115,'Regioturnier 1'!$J$3:$K$34,2,FALSE))=TRUE,0,VLOOKUP(B115,'Regioturnier 1'!$J$3:$K$34,2,FALSE)),IF(ISNA(VLOOKUP(B115,'Regioturnier 1'!$N$3:$O$34,2,FALSE))=TRUE,0,VLOOKUP(B115,'Regioturnier 1'!$N$3:$O$34,2,FALSE)),IF(ISNA(VLOOKUP(B115,'Regioturnier 1'!$R$3:$S$34,2,FALSE))=TRUE,0,VLOOKUP(B115,'Regioturnier 1'!$R$3:$S$34,2,FALSE)), IF(ISNA(VLOOKUP(B115,'Regioturnier 1'!$V$3:$W$34,2,FALSE))=TRUE,0,VLOOKUP(B115,'Regioturnier 1'!$V$3:$W$34,2,FALSE)), IF(ISNA(VLOOKUP(B115,'Regioturnier 1'!$Z$3:$AA$34,2,FALSE))=TRUE,0,VLOOKUP(B115,'Regioturnier 1'!$Z$3:$AA$34,2,FALSE)))</f>
        <v>0</v>
      </c>
      <c r="P115" s="105">
        <f>MAX(IF(ISNA(VLOOKUP(B115,'Regioturnier 2'!$B$3:$C$34,2,FALSE))=TRUE,0,VLOOKUP(B115,'Regioturnier 2'!$B$3:$C$34,2,FALSE)),IF(ISNA(VLOOKUP(B115,'Regioturnier 2'!$F$3:$G$34,2,FALSE))=TRUE,0,VLOOKUP(B115,'Regioturnier 2'!$F$3:$G$34,2,FALSE)),IF(ISNA(VLOOKUP(B115,'Regioturnier 2'!$J$3:$K$34,2,FALSE))=TRUE,0,VLOOKUP(B115,'Regioturnier 2'!$J$3:$K$34,2,FALSE)),IF(ISNA(VLOOKUP(B115,'Regioturnier 2'!$N$3:$O$34,2,FALSE))=TRUE,0,VLOOKUP(B115,'Regioturnier 2'!$N$3:$O$34,2,FALSE)),IF(ISNA(VLOOKUP(B115,'Regioturnier 2'!$R$3:$S$34,2,FALSE))=TRUE,0,VLOOKUP(B115,'Regioturnier 2'!$R$3:$S$34,2,FALSE)), IF(ISNA(VLOOKUP(B115,'Regioturnier 2'!$V$3:$W$34,2,FALSE))=TRUE,0,VLOOKUP(B115,'Regioturnier 2'!$V$3:$W$34,2,FALSE)), IF(ISNA(VLOOKUP(B115,'Regioturnier 2'!$Z$3:$AA$34,2,FALSE))=TRUE,0,VLOOKUP(B115,'Regioturnier 2'!$Z$3:$AA$34,2,FALSE)))</f>
        <v>0</v>
      </c>
      <c r="Q115" s="105">
        <f>MAX(IF(ISNA(VLOOKUP(B115,'Regioturnier 3'!$B$3:$C$34,2,FALSE))=TRUE,0,VLOOKUP(B115,'Regioturnier 3'!$B$3:$C$34,2,FALSE)),IF(ISNA(VLOOKUP(B115,'Regioturnier 3'!$F$3:$G$34,2,FALSE))=TRUE,0,VLOOKUP(B115,'Regioturnier 3'!$F$3:$G$34,2,FALSE)),IF(ISNA(VLOOKUP(B115,'Regioturnier 3'!$J$3:$K$34,2,FALSE))=TRUE,0,VLOOKUP(B115,'Regioturnier 3'!$J$3:$K$34,2,FALSE)),IF(ISNA(VLOOKUP(B115,'Regioturnier 3'!$N$3:$O$34,2,FALSE))=TRUE,0,VLOOKUP(B115,'Regioturnier 3'!$N$3:$O$34,2,FALSE)),IF(ISNA(VLOOKUP(B115,'Regioturnier 3'!$R$3:$S$34,2,FALSE))=TRUE,0,VLOOKUP(B115,'Regioturnier 3'!$R$3:$S$34,2,FALSE)), IF(ISNA(VLOOKUP(B115,'Regioturnier 3'!$V$3:$W$34,2,FALSE))=TRUE,0,VLOOKUP(B115,'Regioturnier 3'!$V$3:$W$34,2,FALSE)), IF(ISNA(VLOOKUP(B115,'Regioturnier 3'!$Z$3:$AA$34,2,FALSE))=TRUE,0,VLOOKUP(B115,'Regioturnier 3'!$Z$3:$AA$34,2,FALSE)))</f>
        <v>0</v>
      </c>
      <c r="R115" s="108">
        <f>0.5*INDEX($H115:$N115,MATCH(LARGE($H115:$N115,1),$H115:$N115,0))+0.3*INDEX($H115:$N115,MATCH(LARGE($H115:$N115,2),$H115:$N115,0))+0.2*INDEX($H115:$N115,MATCH(LARGE($H115:$N115,3),$H115:$N115,0))</f>
        <v>87.5</v>
      </c>
      <c r="S115" s="108">
        <f>0.6*INDEX(O115:Q115,MATCH(LARGE(O115:Q115,1),O115:Q115,0))+0.4*INDEX(O115:Q115,MATCH(LARGE(O115:Q115,2),O115:Q115,0))+0*INDEX(O115:Q115,MATCH(LARGE(O115:Q115,3),O115:Q115,0))</f>
        <v>0</v>
      </c>
      <c r="T115" s="105">
        <f>1*INDEX(R115:S115,MATCH(LARGE(R115:S115,1),R115:S115,0))+0*INDEX(R115:S115,MATCH(LARGE(R115:S115,2),R115:S115,0))</f>
        <v>87.5</v>
      </c>
      <c r="U115" s="21"/>
      <c r="V115" s="21"/>
      <c r="W115" s="21"/>
      <c r="X115" s="21"/>
      <c r="Y115" s="21"/>
      <c r="Z115" s="21"/>
    </row>
    <row r="116" spans="1:26" ht="12.75" customHeight="1" x14ac:dyDescent="0.3">
      <c r="A116" s="15">
        <v>115</v>
      </c>
      <c r="B116" s="16" t="s">
        <v>300</v>
      </c>
      <c r="C116" s="17" t="s">
        <v>25</v>
      </c>
      <c r="D116" s="15" t="s">
        <v>26</v>
      </c>
      <c r="E116" s="18" t="s">
        <v>40</v>
      </c>
      <c r="F116" s="15" t="s">
        <v>301</v>
      </c>
      <c r="G116" s="22">
        <v>2009</v>
      </c>
      <c r="H116" s="15">
        <f>MAX(IF(ISNA(VLOOKUP(B116,'WBV 1'!$B$3:$C$34,2,FALSE))=TRUE,0,VLOOKUP(B116,'WBV 1'!$B$3:$C$34,2,FALSE)),IF(ISNA(VLOOKUP(B116,'WBV 1'!$F$3:$G$34,2,FALSE))=TRUE,0,VLOOKUP(B116,'WBV 1'!$F$3:$G$34,2,FALSE)),IF(ISNA(VLOOKUP(B116,'WBV 1'!$J$3:$K$34,2,FALSE))=TRUE,0,VLOOKUP(B116,'WBV 1'!$J$3:$K$34,2,FALSE)),IF(ISNA(VLOOKUP(B116,'WBV 1'!$N$3:$O$34,2,FALSE))=TRUE,0,VLOOKUP(B116,'WBV 1'!$N$3:$O$34,2,FALSE)))</f>
        <v>174</v>
      </c>
      <c r="I116" s="15">
        <f>MAX(IF(ISNA(VLOOKUP(B116,'WBV 2'!$B$3:$C$34,2,FALSE))=TRUE,0,VLOOKUP(B116,'WBV 2'!$B$3:$C$34,2,FALSE)),IF(ISNA(VLOOKUP(B116,'WBV 2'!$F$3:$G$34,2,FALSE))=TRUE,0,VLOOKUP(B116,'WBV 2'!$F$3:$G$34,2,FALSE)),IF(ISNA(VLOOKUP(B116,'WBV 2'!$J$3:$K$34,2,FALSE))=TRUE,0,VLOOKUP(B116,'WBV 2'!$J$3:$K$34,2,FALSE)),IF(ISNA(VLOOKUP(B116,'WBV 2'!$N$3:$O$34,2,FALSE))=TRUE,0,VLOOKUP(B116,'WBV 2'!$N$3:$O$34,2,FALSE)))</f>
        <v>0</v>
      </c>
      <c r="J116" s="15">
        <f>MAX(IF(ISNA(VLOOKUP(B116,'WBV 3'!$B$3:$C$34,2,FALSE))=TRUE,0,VLOOKUP(B116,'WBV 3'!$B$3:$C$34,2,FALSE)),IF(ISNA(VLOOKUP(B116,'WBV 3'!$F$3:$G$34,2,FALSE))=TRUE,0,VLOOKUP(B116,'WBV 3'!$F$3:$G$34,2,FALSE)),IF(ISNA(VLOOKUP(B116,'WBV 3'!$J$3:$K$34,2,FALSE))=TRUE,0,VLOOKUP(B116,'WBV 3'!$J$3:$K$34,2,FALSE)),IF(ISNA(VLOOKUP(B116,'WBV 3'!$N$3:$O$34,2,FALSE))=TRUE,0,VLOOKUP(B116,'WBV 3'!$N$3:$O$34,2,FALSE)))</f>
        <v>0</v>
      </c>
      <c r="K116" s="15">
        <f>MAX(IF(ISNA(VLOOKUP(B116,'WBV 4'!$B$3:$C$34,2,FALSE))=TRUE,0,VLOOKUP(B116,'WBV 4'!$B$3:$C$34,2,FALSE)),IF(ISNA(VLOOKUP(B116,'WBV 4'!$F$3:$G$34,2,FALSE))=TRUE,0,VLOOKUP(B116,'WBV 4'!$F$3:$G$34,2,FALSE)),IF(ISNA(VLOOKUP(B116,'WBV 4'!$J$3:$K$34,2,FALSE))=TRUE,0,VLOOKUP(B116,'WBV 4'!$J$3:$K$34,2,FALSE)),IF(ISNA(VLOOKUP(B116,'WBV 4'!$N$3:$O$34,2,FALSE))=TRUE,0,VLOOKUP(B116,'WBV 4'!$N$3:$O$34,2,FALSE)))</f>
        <v>0</v>
      </c>
      <c r="L116" s="19">
        <f>MAX(IF(ISNA(VLOOKUP(B116,'NÖBV 1'!$B$3:$C$34,2,FALSE))=TRUE,0,VLOOKUP(B116,'NÖBV 1'!$B$3:$C$34,2,FALSE)),IF(ISNA(VLOOKUP(B116,'NÖBV 1'!$F$3:$G$34,2,FALSE))=TRUE,0,VLOOKUP(B116,'NÖBV 1'!$F$3:$G$34,2,FALSE)),IF(ISNA(VLOOKUP(B116,'NÖBV 1'!$J$3:$K$34,2,FALSE))=TRUE,0,VLOOKUP(B116,'NÖBV 1'!$J$3:$K$34,2,FALSE)),IF(ISNA(VLOOKUP(B116,'NÖBV 1'!$N$3:$O$34,2,FALSE))=TRUE,0,VLOOKUP(B116,'NÖBV 1'!$N$3:$O$34,2,FALSE)))</f>
        <v>0</v>
      </c>
      <c r="M116" s="19">
        <f>MAX(IF(ISNA(VLOOKUP(B116,'NÖBV 2'!$B$3:$C$34,2,FALSE))=TRUE,0,VLOOKUP(B116,'NÖBV 2'!$B$3:$C$34,2,FALSE)),IF(ISNA(VLOOKUP(B116,'NÖBV 2'!$F$3:$G$34,2,FALSE))=TRUE,0,VLOOKUP(B116,'NÖBV 2'!$F$3:$G$34,2,FALSE)),IF(ISNA(VLOOKUP(B116,'NÖBV 2'!$J$3:$K$34,2,FALSE))=TRUE,0,VLOOKUP(B116,'NÖBV 2'!$J$3:$K$34,2,FALSE)),IF(ISNA(VLOOKUP(B116,'NÖBV 2'!$N$3:$O$34,2,FALSE))=TRUE,0,VLOOKUP(B116,'NÖBV 2'!$N$3:$O$34,2,FALSE)))</f>
        <v>0</v>
      </c>
      <c r="N116" s="19">
        <f>MAX(IF(ISNA(VLOOKUP(B116,'NÖBV 3'!$B$3:$C$34,2,FALSE))=TRUE,0,VLOOKUP(B116,'NÖBV 3'!$B$3:$C$34,2,FALSE)),IF(ISNA(VLOOKUP(B116,'NÖBV 3'!$F$3:$G$34,2,FALSE))=TRUE,0,VLOOKUP(B116,'NÖBV 3'!$F$3:$G$34,2,FALSE)),IF(ISNA(VLOOKUP(B116,'NÖBV 3'!$J$3:$K$34,2,FALSE))=TRUE,0,VLOOKUP(B116,'NÖBV 3'!$J$3:$K$34,2,FALSE)),IF(ISNA(VLOOKUP(B116,'NÖBV 3'!$N$3:$O$34,2,FALSE))=TRUE,0,VLOOKUP(B116,'NÖBV 3'!$N$3:$O$34,2,FALSE)))</f>
        <v>0</v>
      </c>
      <c r="O116" s="15">
        <f>MAX(IF(ISNA(VLOOKUP(B116,'Regioturnier 1'!$B$3:$C$34,2,FALSE))=TRUE,0,VLOOKUP(B116,'Regioturnier 1'!$B$3:$C$34,2,FALSE)),IF(ISNA(VLOOKUP(B116,'Regioturnier 1'!$F$3:$G$34,2,FALSE))=TRUE,0,VLOOKUP(B116,'Regioturnier 1'!$F$3:$G$34,2,FALSE)),IF(ISNA(VLOOKUP(B116,'Regioturnier 1'!$J$3:$K$34,2,FALSE))=TRUE,0,VLOOKUP(B116,'Regioturnier 1'!$J$3:$K$34,2,FALSE)),IF(ISNA(VLOOKUP(B116,'Regioturnier 1'!$N$3:$O$34,2,FALSE))=TRUE,0,VLOOKUP(B116,'Regioturnier 1'!$N$3:$O$34,2,FALSE)),IF(ISNA(VLOOKUP(B116,'Regioturnier 1'!$R$3:$S$34,2,FALSE))=TRUE,0,VLOOKUP(B116,'Regioturnier 1'!$R$3:$S$34,2,FALSE)), IF(ISNA(VLOOKUP(B116,'Regioturnier 1'!$V$3:$W$34,2,FALSE))=TRUE,0,VLOOKUP(B116,'Regioturnier 1'!$V$3:$W$34,2,FALSE)), IF(ISNA(VLOOKUP(B116,'Regioturnier 1'!$Z$3:$AA$34,2,FALSE))=TRUE,0,VLOOKUP(B116,'Regioturnier 1'!$Z$3:$AA$34,2,FALSE)))</f>
        <v>0</v>
      </c>
      <c r="P116" s="15">
        <f>MAX(IF(ISNA(VLOOKUP(B116,'Regioturnier 2'!$B$3:$C$34,2,FALSE))=TRUE,0,VLOOKUP(B116,'Regioturnier 2'!$B$3:$C$34,2,FALSE)),IF(ISNA(VLOOKUP(B116,'Regioturnier 2'!$F$3:$G$34,2,FALSE))=TRUE,0,VLOOKUP(B116,'Regioturnier 2'!$F$3:$G$34,2,FALSE)),IF(ISNA(VLOOKUP(B116,'Regioturnier 2'!$J$3:$K$34,2,FALSE))=TRUE,0,VLOOKUP(B116,'Regioturnier 2'!$J$3:$K$34,2,FALSE)),IF(ISNA(VLOOKUP(B116,'Regioturnier 2'!$N$3:$O$34,2,FALSE))=TRUE,0,VLOOKUP(B116,'Regioturnier 2'!$N$3:$O$34,2,FALSE)),IF(ISNA(VLOOKUP(B116,'Regioturnier 2'!$R$3:$S$34,2,FALSE))=TRUE,0,VLOOKUP(B116,'Regioturnier 2'!$R$3:$S$34,2,FALSE)), IF(ISNA(VLOOKUP(B116,'Regioturnier 2'!$V$3:$W$34,2,FALSE))=TRUE,0,VLOOKUP(B116,'Regioturnier 2'!$V$3:$W$34,2,FALSE)), IF(ISNA(VLOOKUP(B116,'Regioturnier 2'!$Z$3:$AA$34,2,FALSE))=TRUE,0,VLOOKUP(B116,'Regioturnier 2'!$Z$3:$AA$34,2,FALSE)))</f>
        <v>0</v>
      </c>
      <c r="Q116" s="15">
        <f>MAX(IF(ISNA(VLOOKUP(B116,'Regioturnier 3'!$B$3:$C$34,2,FALSE))=TRUE,0,VLOOKUP(B116,'Regioturnier 3'!$B$3:$C$34,2,FALSE)),IF(ISNA(VLOOKUP(B116,'Regioturnier 3'!$F$3:$G$34,2,FALSE))=TRUE,0,VLOOKUP(B116,'Regioturnier 3'!$F$3:$G$34,2,FALSE)),IF(ISNA(VLOOKUP(B116,'Regioturnier 3'!$J$3:$K$34,2,FALSE))=TRUE,0,VLOOKUP(B116,'Regioturnier 3'!$J$3:$K$34,2,FALSE)),IF(ISNA(VLOOKUP(B116,'Regioturnier 3'!$N$3:$O$34,2,FALSE))=TRUE,0,VLOOKUP(B116,'Regioturnier 3'!$N$3:$O$34,2,FALSE)),IF(ISNA(VLOOKUP(B116,'Regioturnier 3'!$R$3:$S$34,2,FALSE))=TRUE,0,VLOOKUP(B116,'Regioturnier 3'!$R$3:$S$34,2,FALSE)), IF(ISNA(VLOOKUP(B116,'Regioturnier 3'!$V$3:$W$34,2,FALSE))=TRUE,0,VLOOKUP(B116,'Regioturnier 3'!$V$3:$W$34,2,FALSE)), IF(ISNA(VLOOKUP(B116,'Regioturnier 3'!$Z$3:$AA$34,2,FALSE))=TRUE,0,VLOOKUP(B116,'Regioturnier 3'!$Z$3:$AA$34,2,FALSE)))</f>
        <v>0</v>
      </c>
      <c r="R116" s="20">
        <f>0.5*INDEX($H116:$N116,MATCH(LARGE($H116:$N116,1),$H116:$N116,0))+0.3*INDEX($H116:$N116,MATCH(LARGE($H116:$N116,2),$H116:$N116,0))+0.2*INDEX($H116:$N116,MATCH(LARGE($H116:$N116,3),$H116:$N116,0))</f>
        <v>87</v>
      </c>
      <c r="S116" s="20">
        <f>0.6*INDEX(O116:Q116,MATCH(LARGE(O116:Q116,1),O116:Q116,0))+0.4*INDEX(O116:Q116,MATCH(LARGE(O116:Q116,2),O116:Q116,0))+0*INDEX(O116:Q116,MATCH(LARGE(O116:Q116,3),O116:Q116,0))</f>
        <v>0</v>
      </c>
      <c r="T116" s="15">
        <f>1*INDEX(R116:S116,MATCH(LARGE(R116:S116,1),R116:S116,0))+0*INDEX(R116:S116,MATCH(LARGE(R116:S116,2),R116:S116,0))</f>
        <v>87</v>
      </c>
      <c r="U116" s="21"/>
      <c r="V116" s="21"/>
      <c r="W116" s="21"/>
      <c r="X116" s="21"/>
      <c r="Y116" s="21"/>
      <c r="Z116" s="21"/>
    </row>
    <row r="117" spans="1:26" ht="12.75" customHeight="1" x14ac:dyDescent="0.3">
      <c r="A117" s="15">
        <v>116</v>
      </c>
      <c r="B117" s="106" t="s">
        <v>567</v>
      </c>
      <c r="C117" s="106" t="s">
        <v>192</v>
      </c>
      <c r="D117" s="106" t="s">
        <v>22</v>
      </c>
      <c r="E117" s="106" t="s">
        <v>40</v>
      </c>
      <c r="F117" s="106" t="s">
        <v>578</v>
      </c>
      <c r="G117" s="107">
        <v>2010</v>
      </c>
      <c r="H117" s="105">
        <f>MAX(IF(ISNA(VLOOKUP(B117,'WBV 1'!$B$3:$C$34,2,FALSE))=TRUE,0,VLOOKUP(B117,'WBV 1'!$B$3:$C$34,2,FALSE)),IF(ISNA(VLOOKUP(B117,'WBV 1'!$F$3:$G$34,2,FALSE))=TRUE,0,VLOOKUP(B117,'WBV 1'!$F$3:$G$34,2,FALSE)),IF(ISNA(VLOOKUP(B117,'WBV 1'!$J$3:$K$34,2,FALSE))=TRUE,0,VLOOKUP(B117,'WBV 1'!$J$3:$K$34,2,FALSE)),IF(ISNA(VLOOKUP(B117,'WBV 1'!$N$3:$O$34,2,FALSE))=TRUE,0,VLOOKUP(B117,'WBV 1'!$N$3:$O$34,2,FALSE)))</f>
        <v>0</v>
      </c>
      <c r="I117" s="105">
        <f>MAX(IF(ISNA(VLOOKUP(B117,'WBV 2'!$B$3:$C$34,2,FALSE))=TRUE,0,VLOOKUP(B117,'WBV 2'!$B$3:$C$34,2,FALSE)),IF(ISNA(VLOOKUP(B117,'WBV 2'!$F$3:$G$34,2,FALSE))=TRUE,0,VLOOKUP(B117,'WBV 2'!$F$3:$G$34,2,FALSE)),IF(ISNA(VLOOKUP(B117,'WBV 2'!$J$3:$K$34,2,FALSE))=TRUE,0,VLOOKUP(B117,'WBV 2'!$J$3:$K$34,2,FALSE)),IF(ISNA(VLOOKUP(B117,'WBV 2'!$N$3:$O$34,2,FALSE))=TRUE,0,VLOOKUP(B117,'WBV 2'!$N$3:$O$34,2,FALSE)))</f>
        <v>0</v>
      </c>
      <c r="J117" s="105">
        <f>MAX(IF(ISNA(VLOOKUP(B117,'WBV 3'!$B$3:$C$34,2,FALSE))=TRUE,0,VLOOKUP(B117,'WBV 3'!$B$3:$C$34,2,FALSE)),IF(ISNA(VLOOKUP(B117,'WBV 3'!$F$3:$G$34,2,FALSE))=TRUE,0,VLOOKUP(B117,'WBV 3'!$F$3:$G$34,2,FALSE)),IF(ISNA(VLOOKUP(B117,'WBV 3'!$J$3:$K$34,2,FALSE))=TRUE,0,VLOOKUP(B117,'WBV 3'!$J$3:$K$34,2,FALSE)),IF(ISNA(VLOOKUP(B117,'WBV 3'!$N$3:$O$34,2,FALSE))=TRUE,0,VLOOKUP(B117,'WBV 3'!$N$3:$O$34,2,FALSE)))</f>
        <v>0</v>
      </c>
      <c r="K117" s="105">
        <f>MAX(IF(ISNA(VLOOKUP(B117,'WBV 4'!$B$3:$C$34,2,FALSE))=TRUE,0,VLOOKUP(B117,'WBV 4'!$B$3:$C$34,2,FALSE)),IF(ISNA(VLOOKUP(B117,'WBV 4'!$F$3:$G$34,2,FALSE))=TRUE,0,VLOOKUP(B117,'WBV 4'!$F$3:$G$34,2,FALSE)),IF(ISNA(VLOOKUP(B117,'WBV 4'!$J$3:$K$34,2,FALSE))=TRUE,0,VLOOKUP(B117,'WBV 4'!$J$3:$K$34,2,FALSE)),IF(ISNA(VLOOKUP(B117,'WBV 4'!$N$3:$O$34,2,FALSE))=TRUE,0,VLOOKUP(B117,'WBV 4'!$N$3:$O$34,2,FALSE)))</f>
        <v>0</v>
      </c>
      <c r="L117" s="105">
        <f>MAX(IF(ISNA(VLOOKUP(B117,'NÖBV 1'!$B$3:$C$34,2,FALSE))=TRUE,0,VLOOKUP(B117,'NÖBV 1'!$B$3:$C$34,2,FALSE)),IF(ISNA(VLOOKUP(B117,'NÖBV 1'!$F$3:$G$34,2,FALSE))=TRUE,0,VLOOKUP(B117,'NÖBV 1'!$F$3:$G$34,2,FALSE)),IF(ISNA(VLOOKUP(B117,'NÖBV 1'!$J$3:$K$34,2,FALSE))=TRUE,0,VLOOKUP(B117,'NÖBV 1'!$J$3:$K$34,2,FALSE)),IF(ISNA(VLOOKUP(B117,'NÖBV 1'!$N$3:$O$34,2,FALSE))=TRUE,0,VLOOKUP(B117,'NÖBV 1'!$N$3:$O$34,2,FALSE)))</f>
        <v>0</v>
      </c>
      <c r="M117" s="105">
        <f>MAX(IF(ISNA(VLOOKUP(B117,'NÖBV 2'!$B$3:$C$34,2,FALSE))=TRUE,0,VLOOKUP(B117,'NÖBV 2'!$B$3:$C$34,2,FALSE)),IF(ISNA(VLOOKUP(B117,'NÖBV 2'!$F$3:$G$34,2,FALSE))=TRUE,0,VLOOKUP(B117,'NÖBV 2'!$F$3:$G$34,2,FALSE)),IF(ISNA(VLOOKUP(B117,'NÖBV 2'!$J$3:$K$34,2,FALSE))=TRUE,0,VLOOKUP(B117,'NÖBV 2'!$J$3:$K$34,2,FALSE)),IF(ISNA(VLOOKUP(B117,'NÖBV 2'!$N$3:$O$34,2,FALSE))=TRUE,0,VLOOKUP(B117,'NÖBV 2'!$N$3:$O$34,2,FALSE)))</f>
        <v>173</v>
      </c>
      <c r="N117" s="105">
        <f>MAX(IF(ISNA(VLOOKUP(B117,'NÖBV 3'!$B$3:$C$34,2,FALSE))=TRUE,0,VLOOKUP(B117,'NÖBV 3'!$B$3:$C$34,2,FALSE)),IF(ISNA(VLOOKUP(B117,'NÖBV 3'!$F$3:$G$34,2,FALSE))=TRUE,0,VLOOKUP(B117,'NÖBV 3'!$F$3:$G$34,2,FALSE)),IF(ISNA(VLOOKUP(B117,'NÖBV 3'!$J$3:$K$34,2,FALSE))=TRUE,0,VLOOKUP(B117,'NÖBV 3'!$J$3:$K$34,2,FALSE)),IF(ISNA(VLOOKUP(B117,'NÖBV 3'!$N$3:$O$34,2,FALSE))=TRUE,0,VLOOKUP(B117,'NÖBV 3'!$N$3:$O$34,2,FALSE)))</f>
        <v>0</v>
      </c>
      <c r="O117" s="105">
        <f>MAX(IF(ISNA(VLOOKUP(B117,'Regioturnier 1'!$B$3:$C$34,2,FALSE))=TRUE,0,VLOOKUP(B117,'Regioturnier 1'!$B$3:$C$34,2,FALSE)),IF(ISNA(VLOOKUP(B117,'Regioturnier 1'!$F$3:$G$34,2,FALSE))=TRUE,0,VLOOKUP(B117,'Regioturnier 1'!$F$3:$G$34,2,FALSE)),IF(ISNA(VLOOKUP(B117,'Regioturnier 1'!$J$3:$K$34,2,FALSE))=TRUE,0,VLOOKUP(B117,'Regioturnier 1'!$J$3:$K$34,2,FALSE)),IF(ISNA(VLOOKUP(B117,'Regioturnier 1'!$N$3:$O$34,2,FALSE))=TRUE,0,VLOOKUP(B117,'Regioturnier 1'!$N$3:$O$34,2,FALSE)),IF(ISNA(VLOOKUP(B117,'Regioturnier 1'!$R$3:$S$34,2,FALSE))=TRUE,0,VLOOKUP(B117,'Regioturnier 1'!$R$3:$S$34,2,FALSE)), IF(ISNA(VLOOKUP(B117,'Regioturnier 1'!$V$3:$W$34,2,FALSE))=TRUE,0,VLOOKUP(B117,'Regioturnier 1'!$V$3:$W$34,2,FALSE)), IF(ISNA(VLOOKUP(B117,'Regioturnier 1'!$Z$3:$AA$34,2,FALSE))=TRUE,0,VLOOKUP(B117,'Regioturnier 1'!$Z$3:$AA$34,2,FALSE)))</f>
        <v>0</v>
      </c>
      <c r="P117" s="105">
        <f>MAX(IF(ISNA(VLOOKUP(B117,'Regioturnier 2'!$B$3:$C$34,2,FALSE))=TRUE,0,VLOOKUP(B117,'Regioturnier 2'!$B$3:$C$34,2,FALSE)),IF(ISNA(VLOOKUP(B117,'Regioturnier 2'!$F$3:$G$34,2,FALSE))=TRUE,0,VLOOKUP(B117,'Regioturnier 2'!$F$3:$G$34,2,FALSE)),IF(ISNA(VLOOKUP(B117,'Regioturnier 2'!$J$3:$K$34,2,FALSE))=TRUE,0,VLOOKUP(B117,'Regioturnier 2'!$J$3:$K$34,2,FALSE)),IF(ISNA(VLOOKUP(B117,'Regioturnier 2'!$N$3:$O$34,2,FALSE))=TRUE,0,VLOOKUP(B117,'Regioturnier 2'!$N$3:$O$34,2,FALSE)),IF(ISNA(VLOOKUP(B117,'Regioturnier 2'!$R$3:$S$34,2,FALSE))=TRUE,0,VLOOKUP(B117,'Regioturnier 2'!$R$3:$S$34,2,FALSE)), IF(ISNA(VLOOKUP(B117,'Regioturnier 2'!$V$3:$W$34,2,FALSE))=TRUE,0,VLOOKUP(B117,'Regioturnier 2'!$V$3:$W$34,2,FALSE)), IF(ISNA(VLOOKUP(B117,'Regioturnier 2'!$Z$3:$AA$34,2,FALSE))=TRUE,0,VLOOKUP(B117,'Regioturnier 2'!$Z$3:$AA$34,2,FALSE)))</f>
        <v>0</v>
      </c>
      <c r="Q117" s="105">
        <f>MAX(IF(ISNA(VLOOKUP(B117,'Regioturnier 3'!$B$3:$C$34,2,FALSE))=TRUE,0,VLOOKUP(B117,'Regioturnier 3'!$B$3:$C$34,2,FALSE)),IF(ISNA(VLOOKUP(B117,'Regioturnier 3'!$F$3:$G$34,2,FALSE))=TRUE,0,VLOOKUP(B117,'Regioturnier 3'!$F$3:$G$34,2,FALSE)),IF(ISNA(VLOOKUP(B117,'Regioturnier 3'!$J$3:$K$34,2,FALSE))=TRUE,0,VLOOKUP(B117,'Regioturnier 3'!$J$3:$K$34,2,FALSE)),IF(ISNA(VLOOKUP(B117,'Regioturnier 3'!$N$3:$O$34,2,FALSE))=TRUE,0,VLOOKUP(B117,'Regioturnier 3'!$N$3:$O$34,2,FALSE)),IF(ISNA(VLOOKUP(B117,'Regioturnier 3'!$R$3:$S$34,2,FALSE))=TRUE,0,VLOOKUP(B117,'Regioturnier 3'!$R$3:$S$34,2,FALSE)), IF(ISNA(VLOOKUP(B117,'Regioturnier 3'!$V$3:$W$34,2,FALSE))=TRUE,0,VLOOKUP(B117,'Regioturnier 3'!$V$3:$W$34,2,FALSE)), IF(ISNA(VLOOKUP(B117,'Regioturnier 3'!$Z$3:$AA$34,2,FALSE))=TRUE,0,VLOOKUP(B117,'Regioturnier 3'!$Z$3:$AA$34,2,FALSE)))</f>
        <v>0</v>
      </c>
      <c r="R117" s="108">
        <f>0.5*INDEX($H117:$N117,MATCH(LARGE($H117:$N117,1),$H117:$N117,0))+0.3*INDEX($H117:$N117,MATCH(LARGE($H117:$N117,2),$H117:$N117,0))+0.2*INDEX($H117:$N117,MATCH(LARGE($H117:$N117,3),$H117:$N117,0))</f>
        <v>86.5</v>
      </c>
      <c r="S117" s="108">
        <f>0.6*INDEX(O117:Q117,MATCH(LARGE(O117:Q117,1),O117:Q117,0))+0.4*INDEX(O117:Q117,MATCH(LARGE(O117:Q117,2),O117:Q117,0))+0*INDEX(O117:Q117,MATCH(LARGE(O117:Q117,3),O117:Q117,0))</f>
        <v>0</v>
      </c>
      <c r="T117" s="105">
        <f>1*INDEX(R117:S117,MATCH(LARGE(R117:S117,1),R117:S117,0))+0*INDEX(R117:S117,MATCH(LARGE(R117:S117,2),R117:S117,0))</f>
        <v>86.5</v>
      </c>
      <c r="U117" s="21"/>
      <c r="V117" s="21"/>
      <c r="W117" s="21"/>
      <c r="X117" s="21"/>
      <c r="Y117" s="21"/>
      <c r="Z117" s="21"/>
    </row>
    <row r="118" spans="1:26" ht="12.75" customHeight="1" x14ac:dyDescent="0.3">
      <c r="A118" s="15">
        <v>117</v>
      </c>
      <c r="B118" s="16" t="s">
        <v>216</v>
      </c>
      <c r="C118" s="17" t="s">
        <v>54</v>
      </c>
      <c r="D118" s="15" t="s">
        <v>22</v>
      </c>
      <c r="E118" s="18" t="s">
        <v>23</v>
      </c>
      <c r="F118" s="15">
        <v>208754</v>
      </c>
      <c r="G118" s="22">
        <v>2010</v>
      </c>
      <c r="H118" s="15">
        <f>MAX(IF(ISNA(VLOOKUP(B118,'WBV 1'!$B$3:$C$34,2,FALSE))=TRUE,0,VLOOKUP(B118,'WBV 1'!$B$3:$C$34,2,FALSE)),IF(ISNA(VLOOKUP(B118,'WBV 1'!$F$3:$G$34,2,FALSE))=TRUE,0,VLOOKUP(B118,'WBV 1'!$F$3:$G$34,2,FALSE)),IF(ISNA(VLOOKUP(B118,'WBV 1'!$J$3:$K$34,2,FALSE))=TRUE,0,VLOOKUP(B118,'WBV 1'!$J$3:$K$34,2,FALSE)),IF(ISNA(VLOOKUP(B118,'WBV 1'!$N$3:$O$34,2,FALSE))=TRUE,0,VLOOKUP(B118,'WBV 1'!$N$3:$O$34,2,FALSE)))</f>
        <v>0</v>
      </c>
      <c r="I118" s="15">
        <f>MAX(IF(ISNA(VLOOKUP(B118,'WBV 2'!$B$3:$C$34,2,FALSE))=TRUE,0,VLOOKUP(B118,'WBV 2'!$B$3:$C$34,2,FALSE)),IF(ISNA(VLOOKUP(B118,'WBV 2'!$F$3:$G$34,2,FALSE))=TRUE,0,VLOOKUP(B118,'WBV 2'!$F$3:$G$34,2,FALSE)),IF(ISNA(VLOOKUP(B118,'WBV 2'!$J$3:$K$34,2,FALSE))=TRUE,0,VLOOKUP(B118,'WBV 2'!$J$3:$K$34,2,FALSE)),IF(ISNA(VLOOKUP(B118,'WBV 2'!$N$3:$O$34,2,FALSE))=TRUE,0,VLOOKUP(B118,'WBV 2'!$N$3:$O$34,2,FALSE)))</f>
        <v>0</v>
      </c>
      <c r="J118" s="15">
        <f>MAX(IF(ISNA(VLOOKUP(B118,'WBV 3'!$B$3:$C$34,2,FALSE))=TRUE,0,VLOOKUP(B118,'WBV 3'!$B$3:$C$34,2,FALSE)),IF(ISNA(VLOOKUP(B118,'WBV 3'!$F$3:$G$34,2,FALSE))=TRUE,0,VLOOKUP(B118,'WBV 3'!$F$3:$G$34,2,FALSE)),IF(ISNA(VLOOKUP(B118,'WBV 3'!$J$3:$K$34,2,FALSE))=TRUE,0,VLOOKUP(B118,'WBV 3'!$J$3:$K$34,2,FALSE)),IF(ISNA(VLOOKUP(B118,'WBV 3'!$N$3:$O$34,2,FALSE))=TRUE,0,VLOOKUP(B118,'WBV 3'!$N$3:$O$34,2,FALSE)))</f>
        <v>0</v>
      </c>
      <c r="K118" s="15">
        <f>MAX(IF(ISNA(VLOOKUP(B118,'WBV 4'!$B$3:$C$34,2,FALSE))=TRUE,0,VLOOKUP(B118,'WBV 4'!$B$3:$C$34,2,FALSE)),IF(ISNA(VLOOKUP(B118,'WBV 4'!$F$3:$G$34,2,FALSE))=TRUE,0,VLOOKUP(B118,'WBV 4'!$F$3:$G$34,2,FALSE)),IF(ISNA(VLOOKUP(B118,'WBV 4'!$J$3:$K$34,2,FALSE))=TRUE,0,VLOOKUP(B118,'WBV 4'!$J$3:$K$34,2,FALSE)),IF(ISNA(VLOOKUP(B118,'WBV 4'!$N$3:$O$34,2,FALSE))=TRUE,0,VLOOKUP(B118,'WBV 4'!$N$3:$O$34,2,FALSE)))</f>
        <v>0</v>
      </c>
      <c r="L118" s="19">
        <f>MAX(IF(ISNA(VLOOKUP(B118,'NÖBV 1'!$B$3:$C$34,2,FALSE))=TRUE,0,VLOOKUP(B118,'NÖBV 1'!$B$3:$C$34,2,FALSE)),IF(ISNA(VLOOKUP(B118,'NÖBV 1'!$F$3:$G$34,2,FALSE))=TRUE,0,VLOOKUP(B118,'NÖBV 1'!$F$3:$G$34,2,FALSE)),IF(ISNA(VLOOKUP(B118,'NÖBV 1'!$J$3:$K$34,2,FALSE))=TRUE,0,VLOOKUP(B118,'NÖBV 1'!$J$3:$K$34,2,FALSE)),IF(ISNA(VLOOKUP(B118,'NÖBV 1'!$N$3:$O$34,2,FALSE))=TRUE,0,VLOOKUP(B118,'NÖBV 1'!$N$3:$O$34,2,FALSE)))</f>
        <v>172</v>
      </c>
      <c r="M118" s="19">
        <f>MAX(IF(ISNA(VLOOKUP(B118,'NÖBV 2'!$B$3:$C$34,2,FALSE))=TRUE,0,VLOOKUP(B118,'NÖBV 2'!$B$3:$C$34,2,FALSE)),IF(ISNA(VLOOKUP(B118,'NÖBV 2'!$F$3:$G$34,2,FALSE))=TRUE,0,VLOOKUP(B118,'NÖBV 2'!$F$3:$G$34,2,FALSE)),IF(ISNA(VLOOKUP(B118,'NÖBV 2'!$J$3:$K$34,2,FALSE))=TRUE,0,VLOOKUP(B118,'NÖBV 2'!$J$3:$K$34,2,FALSE)),IF(ISNA(VLOOKUP(B118,'NÖBV 2'!$N$3:$O$34,2,FALSE))=TRUE,0,VLOOKUP(B118,'NÖBV 2'!$N$3:$O$34,2,FALSE)))</f>
        <v>0</v>
      </c>
      <c r="N118" s="19">
        <f>MAX(IF(ISNA(VLOOKUP(B118,'NÖBV 3'!$B$3:$C$34,2,FALSE))=TRUE,0,VLOOKUP(B118,'NÖBV 3'!$B$3:$C$34,2,FALSE)),IF(ISNA(VLOOKUP(B118,'NÖBV 3'!$F$3:$G$34,2,FALSE))=TRUE,0,VLOOKUP(B118,'NÖBV 3'!$F$3:$G$34,2,FALSE)),IF(ISNA(VLOOKUP(B118,'NÖBV 3'!$J$3:$K$34,2,FALSE))=TRUE,0,VLOOKUP(B118,'NÖBV 3'!$J$3:$K$34,2,FALSE)),IF(ISNA(VLOOKUP(B118,'NÖBV 3'!$N$3:$O$34,2,FALSE))=TRUE,0,VLOOKUP(B118,'NÖBV 3'!$N$3:$O$34,2,FALSE)))</f>
        <v>0</v>
      </c>
      <c r="O118" s="15">
        <f>MAX(IF(ISNA(VLOOKUP(B118,'Regioturnier 1'!$B$3:$C$34,2,FALSE))=TRUE,0,VLOOKUP(B118,'Regioturnier 1'!$B$3:$C$34,2,FALSE)),IF(ISNA(VLOOKUP(B118,'Regioturnier 1'!$F$3:$G$34,2,FALSE))=TRUE,0,VLOOKUP(B118,'Regioturnier 1'!$F$3:$G$34,2,FALSE)),IF(ISNA(VLOOKUP(B118,'Regioturnier 1'!$J$3:$K$34,2,FALSE))=TRUE,0,VLOOKUP(B118,'Regioturnier 1'!$J$3:$K$34,2,FALSE)),IF(ISNA(VLOOKUP(B118,'Regioturnier 1'!$N$3:$O$34,2,FALSE))=TRUE,0,VLOOKUP(B118,'Regioturnier 1'!$N$3:$O$34,2,FALSE)),IF(ISNA(VLOOKUP(B118,'Regioturnier 1'!$R$3:$S$34,2,FALSE))=TRUE,0,VLOOKUP(B118,'Regioturnier 1'!$R$3:$S$34,2,FALSE)), IF(ISNA(VLOOKUP(B118,'Regioturnier 1'!$V$3:$W$34,2,FALSE))=TRUE,0,VLOOKUP(B118,'Regioturnier 1'!$V$3:$W$34,2,FALSE)), IF(ISNA(VLOOKUP(B118,'Regioturnier 1'!$Z$3:$AA$34,2,FALSE))=TRUE,0,VLOOKUP(B118,'Regioturnier 1'!$Z$3:$AA$34,2,FALSE)))</f>
        <v>0</v>
      </c>
      <c r="P118" s="15">
        <f>MAX(IF(ISNA(VLOOKUP(B118,'Regioturnier 2'!$B$3:$C$34,2,FALSE))=TRUE,0,VLOOKUP(B118,'Regioturnier 2'!$B$3:$C$34,2,FALSE)),IF(ISNA(VLOOKUP(B118,'Regioturnier 2'!$F$3:$G$34,2,FALSE))=TRUE,0,VLOOKUP(B118,'Regioturnier 2'!$F$3:$G$34,2,FALSE)),IF(ISNA(VLOOKUP(B118,'Regioturnier 2'!$J$3:$K$34,2,FALSE))=TRUE,0,VLOOKUP(B118,'Regioturnier 2'!$J$3:$K$34,2,FALSE)),IF(ISNA(VLOOKUP(B118,'Regioturnier 2'!$N$3:$O$34,2,FALSE))=TRUE,0,VLOOKUP(B118,'Regioturnier 2'!$N$3:$O$34,2,FALSE)),IF(ISNA(VLOOKUP(B118,'Regioturnier 2'!$R$3:$S$34,2,FALSE))=TRUE,0,VLOOKUP(B118,'Regioturnier 2'!$R$3:$S$34,2,FALSE)), IF(ISNA(VLOOKUP(B118,'Regioturnier 2'!$V$3:$W$34,2,FALSE))=TRUE,0,VLOOKUP(B118,'Regioturnier 2'!$V$3:$W$34,2,FALSE)), IF(ISNA(VLOOKUP(B118,'Regioturnier 2'!$Z$3:$AA$34,2,FALSE))=TRUE,0,VLOOKUP(B118,'Regioturnier 2'!$Z$3:$AA$34,2,FALSE)))</f>
        <v>0</v>
      </c>
      <c r="Q118" s="15">
        <f>MAX(IF(ISNA(VLOOKUP(B118,'Regioturnier 3'!$B$3:$C$34,2,FALSE))=TRUE,0,VLOOKUP(B118,'Regioturnier 3'!$B$3:$C$34,2,FALSE)),IF(ISNA(VLOOKUP(B118,'Regioturnier 3'!$F$3:$G$34,2,FALSE))=TRUE,0,VLOOKUP(B118,'Regioturnier 3'!$F$3:$G$34,2,FALSE)),IF(ISNA(VLOOKUP(B118,'Regioturnier 3'!$J$3:$K$34,2,FALSE))=TRUE,0,VLOOKUP(B118,'Regioturnier 3'!$J$3:$K$34,2,FALSE)),IF(ISNA(VLOOKUP(B118,'Regioturnier 3'!$N$3:$O$34,2,FALSE))=TRUE,0,VLOOKUP(B118,'Regioturnier 3'!$N$3:$O$34,2,FALSE)),IF(ISNA(VLOOKUP(B118,'Regioturnier 3'!$R$3:$S$34,2,FALSE))=TRUE,0,VLOOKUP(B118,'Regioturnier 3'!$R$3:$S$34,2,FALSE)), IF(ISNA(VLOOKUP(B118,'Regioturnier 3'!$V$3:$W$34,2,FALSE))=TRUE,0,VLOOKUP(B118,'Regioturnier 3'!$V$3:$W$34,2,FALSE)), IF(ISNA(VLOOKUP(B118,'Regioturnier 3'!$Z$3:$AA$34,2,FALSE))=TRUE,0,VLOOKUP(B118,'Regioturnier 3'!$Z$3:$AA$34,2,FALSE)))</f>
        <v>0</v>
      </c>
      <c r="R118" s="20">
        <f>0.5*INDEX($H118:$N118,MATCH(LARGE($H118:$N118,1),$H118:$N118,0))+0.3*INDEX($H118:$N118,MATCH(LARGE($H118:$N118,2),$H118:$N118,0))+0.2*INDEX($H118:$N118,MATCH(LARGE($H118:$N118,3),$H118:$N118,0))</f>
        <v>86</v>
      </c>
      <c r="S118" s="20">
        <f>0.6*INDEX(O118:Q118,MATCH(LARGE(O118:Q118,1),O118:Q118,0))+0.4*INDEX(O118:Q118,MATCH(LARGE(O118:Q118,2),O118:Q118,0))+0*INDEX(O118:Q118,MATCH(LARGE(O118:Q118,3),O118:Q118,0))</f>
        <v>0</v>
      </c>
      <c r="T118" s="15">
        <f>1*INDEX(R118:S118,MATCH(LARGE(R118:S118,1),R118:S118,0))+0*INDEX(R118:S118,MATCH(LARGE(R118:S118,2),R118:S118,0))</f>
        <v>86</v>
      </c>
      <c r="U118" s="21"/>
      <c r="V118" s="21"/>
      <c r="W118" s="21"/>
      <c r="X118" s="21"/>
      <c r="Y118" s="21"/>
      <c r="Z118" s="21"/>
    </row>
    <row r="119" spans="1:26" ht="12.75" customHeight="1" x14ac:dyDescent="0.3">
      <c r="A119" s="15">
        <v>118</v>
      </c>
      <c r="B119" s="21" t="s">
        <v>612</v>
      </c>
      <c r="C119" s="21" t="s">
        <v>31</v>
      </c>
      <c r="D119" s="15" t="s">
        <v>26</v>
      </c>
      <c r="E119" s="15" t="s">
        <v>23</v>
      </c>
      <c r="F119" s="15" t="s">
        <v>628</v>
      </c>
      <c r="G119" s="15">
        <v>2015</v>
      </c>
      <c r="H119" s="15">
        <f>MAX(IF(ISNA(VLOOKUP(B119,'WBV 1'!$B$3:$C$34,2,FALSE))=TRUE,0,VLOOKUP(B119,'WBV 1'!$B$3:$C$34,2,FALSE)),IF(ISNA(VLOOKUP(B119,'WBV 1'!$F$3:$G$34,2,FALSE))=TRUE,0,VLOOKUP(B119,'WBV 1'!$F$3:$G$34,2,FALSE)),IF(ISNA(VLOOKUP(B119,'WBV 1'!$J$3:$K$34,2,FALSE))=TRUE,0,VLOOKUP(B119,'WBV 1'!$J$3:$K$34,2,FALSE)),IF(ISNA(VLOOKUP(B119,'WBV 1'!$N$3:$O$34,2,FALSE))=TRUE,0,VLOOKUP(B119,'WBV 1'!$N$3:$O$34,2,FALSE)))</f>
        <v>0</v>
      </c>
      <c r="I119" s="15">
        <f>MAX(IF(ISNA(VLOOKUP(B119,'WBV 2'!$B$3:$C$34,2,FALSE))=TRUE,0,VLOOKUP(B119,'WBV 2'!$B$3:$C$34,2,FALSE)),IF(ISNA(VLOOKUP(B119,'WBV 2'!$F$3:$G$34,2,FALSE))=TRUE,0,VLOOKUP(B119,'WBV 2'!$F$3:$G$34,2,FALSE)),IF(ISNA(VLOOKUP(B119,'WBV 2'!$J$3:$K$34,2,FALSE))=TRUE,0,VLOOKUP(B119,'WBV 2'!$J$3:$K$34,2,FALSE)),IF(ISNA(VLOOKUP(B119,'WBV 2'!$N$3:$O$34,2,FALSE))=TRUE,0,VLOOKUP(B119,'WBV 2'!$N$3:$O$34,2,FALSE)))</f>
        <v>0</v>
      </c>
      <c r="J119" s="15">
        <f>MAX(IF(ISNA(VLOOKUP(B119,'WBV 3'!$B$3:$C$34,2,FALSE))=TRUE,0,VLOOKUP(B119,'WBV 3'!$B$3:$C$34,2,FALSE)),IF(ISNA(VLOOKUP(B119,'WBV 3'!$F$3:$G$34,2,FALSE))=TRUE,0,VLOOKUP(B119,'WBV 3'!$F$3:$G$34,2,FALSE)),IF(ISNA(VLOOKUP(B119,'WBV 3'!$J$3:$K$34,2,FALSE))=TRUE,0,VLOOKUP(B119,'WBV 3'!$J$3:$K$34,2,FALSE)),IF(ISNA(VLOOKUP(B119,'WBV 3'!$N$3:$O$34,2,FALSE))=TRUE,0,VLOOKUP(B119,'WBV 3'!$N$3:$O$34,2,FALSE)))</f>
        <v>170</v>
      </c>
      <c r="K119" s="15">
        <f>MAX(IF(ISNA(VLOOKUP(B119,'WBV 4'!$B$3:$C$34,2,FALSE))=TRUE,0,VLOOKUP(B119,'WBV 4'!$B$3:$C$34,2,FALSE)),IF(ISNA(VLOOKUP(B119,'WBV 4'!$F$3:$G$34,2,FALSE))=TRUE,0,VLOOKUP(B119,'WBV 4'!$F$3:$G$34,2,FALSE)),IF(ISNA(VLOOKUP(B119,'WBV 4'!$J$3:$K$34,2,FALSE))=TRUE,0,VLOOKUP(B119,'WBV 4'!$J$3:$K$34,2,FALSE)),IF(ISNA(VLOOKUP(B119,'WBV 4'!$N$3:$O$34,2,FALSE))=TRUE,0,VLOOKUP(B119,'WBV 4'!$N$3:$O$34,2,FALSE)))</f>
        <v>0</v>
      </c>
      <c r="L119" s="19">
        <f>MAX(IF(ISNA(VLOOKUP(B119,'NÖBV 1'!$B$3:$C$34,2,FALSE))=TRUE,0,VLOOKUP(B119,'NÖBV 1'!$B$3:$C$34,2,FALSE)),IF(ISNA(VLOOKUP(B119,'NÖBV 1'!$F$3:$G$34,2,FALSE))=TRUE,0,VLOOKUP(B119,'NÖBV 1'!$F$3:$G$34,2,FALSE)),IF(ISNA(VLOOKUP(B119,'NÖBV 1'!$J$3:$K$34,2,FALSE))=TRUE,0,VLOOKUP(B119,'NÖBV 1'!$J$3:$K$34,2,FALSE)),IF(ISNA(VLOOKUP(B119,'NÖBV 1'!$N$3:$O$34,2,FALSE))=TRUE,0,VLOOKUP(B119,'NÖBV 1'!$N$3:$O$34,2,FALSE)))</f>
        <v>0</v>
      </c>
      <c r="M119" s="19">
        <f>MAX(IF(ISNA(VLOOKUP(B119,'NÖBV 2'!$B$3:$C$34,2,FALSE))=TRUE,0,VLOOKUP(B119,'NÖBV 2'!$B$3:$C$34,2,FALSE)),IF(ISNA(VLOOKUP(B119,'NÖBV 2'!$F$3:$G$34,2,FALSE))=TRUE,0,VLOOKUP(B119,'NÖBV 2'!$F$3:$G$34,2,FALSE)),IF(ISNA(VLOOKUP(B119,'NÖBV 2'!$J$3:$K$34,2,FALSE))=TRUE,0,VLOOKUP(B119,'NÖBV 2'!$J$3:$K$34,2,FALSE)),IF(ISNA(VLOOKUP(B119,'NÖBV 2'!$N$3:$O$34,2,FALSE))=TRUE,0,VLOOKUP(B119,'NÖBV 2'!$N$3:$O$34,2,FALSE)))</f>
        <v>0</v>
      </c>
      <c r="N119" s="19">
        <f>MAX(IF(ISNA(VLOOKUP(B119,'NÖBV 3'!$B$3:$C$34,2,FALSE))=TRUE,0,VLOOKUP(B119,'NÖBV 3'!$B$3:$C$34,2,FALSE)),IF(ISNA(VLOOKUP(B119,'NÖBV 3'!$F$3:$G$34,2,FALSE))=TRUE,0,VLOOKUP(B119,'NÖBV 3'!$F$3:$G$34,2,FALSE)),IF(ISNA(VLOOKUP(B119,'NÖBV 3'!$J$3:$K$34,2,FALSE))=TRUE,0,VLOOKUP(B119,'NÖBV 3'!$J$3:$K$34,2,FALSE)),IF(ISNA(VLOOKUP(B119,'NÖBV 3'!$N$3:$O$34,2,FALSE))=TRUE,0,VLOOKUP(B119,'NÖBV 3'!$N$3:$O$34,2,FALSE)))</f>
        <v>0</v>
      </c>
      <c r="O119" s="15">
        <f>MAX(IF(ISNA(VLOOKUP(B119,'Regioturnier 1'!$B$3:$C$34,2,FALSE))=TRUE,0,VLOOKUP(B119,'Regioturnier 1'!$B$3:$C$34,2,FALSE)),IF(ISNA(VLOOKUP(B119,'Regioturnier 1'!$F$3:$G$34,2,FALSE))=TRUE,0,VLOOKUP(B119,'Regioturnier 1'!$F$3:$G$34,2,FALSE)),IF(ISNA(VLOOKUP(B119,'Regioturnier 1'!$J$3:$K$34,2,FALSE))=TRUE,0,VLOOKUP(B119,'Regioturnier 1'!$J$3:$K$34,2,FALSE)),IF(ISNA(VLOOKUP(B119,'Regioturnier 1'!$N$3:$O$34,2,FALSE))=TRUE,0,VLOOKUP(B119,'Regioturnier 1'!$N$3:$O$34,2,FALSE)),IF(ISNA(VLOOKUP(B119,'Regioturnier 1'!$R$3:$S$34,2,FALSE))=TRUE,0,VLOOKUP(B119,'Regioturnier 1'!$R$3:$S$34,2,FALSE)), IF(ISNA(VLOOKUP(B119,'Regioturnier 1'!$V$3:$W$34,2,FALSE))=TRUE,0,VLOOKUP(B119,'Regioturnier 1'!$V$3:$W$34,2,FALSE)), IF(ISNA(VLOOKUP(B119,'Regioturnier 1'!$Z$3:$AA$34,2,FALSE))=TRUE,0,VLOOKUP(B119,'Regioturnier 1'!$Z$3:$AA$34,2,FALSE)))</f>
        <v>0</v>
      </c>
      <c r="P119" s="15">
        <f>MAX(IF(ISNA(VLOOKUP(B119,'Regioturnier 2'!$B$3:$C$34,2,FALSE))=TRUE,0,VLOOKUP(B119,'Regioturnier 2'!$B$3:$C$34,2,FALSE)),IF(ISNA(VLOOKUP(B119,'Regioturnier 2'!$F$3:$G$34,2,FALSE))=TRUE,0,VLOOKUP(B119,'Regioturnier 2'!$F$3:$G$34,2,FALSE)),IF(ISNA(VLOOKUP(B119,'Regioturnier 2'!$J$3:$K$34,2,FALSE))=TRUE,0,VLOOKUP(B119,'Regioturnier 2'!$J$3:$K$34,2,FALSE)),IF(ISNA(VLOOKUP(B119,'Regioturnier 2'!$N$3:$O$34,2,FALSE))=TRUE,0,VLOOKUP(B119,'Regioturnier 2'!$N$3:$O$34,2,FALSE)),IF(ISNA(VLOOKUP(B119,'Regioturnier 2'!$R$3:$S$34,2,FALSE))=TRUE,0,VLOOKUP(B119,'Regioturnier 2'!$R$3:$S$34,2,FALSE)), IF(ISNA(VLOOKUP(B119,'Regioturnier 2'!$V$3:$W$34,2,FALSE))=TRUE,0,VLOOKUP(B119,'Regioturnier 2'!$V$3:$W$34,2,FALSE)), IF(ISNA(VLOOKUP(B119,'Regioturnier 2'!$Z$3:$AA$34,2,FALSE))=TRUE,0,VLOOKUP(B119,'Regioturnier 2'!$Z$3:$AA$34,2,FALSE)))</f>
        <v>0</v>
      </c>
      <c r="Q119" s="15">
        <f>MAX(IF(ISNA(VLOOKUP(B119,'Regioturnier 3'!$B$3:$C$34,2,FALSE))=TRUE,0,VLOOKUP(B119,'Regioturnier 3'!$B$3:$C$34,2,FALSE)),IF(ISNA(VLOOKUP(B119,'Regioturnier 3'!$F$3:$G$34,2,FALSE))=TRUE,0,VLOOKUP(B119,'Regioturnier 3'!$F$3:$G$34,2,FALSE)),IF(ISNA(VLOOKUP(B119,'Regioturnier 3'!$J$3:$K$34,2,FALSE))=TRUE,0,VLOOKUP(B119,'Regioturnier 3'!$J$3:$K$34,2,FALSE)),IF(ISNA(VLOOKUP(B119,'Regioturnier 3'!$N$3:$O$34,2,FALSE))=TRUE,0,VLOOKUP(B119,'Regioturnier 3'!$N$3:$O$34,2,FALSE)),IF(ISNA(VLOOKUP(B119,'Regioturnier 3'!$R$3:$S$34,2,FALSE))=TRUE,0,VLOOKUP(B119,'Regioturnier 3'!$R$3:$S$34,2,FALSE)), IF(ISNA(VLOOKUP(B119,'Regioturnier 3'!$V$3:$W$34,2,FALSE))=TRUE,0,VLOOKUP(B119,'Regioturnier 3'!$V$3:$W$34,2,FALSE)), IF(ISNA(VLOOKUP(B119,'Regioturnier 3'!$Z$3:$AA$34,2,FALSE))=TRUE,0,VLOOKUP(B119,'Regioturnier 3'!$Z$3:$AA$34,2,FALSE)))</f>
        <v>0</v>
      </c>
      <c r="R119" s="20">
        <f>0.5*INDEX($H119:$N119,MATCH(LARGE($H119:$N119,1),$H119:$N119,0))+0.3*INDEX($H119:$N119,MATCH(LARGE($H119:$N119,2),$H119:$N119,0))+0.2*INDEX($H119:$N119,MATCH(LARGE($H119:$N119,3),$H119:$N119,0))</f>
        <v>85</v>
      </c>
      <c r="S119" s="20">
        <f>0.6*INDEX(O119:Q119,MATCH(LARGE(O119:Q119,1),O119:Q119,0))+0.4*INDEX(O119:Q119,MATCH(LARGE(O119:Q119,2),O119:Q119,0))+0*INDEX(O119:Q119,MATCH(LARGE(O119:Q119,3),O119:Q119,0))</f>
        <v>0</v>
      </c>
      <c r="T119" s="15">
        <f>1*INDEX(R119:S119,MATCH(LARGE(R119:S119,1),R119:S119,0))+0*INDEX(R119:S119,MATCH(LARGE(R119:S119,2),R119:S119,0))</f>
        <v>85</v>
      </c>
      <c r="U119" s="21"/>
      <c r="V119" s="21"/>
      <c r="W119" s="21"/>
      <c r="X119" s="21"/>
      <c r="Y119" s="21"/>
      <c r="Z119" s="21"/>
    </row>
    <row r="120" spans="1:26" ht="12.75" customHeight="1" x14ac:dyDescent="0.3">
      <c r="A120" s="15">
        <v>119</v>
      </c>
      <c r="B120" s="16" t="s">
        <v>91</v>
      </c>
      <c r="C120" s="17" t="s">
        <v>25</v>
      </c>
      <c r="D120" s="15" t="s">
        <v>26</v>
      </c>
      <c r="E120" s="18" t="s">
        <v>23</v>
      </c>
      <c r="F120" s="15">
        <v>110789</v>
      </c>
      <c r="G120" s="22">
        <v>2014</v>
      </c>
      <c r="H120" s="15">
        <f>MAX(IF(ISNA(VLOOKUP(B120,'WBV 1'!$B$3:$C$34,2,FALSE))=TRUE,0,VLOOKUP(B120,'WBV 1'!$B$3:$C$34,2,FALSE)),IF(ISNA(VLOOKUP(B120,'WBV 1'!$F$3:$G$34,2,FALSE))=TRUE,0,VLOOKUP(B120,'WBV 1'!$F$3:$G$34,2,FALSE)),IF(ISNA(VLOOKUP(B120,'WBV 1'!$J$3:$K$34,2,FALSE))=TRUE,0,VLOOKUP(B120,'WBV 1'!$J$3:$K$34,2,FALSE)),IF(ISNA(VLOOKUP(B120,'WBV 1'!$N$3:$O$34,2,FALSE))=TRUE,0,VLOOKUP(B120,'WBV 1'!$N$3:$O$34,2,FALSE)))</f>
        <v>170</v>
      </c>
      <c r="I120" s="15">
        <f>MAX(IF(ISNA(VLOOKUP(B120,'WBV 2'!$B$3:$C$34,2,FALSE))=TRUE,0,VLOOKUP(B120,'WBV 2'!$B$3:$C$34,2,FALSE)),IF(ISNA(VLOOKUP(B120,'WBV 2'!$F$3:$G$34,2,FALSE))=TRUE,0,VLOOKUP(B120,'WBV 2'!$F$3:$G$34,2,FALSE)),IF(ISNA(VLOOKUP(B120,'WBV 2'!$J$3:$K$34,2,FALSE))=TRUE,0,VLOOKUP(B120,'WBV 2'!$J$3:$K$34,2,FALSE)),IF(ISNA(VLOOKUP(B120,'WBV 2'!$N$3:$O$34,2,FALSE))=TRUE,0,VLOOKUP(B120,'WBV 2'!$N$3:$O$34,2,FALSE)))</f>
        <v>0</v>
      </c>
      <c r="J120" s="15">
        <f>MAX(IF(ISNA(VLOOKUP(B120,'WBV 3'!$B$3:$C$34,2,FALSE))=TRUE,0,VLOOKUP(B120,'WBV 3'!$B$3:$C$34,2,FALSE)),IF(ISNA(VLOOKUP(B120,'WBV 3'!$F$3:$G$34,2,FALSE))=TRUE,0,VLOOKUP(B120,'WBV 3'!$F$3:$G$34,2,FALSE)),IF(ISNA(VLOOKUP(B120,'WBV 3'!$J$3:$K$34,2,FALSE))=TRUE,0,VLOOKUP(B120,'WBV 3'!$J$3:$K$34,2,FALSE)),IF(ISNA(VLOOKUP(B120,'WBV 3'!$N$3:$O$34,2,FALSE))=TRUE,0,VLOOKUP(B120,'WBV 3'!$N$3:$O$34,2,FALSE)))</f>
        <v>0</v>
      </c>
      <c r="K120" s="15">
        <f>MAX(IF(ISNA(VLOOKUP(B120,'WBV 4'!$B$3:$C$34,2,FALSE))=TRUE,0,VLOOKUP(B120,'WBV 4'!$B$3:$C$34,2,FALSE)),IF(ISNA(VLOOKUP(B120,'WBV 4'!$F$3:$G$34,2,FALSE))=TRUE,0,VLOOKUP(B120,'WBV 4'!$F$3:$G$34,2,FALSE)),IF(ISNA(VLOOKUP(B120,'WBV 4'!$J$3:$K$34,2,FALSE))=TRUE,0,VLOOKUP(B120,'WBV 4'!$J$3:$K$34,2,FALSE)),IF(ISNA(VLOOKUP(B120,'WBV 4'!$N$3:$O$34,2,FALSE))=TRUE,0,VLOOKUP(B120,'WBV 4'!$N$3:$O$34,2,FALSE)))</f>
        <v>0</v>
      </c>
      <c r="L120" s="19">
        <f>MAX(IF(ISNA(VLOOKUP(B120,'NÖBV 1'!$B$3:$C$34,2,FALSE))=TRUE,0,VLOOKUP(B120,'NÖBV 1'!$B$3:$C$34,2,FALSE)),IF(ISNA(VLOOKUP(B120,'NÖBV 1'!$F$3:$G$34,2,FALSE))=TRUE,0,VLOOKUP(B120,'NÖBV 1'!$F$3:$G$34,2,FALSE)),IF(ISNA(VLOOKUP(B120,'NÖBV 1'!$J$3:$K$34,2,FALSE))=TRUE,0,VLOOKUP(B120,'NÖBV 1'!$J$3:$K$34,2,FALSE)),IF(ISNA(VLOOKUP(B120,'NÖBV 1'!$N$3:$O$34,2,FALSE))=TRUE,0,VLOOKUP(B120,'NÖBV 1'!$N$3:$O$34,2,FALSE)))</f>
        <v>0</v>
      </c>
      <c r="M120" s="19">
        <f>MAX(IF(ISNA(VLOOKUP(B120,'NÖBV 2'!$B$3:$C$34,2,FALSE))=TRUE,0,VLOOKUP(B120,'NÖBV 2'!$B$3:$C$34,2,FALSE)),IF(ISNA(VLOOKUP(B120,'NÖBV 2'!$F$3:$G$34,2,FALSE))=TRUE,0,VLOOKUP(B120,'NÖBV 2'!$F$3:$G$34,2,FALSE)),IF(ISNA(VLOOKUP(B120,'NÖBV 2'!$J$3:$K$34,2,FALSE))=TRUE,0,VLOOKUP(B120,'NÖBV 2'!$J$3:$K$34,2,FALSE)),IF(ISNA(VLOOKUP(B120,'NÖBV 2'!$N$3:$O$34,2,FALSE))=TRUE,0,VLOOKUP(B120,'NÖBV 2'!$N$3:$O$34,2,FALSE)))</f>
        <v>0</v>
      </c>
      <c r="N120" s="19">
        <f>MAX(IF(ISNA(VLOOKUP(B120,'NÖBV 3'!$B$3:$C$34,2,FALSE))=TRUE,0,VLOOKUP(B120,'NÖBV 3'!$B$3:$C$34,2,FALSE)),IF(ISNA(VLOOKUP(B120,'NÖBV 3'!$F$3:$G$34,2,FALSE))=TRUE,0,VLOOKUP(B120,'NÖBV 3'!$F$3:$G$34,2,FALSE)),IF(ISNA(VLOOKUP(B120,'NÖBV 3'!$J$3:$K$34,2,FALSE))=TRUE,0,VLOOKUP(B120,'NÖBV 3'!$J$3:$K$34,2,FALSE)),IF(ISNA(VLOOKUP(B120,'NÖBV 3'!$N$3:$O$34,2,FALSE))=TRUE,0,VLOOKUP(B120,'NÖBV 3'!$N$3:$O$34,2,FALSE)))</f>
        <v>0</v>
      </c>
      <c r="O120" s="15">
        <f>MAX(IF(ISNA(VLOOKUP(B120,'Regioturnier 1'!$B$3:$C$34,2,FALSE))=TRUE,0,VLOOKUP(B120,'Regioturnier 1'!$B$3:$C$34,2,FALSE)),IF(ISNA(VLOOKUP(B120,'Regioturnier 1'!$F$3:$G$34,2,FALSE))=TRUE,0,VLOOKUP(B120,'Regioturnier 1'!$F$3:$G$34,2,FALSE)),IF(ISNA(VLOOKUP(B120,'Regioturnier 1'!$J$3:$K$34,2,FALSE))=TRUE,0,VLOOKUP(B120,'Regioturnier 1'!$J$3:$K$34,2,FALSE)),IF(ISNA(VLOOKUP(B120,'Regioturnier 1'!$N$3:$O$34,2,FALSE))=TRUE,0,VLOOKUP(B120,'Regioturnier 1'!$N$3:$O$34,2,FALSE)),IF(ISNA(VLOOKUP(B120,'Regioturnier 1'!$R$3:$S$34,2,FALSE))=TRUE,0,VLOOKUP(B120,'Regioturnier 1'!$R$3:$S$34,2,FALSE)), IF(ISNA(VLOOKUP(B120,'Regioturnier 1'!$V$3:$W$34,2,FALSE))=TRUE,0,VLOOKUP(B120,'Regioturnier 1'!$V$3:$W$34,2,FALSE)), IF(ISNA(VLOOKUP(B120,'Regioturnier 1'!$Z$3:$AA$34,2,FALSE))=TRUE,0,VLOOKUP(B120,'Regioturnier 1'!$Z$3:$AA$34,2,FALSE)))</f>
        <v>0</v>
      </c>
      <c r="P120" s="15">
        <f>MAX(IF(ISNA(VLOOKUP(B120,'Regioturnier 2'!$B$3:$C$34,2,FALSE))=TRUE,0,VLOOKUP(B120,'Regioturnier 2'!$B$3:$C$34,2,FALSE)),IF(ISNA(VLOOKUP(B120,'Regioturnier 2'!$F$3:$G$34,2,FALSE))=TRUE,0,VLOOKUP(B120,'Regioturnier 2'!$F$3:$G$34,2,FALSE)),IF(ISNA(VLOOKUP(B120,'Regioturnier 2'!$J$3:$K$34,2,FALSE))=TRUE,0,VLOOKUP(B120,'Regioturnier 2'!$J$3:$K$34,2,FALSE)),IF(ISNA(VLOOKUP(B120,'Regioturnier 2'!$N$3:$O$34,2,FALSE))=TRUE,0,VLOOKUP(B120,'Regioturnier 2'!$N$3:$O$34,2,FALSE)),IF(ISNA(VLOOKUP(B120,'Regioturnier 2'!$R$3:$S$34,2,FALSE))=TRUE,0,VLOOKUP(B120,'Regioturnier 2'!$R$3:$S$34,2,FALSE)), IF(ISNA(VLOOKUP(B120,'Regioturnier 2'!$V$3:$W$34,2,FALSE))=TRUE,0,VLOOKUP(B120,'Regioturnier 2'!$V$3:$W$34,2,FALSE)), IF(ISNA(VLOOKUP(B120,'Regioturnier 2'!$Z$3:$AA$34,2,FALSE))=TRUE,0,VLOOKUP(B120,'Regioturnier 2'!$Z$3:$AA$34,2,FALSE)))</f>
        <v>0</v>
      </c>
      <c r="Q120" s="15">
        <f>MAX(IF(ISNA(VLOOKUP(B120,'Regioturnier 3'!$B$3:$C$34,2,FALSE))=TRUE,0,VLOOKUP(B120,'Regioturnier 3'!$B$3:$C$34,2,FALSE)),IF(ISNA(VLOOKUP(B120,'Regioturnier 3'!$F$3:$G$34,2,FALSE))=TRUE,0,VLOOKUP(B120,'Regioturnier 3'!$F$3:$G$34,2,FALSE)),IF(ISNA(VLOOKUP(B120,'Regioturnier 3'!$J$3:$K$34,2,FALSE))=TRUE,0,VLOOKUP(B120,'Regioturnier 3'!$J$3:$K$34,2,FALSE)),IF(ISNA(VLOOKUP(B120,'Regioturnier 3'!$N$3:$O$34,2,FALSE))=TRUE,0,VLOOKUP(B120,'Regioturnier 3'!$N$3:$O$34,2,FALSE)),IF(ISNA(VLOOKUP(B120,'Regioturnier 3'!$R$3:$S$34,2,FALSE))=TRUE,0,VLOOKUP(B120,'Regioturnier 3'!$R$3:$S$34,2,FALSE)), IF(ISNA(VLOOKUP(B120,'Regioturnier 3'!$V$3:$W$34,2,FALSE))=TRUE,0,VLOOKUP(B120,'Regioturnier 3'!$V$3:$W$34,2,FALSE)), IF(ISNA(VLOOKUP(B120,'Regioturnier 3'!$Z$3:$AA$34,2,FALSE))=TRUE,0,VLOOKUP(B120,'Regioturnier 3'!$Z$3:$AA$34,2,FALSE)))</f>
        <v>0</v>
      </c>
      <c r="R120" s="20">
        <f>0.5*INDEX($H120:$N120,MATCH(LARGE($H120:$N120,1),$H120:$N120,0))+0.3*INDEX($H120:$N120,MATCH(LARGE($H120:$N120,2),$H120:$N120,0))+0.2*INDEX($H120:$N120,MATCH(LARGE($H120:$N120,3),$H120:$N120,0))</f>
        <v>85</v>
      </c>
      <c r="S120" s="20">
        <f>0.6*INDEX(O120:Q120,MATCH(LARGE(O120:Q120,1),O120:Q120,0))+0.4*INDEX(O120:Q120,MATCH(LARGE(O120:Q120,2),O120:Q120,0))+0*INDEX(O120:Q120,MATCH(LARGE(O120:Q120,3),O120:Q120,0))</f>
        <v>0</v>
      </c>
      <c r="T120" s="15">
        <f>1*INDEX(R120:S120,MATCH(LARGE(R120:S120,1),R120:S120,0))+0*INDEX(R120:S120,MATCH(LARGE(R120:S120,2),R120:S120,0))</f>
        <v>85</v>
      </c>
      <c r="U120" s="21"/>
      <c r="V120" s="21"/>
      <c r="W120" s="21"/>
      <c r="X120" s="21"/>
      <c r="Y120" s="21"/>
      <c r="Z120" s="21"/>
    </row>
    <row r="121" spans="1:26" ht="12.75" customHeight="1" x14ac:dyDescent="0.3">
      <c r="A121" s="15">
        <v>120</v>
      </c>
      <c r="B121" s="16" t="s">
        <v>494</v>
      </c>
      <c r="C121" s="17" t="s">
        <v>108</v>
      </c>
      <c r="D121" s="15" t="s">
        <v>22</v>
      </c>
      <c r="E121" s="18" t="s">
        <v>23</v>
      </c>
      <c r="F121" s="15" t="s">
        <v>504</v>
      </c>
      <c r="G121" s="22">
        <v>2011</v>
      </c>
      <c r="H121" s="15">
        <f>MAX(IF(ISNA(VLOOKUP(B121,'WBV 1'!$B$3:$C$34,2,FALSE))=TRUE,0,VLOOKUP(B121,'WBV 1'!$B$3:$C$34,2,FALSE)),IF(ISNA(VLOOKUP(B121,'WBV 1'!$F$3:$G$34,2,FALSE))=TRUE,0,VLOOKUP(B121,'WBV 1'!$F$3:$G$34,2,FALSE)),IF(ISNA(VLOOKUP(B121,'WBV 1'!$J$3:$K$34,2,FALSE))=TRUE,0,VLOOKUP(B121,'WBV 1'!$J$3:$K$34,2,FALSE)),IF(ISNA(VLOOKUP(B121,'WBV 1'!$N$3:$O$34,2,FALSE))=TRUE,0,VLOOKUP(B121,'WBV 1'!$N$3:$O$34,2,FALSE)))</f>
        <v>0</v>
      </c>
      <c r="I121" s="15">
        <f>MAX(IF(ISNA(VLOOKUP(B121,'WBV 2'!$B$3:$C$34,2,FALSE))=TRUE,0,VLOOKUP(B121,'WBV 2'!$B$3:$C$34,2,FALSE)),IF(ISNA(VLOOKUP(B121,'WBV 2'!$F$3:$G$34,2,FALSE))=TRUE,0,VLOOKUP(B121,'WBV 2'!$F$3:$G$34,2,FALSE)),IF(ISNA(VLOOKUP(B121,'WBV 2'!$J$3:$K$34,2,FALSE))=TRUE,0,VLOOKUP(B121,'WBV 2'!$J$3:$K$34,2,FALSE)),IF(ISNA(VLOOKUP(B121,'WBV 2'!$N$3:$O$34,2,FALSE))=TRUE,0,VLOOKUP(B121,'WBV 2'!$N$3:$O$34,2,FALSE)))</f>
        <v>0</v>
      </c>
      <c r="J121" s="15">
        <f>MAX(IF(ISNA(VLOOKUP(B121,'WBV 3'!$B$3:$C$34,2,FALSE))=TRUE,0,VLOOKUP(B121,'WBV 3'!$B$3:$C$34,2,FALSE)),IF(ISNA(VLOOKUP(B121,'WBV 3'!$F$3:$G$34,2,FALSE))=TRUE,0,VLOOKUP(B121,'WBV 3'!$F$3:$G$34,2,FALSE)),IF(ISNA(VLOOKUP(B121,'WBV 3'!$J$3:$K$34,2,FALSE))=TRUE,0,VLOOKUP(B121,'WBV 3'!$J$3:$K$34,2,FALSE)),IF(ISNA(VLOOKUP(B121,'WBV 3'!$N$3:$O$34,2,FALSE))=TRUE,0,VLOOKUP(B121,'WBV 3'!$N$3:$O$34,2,FALSE)))</f>
        <v>0</v>
      </c>
      <c r="K121" s="15">
        <f>MAX(IF(ISNA(VLOOKUP(B121,'WBV 4'!$B$3:$C$34,2,FALSE))=TRUE,0,VLOOKUP(B121,'WBV 4'!$B$3:$C$34,2,FALSE)),IF(ISNA(VLOOKUP(B121,'WBV 4'!$F$3:$G$34,2,FALSE))=TRUE,0,VLOOKUP(B121,'WBV 4'!$F$3:$G$34,2,FALSE)),IF(ISNA(VLOOKUP(B121,'WBV 4'!$J$3:$K$34,2,FALSE))=TRUE,0,VLOOKUP(B121,'WBV 4'!$J$3:$K$34,2,FALSE)),IF(ISNA(VLOOKUP(B121,'WBV 4'!$N$3:$O$34,2,FALSE))=TRUE,0,VLOOKUP(B121,'WBV 4'!$N$3:$O$34,2,FALSE)))</f>
        <v>0</v>
      </c>
      <c r="L121" s="19">
        <f>MAX(IF(ISNA(VLOOKUP(B121,'NÖBV 1'!$B$3:$C$34,2,FALSE))=TRUE,0,VLOOKUP(B121,'NÖBV 1'!$B$3:$C$34,2,FALSE)),IF(ISNA(VLOOKUP(B121,'NÖBV 1'!$F$3:$G$34,2,FALSE))=TRUE,0,VLOOKUP(B121,'NÖBV 1'!$F$3:$G$34,2,FALSE)),IF(ISNA(VLOOKUP(B121,'NÖBV 1'!$J$3:$K$34,2,FALSE))=TRUE,0,VLOOKUP(B121,'NÖBV 1'!$J$3:$K$34,2,FALSE)),IF(ISNA(VLOOKUP(B121,'NÖBV 1'!$N$3:$O$34,2,FALSE))=TRUE,0,VLOOKUP(B121,'NÖBV 1'!$N$3:$O$34,2,FALSE)))</f>
        <v>170</v>
      </c>
      <c r="M121" s="19">
        <f>MAX(IF(ISNA(VLOOKUP(B121,'NÖBV 2'!$B$3:$C$34,2,FALSE))=TRUE,0,VLOOKUP(B121,'NÖBV 2'!$B$3:$C$34,2,FALSE)),IF(ISNA(VLOOKUP(B121,'NÖBV 2'!$F$3:$G$34,2,FALSE))=TRUE,0,VLOOKUP(B121,'NÖBV 2'!$F$3:$G$34,2,FALSE)),IF(ISNA(VLOOKUP(B121,'NÖBV 2'!$J$3:$K$34,2,FALSE))=TRUE,0,VLOOKUP(B121,'NÖBV 2'!$J$3:$K$34,2,FALSE)),IF(ISNA(VLOOKUP(B121,'NÖBV 2'!$N$3:$O$34,2,FALSE))=TRUE,0,VLOOKUP(B121,'NÖBV 2'!$N$3:$O$34,2,FALSE)))</f>
        <v>0</v>
      </c>
      <c r="N121" s="19">
        <f>MAX(IF(ISNA(VLOOKUP(B121,'NÖBV 3'!$B$3:$C$34,2,FALSE))=TRUE,0,VLOOKUP(B121,'NÖBV 3'!$B$3:$C$34,2,FALSE)),IF(ISNA(VLOOKUP(B121,'NÖBV 3'!$F$3:$G$34,2,FALSE))=TRUE,0,VLOOKUP(B121,'NÖBV 3'!$F$3:$G$34,2,FALSE)),IF(ISNA(VLOOKUP(B121,'NÖBV 3'!$J$3:$K$34,2,FALSE))=TRUE,0,VLOOKUP(B121,'NÖBV 3'!$J$3:$K$34,2,FALSE)),IF(ISNA(VLOOKUP(B121,'NÖBV 3'!$N$3:$O$34,2,FALSE))=TRUE,0,VLOOKUP(B121,'NÖBV 3'!$N$3:$O$34,2,FALSE)))</f>
        <v>0</v>
      </c>
      <c r="O121" s="15">
        <f>MAX(IF(ISNA(VLOOKUP(B121,'Regioturnier 1'!$B$3:$C$34,2,FALSE))=TRUE,0,VLOOKUP(B121,'Regioturnier 1'!$B$3:$C$34,2,FALSE)),IF(ISNA(VLOOKUP(B121,'Regioturnier 1'!$F$3:$G$34,2,FALSE))=TRUE,0,VLOOKUP(B121,'Regioturnier 1'!$F$3:$G$34,2,FALSE)),IF(ISNA(VLOOKUP(B121,'Regioturnier 1'!$J$3:$K$34,2,FALSE))=TRUE,0,VLOOKUP(B121,'Regioturnier 1'!$J$3:$K$34,2,FALSE)),IF(ISNA(VLOOKUP(B121,'Regioturnier 1'!$N$3:$O$34,2,FALSE))=TRUE,0,VLOOKUP(B121,'Regioturnier 1'!$N$3:$O$34,2,FALSE)),IF(ISNA(VLOOKUP(B121,'Regioturnier 1'!$R$3:$S$34,2,FALSE))=TRUE,0,VLOOKUP(B121,'Regioturnier 1'!$R$3:$S$34,2,FALSE)), IF(ISNA(VLOOKUP(B121,'Regioturnier 1'!$V$3:$W$34,2,FALSE))=TRUE,0,VLOOKUP(B121,'Regioturnier 1'!$V$3:$W$34,2,FALSE)), IF(ISNA(VLOOKUP(B121,'Regioturnier 1'!$Z$3:$AA$34,2,FALSE))=TRUE,0,VLOOKUP(B121,'Regioturnier 1'!$Z$3:$AA$34,2,FALSE)))</f>
        <v>0</v>
      </c>
      <c r="P121" s="15">
        <f>MAX(IF(ISNA(VLOOKUP(B121,'Regioturnier 2'!$B$3:$C$34,2,FALSE))=TRUE,0,VLOOKUP(B121,'Regioturnier 2'!$B$3:$C$34,2,FALSE)),IF(ISNA(VLOOKUP(B121,'Regioturnier 2'!$F$3:$G$34,2,FALSE))=TRUE,0,VLOOKUP(B121,'Regioturnier 2'!$F$3:$G$34,2,FALSE)),IF(ISNA(VLOOKUP(B121,'Regioturnier 2'!$J$3:$K$34,2,FALSE))=TRUE,0,VLOOKUP(B121,'Regioturnier 2'!$J$3:$K$34,2,FALSE)),IF(ISNA(VLOOKUP(B121,'Regioturnier 2'!$N$3:$O$34,2,FALSE))=TRUE,0,VLOOKUP(B121,'Regioturnier 2'!$N$3:$O$34,2,FALSE)),IF(ISNA(VLOOKUP(B121,'Regioturnier 2'!$R$3:$S$34,2,FALSE))=TRUE,0,VLOOKUP(B121,'Regioturnier 2'!$R$3:$S$34,2,FALSE)), IF(ISNA(VLOOKUP(B121,'Regioturnier 2'!$V$3:$W$34,2,FALSE))=TRUE,0,VLOOKUP(B121,'Regioturnier 2'!$V$3:$W$34,2,FALSE)), IF(ISNA(VLOOKUP(B121,'Regioturnier 2'!$Z$3:$AA$34,2,FALSE))=TRUE,0,VLOOKUP(B121,'Regioturnier 2'!$Z$3:$AA$34,2,FALSE)))</f>
        <v>0</v>
      </c>
      <c r="Q121" s="15">
        <f>MAX(IF(ISNA(VLOOKUP(B121,'Regioturnier 3'!$B$3:$C$34,2,FALSE))=TRUE,0,VLOOKUP(B121,'Regioturnier 3'!$B$3:$C$34,2,FALSE)),IF(ISNA(VLOOKUP(B121,'Regioturnier 3'!$F$3:$G$34,2,FALSE))=TRUE,0,VLOOKUP(B121,'Regioturnier 3'!$F$3:$G$34,2,FALSE)),IF(ISNA(VLOOKUP(B121,'Regioturnier 3'!$J$3:$K$34,2,FALSE))=TRUE,0,VLOOKUP(B121,'Regioturnier 3'!$J$3:$K$34,2,FALSE)),IF(ISNA(VLOOKUP(B121,'Regioturnier 3'!$N$3:$O$34,2,FALSE))=TRUE,0,VLOOKUP(B121,'Regioturnier 3'!$N$3:$O$34,2,FALSE)),IF(ISNA(VLOOKUP(B121,'Regioturnier 3'!$R$3:$S$34,2,FALSE))=TRUE,0,VLOOKUP(B121,'Regioturnier 3'!$R$3:$S$34,2,FALSE)), IF(ISNA(VLOOKUP(B121,'Regioturnier 3'!$V$3:$W$34,2,FALSE))=TRUE,0,VLOOKUP(B121,'Regioturnier 3'!$V$3:$W$34,2,FALSE)), IF(ISNA(VLOOKUP(B121,'Regioturnier 3'!$Z$3:$AA$34,2,FALSE))=TRUE,0,VLOOKUP(B121,'Regioturnier 3'!$Z$3:$AA$34,2,FALSE)))</f>
        <v>0</v>
      </c>
      <c r="R121" s="20">
        <f>0.5*INDEX($H121:$N121,MATCH(LARGE($H121:$N121,1),$H121:$N121,0))+0.3*INDEX($H121:$N121,MATCH(LARGE($H121:$N121,2),$H121:$N121,0))+0.2*INDEX($H121:$N121,MATCH(LARGE($H121:$N121,3),$H121:$N121,0))</f>
        <v>85</v>
      </c>
      <c r="S121" s="20">
        <f>0.6*INDEX(O121:Q121,MATCH(LARGE(O121:Q121,1),O121:Q121,0))+0.4*INDEX(O121:Q121,MATCH(LARGE(O121:Q121,2),O121:Q121,0))+0*INDEX(O121:Q121,MATCH(LARGE(O121:Q121,3),O121:Q121,0))</f>
        <v>0</v>
      </c>
      <c r="T121" s="15">
        <f>1*INDEX(R121:S121,MATCH(LARGE(R121:S121,1),R121:S121,0))+0*INDEX(R121:S121,MATCH(LARGE(R121:S121,2),R121:S121,0))</f>
        <v>85</v>
      </c>
      <c r="U121" s="21"/>
      <c r="V121" s="21"/>
      <c r="W121" s="21"/>
      <c r="X121" s="21"/>
      <c r="Y121" s="21"/>
      <c r="Z121" s="21"/>
    </row>
    <row r="122" spans="1:26" ht="12.75" customHeight="1" x14ac:dyDescent="0.3">
      <c r="A122" s="15">
        <v>121</v>
      </c>
      <c r="B122" s="106" t="s">
        <v>571</v>
      </c>
      <c r="C122" s="106" t="s">
        <v>582</v>
      </c>
      <c r="D122" s="106" t="s">
        <v>102</v>
      </c>
      <c r="E122" s="106" t="s">
        <v>23</v>
      </c>
      <c r="F122" s="106" t="s">
        <v>584</v>
      </c>
      <c r="G122" s="107">
        <v>2017</v>
      </c>
      <c r="H122" s="105">
        <f>MAX(IF(ISNA(VLOOKUP(B122,'WBV 1'!$B$3:$C$34,2,FALSE))=TRUE,0,VLOOKUP(B122,'WBV 1'!$B$3:$C$34,2,FALSE)),IF(ISNA(VLOOKUP(B122,'WBV 1'!$F$3:$G$34,2,FALSE))=TRUE,0,VLOOKUP(B122,'WBV 1'!$F$3:$G$34,2,FALSE)),IF(ISNA(VLOOKUP(B122,'WBV 1'!$J$3:$K$34,2,FALSE))=TRUE,0,VLOOKUP(B122,'WBV 1'!$J$3:$K$34,2,FALSE)),IF(ISNA(VLOOKUP(B122,'WBV 1'!$N$3:$O$34,2,FALSE))=TRUE,0,VLOOKUP(B122,'WBV 1'!$N$3:$O$34,2,FALSE)))</f>
        <v>0</v>
      </c>
      <c r="I122" s="105">
        <f>MAX(IF(ISNA(VLOOKUP(B122,'WBV 2'!$B$3:$C$34,2,FALSE))=TRUE,0,VLOOKUP(B122,'WBV 2'!$B$3:$C$34,2,FALSE)),IF(ISNA(VLOOKUP(B122,'WBV 2'!$F$3:$G$34,2,FALSE))=TRUE,0,VLOOKUP(B122,'WBV 2'!$F$3:$G$34,2,FALSE)),IF(ISNA(VLOOKUP(B122,'WBV 2'!$J$3:$K$34,2,FALSE))=TRUE,0,VLOOKUP(B122,'WBV 2'!$J$3:$K$34,2,FALSE)),IF(ISNA(VLOOKUP(B122,'WBV 2'!$N$3:$O$34,2,FALSE))=TRUE,0,VLOOKUP(B122,'WBV 2'!$N$3:$O$34,2,FALSE)))</f>
        <v>0</v>
      </c>
      <c r="J122" s="105">
        <f>MAX(IF(ISNA(VLOOKUP(B122,'WBV 3'!$B$3:$C$34,2,FALSE))=TRUE,0,VLOOKUP(B122,'WBV 3'!$B$3:$C$34,2,FALSE)),IF(ISNA(VLOOKUP(B122,'WBV 3'!$F$3:$G$34,2,FALSE))=TRUE,0,VLOOKUP(B122,'WBV 3'!$F$3:$G$34,2,FALSE)),IF(ISNA(VLOOKUP(B122,'WBV 3'!$J$3:$K$34,2,FALSE))=TRUE,0,VLOOKUP(B122,'WBV 3'!$J$3:$K$34,2,FALSE)),IF(ISNA(VLOOKUP(B122,'WBV 3'!$N$3:$O$34,2,FALSE))=TRUE,0,VLOOKUP(B122,'WBV 3'!$N$3:$O$34,2,FALSE)))</f>
        <v>0</v>
      </c>
      <c r="K122" s="105">
        <f>MAX(IF(ISNA(VLOOKUP(B122,'WBV 4'!$B$3:$C$34,2,FALSE))=TRUE,0,VLOOKUP(B122,'WBV 4'!$B$3:$C$34,2,FALSE)),IF(ISNA(VLOOKUP(B122,'WBV 4'!$F$3:$G$34,2,FALSE))=TRUE,0,VLOOKUP(B122,'WBV 4'!$F$3:$G$34,2,FALSE)),IF(ISNA(VLOOKUP(B122,'WBV 4'!$J$3:$K$34,2,FALSE))=TRUE,0,VLOOKUP(B122,'WBV 4'!$J$3:$K$34,2,FALSE)),IF(ISNA(VLOOKUP(B122,'WBV 4'!$N$3:$O$34,2,FALSE))=TRUE,0,VLOOKUP(B122,'WBV 4'!$N$3:$O$34,2,FALSE)))</f>
        <v>0</v>
      </c>
      <c r="L122" s="105">
        <f>MAX(IF(ISNA(VLOOKUP(B122,'NÖBV 1'!$B$3:$C$34,2,FALSE))=TRUE,0,VLOOKUP(B122,'NÖBV 1'!$B$3:$C$34,2,FALSE)),IF(ISNA(VLOOKUP(B122,'NÖBV 1'!$F$3:$G$34,2,FALSE))=TRUE,0,VLOOKUP(B122,'NÖBV 1'!$F$3:$G$34,2,FALSE)),IF(ISNA(VLOOKUP(B122,'NÖBV 1'!$J$3:$K$34,2,FALSE))=TRUE,0,VLOOKUP(B122,'NÖBV 1'!$J$3:$K$34,2,FALSE)),IF(ISNA(VLOOKUP(B122,'NÖBV 1'!$N$3:$O$34,2,FALSE))=TRUE,0,VLOOKUP(B122,'NÖBV 1'!$N$3:$O$34,2,FALSE)))</f>
        <v>0</v>
      </c>
      <c r="M122" s="105">
        <f>MAX(IF(ISNA(VLOOKUP(B122,'NÖBV 2'!$B$3:$C$34,2,FALSE))=TRUE,0,VLOOKUP(B122,'NÖBV 2'!$B$3:$C$34,2,FALSE)),IF(ISNA(VLOOKUP(B122,'NÖBV 2'!$F$3:$G$34,2,FALSE))=TRUE,0,VLOOKUP(B122,'NÖBV 2'!$F$3:$G$34,2,FALSE)),IF(ISNA(VLOOKUP(B122,'NÖBV 2'!$J$3:$K$34,2,FALSE))=TRUE,0,VLOOKUP(B122,'NÖBV 2'!$J$3:$K$34,2,FALSE)),IF(ISNA(VLOOKUP(B122,'NÖBV 2'!$N$3:$O$34,2,FALSE))=TRUE,0,VLOOKUP(B122,'NÖBV 2'!$N$3:$O$34,2,FALSE)))</f>
        <v>170</v>
      </c>
      <c r="N122" s="105">
        <f>MAX(IF(ISNA(VLOOKUP(B122,'NÖBV 3'!$B$3:$C$34,2,FALSE))=TRUE,0,VLOOKUP(B122,'NÖBV 3'!$B$3:$C$34,2,FALSE)),IF(ISNA(VLOOKUP(B122,'NÖBV 3'!$F$3:$G$34,2,FALSE))=TRUE,0,VLOOKUP(B122,'NÖBV 3'!$F$3:$G$34,2,FALSE)),IF(ISNA(VLOOKUP(B122,'NÖBV 3'!$J$3:$K$34,2,FALSE))=TRUE,0,VLOOKUP(B122,'NÖBV 3'!$J$3:$K$34,2,FALSE)),IF(ISNA(VLOOKUP(B122,'NÖBV 3'!$N$3:$O$34,2,FALSE))=TRUE,0,VLOOKUP(B122,'NÖBV 3'!$N$3:$O$34,2,FALSE)))</f>
        <v>0</v>
      </c>
      <c r="O122" s="105">
        <f>MAX(IF(ISNA(VLOOKUP(B122,'Regioturnier 1'!$B$3:$C$34,2,FALSE))=TRUE,0,VLOOKUP(B122,'Regioturnier 1'!$B$3:$C$34,2,FALSE)),IF(ISNA(VLOOKUP(B122,'Regioturnier 1'!$F$3:$G$34,2,FALSE))=TRUE,0,VLOOKUP(B122,'Regioturnier 1'!$F$3:$G$34,2,FALSE)),IF(ISNA(VLOOKUP(B122,'Regioturnier 1'!$J$3:$K$34,2,FALSE))=TRUE,0,VLOOKUP(B122,'Regioturnier 1'!$J$3:$K$34,2,FALSE)),IF(ISNA(VLOOKUP(B122,'Regioturnier 1'!$N$3:$O$34,2,FALSE))=TRUE,0,VLOOKUP(B122,'Regioturnier 1'!$N$3:$O$34,2,FALSE)),IF(ISNA(VLOOKUP(B122,'Regioturnier 1'!$R$3:$S$34,2,FALSE))=TRUE,0,VLOOKUP(B122,'Regioturnier 1'!$R$3:$S$34,2,FALSE)), IF(ISNA(VLOOKUP(B122,'Regioturnier 1'!$V$3:$W$34,2,FALSE))=TRUE,0,VLOOKUP(B122,'Regioturnier 1'!$V$3:$W$34,2,FALSE)), IF(ISNA(VLOOKUP(B122,'Regioturnier 1'!$Z$3:$AA$34,2,FALSE))=TRUE,0,VLOOKUP(B122,'Regioturnier 1'!$Z$3:$AA$34,2,FALSE)))</f>
        <v>0</v>
      </c>
      <c r="P122" s="105">
        <f>MAX(IF(ISNA(VLOOKUP(B122,'Regioturnier 2'!$B$3:$C$34,2,FALSE))=TRUE,0,VLOOKUP(B122,'Regioturnier 2'!$B$3:$C$34,2,FALSE)),IF(ISNA(VLOOKUP(B122,'Regioturnier 2'!$F$3:$G$34,2,FALSE))=TRUE,0,VLOOKUP(B122,'Regioturnier 2'!$F$3:$G$34,2,FALSE)),IF(ISNA(VLOOKUP(B122,'Regioturnier 2'!$J$3:$K$34,2,FALSE))=TRUE,0,VLOOKUP(B122,'Regioturnier 2'!$J$3:$K$34,2,FALSE)),IF(ISNA(VLOOKUP(B122,'Regioturnier 2'!$N$3:$O$34,2,FALSE))=TRUE,0,VLOOKUP(B122,'Regioturnier 2'!$N$3:$O$34,2,FALSE)),IF(ISNA(VLOOKUP(B122,'Regioturnier 2'!$R$3:$S$34,2,FALSE))=TRUE,0,VLOOKUP(B122,'Regioturnier 2'!$R$3:$S$34,2,FALSE)), IF(ISNA(VLOOKUP(B122,'Regioturnier 2'!$V$3:$W$34,2,FALSE))=TRUE,0,VLOOKUP(B122,'Regioturnier 2'!$V$3:$W$34,2,FALSE)), IF(ISNA(VLOOKUP(B122,'Regioturnier 2'!$Z$3:$AA$34,2,FALSE))=TRUE,0,VLOOKUP(B122,'Regioturnier 2'!$Z$3:$AA$34,2,FALSE)))</f>
        <v>0</v>
      </c>
      <c r="Q122" s="105">
        <f>MAX(IF(ISNA(VLOOKUP(B122,'Regioturnier 3'!$B$3:$C$34,2,FALSE))=TRUE,0,VLOOKUP(B122,'Regioturnier 3'!$B$3:$C$34,2,FALSE)),IF(ISNA(VLOOKUP(B122,'Regioturnier 3'!$F$3:$G$34,2,FALSE))=TRUE,0,VLOOKUP(B122,'Regioturnier 3'!$F$3:$G$34,2,FALSE)),IF(ISNA(VLOOKUP(B122,'Regioturnier 3'!$J$3:$K$34,2,FALSE))=TRUE,0,VLOOKUP(B122,'Regioturnier 3'!$J$3:$K$34,2,FALSE)),IF(ISNA(VLOOKUP(B122,'Regioturnier 3'!$N$3:$O$34,2,FALSE))=TRUE,0,VLOOKUP(B122,'Regioturnier 3'!$N$3:$O$34,2,FALSE)),IF(ISNA(VLOOKUP(B122,'Regioturnier 3'!$R$3:$S$34,2,FALSE))=TRUE,0,VLOOKUP(B122,'Regioturnier 3'!$R$3:$S$34,2,FALSE)), IF(ISNA(VLOOKUP(B122,'Regioturnier 3'!$V$3:$W$34,2,FALSE))=TRUE,0,VLOOKUP(B122,'Regioturnier 3'!$V$3:$W$34,2,FALSE)), IF(ISNA(VLOOKUP(B122,'Regioturnier 3'!$Z$3:$AA$34,2,FALSE))=TRUE,0,VLOOKUP(B122,'Regioturnier 3'!$Z$3:$AA$34,2,FALSE)))</f>
        <v>0</v>
      </c>
      <c r="R122" s="108">
        <f>0.5*INDEX($H122:$N122,MATCH(LARGE($H122:$N122,1),$H122:$N122,0))+0.3*INDEX($H122:$N122,MATCH(LARGE($H122:$N122,2),$H122:$N122,0))+0.2*INDEX($H122:$N122,MATCH(LARGE($H122:$N122,3),$H122:$N122,0))</f>
        <v>85</v>
      </c>
      <c r="S122" s="108">
        <f>0.6*INDEX(O122:Q122,MATCH(LARGE(O122:Q122,1),O122:Q122,0))+0.4*INDEX(O122:Q122,MATCH(LARGE(O122:Q122,2),O122:Q122,0))+0*INDEX(O122:Q122,MATCH(LARGE(O122:Q122,3),O122:Q122,0))</f>
        <v>0</v>
      </c>
      <c r="T122" s="105">
        <f>1*INDEX(R122:S122,MATCH(LARGE(R122:S122,1),R122:S122,0))+0*INDEX(R122:S122,MATCH(LARGE(R122:S122,2),R122:S122,0))</f>
        <v>85</v>
      </c>
      <c r="U122" s="21"/>
      <c r="V122" s="21"/>
      <c r="W122" s="21"/>
      <c r="X122" s="21"/>
      <c r="Y122" s="21"/>
      <c r="Z122" s="21"/>
    </row>
    <row r="123" spans="1:26" ht="12.75" customHeight="1" x14ac:dyDescent="0.3">
      <c r="A123" s="15">
        <v>122</v>
      </c>
      <c r="B123" s="106" t="s">
        <v>569</v>
      </c>
      <c r="C123" s="106" t="s">
        <v>28</v>
      </c>
      <c r="D123" s="106" t="s">
        <v>22</v>
      </c>
      <c r="E123" s="106" t="s">
        <v>40</v>
      </c>
      <c r="F123" s="106" t="s">
        <v>596</v>
      </c>
      <c r="G123" s="107">
        <v>2012</v>
      </c>
      <c r="H123" s="105">
        <f>MAX(IF(ISNA(VLOOKUP(B123,'WBV 1'!$B$3:$C$34,2,FALSE))=TRUE,0,VLOOKUP(B123,'WBV 1'!$B$3:$C$34,2,FALSE)),IF(ISNA(VLOOKUP(B123,'WBV 1'!$F$3:$G$34,2,FALSE))=TRUE,0,VLOOKUP(B123,'WBV 1'!$F$3:$G$34,2,FALSE)),IF(ISNA(VLOOKUP(B123,'WBV 1'!$J$3:$K$34,2,FALSE))=TRUE,0,VLOOKUP(B123,'WBV 1'!$J$3:$K$34,2,FALSE)),IF(ISNA(VLOOKUP(B123,'WBV 1'!$N$3:$O$34,2,FALSE))=TRUE,0,VLOOKUP(B123,'WBV 1'!$N$3:$O$34,2,FALSE)))</f>
        <v>0</v>
      </c>
      <c r="I123" s="105">
        <f>MAX(IF(ISNA(VLOOKUP(B123,'WBV 2'!$B$3:$C$34,2,FALSE))=TRUE,0,VLOOKUP(B123,'WBV 2'!$B$3:$C$34,2,FALSE)),IF(ISNA(VLOOKUP(B123,'WBV 2'!$F$3:$G$34,2,FALSE))=TRUE,0,VLOOKUP(B123,'WBV 2'!$F$3:$G$34,2,FALSE)),IF(ISNA(VLOOKUP(B123,'WBV 2'!$J$3:$K$34,2,FALSE))=TRUE,0,VLOOKUP(B123,'WBV 2'!$J$3:$K$34,2,FALSE)),IF(ISNA(VLOOKUP(B123,'WBV 2'!$N$3:$O$34,2,FALSE))=TRUE,0,VLOOKUP(B123,'WBV 2'!$N$3:$O$34,2,FALSE)))</f>
        <v>0</v>
      </c>
      <c r="J123" s="105">
        <f>MAX(IF(ISNA(VLOOKUP(B123,'WBV 3'!$B$3:$C$34,2,FALSE))=TRUE,0,VLOOKUP(B123,'WBV 3'!$B$3:$C$34,2,FALSE)),IF(ISNA(VLOOKUP(B123,'WBV 3'!$F$3:$G$34,2,FALSE))=TRUE,0,VLOOKUP(B123,'WBV 3'!$F$3:$G$34,2,FALSE)),IF(ISNA(VLOOKUP(B123,'WBV 3'!$J$3:$K$34,2,FALSE))=TRUE,0,VLOOKUP(B123,'WBV 3'!$J$3:$K$34,2,FALSE)),IF(ISNA(VLOOKUP(B123,'WBV 3'!$N$3:$O$34,2,FALSE))=TRUE,0,VLOOKUP(B123,'WBV 3'!$N$3:$O$34,2,FALSE)))</f>
        <v>0</v>
      </c>
      <c r="K123" s="105">
        <f>MAX(IF(ISNA(VLOOKUP(B123,'WBV 4'!$B$3:$C$34,2,FALSE))=TRUE,0,VLOOKUP(B123,'WBV 4'!$B$3:$C$34,2,FALSE)),IF(ISNA(VLOOKUP(B123,'WBV 4'!$F$3:$G$34,2,FALSE))=TRUE,0,VLOOKUP(B123,'WBV 4'!$F$3:$G$34,2,FALSE)),IF(ISNA(VLOOKUP(B123,'WBV 4'!$J$3:$K$34,2,FALSE))=TRUE,0,VLOOKUP(B123,'WBV 4'!$J$3:$K$34,2,FALSE)),IF(ISNA(VLOOKUP(B123,'WBV 4'!$N$3:$O$34,2,FALSE))=TRUE,0,VLOOKUP(B123,'WBV 4'!$N$3:$O$34,2,FALSE)))</f>
        <v>0</v>
      </c>
      <c r="L123" s="105">
        <f>MAX(IF(ISNA(VLOOKUP(B123,'NÖBV 1'!$B$3:$C$34,2,FALSE))=TRUE,0,VLOOKUP(B123,'NÖBV 1'!$B$3:$C$34,2,FALSE)),IF(ISNA(VLOOKUP(B123,'NÖBV 1'!$F$3:$G$34,2,FALSE))=TRUE,0,VLOOKUP(B123,'NÖBV 1'!$F$3:$G$34,2,FALSE)),IF(ISNA(VLOOKUP(B123,'NÖBV 1'!$J$3:$K$34,2,FALSE))=TRUE,0,VLOOKUP(B123,'NÖBV 1'!$J$3:$K$34,2,FALSE)),IF(ISNA(VLOOKUP(B123,'NÖBV 1'!$N$3:$O$34,2,FALSE))=TRUE,0,VLOOKUP(B123,'NÖBV 1'!$N$3:$O$34,2,FALSE)))</f>
        <v>0</v>
      </c>
      <c r="M123" s="105">
        <f>MAX(IF(ISNA(VLOOKUP(B123,'NÖBV 2'!$B$3:$C$34,2,FALSE))=TRUE,0,VLOOKUP(B123,'NÖBV 2'!$B$3:$C$34,2,FALSE)),IF(ISNA(VLOOKUP(B123,'NÖBV 2'!$F$3:$G$34,2,FALSE))=TRUE,0,VLOOKUP(B123,'NÖBV 2'!$F$3:$G$34,2,FALSE)),IF(ISNA(VLOOKUP(B123,'NÖBV 2'!$J$3:$K$34,2,FALSE))=TRUE,0,VLOOKUP(B123,'NÖBV 2'!$J$3:$K$34,2,FALSE)),IF(ISNA(VLOOKUP(B123,'NÖBV 2'!$N$3:$O$34,2,FALSE))=TRUE,0,VLOOKUP(B123,'NÖBV 2'!$N$3:$O$34,2,FALSE)))</f>
        <v>169</v>
      </c>
      <c r="N123" s="105">
        <f>MAX(IF(ISNA(VLOOKUP(B123,'NÖBV 3'!$B$3:$C$34,2,FALSE))=TRUE,0,VLOOKUP(B123,'NÖBV 3'!$B$3:$C$34,2,FALSE)),IF(ISNA(VLOOKUP(B123,'NÖBV 3'!$F$3:$G$34,2,FALSE))=TRUE,0,VLOOKUP(B123,'NÖBV 3'!$F$3:$G$34,2,FALSE)),IF(ISNA(VLOOKUP(B123,'NÖBV 3'!$J$3:$K$34,2,FALSE))=TRUE,0,VLOOKUP(B123,'NÖBV 3'!$J$3:$K$34,2,FALSE)),IF(ISNA(VLOOKUP(B123,'NÖBV 3'!$N$3:$O$34,2,FALSE))=TRUE,0,VLOOKUP(B123,'NÖBV 3'!$N$3:$O$34,2,FALSE)))</f>
        <v>0</v>
      </c>
      <c r="O123" s="105">
        <f>MAX(IF(ISNA(VLOOKUP(B123,'Regioturnier 1'!$B$3:$C$34,2,FALSE))=TRUE,0,VLOOKUP(B123,'Regioturnier 1'!$B$3:$C$34,2,FALSE)),IF(ISNA(VLOOKUP(B123,'Regioturnier 1'!$F$3:$G$34,2,FALSE))=TRUE,0,VLOOKUP(B123,'Regioturnier 1'!$F$3:$G$34,2,FALSE)),IF(ISNA(VLOOKUP(B123,'Regioturnier 1'!$J$3:$K$34,2,FALSE))=TRUE,0,VLOOKUP(B123,'Regioturnier 1'!$J$3:$K$34,2,FALSE)),IF(ISNA(VLOOKUP(B123,'Regioturnier 1'!$N$3:$O$34,2,FALSE))=TRUE,0,VLOOKUP(B123,'Regioturnier 1'!$N$3:$O$34,2,FALSE)),IF(ISNA(VLOOKUP(B123,'Regioturnier 1'!$R$3:$S$34,2,FALSE))=TRUE,0,VLOOKUP(B123,'Regioturnier 1'!$R$3:$S$34,2,FALSE)), IF(ISNA(VLOOKUP(B123,'Regioturnier 1'!$V$3:$W$34,2,FALSE))=TRUE,0,VLOOKUP(B123,'Regioturnier 1'!$V$3:$W$34,2,FALSE)), IF(ISNA(VLOOKUP(B123,'Regioturnier 1'!$Z$3:$AA$34,2,FALSE))=TRUE,0,VLOOKUP(B123,'Regioturnier 1'!$Z$3:$AA$34,2,FALSE)))</f>
        <v>0</v>
      </c>
      <c r="P123" s="105">
        <f>MAX(IF(ISNA(VLOOKUP(B123,'Regioturnier 2'!$B$3:$C$34,2,FALSE))=TRUE,0,VLOOKUP(B123,'Regioturnier 2'!$B$3:$C$34,2,FALSE)),IF(ISNA(VLOOKUP(B123,'Regioturnier 2'!$F$3:$G$34,2,FALSE))=TRUE,0,VLOOKUP(B123,'Regioturnier 2'!$F$3:$G$34,2,FALSE)),IF(ISNA(VLOOKUP(B123,'Regioturnier 2'!$J$3:$K$34,2,FALSE))=TRUE,0,VLOOKUP(B123,'Regioturnier 2'!$J$3:$K$34,2,FALSE)),IF(ISNA(VLOOKUP(B123,'Regioturnier 2'!$N$3:$O$34,2,FALSE))=TRUE,0,VLOOKUP(B123,'Regioturnier 2'!$N$3:$O$34,2,FALSE)),IF(ISNA(VLOOKUP(B123,'Regioturnier 2'!$R$3:$S$34,2,FALSE))=TRUE,0,VLOOKUP(B123,'Regioturnier 2'!$R$3:$S$34,2,FALSE)), IF(ISNA(VLOOKUP(B123,'Regioturnier 2'!$V$3:$W$34,2,FALSE))=TRUE,0,VLOOKUP(B123,'Regioturnier 2'!$V$3:$W$34,2,FALSE)), IF(ISNA(VLOOKUP(B123,'Regioturnier 2'!$Z$3:$AA$34,2,FALSE))=TRUE,0,VLOOKUP(B123,'Regioturnier 2'!$Z$3:$AA$34,2,FALSE)))</f>
        <v>0</v>
      </c>
      <c r="Q123" s="105">
        <f>MAX(IF(ISNA(VLOOKUP(B123,'Regioturnier 3'!$B$3:$C$34,2,FALSE))=TRUE,0,VLOOKUP(B123,'Regioturnier 3'!$B$3:$C$34,2,FALSE)),IF(ISNA(VLOOKUP(B123,'Regioturnier 3'!$F$3:$G$34,2,FALSE))=TRUE,0,VLOOKUP(B123,'Regioturnier 3'!$F$3:$G$34,2,FALSE)),IF(ISNA(VLOOKUP(B123,'Regioturnier 3'!$J$3:$K$34,2,FALSE))=TRUE,0,VLOOKUP(B123,'Regioturnier 3'!$J$3:$K$34,2,FALSE)),IF(ISNA(VLOOKUP(B123,'Regioturnier 3'!$N$3:$O$34,2,FALSE))=TRUE,0,VLOOKUP(B123,'Regioturnier 3'!$N$3:$O$34,2,FALSE)),IF(ISNA(VLOOKUP(B123,'Regioturnier 3'!$R$3:$S$34,2,FALSE))=TRUE,0,VLOOKUP(B123,'Regioturnier 3'!$R$3:$S$34,2,FALSE)), IF(ISNA(VLOOKUP(B123,'Regioturnier 3'!$V$3:$W$34,2,FALSE))=TRUE,0,VLOOKUP(B123,'Regioturnier 3'!$V$3:$W$34,2,FALSE)), IF(ISNA(VLOOKUP(B123,'Regioturnier 3'!$Z$3:$AA$34,2,FALSE))=TRUE,0,VLOOKUP(B123,'Regioturnier 3'!$Z$3:$AA$34,2,FALSE)))</f>
        <v>0</v>
      </c>
      <c r="R123" s="108">
        <f>0.5*INDEX($H123:$N123,MATCH(LARGE($H123:$N123,1),$H123:$N123,0))+0.3*INDEX($H123:$N123,MATCH(LARGE($H123:$N123,2),$H123:$N123,0))+0.2*INDEX($H123:$N123,MATCH(LARGE($H123:$N123,3),$H123:$N123,0))</f>
        <v>84.5</v>
      </c>
      <c r="S123" s="108">
        <f>0.6*INDEX(O123:Q123,MATCH(LARGE(O123:Q123,1),O123:Q123,0))+0.4*INDEX(O123:Q123,MATCH(LARGE(O123:Q123,2),O123:Q123,0))+0*INDEX(O123:Q123,MATCH(LARGE(O123:Q123,3),O123:Q123,0))</f>
        <v>0</v>
      </c>
      <c r="T123" s="105">
        <f>1*INDEX(R123:S123,MATCH(LARGE(R123:S123,1),R123:S123,0))+0*INDEX(R123:S123,MATCH(LARGE(R123:S123,2),R123:S123,0))</f>
        <v>84.5</v>
      </c>
      <c r="U123" s="21"/>
      <c r="V123" s="21"/>
      <c r="W123" s="21"/>
      <c r="X123" s="21"/>
      <c r="Y123" s="21"/>
      <c r="Z123" s="21"/>
    </row>
    <row r="124" spans="1:26" ht="12.75" customHeight="1" x14ac:dyDescent="0.3">
      <c r="A124" s="15">
        <v>123</v>
      </c>
      <c r="B124" s="21" t="s">
        <v>642</v>
      </c>
      <c r="C124" s="21" t="s">
        <v>108</v>
      </c>
      <c r="D124" s="15" t="s">
        <v>22</v>
      </c>
      <c r="E124" s="15" t="s">
        <v>23</v>
      </c>
      <c r="F124" s="15"/>
      <c r="G124" s="15">
        <v>2018</v>
      </c>
      <c r="H124" s="15">
        <f>MAX(IF(ISNA(VLOOKUP(B124,'WBV 1'!$B$3:$C$34,2,FALSE))=TRUE,0,VLOOKUP(B124,'WBV 1'!$B$3:$C$34,2,FALSE)),IF(ISNA(VLOOKUP(B124,'WBV 1'!$F$3:$G$34,2,FALSE))=TRUE,0,VLOOKUP(B124,'WBV 1'!$F$3:$G$34,2,FALSE)),IF(ISNA(VLOOKUP(B124,'WBV 1'!$J$3:$K$34,2,FALSE))=TRUE,0,VLOOKUP(B124,'WBV 1'!$J$3:$K$34,2,FALSE)),IF(ISNA(VLOOKUP(B124,'WBV 1'!$N$3:$O$34,2,FALSE))=TRUE,0,VLOOKUP(B124,'WBV 1'!$N$3:$O$34,2,FALSE)))</f>
        <v>0</v>
      </c>
      <c r="I124" s="15">
        <f>MAX(IF(ISNA(VLOOKUP(B124,'WBV 2'!$B$3:$C$34,2,FALSE))=TRUE,0,VLOOKUP(B124,'WBV 2'!$B$3:$C$34,2,FALSE)),IF(ISNA(VLOOKUP(B124,'WBV 2'!$F$3:$G$34,2,FALSE))=TRUE,0,VLOOKUP(B124,'WBV 2'!$F$3:$G$34,2,FALSE)),IF(ISNA(VLOOKUP(B124,'WBV 2'!$J$3:$K$34,2,FALSE))=TRUE,0,VLOOKUP(B124,'WBV 2'!$J$3:$K$34,2,FALSE)),IF(ISNA(VLOOKUP(B124,'WBV 2'!$N$3:$O$34,2,FALSE))=TRUE,0,VLOOKUP(B124,'WBV 2'!$N$3:$O$34,2,FALSE)))</f>
        <v>0</v>
      </c>
      <c r="J124" s="15">
        <f>MAX(IF(ISNA(VLOOKUP(B124,'WBV 3'!$B$3:$C$34,2,FALSE))=TRUE,0,VLOOKUP(B124,'WBV 3'!$B$3:$C$34,2,FALSE)),IF(ISNA(VLOOKUP(B124,'WBV 3'!$F$3:$G$34,2,FALSE))=TRUE,0,VLOOKUP(B124,'WBV 3'!$F$3:$G$34,2,FALSE)),IF(ISNA(VLOOKUP(B124,'WBV 3'!$J$3:$K$34,2,FALSE))=TRUE,0,VLOOKUP(B124,'WBV 3'!$J$3:$K$34,2,FALSE)),IF(ISNA(VLOOKUP(B124,'WBV 3'!$N$3:$O$34,2,FALSE))=TRUE,0,VLOOKUP(B124,'WBV 3'!$N$3:$O$34,2,FALSE)))</f>
        <v>0</v>
      </c>
      <c r="K124" s="15">
        <f>MAX(IF(ISNA(VLOOKUP(B124,'WBV 4'!$B$3:$C$34,2,FALSE))=TRUE,0,VLOOKUP(B124,'WBV 4'!$B$3:$C$34,2,FALSE)),IF(ISNA(VLOOKUP(B124,'WBV 4'!$F$3:$G$34,2,FALSE))=TRUE,0,VLOOKUP(B124,'WBV 4'!$F$3:$G$34,2,FALSE)),IF(ISNA(VLOOKUP(B124,'WBV 4'!$J$3:$K$34,2,FALSE))=TRUE,0,VLOOKUP(B124,'WBV 4'!$J$3:$K$34,2,FALSE)),IF(ISNA(VLOOKUP(B124,'WBV 4'!$N$3:$O$34,2,FALSE))=TRUE,0,VLOOKUP(B124,'WBV 4'!$N$3:$O$34,2,FALSE)))</f>
        <v>0</v>
      </c>
      <c r="L124" s="19">
        <f>MAX(IF(ISNA(VLOOKUP(B124,'NÖBV 1'!$B$3:$C$34,2,FALSE))=TRUE,0,VLOOKUP(B124,'NÖBV 1'!$B$3:$C$34,2,FALSE)),IF(ISNA(VLOOKUP(B124,'NÖBV 1'!$F$3:$G$34,2,FALSE))=TRUE,0,VLOOKUP(B124,'NÖBV 1'!$F$3:$G$34,2,FALSE)),IF(ISNA(VLOOKUP(B124,'NÖBV 1'!$J$3:$K$34,2,FALSE))=TRUE,0,VLOOKUP(B124,'NÖBV 1'!$J$3:$K$34,2,FALSE)),IF(ISNA(VLOOKUP(B124,'NÖBV 1'!$N$3:$O$34,2,FALSE))=TRUE,0,VLOOKUP(B124,'NÖBV 1'!$N$3:$O$34,2,FALSE)))</f>
        <v>0</v>
      </c>
      <c r="M124" s="19">
        <f>MAX(IF(ISNA(VLOOKUP(B124,'NÖBV 2'!$B$3:$C$34,2,FALSE))=TRUE,0,VLOOKUP(B124,'NÖBV 2'!$B$3:$C$34,2,FALSE)),IF(ISNA(VLOOKUP(B124,'NÖBV 2'!$F$3:$G$34,2,FALSE))=TRUE,0,VLOOKUP(B124,'NÖBV 2'!$F$3:$G$34,2,FALSE)),IF(ISNA(VLOOKUP(B124,'NÖBV 2'!$J$3:$K$34,2,FALSE))=TRUE,0,VLOOKUP(B124,'NÖBV 2'!$J$3:$K$34,2,FALSE)),IF(ISNA(VLOOKUP(B124,'NÖBV 2'!$N$3:$O$34,2,FALSE))=TRUE,0,VLOOKUP(B124,'NÖBV 2'!$N$3:$O$34,2,FALSE)))</f>
        <v>0</v>
      </c>
      <c r="N124" s="19">
        <f>MAX(IF(ISNA(VLOOKUP(B124,'NÖBV 3'!$B$3:$C$34,2,FALSE))=TRUE,0,VLOOKUP(B124,'NÖBV 3'!$B$3:$C$34,2,FALSE)),IF(ISNA(VLOOKUP(B124,'NÖBV 3'!$F$3:$G$34,2,FALSE))=TRUE,0,VLOOKUP(B124,'NÖBV 3'!$F$3:$G$34,2,FALSE)),IF(ISNA(VLOOKUP(B124,'NÖBV 3'!$J$3:$K$34,2,FALSE))=TRUE,0,VLOOKUP(B124,'NÖBV 3'!$J$3:$K$34,2,FALSE)),IF(ISNA(VLOOKUP(B124,'NÖBV 3'!$N$3:$O$34,2,FALSE))=TRUE,0,VLOOKUP(B124,'NÖBV 3'!$N$3:$O$34,2,FALSE)))</f>
        <v>169</v>
      </c>
      <c r="O124" s="15">
        <f>MAX(IF(ISNA(VLOOKUP(B124,'Regioturnier 1'!$B$3:$C$34,2,FALSE))=TRUE,0,VLOOKUP(B124,'Regioturnier 1'!$B$3:$C$34,2,FALSE)),IF(ISNA(VLOOKUP(B124,'Regioturnier 1'!$F$3:$G$34,2,FALSE))=TRUE,0,VLOOKUP(B124,'Regioturnier 1'!$F$3:$G$34,2,FALSE)),IF(ISNA(VLOOKUP(B124,'Regioturnier 1'!$J$3:$K$34,2,FALSE))=TRUE,0,VLOOKUP(B124,'Regioturnier 1'!$J$3:$K$34,2,FALSE)),IF(ISNA(VLOOKUP(B124,'Regioturnier 1'!$N$3:$O$34,2,FALSE))=TRUE,0,VLOOKUP(B124,'Regioturnier 1'!$N$3:$O$34,2,FALSE)),IF(ISNA(VLOOKUP(B124,'Regioturnier 1'!$R$3:$S$34,2,FALSE))=TRUE,0,VLOOKUP(B124,'Regioturnier 1'!$R$3:$S$34,2,FALSE)), IF(ISNA(VLOOKUP(B124,'Regioturnier 1'!$V$3:$W$34,2,FALSE))=TRUE,0,VLOOKUP(B124,'Regioturnier 1'!$V$3:$W$34,2,FALSE)), IF(ISNA(VLOOKUP(B124,'Regioturnier 1'!$Z$3:$AA$34,2,FALSE))=TRUE,0,VLOOKUP(B124,'Regioturnier 1'!$Z$3:$AA$34,2,FALSE)))</f>
        <v>0</v>
      </c>
      <c r="P124" s="15">
        <f>MAX(IF(ISNA(VLOOKUP(B124,'Regioturnier 2'!$B$3:$C$34,2,FALSE))=TRUE,0,VLOOKUP(B124,'Regioturnier 2'!$B$3:$C$34,2,FALSE)),IF(ISNA(VLOOKUP(B124,'Regioturnier 2'!$F$3:$G$34,2,FALSE))=TRUE,0,VLOOKUP(B124,'Regioturnier 2'!$F$3:$G$34,2,FALSE)),IF(ISNA(VLOOKUP(B124,'Regioturnier 2'!$J$3:$K$34,2,FALSE))=TRUE,0,VLOOKUP(B124,'Regioturnier 2'!$J$3:$K$34,2,FALSE)),IF(ISNA(VLOOKUP(B124,'Regioturnier 2'!$N$3:$O$34,2,FALSE))=TRUE,0,VLOOKUP(B124,'Regioturnier 2'!$N$3:$O$34,2,FALSE)),IF(ISNA(VLOOKUP(B124,'Regioturnier 2'!$R$3:$S$34,2,FALSE))=TRUE,0,VLOOKUP(B124,'Regioturnier 2'!$R$3:$S$34,2,FALSE)), IF(ISNA(VLOOKUP(B124,'Regioturnier 2'!$V$3:$W$34,2,FALSE))=TRUE,0,VLOOKUP(B124,'Regioturnier 2'!$V$3:$W$34,2,FALSE)), IF(ISNA(VLOOKUP(B124,'Regioturnier 2'!$Z$3:$AA$34,2,FALSE))=TRUE,0,VLOOKUP(B124,'Regioturnier 2'!$Z$3:$AA$34,2,FALSE)))</f>
        <v>0</v>
      </c>
      <c r="Q124" s="15">
        <f>MAX(IF(ISNA(VLOOKUP(B124,'Regioturnier 3'!$B$3:$C$34,2,FALSE))=TRUE,0,VLOOKUP(B124,'Regioturnier 3'!$B$3:$C$34,2,FALSE)),IF(ISNA(VLOOKUP(B124,'Regioturnier 3'!$F$3:$G$34,2,FALSE))=TRUE,0,VLOOKUP(B124,'Regioturnier 3'!$F$3:$G$34,2,FALSE)),IF(ISNA(VLOOKUP(B124,'Regioturnier 3'!$J$3:$K$34,2,FALSE))=TRUE,0,VLOOKUP(B124,'Regioturnier 3'!$J$3:$K$34,2,FALSE)),IF(ISNA(VLOOKUP(B124,'Regioturnier 3'!$N$3:$O$34,2,FALSE))=TRUE,0,VLOOKUP(B124,'Regioturnier 3'!$N$3:$O$34,2,FALSE)),IF(ISNA(VLOOKUP(B124,'Regioturnier 3'!$R$3:$S$34,2,FALSE))=TRUE,0,VLOOKUP(B124,'Regioturnier 3'!$R$3:$S$34,2,FALSE)), IF(ISNA(VLOOKUP(B124,'Regioturnier 3'!$V$3:$W$34,2,FALSE))=TRUE,0,VLOOKUP(B124,'Regioturnier 3'!$V$3:$W$34,2,FALSE)), IF(ISNA(VLOOKUP(B124,'Regioturnier 3'!$Z$3:$AA$34,2,FALSE))=TRUE,0,VLOOKUP(B124,'Regioturnier 3'!$Z$3:$AA$34,2,FALSE)))</f>
        <v>0</v>
      </c>
      <c r="R124" s="20">
        <f>0.5*INDEX($H124:$N124,MATCH(LARGE($H124:$N124,1),$H124:$N124,0))+0.3*INDEX($H124:$N124,MATCH(LARGE($H124:$N124,2),$H124:$N124,0))+0.2*INDEX($H124:$N124,MATCH(LARGE($H124:$N124,3),$H124:$N124,0))</f>
        <v>84.5</v>
      </c>
      <c r="S124" s="20">
        <f>0.6*INDEX(O124:Q124,MATCH(LARGE(O124:Q124,1),O124:Q124,0))+0.4*INDEX(O124:Q124,MATCH(LARGE(O124:Q124,2),O124:Q124,0))+0*INDEX(O124:Q124,MATCH(LARGE(O124:Q124,3),O124:Q124,0))</f>
        <v>0</v>
      </c>
      <c r="T124" s="15">
        <f>1*INDEX(R124:S124,MATCH(LARGE(R124:S124,1),R124:S124,0))+0*INDEX(R124:S124,MATCH(LARGE(R124:S124,2),R124:S124,0))</f>
        <v>84.5</v>
      </c>
      <c r="U124" s="21"/>
      <c r="V124" s="21"/>
      <c r="W124" s="21"/>
      <c r="X124" s="21"/>
      <c r="Y124" s="21"/>
      <c r="Z124" s="21"/>
    </row>
    <row r="125" spans="1:26" ht="12.75" customHeight="1" x14ac:dyDescent="0.3">
      <c r="A125" s="15">
        <v>124</v>
      </c>
      <c r="B125" s="16" t="s">
        <v>495</v>
      </c>
      <c r="C125" s="17" t="s">
        <v>28</v>
      </c>
      <c r="D125" s="15" t="s">
        <v>22</v>
      </c>
      <c r="E125" s="18" t="s">
        <v>23</v>
      </c>
      <c r="F125" s="15" t="s">
        <v>505</v>
      </c>
      <c r="G125" s="22">
        <v>2015</v>
      </c>
      <c r="H125" s="15">
        <f>MAX(IF(ISNA(VLOOKUP(B125,'WBV 1'!$B$3:$C$34,2,FALSE))=TRUE,0,VLOOKUP(B125,'WBV 1'!$B$3:$C$34,2,FALSE)),IF(ISNA(VLOOKUP(B125,'WBV 1'!$F$3:$G$34,2,FALSE))=TRUE,0,VLOOKUP(B125,'WBV 1'!$F$3:$G$34,2,FALSE)),IF(ISNA(VLOOKUP(B125,'WBV 1'!$J$3:$K$34,2,FALSE))=TRUE,0,VLOOKUP(B125,'WBV 1'!$J$3:$K$34,2,FALSE)),IF(ISNA(VLOOKUP(B125,'WBV 1'!$N$3:$O$34,2,FALSE))=TRUE,0,VLOOKUP(B125,'WBV 1'!$N$3:$O$34,2,FALSE)))</f>
        <v>0</v>
      </c>
      <c r="I125" s="15">
        <f>MAX(IF(ISNA(VLOOKUP(B125,'WBV 2'!$B$3:$C$34,2,FALSE))=TRUE,0,VLOOKUP(B125,'WBV 2'!$B$3:$C$34,2,FALSE)),IF(ISNA(VLOOKUP(B125,'WBV 2'!$F$3:$G$34,2,FALSE))=TRUE,0,VLOOKUP(B125,'WBV 2'!$F$3:$G$34,2,FALSE)),IF(ISNA(VLOOKUP(B125,'WBV 2'!$J$3:$K$34,2,FALSE))=TRUE,0,VLOOKUP(B125,'WBV 2'!$J$3:$K$34,2,FALSE)),IF(ISNA(VLOOKUP(B125,'WBV 2'!$N$3:$O$34,2,FALSE))=TRUE,0,VLOOKUP(B125,'WBV 2'!$N$3:$O$34,2,FALSE)))</f>
        <v>0</v>
      </c>
      <c r="J125" s="15">
        <f>MAX(IF(ISNA(VLOOKUP(B125,'WBV 3'!$B$3:$C$34,2,FALSE))=TRUE,0,VLOOKUP(B125,'WBV 3'!$B$3:$C$34,2,FALSE)),IF(ISNA(VLOOKUP(B125,'WBV 3'!$F$3:$G$34,2,FALSE))=TRUE,0,VLOOKUP(B125,'WBV 3'!$F$3:$G$34,2,FALSE)),IF(ISNA(VLOOKUP(B125,'WBV 3'!$J$3:$K$34,2,FALSE))=TRUE,0,VLOOKUP(B125,'WBV 3'!$J$3:$K$34,2,FALSE)),IF(ISNA(VLOOKUP(B125,'WBV 3'!$N$3:$O$34,2,FALSE))=TRUE,0,VLOOKUP(B125,'WBV 3'!$N$3:$O$34,2,FALSE)))</f>
        <v>0</v>
      </c>
      <c r="K125" s="15">
        <f>MAX(IF(ISNA(VLOOKUP(B125,'WBV 4'!$B$3:$C$34,2,FALSE))=TRUE,0,VLOOKUP(B125,'WBV 4'!$B$3:$C$34,2,FALSE)),IF(ISNA(VLOOKUP(B125,'WBV 4'!$F$3:$G$34,2,FALSE))=TRUE,0,VLOOKUP(B125,'WBV 4'!$F$3:$G$34,2,FALSE)),IF(ISNA(VLOOKUP(B125,'WBV 4'!$J$3:$K$34,2,FALSE))=TRUE,0,VLOOKUP(B125,'WBV 4'!$J$3:$K$34,2,FALSE)),IF(ISNA(VLOOKUP(B125,'WBV 4'!$N$3:$O$34,2,FALSE))=TRUE,0,VLOOKUP(B125,'WBV 4'!$N$3:$O$34,2,FALSE)))</f>
        <v>0</v>
      </c>
      <c r="L125" s="19">
        <f>MAX(IF(ISNA(VLOOKUP(B125,'NÖBV 1'!$B$3:$C$34,2,FALSE))=TRUE,0,VLOOKUP(B125,'NÖBV 1'!$B$3:$C$34,2,FALSE)),IF(ISNA(VLOOKUP(B125,'NÖBV 1'!$F$3:$G$34,2,FALSE))=TRUE,0,VLOOKUP(B125,'NÖBV 1'!$F$3:$G$34,2,FALSE)),IF(ISNA(VLOOKUP(B125,'NÖBV 1'!$J$3:$K$34,2,FALSE))=TRUE,0,VLOOKUP(B125,'NÖBV 1'!$J$3:$K$34,2,FALSE)),IF(ISNA(VLOOKUP(B125,'NÖBV 1'!$N$3:$O$34,2,FALSE))=TRUE,0,VLOOKUP(B125,'NÖBV 1'!$N$3:$O$34,2,FALSE)))</f>
        <v>168</v>
      </c>
      <c r="M125" s="19">
        <f>MAX(IF(ISNA(VLOOKUP(B125,'NÖBV 2'!$B$3:$C$34,2,FALSE))=TRUE,0,VLOOKUP(B125,'NÖBV 2'!$B$3:$C$34,2,FALSE)),IF(ISNA(VLOOKUP(B125,'NÖBV 2'!$F$3:$G$34,2,FALSE))=TRUE,0,VLOOKUP(B125,'NÖBV 2'!$F$3:$G$34,2,FALSE)),IF(ISNA(VLOOKUP(B125,'NÖBV 2'!$J$3:$K$34,2,FALSE))=TRUE,0,VLOOKUP(B125,'NÖBV 2'!$J$3:$K$34,2,FALSE)),IF(ISNA(VLOOKUP(B125,'NÖBV 2'!$N$3:$O$34,2,FALSE))=TRUE,0,VLOOKUP(B125,'NÖBV 2'!$N$3:$O$34,2,FALSE)))</f>
        <v>0</v>
      </c>
      <c r="N125" s="19">
        <f>MAX(IF(ISNA(VLOOKUP(B125,'NÖBV 3'!$B$3:$C$34,2,FALSE))=TRUE,0,VLOOKUP(B125,'NÖBV 3'!$B$3:$C$34,2,FALSE)),IF(ISNA(VLOOKUP(B125,'NÖBV 3'!$F$3:$G$34,2,FALSE))=TRUE,0,VLOOKUP(B125,'NÖBV 3'!$F$3:$G$34,2,FALSE)),IF(ISNA(VLOOKUP(B125,'NÖBV 3'!$J$3:$K$34,2,FALSE))=TRUE,0,VLOOKUP(B125,'NÖBV 3'!$J$3:$K$34,2,FALSE)),IF(ISNA(VLOOKUP(B125,'NÖBV 3'!$N$3:$O$34,2,FALSE))=TRUE,0,VLOOKUP(B125,'NÖBV 3'!$N$3:$O$34,2,FALSE)))</f>
        <v>0</v>
      </c>
      <c r="O125" s="15">
        <f>MAX(IF(ISNA(VLOOKUP(B125,'Regioturnier 1'!$B$3:$C$34,2,FALSE))=TRUE,0,VLOOKUP(B125,'Regioturnier 1'!$B$3:$C$34,2,FALSE)),IF(ISNA(VLOOKUP(B125,'Regioturnier 1'!$F$3:$G$34,2,FALSE))=TRUE,0,VLOOKUP(B125,'Regioturnier 1'!$F$3:$G$34,2,FALSE)),IF(ISNA(VLOOKUP(B125,'Regioturnier 1'!$J$3:$K$34,2,FALSE))=TRUE,0,VLOOKUP(B125,'Regioturnier 1'!$J$3:$K$34,2,FALSE)),IF(ISNA(VLOOKUP(B125,'Regioturnier 1'!$N$3:$O$34,2,FALSE))=TRUE,0,VLOOKUP(B125,'Regioturnier 1'!$N$3:$O$34,2,FALSE)),IF(ISNA(VLOOKUP(B125,'Regioturnier 1'!$R$3:$S$34,2,FALSE))=TRUE,0,VLOOKUP(B125,'Regioturnier 1'!$R$3:$S$34,2,FALSE)), IF(ISNA(VLOOKUP(B125,'Regioturnier 1'!$V$3:$W$34,2,FALSE))=TRUE,0,VLOOKUP(B125,'Regioturnier 1'!$V$3:$W$34,2,FALSE)), IF(ISNA(VLOOKUP(B125,'Regioturnier 1'!$Z$3:$AA$34,2,FALSE))=TRUE,0,VLOOKUP(B125,'Regioturnier 1'!$Z$3:$AA$34,2,FALSE)))</f>
        <v>0</v>
      </c>
      <c r="P125" s="15">
        <f>MAX(IF(ISNA(VLOOKUP(B125,'Regioturnier 2'!$B$3:$C$34,2,FALSE))=TRUE,0,VLOOKUP(B125,'Regioturnier 2'!$B$3:$C$34,2,FALSE)),IF(ISNA(VLOOKUP(B125,'Regioturnier 2'!$F$3:$G$34,2,FALSE))=TRUE,0,VLOOKUP(B125,'Regioturnier 2'!$F$3:$G$34,2,FALSE)),IF(ISNA(VLOOKUP(B125,'Regioturnier 2'!$J$3:$K$34,2,FALSE))=TRUE,0,VLOOKUP(B125,'Regioturnier 2'!$J$3:$K$34,2,FALSE)),IF(ISNA(VLOOKUP(B125,'Regioturnier 2'!$N$3:$O$34,2,FALSE))=TRUE,0,VLOOKUP(B125,'Regioturnier 2'!$N$3:$O$34,2,FALSE)),IF(ISNA(VLOOKUP(B125,'Regioturnier 2'!$R$3:$S$34,2,FALSE))=TRUE,0,VLOOKUP(B125,'Regioturnier 2'!$R$3:$S$34,2,FALSE)), IF(ISNA(VLOOKUP(B125,'Regioturnier 2'!$V$3:$W$34,2,FALSE))=TRUE,0,VLOOKUP(B125,'Regioturnier 2'!$V$3:$W$34,2,FALSE)), IF(ISNA(VLOOKUP(B125,'Regioturnier 2'!$Z$3:$AA$34,2,FALSE))=TRUE,0,VLOOKUP(B125,'Regioturnier 2'!$Z$3:$AA$34,2,FALSE)))</f>
        <v>0</v>
      </c>
      <c r="Q125" s="15">
        <f>MAX(IF(ISNA(VLOOKUP(B125,'Regioturnier 3'!$B$3:$C$34,2,FALSE))=TRUE,0,VLOOKUP(B125,'Regioturnier 3'!$B$3:$C$34,2,FALSE)),IF(ISNA(VLOOKUP(B125,'Regioturnier 3'!$F$3:$G$34,2,FALSE))=TRUE,0,VLOOKUP(B125,'Regioturnier 3'!$F$3:$G$34,2,FALSE)),IF(ISNA(VLOOKUP(B125,'Regioturnier 3'!$J$3:$K$34,2,FALSE))=TRUE,0,VLOOKUP(B125,'Regioturnier 3'!$J$3:$K$34,2,FALSE)),IF(ISNA(VLOOKUP(B125,'Regioturnier 3'!$N$3:$O$34,2,FALSE))=TRUE,0,VLOOKUP(B125,'Regioturnier 3'!$N$3:$O$34,2,FALSE)),IF(ISNA(VLOOKUP(B125,'Regioturnier 3'!$R$3:$S$34,2,FALSE))=TRUE,0,VLOOKUP(B125,'Regioturnier 3'!$R$3:$S$34,2,FALSE)), IF(ISNA(VLOOKUP(B125,'Regioturnier 3'!$V$3:$W$34,2,FALSE))=TRUE,0,VLOOKUP(B125,'Regioturnier 3'!$V$3:$W$34,2,FALSE)), IF(ISNA(VLOOKUP(B125,'Regioturnier 3'!$Z$3:$AA$34,2,FALSE))=TRUE,0,VLOOKUP(B125,'Regioturnier 3'!$Z$3:$AA$34,2,FALSE)))</f>
        <v>0</v>
      </c>
      <c r="R125" s="20">
        <f>0.5*INDEX($H125:$N125,MATCH(LARGE($H125:$N125,1),$H125:$N125,0))+0.3*INDEX($H125:$N125,MATCH(LARGE($H125:$N125,2),$H125:$N125,0))+0.2*INDEX($H125:$N125,MATCH(LARGE($H125:$N125,3),$H125:$N125,0))</f>
        <v>84</v>
      </c>
      <c r="S125" s="20">
        <f>0.6*INDEX(O125:Q125,MATCH(LARGE(O125:Q125,1),O125:Q125,0))+0.4*INDEX(O125:Q125,MATCH(LARGE(O125:Q125,2),O125:Q125,0))+0*INDEX(O125:Q125,MATCH(LARGE(O125:Q125,3),O125:Q125,0))</f>
        <v>0</v>
      </c>
      <c r="T125" s="15">
        <f>1*INDEX(R125:S125,MATCH(LARGE(R125:S125,1),R125:S125,0))+0*INDEX(R125:S125,MATCH(LARGE(R125:S125,2),R125:S125,0))</f>
        <v>84</v>
      </c>
      <c r="U125" s="21"/>
      <c r="V125" s="21"/>
      <c r="W125" s="21"/>
      <c r="X125" s="21"/>
      <c r="Y125" s="21"/>
      <c r="Z125" s="21"/>
    </row>
    <row r="126" spans="1:26" ht="12.75" customHeight="1" x14ac:dyDescent="0.3">
      <c r="A126" s="15">
        <v>125</v>
      </c>
      <c r="B126" s="21" t="s">
        <v>643</v>
      </c>
      <c r="C126" s="21" t="s">
        <v>28</v>
      </c>
      <c r="D126" s="15" t="s">
        <v>22</v>
      </c>
      <c r="E126" s="15" t="s">
        <v>40</v>
      </c>
      <c r="F126" s="15">
        <v>209293</v>
      </c>
      <c r="G126" s="15">
        <v>2017</v>
      </c>
      <c r="H126" s="15">
        <f>MAX(IF(ISNA(VLOOKUP(B126,'WBV 1'!$B$3:$C$34,2,FALSE))=TRUE,0,VLOOKUP(B126,'WBV 1'!$B$3:$C$34,2,FALSE)),IF(ISNA(VLOOKUP(B126,'WBV 1'!$F$3:$G$34,2,FALSE))=TRUE,0,VLOOKUP(B126,'WBV 1'!$F$3:$G$34,2,FALSE)),IF(ISNA(VLOOKUP(B126,'WBV 1'!$J$3:$K$34,2,FALSE))=TRUE,0,VLOOKUP(B126,'WBV 1'!$J$3:$K$34,2,FALSE)),IF(ISNA(VLOOKUP(B126,'WBV 1'!$N$3:$O$34,2,FALSE))=TRUE,0,VLOOKUP(B126,'WBV 1'!$N$3:$O$34,2,FALSE)))</f>
        <v>0</v>
      </c>
      <c r="I126" s="15">
        <f>MAX(IF(ISNA(VLOOKUP(B126,'WBV 2'!$B$3:$C$34,2,FALSE))=TRUE,0,VLOOKUP(B126,'WBV 2'!$B$3:$C$34,2,FALSE)),IF(ISNA(VLOOKUP(B126,'WBV 2'!$F$3:$G$34,2,FALSE))=TRUE,0,VLOOKUP(B126,'WBV 2'!$F$3:$G$34,2,FALSE)),IF(ISNA(VLOOKUP(B126,'WBV 2'!$J$3:$K$34,2,FALSE))=TRUE,0,VLOOKUP(B126,'WBV 2'!$J$3:$K$34,2,FALSE)),IF(ISNA(VLOOKUP(B126,'WBV 2'!$N$3:$O$34,2,FALSE))=TRUE,0,VLOOKUP(B126,'WBV 2'!$N$3:$O$34,2,FALSE)))</f>
        <v>0</v>
      </c>
      <c r="J126" s="15">
        <f>MAX(IF(ISNA(VLOOKUP(B126,'WBV 3'!$B$3:$C$34,2,FALSE))=TRUE,0,VLOOKUP(B126,'WBV 3'!$B$3:$C$34,2,FALSE)),IF(ISNA(VLOOKUP(B126,'WBV 3'!$F$3:$G$34,2,FALSE))=TRUE,0,VLOOKUP(B126,'WBV 3'!$F$3:$G$34,2,FALSE)),IF(ISNA(VLOOKUP(B126,'WBV 3'!$J$3:$K$34,2,FALSE))=TRUE,0,VLOOKUP(B126,'WBV 3'!$J$3:$K$34,2,FALSE)),IF(ISNA(VLOOKUP(B126,'WBV 3'!$N$3:$O$34,2,FALSE))=TRUE,0,VLOOKUP(B126,'WBV 3'!$N$3:$O$34,2,FALSE)))</f>
        <v>0</v>
      </c>
      <c r="K126" s="15">
        <f>MAX(IF(ISNA(VLOOKUP(B126,'WBV 4'!$B$3:$C$34,2,FALSE))=TRUE,0,VLOOKUP(B126,'WBV 4'!$B$3:$C$34,2,FALSE)),IF(ISNA(VLOOKUP(B126,'WBV 4'!$F$3:$G$34,2,FALSE))=TRUE,0,VLOOKUP(B126,'WBV 4'!$F$3:$G$34,2,FALSE)),IF(ISNA(VLOOKUP(B126,'WBV 4'!$J$3:$K$34,2,FALSE))=TRUE,0,VLOOKUP(B126,'WBV 4'!$J$3:$K$34,2,FALSE)),IF(ISNA(VLOOKUP(B126,'WBV 4'!$N$3:$O$34,2,FALSE))=TRUE,0,VLOOKUP(B126,'WBV 4'!$N$3:$O$34,2,FALSE)))</f>
        <v>0</v>
      </c>
      <c r="L126" s="19">
        <f>MAX(IF(ISNA(VLOOKUP(B126,'NÖBV 1'!$B$3:$C$34,2,FALSE))=TRUE,0,VLOOKUP(B126,'NÖBV 1'!$B$3:$C$34,2,FALSE)),IF(ISNA(VLOOKUP(B126,'NÖBV 1'!$F$3:$G$34,2,FALSE))=TRUE,0,VLOOKUP(B126,'NÖBV 1'!$F$3:$G$34,2,FALSE)),IF(ISNA(VLOOKUP(B126,'NÖBV 1'!$J$3:$K$34,2,FALSE))=TRUE,0,VLOOKUP(B126,'NÖBV 1'!$J$3:$K$34,2,FALSE)),IF(ISNA(VLOOKUP(B126,'NÖBV 1'!$N$3:$O$34,2,FALSE))=TRUE,0,VLOOKUP(B126,'NÖBV 1'!$N$3:$O$34,2,FALSE)))</f>
        <v>0</v>
      </c>
      <c r="M126" s="19">
        <f>MAX(IF(ISNA(VLOOKUP(B126,'NÖBV 2'!$B$3:$C$34,2,FALSE))=TRUE,0,VLOOKUP(B126,'NÖBV 2'!$B$3:$C$34,2,FALSE)),IF(ISNA(VLOOKUP(B126,'NÖBV 2'!$F$3:$G$34,2,FALSE))=TRUE,0,VLOOKUP(B126,'NÖBV 2'!$F$3:$G$34,2,FALSE)),IF(ISNA(VLOOKUP(B126,'NÖBV 2'!$J$3:$K$34,2,FALSE))=TRUE,0,VLOOKUP(B126,'NÖBV 2'!$J$3:$K$34,2,FALSE)),IF(ISNA(VLOOKUP(B126,'NÖBV 2'!$N$3:$O$34,2,FALSE))=TRUE,0,VLOOKUP(B126,'NÖBV 2'!$N$3:$O$34,2,FALSE)))</f>
        <v>0</v>
      </c>
      <c r="N126" s="19">
        <f>MAX(IF(ISNA(VLOOKUP(B126,'NÖBV 3'!$B$3:$C$34,2,FALSE))=TRUE,0,VLOOKUP(B126,'NÖBV 3'!$B$3:$C$34,2,FALSE)),IF(ISNA(VLOOKUP(B126,'NÖBV 3'!$F$3:$G$34,2,FALSE))=TRUE,0,VLOOKUP(B126,'NÖBV 3'!$F$3:$G$34,2,FALSE)),IF(ISNA(VLOOKUP(B126,'NÖBV 3'!$J$3:$K$34,2,FALSE))=TRUE,0,VLOOKUP(B126,'NÖBV 3'!$J$3:$K$34,2,FALSE)),IF(ISNA(VLOOKUP(B126,'NÖBV 3'!$N$3:$O$34,2,FALSE))=TRUE,0,VLOOKUP(B126,'NÖBV 3'!$N$3:$O$34,2,FALSE)))</f>
        <v>167</v>
      </c>
      <c r="O126" s="15">
        <f>MAX(IF(ISNA(VLOOKUP(B126,'Regioturnier 1'!$B$3:$C$34,2,FALSE))=TRUE,0,VLOOKUP(B126,'Regioturnier 1'!$B$3:$C$34,2,FALSE)),IF(ISNA(VLOOKUP(B126,'Regioturnier 1'!$F$3:$G$34,2,FALSE))=TRUE,0,VLOOKUP(B126,'Regioturnier 1'!$F$3:$G$34,2,FALSE)),IF(ISNA(VLOOKUP(B126,'Regioturnier 1'!$J$3:$K$34,2,FALSE))=TRUE,0,VLOOKUP(B126,'Regioturnier 1'!$J$3:$K$34,2,FALSE)),IF(ISNA(VLOOKUP(B126,'Regioturnier 1'!$N$3:$O$34,2,FALSE))=TRUE,0,VLOOKUP(B126,'Regioturnier 1'!$N$3:$O$34,2,FALSE)),IF(ISNA(VLOOKUP(B126,'Regioturnier 1'!$R$3:$S$34,2,FALSE))=TRUE,0,VLOOKUP(B126,'Regioturnier 1'!$R$3:$S$34,2,FALSE)), IF(ISNA(VLOOKUP(B126,'Regioturnier 1'!$V$3:$W$34,2,FALSE))=TRUE,0,VLOOKUP(B126,'Regioturnier 1'!$V$3:$W$34,2,FALSE)), IF(ISNA(VLOOKUP(B126,'Regioturnier 1'!$Z$3:$AA$34,2,FALSE))=TRUE,0,VLOOKUP(B126,'Regioturnier 1'!$Z$3:$AA$34,2,FALSE)))</f>
        <v>0</v>
      </c>
      <c r="P126" s="15">
        <f>MAX(IF(ISNA(VLOOKUP(B126,'Regioturnier 2'!$B$3:$C$34,2,FALSE))=TRUE,0,VLOOKUP(B126,'Regioturnier 2'!$B$3:$C$34,2,FALSE)),IF(ISNA(VLOOKUP(B126,'Regioturnier 2'!$F$3:$G$34,2,FALSE))=TRUE,0,VLOOKUP(B126,'Regioturnier 2'!$F$3:$G$34,2,FALSE)),IF(ISNA(VLOOKUP(B126,'Regioturnier 2'!$J$3:$K$34,2,FALSE))=TRUE,0,VLOOKUP(B126,'Regioturnier 2'!$J$3:$K$34,2,FALSE)),IF(ISNA(VLOOKUP(B126,'Regioturnier 2'!$N$3:$O$34,2,FALSE))=TRUE,0,VLOOKUP(B126,'Regioturnier 2'!$N$3:$O$34,2,FALSE)),IF(ISNA(VLOOKUP(B126,'Regioturnier 2'!$R$3:$S$34,2,FALSE))=TRUE,0,VLOOKUP(B126,'Regioturnier 2'!$R$3:$S$34,2,FALSE)), IF(ISNA(VLOOKUP(B126,'Regioturnier 2'!$V$3:$W$34,2,FALSE))=TRUE,0,VLOOKUP(B126,'Regioturnier 2'!$V$3:$W$34,2,FALSE)), IF(ISNA(VLOOKUP(B126,'Regioturnier 2'!$Z$3:$AA$34,2,FALSE))=TRUE,0,VLOOKUP(B126,'Regioturnier 2'!$Z$3:$AA$34,2,FALSE)))</f>
        <v>0</v>
      </c>
      <c r="Q126" s="15">
        <f>MAX(IF(ISNA(VLOOKUP(B126,'Regioturnier 3'!$B$3:$C$34,2,FALSE))=TRUE,0,VLOOKUP(B126,'Regioturnier 3'!$B$3:$C$34,2,FALSE)),IF(ISNA(VLOOKUP(B126,'Regioturnier 3'!$F$3:$G$34,2,FALSE))=TRUE,0,VLOOKUP(B126,'Regioturnier 3'!$F$3:$G$34,2,FALSE)),IF(ISNA(VLOOKUP(B126,'Regioturnier 3'!$J$3:$K$34,2,FALSE))=TRUE,0,VLOOKUP(B126,'Regioturnier 3'!$J$3:$K$34,2,FALSE)),IF(ISNA(VLOOKUP(B126,'Regioturnier 3'!$N$3:$O$34,2,FALSE))=TRUE,0,VLOOKUP(B126,'Regioturnier 3'!$N$3:$O$34,2,FALSE)),IF(ISNA(VLOOKUP(B126,'Regioturnier 3'!$R$3:$S$34,2,FALSE))=TRUE,0,VLOOKUP(B126,'Regioturnier 3'!$R$3:$S$34,2,FALSE)), IF(ISNA(VLOOKUP(B126,'Regioturnier 3'!$V$3:$W$34,2,FALSE))=TRUE,0,VLOOKUP(B126,'Regioturnier 3'!$V$3:$W$34,2,FALSE)), IF(ISNA(VLOOKUP(B126,'Regioturnier 3'!$Z$3:$AA$34,2,FALSE))=TRUE,0,VLOOKUP(B126,'Regioturnier 3'!$Z$3:$AA$34,2,FALSE)))</f>
        <v>0</v>
      </c>
      <c r="R126" s="20">
        <f>0.5*INDEX($H126:$N126,MATCH(LARGE($H126:$N126,1),$H126:$N126,0))+0.3*INDEX($H126:$N126,MATCH(LARGE($H126:$N126,2),$H126:$N126,0))+0.2*INDEX($H126:$N126,MATCH(LARGE($H126:$N126,3),$H126:$N126,0))</f>
        <v>83.5</v>
      </c>
      <c r="S126" s="20">
        <f>0.6*INDEX(O126:Q126,MATCH(LARGE(O126:Q126,1),O126:Q126,0))+0.4*INDEX(O126:Q126,MATCH(LARGE(O126:Q126,2),O126:Q126,0))+0*INDEX(O126:Q126,MATCH(LARGE(O126:Q126,3),O126:Q126,0))</f>
        <v>0</v>
      </c>
      <c r="T126" s="15">
        <f>1*INDEX(R126:S126,MATCH(LARGE(R126:S126,1),R126:S126,0))+0*INDEX(R126:S126,MATCH(LARGE(R126:S126,2),R126:S126,0))</f>
        <v>83.5</v>
      </c>
      <c r="U126" s="21"/>
      <c r="V126" s="21"/>
      <c r="W126" s="21"/>
      <c r="X126" s="21"/>
      <c r="Y126" s="21"/>
      <c r="Z126" s="21"/>
    </row>
    <row r="127" spans="1:26" ht="12.75" customHeight="1" x14ac:dyDescent="0.3">
      <c r="A127" s="15">
        <v>126</v>
      </c>
      <c r="B127" s="106" t="s">
        <v>572</v>
      </c>
      <c r="C127" s="106" t="s">
        <v>54</v>
      </c>
      <c r="D127" s="106" t="s">
        <v>22</v>
      </c>
      <c r="E127" s="106" t="s">
        <v>23</v>
      </c>
      <c r="F127" s="106" t="s">
        <v>591</v>
      </c>
      <c r="G127" s="107">
        <v>2012</v>
      </c>
      <c r="H127" s="105">
        <f>MAX(IF(ISNA(VLOOKUP(B127,'WBV 1'!$B$3:$C$34,2,FALSE))=TRUE,0,VLOOKUP(B127,'WBV 1'!$B$3:$C$34,2,FALSE)),IF(ISNA(VLOOKUP(B127,'WBV 1'!$F$3:$G$34,2,FALSE))=TRUE,0,VLOOKUP(B127,'WBV 1'!$F$3:$G$34,2,FALSE)),IF(ISNA(VLOOKUP(B127,'WBV 1'!$J$3:$K$34,2,FALSE))=TRUE,0,VLOOKUP(B127,'WBV 1'!$J$3:$K$34,2,FALSE)),IF(ISNA(VLOOKUP(B127,'WBV 1'!$N$3:$O$34,2,FALSE))=TRUE,0,VLOOKUP(B127,'WBV 1'!$N$3:$O$34,2,FALSE)))</f>
        <v>0</v>
      </c>
      <c r="I127" s="105">
        <f>MAX(IF(ISNA(VLOOKUP(B127,'WBV 2'!$B$3:$C$34,2,FALSE))=TRUE,0,VLOOKUP(B127,'WBV 2'!$B$3:$C$34,2,FALSE)),IF(ISNA(VLOOKUP(B127,'WBV 2'!$F$3:$G$34,2,FALSE))=TRUE,0,VLOOKUP(B127,'WBV 2'!$F$3:$G$34,2,FALSE)),IF(ISNA(VLOOKUP(B127,'WBV 2'!$J$3:$K$34,2,FALSE))=TRUE,0,VLOOKUP(B127,'WBV 2'!$J$3:$K$34,2,FALSE)),IF(ISNA(VLOOKUP(B127,'WBV 2'!$N$3:$O$34,2,FALSE))=TRUE,0,VLOOKUP(B127,'WBV 2'!$N$3:$O$34,2,FALSE)))</f>
        <v>0</v>
      </c>
      <c r="J127" s="105">
        <f>MAX(IF(ISNA(VLOOKUP(B127,'WBV 3'!$B$3:$C$34,2,FALSE))=TRUE,0,VLOOKUP(B127,'WBV 3'!$B$3:$C$34,2,FALSE)),IF(ISNA(VLOOKUP(B127,'WBV 3'!$F$3:$G$34,2,FALSE))=TRUE,0,VLOOKUP(B127,'WBV 3'!$F$3:$G$34,2,FALSE)),IF(ISNA(VLOOKUP(B127,'WBV 3'!$J$3:$K$34,2,FALSE))=TRUE,0,VLOOKUP(B127,'WBV 3'!$J$3:$K$34,2,FALSE)),IF(ISNA(VLOOKUP(B127,'WBV 3'!$N$3:$O$34,2,FALSE))=TRUE,0,VLOOKUP(B127,'WBV 3'!$N$3:$O$34,2,FALSE)))</f>
        <v>0</v>
      </c>
      <c r="K127" s="105">
        <f>MAX(IF(ISNA(VLOOKUP(B127,'WBV 4'!$B$3:$C$34,2,FALSE))=TRUE,0,VLOOKUP(B127,'WBV 4'!$B$3:$C$34,2,FALSE)),IF(ISNA(VLOOKUP(B127,'WBV 4'!$F$3:$G$34,2,FALSE))=TRUE,0,VLOOKUP(B127,'WBV 4'!$F$3:$G$34,2,FALSE)),IF(ISNA(VLOOKUP(B127,'WBV 4'!$J$3:$K$34,2,FALSE))=TRUE,0,VLOOKUP(B127,'WBV 4'!$J$3:$K$34,2,FALSE)),IF(ISNA(VLOOKUP(B127,'WBV 4'!$N$3:$O$34,2,FALSE))=TRUE,0,VLOOKUP(B127,'WBV 4'!$N$3:$O$34,2,FALSE)))</f>
        <v>0</v>
      </c>
      <c r="L127" s="105">
        <f>MAX(IF(ISNA(VLOOKUP(B127,'NÖBV 1'!$B$3:$C$34,2,FALSE))=TRUE,0,VLOOKUP(B127,'NÖBV 1'!$B$3:$C$34,2,FALSE)),IF(ISNA(VLOOKUP(B127,'NÖBV 1'!$F$3:$G$34,2,FALSE))=TRUE,0,VLOOKUP(B127,'NÖBV 1'!$F$3:$G$34,2,FALSE)),IF(ISNA(VLOOKUP(B127,'NÖBV 1'!$J$3:$K$34,2,FALSE))=TRUE,0,VLOOKUP(B127,'NÖBV 1'!$J$3:$K$34,2,FALSE)),IF(ISNA(VLOOKUP(B127,'NÖBV 1'!$N$3:$O$34,2,FALSE))=TRUE,0,VLOOKUP(B127,'NÖBV 1'!$N$3:$O$34,2,FALSE)))</f>
        <v>0</v>
      </c>
      <c r="M127" s="105">
        <f>MAX(IF(ISNA(VLOOKUP(B127,'NÖBV 2'!$B$3:$C$34,2,FALSE))=TRUE,0,VLOOKUP(B127,'NÖBV 2'!$B$3:$C$34,2,FALSE)),IF(ISNA(VLOOKUP(B127,'NÖBV 2'!$F$3:$G$34,2,FALSE))=TRUE,0,VLOOKUP(B127,'NÖBV 2'!$F$3:$G$34,2,FALSE)),IF(ISNA(VLOOKUP(B127,'NÖBV 2'!$J$3:$K$34,2,FALSE))=TRUE,0,VLOOKUP(B127,'NÖBV 2'!$J$3:$K$34,2,FALSE)),IF(ISNA(VLOOKUP(B127,'NÖBV 2'!$N$3:$O$34,2,FALSE))=TRUE,0,VLOOKUP(B127,'NÖBV 2'!$N$3:$O$34,2,FALSE)))</f>
        <v>166</v>
      </c>
      <c r="N127" s="105">
        <f>MAX(IF(ISNA(VLOOKUP(B127,'NÖBV 3'!$B$3:$C$34,2,FALSE))=TRUE,0,VLOOKUP(B127,'NÖBV 3'!$B$3:$C$34,2,FALSE)),IF(ISNA(VLOOKUP(B127,'NÖBV 3'!$F$3:$G$34,2,FALSE))=TRUE,0,VLOOKUP(B127,'NÖBV 3'!$F$3:$G$34,2,FALSE)),IF(ISNA(VLOOKUP(B127,'NÖBV 3'!$J$3:$K$34,2,FALSE))=TRUE,0,VLOOKUP(B127,'NÖBV 3'!$J$3:$K$34,2,FALSE)),IF(ISNA(VLOOKUP(B127,'NÖBV 3'!$N$3:$O$34,2,FALSE))=TRUE,0,VLOOKUP(B127,'NÖBV 3'!$N$3:$O$34,2,FALSE)))</f>
        <v>0</v>
      </c>
      <c r="O127" s="105">
        <f>MAX(IF(ISNA(VLOOKUP(B127,'Regioturnier 1'!$B$3:$C$34,2,FALSE))=TRUE,0,VLOOKUP(B127,'Regioturnier 1'!$B$3:$C$34,2,FALSE)),IF(ISNA(VLOOKUP(B127,'Regioturnier 1'!$F$3:$G$34,2,FALSE))=TRUE,0,VLOOKUP(B127,'Regioturnier 1'!$F$3:$G$34,2,FALSE)),IF(ISNA(VLOOKUP(B127,'Regioturnier 1'!$J$3:$K$34,2,FALSE))=TRUE,0,VLOOKUP(B127,'Regioturnier 1'!$J$3:$K$34,2,FALSE)),IF(ISNA(VLOOKUP(B127,'Regioturnier 1'!$N$3:$O$34,2,FALSE))=TRUE,0,VLOOKUP(B127,'Regioturnier 1'!$N$3:$O$34,2,FALSE)),IF(ISNA(VLOOKUP(B127,'Regioturnier 1'!$R$3:$S$34,2,FALSE))=TRUE,0,VLOOKUP(B127,'Regioturnier 1'!$R$3:$S$34,2,FALSE)), IF(ISNA(VLOOKUP(B127,'Regioturnier 1'!$V$3:$W$34,2,FALSE))=TRUE,0,VLOOKUP(B127,'Regioturnier 1'!$V$3:$W$34,2,FALSE)), IF(ISNA(VLOOKUP(B127,'Regioturnier 1'!$Z$3:$AA$34,2,FALSE))=TRUE,0,VLOOKUP(B127,'Regioturnier 1'!$Z$3:$AA$34,2,FALSE)))</f>
        <v>0</v>
      </c>
      <c r="P127" s="105">
        <f>MAX(IF(ISNA(VLOOKUP(B127,'Regioturnier 2'!$B$3:$C$34,2,FALSE))=TRUE,0,VLOOKUP(B127,'Regioturnier 2'!$B$3:$C$34,2,FALSE)),IF(ISNA(VLOOKUP(B127,'Regioturnier 2'!$F$3:$G$34,2,FALSE))=TRUE,0,VLOOKUP(B127,'Regioturnier 2'!$F$3:$G$34,2,FALSE)),IF(ISNA(VLOOKUP(B127,'Regioturnier 2'!$J$3:$K$34,2,FALSE))=TRUE,0,VLOOKUP(B127,'Regioturnier 2'!$J$3:$K$34,2,FALSE)),IF(ISNA(VLOOKUP(B127,'Regioturnier 2'!$N$3:$O$34,2,FALSE))=TRUE,0,VLOOKUP(B127,'Regioturnier 2'!$N$3:$O$34,2,FALSE)),IF(ISNA(VLOOKUP(B127,'Regioturnier 2'!$R$3:$S$34,2,FALSE))=TRUE,0,VLOOKUP(B127,'Regioturnier 2'!$R$3:$S$34,2,FALSE)), IF(ISNA(VLOOKUP(B127,'Regioturnier 2'!$V$3:$W$34,2,FALSE))=TRUE,0,VLOOKUP(B127,'Regioturnier 2'!$V$3:$W$34,2,FALSE)), IF(ISNA(VLOOKUP(B127,'Regioturnier 2'!$Z$3:$AA$34,2,FALSE))=TRUE,0,VLOOKUP(B127,'Regioturnier 2'!$Z$3:$AA$34,2,FALSE)))</f>
        <v>0</v>
      </c>
      <c r="Q127" s="105">
        <f>MAX(IF(ISNA(VLOOKUP(B127,'Regioturnier 3'!$B$3:$C$34,2,FALSE))=TRUE,0,VLOOKUP(B127,'Regioturnier 3'!$B$3:$C$34,2,FALSE)),IF(ISNA(VLOOKUP(B127,'Regioturnier 3'!$F$3:$G$34,2,FALSE))=TRUE,0,VLOOKUP(B127,'Regioturnier 3'!$F$3:$G$34,2,FALSE)),IF(ISNA(VLOOKUP(B127,'Regioturnier 3'!$J$3:$K$34,2,FALSE))=TRUE,0,VLOOKUP(B127,'Regioturnier 3'!$J$3:$K$34,2,FALSE)),IF(ISNA(VLOOKUP(B127,'Regioturnier 3'!$N$3:$O$34,2,FALSE))=TRUE,0,VLOOKUP(B127,'Regioturnier 3'!$N$3:$O$34,2,FALSE)),IF(ISNA(VLOOKUP(B127,'Regioturnier 3'!$R$3:$S$34,2,FALSE))=TRUE,0,VLOOKUP(B127,'Regioturnier 3'!$R$3:$S$34,2,FALSE)), IF(ISNA(VLOOKUP(B127,'Regioturnier 3'!$V$3:$W$34,2,FALSE))=TRUE,0,VLOOKUP(B127,'Regioturnier 3'!$V$3:$W$34,2,FALSE)), IF(ISNA(VLOOKUP(B127,'Regioturnier 3'!$Z$3:$AA$34,2,FALSE))=TRUE,0,VLOOKUP(B127,'Regioturnier 3'!$Z$3:$AA$34,2,FALSE)))</f>
        <v>0</v>
      </c>
      <c r="R127" s="108">
        <f>0.5*INDEX($H127:$N127,MATCH(LARGE($H127:$N127,1),$H127:$N127,0))+0.3*INDEX($H127:$N127,MATCH(LARGE($H127:$N127,2),$H127:$N127,0))+0.2*INDEX($H127:$N127,MATCH(LARGE($H127:$N127,3),$H127:$N127,0))</f>
        <v>83</v>
      </c>
      <c r="S127" s="108">
        <f>0.6*INDEX(O127:Q127,MATCH(LARGE(O127:Q127,1),O127:Q127,0))+0.4*INDEX(O127:Q127,MATCH(LARGE(O127:Q127,2),O127:Q127,0))+0*INDEX(O127:Q127,MATCH(LARGE(O127:Q127,3),O127:Q127,0))</f>
        <v>0</v>
      </c>
      <c r="T127" s="105">
        <f>1*INDEX(R127:S127,MATCH(LARGE(R127:S127,1),R127:S127,0))+0*INDEX(R127:S127,MATCH(LARGE(R127:S127,2),R127:S127,0))</f>
        <v>83</v>
      </c>
      <c r="U127" s="21"/>
      <c r="V127" s="21"/>
      <c r="W127" s="21"/>
      <c r="X127" s="21"/>
      <c r="Y127" s="21"/>
      <c r="Z127" s="21"/>
    </row>
    <row r="128" spans="1:26" ht="12.75" customHeight="1" x14ac:dyDescent="0.3">
      <c r="A128" s="15">
        <v>127</v>
      </c>
      <c r="B128" s="21" t="s">
        <v>641</v>
      </c>
      <c r="C128" s="21" t="s">
        <v>108</v>
      </c>
      <c r="D128" s="15" t="s">
        <v>22</v>
      </c>
      <c r="E128" s="15" t="s">
        <v>23</v>
      </c>
      <c r="F128" s="15">
        <v>209458</v>
      </c>
      <c r="G128" s="15">
        <v>2011</v>
      </c>
      <c r="H128" s="15">
        <f>MAX(IF(ISNA(VLOOKUP(B128,'WBV 1'!$B$3:$C$34,2,FALSE))=TRUE,0,VLOOKUP(B128,'WBV 1'!$B$3:$C$34,2,FALSE)),IF(ISNA(VLOOKUP(B128,'WBV 1'!$F$3:$G$34,2,FALSE))=TRUE,0,VLOOKUP(B128,'WBV 1'!$F$3:$G$34,2,FALSE)),IF(ISNA(VLOOKUP(B128,'WBV 1'!$J$3:$K$34,2,FALSE))=TRUE,0,VLOOKUP(B128,'WBV 1'!$J$3:$K$34,2,FALSE)),IF(ISNA(VLOOKUP(B128,'WBV 1'!$N$3:$O$34,2,FALSE))=TRUE,0,VLOOKUP(B128,'WBV 1'!$N$3:$O$34,2,FALSE)))</f>
        <v>0</v>
      </c>
      <c r="I128" s="15">
        <f>MAX(IF(ISNA(VLOOKUP(B128,'WBV 2'!$B$3:$C$34,2,FALSE))=TRUE,0,VLOOKUP(B128,'WBV 2'!$B$3:$C$34,2,FALSE)),IF(ISNA(VLOOKUP(B128,'WBV 2'!$F$3:$G$34,2,FALSE))=TRUE,0,VLOOKUP(B128,'WBV 2'!$F$3:$G$34,2,FALSE)),IF(ISNA(VLOOKUP(B128,'WBV 2'!$J$3:$K$34,2,FALSE))=TRUE,0,VLOOKUP(B128,'WBV 2'!$J$3:$K$34,2,FALSE)),IF(ISNA(VLOOKUP(B128,'WBV 2'!$N$3:$O$34,2,FALSE))=TRUE,0,VLOOKUP(B128,'WBV 2'!$N$3:$O$34,2,FALSE)))</f>
        <v>0</v>
      </c>
      <c r="J128" s="15">
        <f>MAX(IF(ISNA(VLOOKUP(B128,'WBV 3'!$B$3:$C$34,2,FALSE))=TRUE,0,VLOOKUP(B128,'WBV 3'!$B$3:$C$34,2,FALSE)),IF(ISNA(VLOOKUP(B128,'WBV 3'!$F$3:$G$34,2,FALSE))=TRUE,0,VLOOKUP(B128,'WBV 3'!$F$3:$G$34,2,FALSE)),IF(ISNA(VLOOKUP(B128,'WBV 3'!$J$3:$K$34,2,FALSE))=TRUE,0,VLOOKUP(B128,'WBV 3'!$J$3:$K$34,2,FALSE)),IF(ISNA(VLOOKUP(B128,'WBV 3'!$N$3:$O$34,2,FALSE))=TRUE,0,VLOOKUP(B128,'WBV 3'!$N$3:$O$34,2,FALSE)))</f>
        <v>0</v>
      </c>
      <c r="K128" s="15">
        <f>MAX(IF(ISNA(VLOOKUP(B128,'WBV 4'!$B$3:$C$34,2,FALSE))=TRUE,0,VLOOKUP(B128,'WBV 4'!$B$3:$C$34,2,FALSE)),IF(ISNA(VLOOKUP(B128,'WBV 4'!$F$3:$G$34,2,FALSE))=TRUE,0,VLOOKUP(B128,'WBV 4'!$F$3:$G$34,2,FALSE)),IF(ISNA(VLOOKUP(B128,'WBV 4'!$J$3:$K$34,2,FALSE))=TRUE,0,VLOOKUP(B128,'WBV 4'!$J$3:$K$34,2,FALSE)),IF(ISNA(VLOOKUP(B128,'WBV 4'!$N$3:$O$34,2,FALSE))=TRUE,0,VLOOKUP(B128,'WBV 4'!$N$3:$O$34,2,FALSE)))</f>
        <v>0</v>
      </c>
      <c r="L128" s="19">
        <f>MAX(IF(ISNA(VLOOKUP(B128,'NÖBV 1'!$B$3:$C$34,2,FALSE))=TRUE,0,VLOOKUP(B128,'NÖBV 1'!$B$3:$C$34,2,FALSE)),IF(ISNA(VLOOKUP(B128,'NÖBV 1'!$F$3:$G$34,2,FALSE))=TRUE,0,VLOOKUP(B128,'NÖBV 1'!$F$3:$G$34,2,FALSE)),IF(ISNA(VLOOKUP(B128,'NÖBV 1'!$J$3:$K$34,2,FALSE))=TRUE,0,VLOOKUP(B128,'NÖBV 1'!$J$3:$K$34,2,FALSE)),IF(ISNA(VLOOKUP(B128,'NÖBV 1'!$N$3:$O$34,2,FALSE))=TRUE,0,VLOOKUP(B128,'NÖBV 1'!$N$3:$O$34,2,FALSE)))</f>
        <v>0</v>
      </c>
      <c r="M128" s="19">
        <f>MAX(IF(ISNA(VLOOKUP(B128,'NÖBV 2'!$B$3:$C$34,2,FALSE))=TRUE,0,VLOOKUP(B128,'NÖBV 2'!$B$3:$C$34,2,FALSE)),IF(ISNA(VLOOKUP(B128,'NÖBV 2'!$F$3:$G$34,2,FALSE))=TRUE,0,VLOOKUP(B128,'NÖBV 2'!$F$3:$G$34,2,FALSE)),IF(ISNA(VLOOKUP(B128,'NÖBV 2'!$J$3:$K$34,2,FALSE))=TRUE,0,VLOOKUP(B128,'NÖBV 2'!$J$3:$K$34,2,FALSE)),IF(ISNA(VLOOKUP(B128,'NÖBV 2'!$N$3:$O$34,2,FALSE))=TRUE,0,VLOOKUP(B128,'NÖBV 2'!$N$3:$O$34,2,FALSE)))</f>
        <v>0</v>
      </c>
      <c r="N128" s="19">
        <f>MAX(IF(ISNA(VLOOKUP(B128,'NÖBV 3'!$B$3:$C$34,2,FALSE))=TRUE,0,VLOOKUP(B128,'NÖBV 3'!$B$3:$C$34,2,FALSE)),IF(ISNA(VLOOKUP(B128,'NÖBV 3'!$F$3:$G$34,2,FALSE))=TRUE,0,VLOOKUP(B128,'NÖBV 3'!$F$3:$G$34,2,FALSE)),IF(ISNA(VLOOKUP(B128,'NÖBV 3'!$J$3:$K$34,2,FALSE))=TRUE,0,VLOOKUP(B128,'NÖBV 3'!$J$3:$K$34,2,FALSE)),IF(ISNA(VLOOKUP(B128,'NÖBV 3'!$N$3:$O$34,2,FALSE))=TRUE,0,VLOOKUP(B128,'NÖBV 3'!$N$3:$O$34,2,FALSE)))</f>
        <v>166</v>
      </c>
      <c r="O128" s="15">
        <f>MAX(IF(ISNA(VLOOKUP(B128,'Regioturnier 1'!$B$3:$C$34,2,FALSE))=TRUE,0,VLOOKUP(B128,'Regioturnier 1'!$B$3:$C$34,2,FALSE)),IF(ISNA(VLOOKUP(B128,'Regioturnier 1'!$F$3:$G$34,2,FALSE))=TRUE,0,VLOOKUP(B128,'Regioturnier 1'!$F$3:$G$34,2,FALSE)),IF(ISNA(VLOOKUP(B128,'Regioturnier 1'!$J$3:$K$34,2,FALSE))=TRUE,0,VLOOKUP(B128,'Regioturnier 1'!$J$3:$K$34,2,FALSE)),IF(ISNA(VLOOKUP(B128,'Regioturnier 1'!$N$3:$O$34,2,FALSE))=TRUE,0,VLOOKUP(B128,'Regioturnier 1'!$N$3:$O$34,2,FALSE)),IF(ISNA(VLOOKUP(B128,'Regioturnier 1'!$R$3:$S$34,2,FALSE))=TRUE,0,VLOOKUP(B128,'Regioturnier 1'!$R$3:$S$34,2,FALSE)), IF(ISNA(VLOOKUP(B128,'Regioturnier 1'!$V$3:$W$34,2,FALSE))=TRUE,0,VLOOKUP(B128,'Regioturnier 1'!$V$3:$W$34,2,FALSE)), IF(ISNA(VLOOKUP(B128,'Regioturnier 1'!$Z$3:$AA$34,2,FALSE))=TRUE,0,VLOOKUP(B128,'Regioturnier 1'!$Z$3:$AA$34,2,FALSE)))</f>
        <v>0</v>
      </c>
      <c r="P128" s="15">
        <f>MAX(IF(ISNA(VLOOKUP(B128,'Regioturnier 2'!$B$3:$C$34,2,FALSE))=TRUE,0,VLOOKUP(B128,'Regioturnier 2'!$B$3:$C$34,2,FALSE)),IF(ISNA(VLOOKUP(B128,'Regioturnier 2'!$F$3:$G$34,2,FALSE))=TRUE,0,VLOOKUP(B128,'Regioturnier 2'!$F$3:$G$34,2,FALSE)),IF(ISNA(VLOOKUP(B128,'Regioturnier 2'!$J$3:$K$34,2,FALSE))=TRUE,0,VLOOKUP(B128,'Regioturnier 2'!$J$3:$K$34,2,FALSE)),IF(ISNA(VLOOKUP(B128,'Regioturnier 2'!$N$3:$O$34,2,FALSE))=TRUE,0,VLOOKUP(B128,'Regioturnier 2'!$N$3:$O$34,2,FALSE)),IF(ISNA(VLOOKUP(B128,'Regioturnier 2'!$R$3:$S$34,2,FALSE))=TRUE,0,VLOOKUP(B128,'Regioturnier 2'!$R$3:$S$34,2,FALSE)), IF(ISNA(VLOOKUP(B128,'Regioturnier 2'!$V$3:$W$34,2,FALSE))=TRUE,0,VLOOKUP(B128,'Regioturnier 2'!$V$3:$W$34,2,FALSE)), IF(ISNA(VLOOKUP(B128,'Regioturnier 2'!$Z$3:$AA$34,2,FALSE))=TRUE,0,VLOOKUP(B128,'Regioturnier 2'!$Z$3:$AA$34,2,FALSE)))</f>
        <v>0</v>
      </c>
      <c r="Q128" s="15">
        <f>MAX(IF(ISNA(VLOOKUP(B128,'Regioturnier 3'!$B$3:$C$34,2,FALSE))=TRUE,0,VLOOKUP(B128,'Regioturnier 3'!$B$3:$C$34,2,FALSE)),IF(ISNA(VLOOKUP(B128,'Regioturnier 3'!$F$3:$G$34,2,FALSE))=TRUE,0,VLOOKUP(B128,'Regioturnier 3'!$F$3:$G$34,2,FALSE)),IF(ISNA(VLOOKUP(B128,'Regioturnier 3'!$J$3:$K$34,2,FALSE))=TRUE,0,VLOOKUP(B128,'Regioturnier 3'!$J$3:$K$34,2,FALSE)),IF(ISNA(VLOOKUP(B128,'Regioturnier 3'!$N$3:$O$34,2,FALSE))=TRUE,0,VLOOKUP(B128,'Regioturnier 3'!$N$3:$O$34,2,FALSE)),IF(ISNA(VLOOKUP(B128,'Regioturnier 3'!$R$3:$S$34,2,FALSE))=TRUE,0,VLOOKUP(B128,'Regioturnier 3'!$R$3:$S$34,2,FALSE)), IF(ISNA(VLOOKUP(B128,'Regioturnier 3'!$V$3:$W$34,2,FALSE))=TRUE,0,VLOOKUP(B128,'Regioturnier 3'!$V$3:$W$34,2,FALSE)), IF(ISNA(VLOOKUP(B128,'Regioturnier 3'!$Z$3:$AA$34,2,FALSE))=TRUE,0,VLOOKUP(B128,'Regioturnier 3'!$Z$3:$AA$34,2,FALSE)))</f>
        <v>0</v>
      </c>
      <c r="R128" s="20">
        <f>0.5*INDEX($H128:$N128,MATCH(LARGE($H128:$N128,1),$H128:$N128,0))+0.3*INDEX($H128:$N128,MATCH(LARGE($H128:$N128,2),$H128:$N128,0))+0.2*INDEX($H128:$N128,MATCH(LARGE($H128:$N128,3),$H128:$N128,0))</f>
        <v>83</v>
      </c>
      <c r="S128" s="20">
        <f>0.6*INDEX(O128:Q128,MATCH(LARGE(O128:Q128,1),O128:Q128,0))+0.4*INDEX(O128:Q128,MATCH(LARGE(O128:Q128,2),O128:Q128,0))+0*INDEX(O128:Q128,MATCH(LARGE(O128:Q128,3),O128:Q128,0))</f>
        <v>0</v>
      </c>
      <c r="T128" s="15">
        <f>1*INDEX(R128:S128,MATCH(LARGE(R128:S128,1),R128:S128,0))+0*INDEX(R128:S128,MATCH(LARGE(R128:S128,2),R128:S128,0))</f>
        <v>83</v>
      </c>
      <c r="U128" s="21"/>
      <c r="V128" s="21"/>
      <c r="W128" s="21"/>
      <c r="X128" s="21"/>
      <c r="Y128" s="21"/>
      <c r="Z128" s="21"/>
    </row>
    <row r="129" spans="1:26" ht="12.75" customHeight="1" x14ac:dyDescent="0.3">
      <c r="A129" s="15">
        <v>128</v>
      </c>
      <c r="B129" s="16" t="s">
        <v>177</v>
      </c>
      <c r="C129" s="17" t="s">
        <v>160</v>
      </c>
      <c r="D129" s="15" t="s">
        <v>26</v>
      </c>
      <c r="E129" s="18" t="s">
        <v>40</v>
      </c>
      <c r="F129" s="15" t="s">
        <v>178</v>
      </c>
      <c r="G129" s="22">
        <v>2010</v>
      </c>
      <c r="H129" s="15">
        <f>MAX(IF(ISNA(VLOOKUP(B129,'WBV 1'!$B$3:$C$34,2,FALSE))=TRUE,0,VLOOKUP(B129,'WBV 1'!$B$3:$C$34,2,FALSE)),IF(ISNA(VLOOKUP(B129,'WBV 1'!$F$3:$G$34,2,FALSE))=TRUE,0,VLOOKUP(B129,'WBV 1'!$F$3:$G$34,2,FALSE)),IF(ISNA(VLOOKUP(B129,'WBV 1'!$J$3:$K$34,2,FALSE))=TRUE,0,VLOOKUP(B129,'WBV 1'!$J$3:$K$34,2,FALSE)),IF(ISNA(VLOOKUP(B129,'WBV 1'!$N$3:$O$34,2,FALSE))=TRUE,0,VLOOKUP(B129,'WBV 1'!$N$3:$O$34,2,FALSE)))</f>
        <v>0</v>
      </c>
      <c r="I129" s="15">
        <f>MAX(IF(ISNA(VLOOKUP(B129,'WBV 2'!$B$3:$C$34,2,FALSE))=TRUE,0,VLOOKUP(B129,'WBV 2'!$B$3:$C$34,2,FALSE)),IF(ISNA(VLOOKUP(B129,'WBV 2'!$F$3:$G$34,2,FALSE))=TRUE,0,VLOOKUP(B129,'WBV 2'!$F$3:$G$34,2,FALSE)),IF(ISNA(VLOOKUP(B129,'WBV 2'!$J$3:$K$34,2,FALSE))=TRUE,0,VLOOKUP(B129,'WBV 2'!$J$3:$K$34,2,FALSE)),IF(ISNA(VLOOKUP(B129,'WBV 2'!$N$3:$O$34,2,FALSE))=TRUE,0,VLOOKUP(B129,'WBV 2'!$N$3:$O$34,2,FALSE)))</f>
        <v>165</v>
      </c>
      <c r="J129" s="15">
        <f>MAX(IF(ISNA(VLOOKUP(B129,'WBV 3'!$B$3:$C$34,2,FALSE))=TRUE,0,VLOOKUP(B129,'WBV 3'!$B$3:$C$34,2,FALSE)),IF(ISNA(VLOOKUP(B129,'WBV 3'!$F$3:$G$34,2,FALSE))=TRUE,0,VLOOKUP(B129,'WBV 3'!$F$3:$G$34,2,FALSE)),IF(ISNA(VLOOKUP(B129,'WBV 3'!$J$3:$K$34,2,FALSE))=TRUE,0,VLOOKUP(B129,'WBV 3'!$J$3:$K$34,2,FALSE)),IF(ISNA(VLOOKUP(B129,'WBV 3'!$N$3:$O$34,2,FALSE))=TRUE,0,VLOOKUP(B129,'WBV 3'!$N$3:$O$34,2,FALSE)))</f>
        <v>0</v>
      </c>
      <c r="K129" s="15">
        <f>MAX(IF(ISNA(VLOOKUP(B129,'WBV 4'!$B$3:$C$34,2,FALSE))=TRUE,0,VLOOKUP(B129,'WBV 4'!$B$3:$C$34,2,FALSE)),IF(ISNA(VLOOKUP(B129,'WBV 4'!$F$3:$G$34,2,FALSE))=TRUE,0,VLOOKUP(B129,'WBV 4'!$F$3:$G$34,2,FALSE)),IF(ISNA(VLOOKUP(B129,'WBV 4'!$J$3:$K$34,2,FALSE))=TRUE,0,VLOOKUP(B129,'WBV 4'!$J$3:$K$34,2,FALSE)),IF(ISNA(VLOOKUP(B129,'WBV 4'!$N$3:$O$34,2,FALSE))=TRUE,0,VLOOKUP(B129,'WBV 4'!$N$3:$O$34,2,FALSE)))</f>
        <v>0</v>
      </c>
      <c r="L129" s="19">
        <f>MAX(IF(ISNA(VLOOKUP(B129,'NÖBV 1'!$B$3:$C$34,2,FALSE))=TRUE,0,VLOOKUP(B129,'NÖBV 1'!$B$3:$C$34,2,FALSE)),IF(ISNA(VLOOKUP(B129,'NÖBV 1'!$F$3:$G$34,2,FALSE))=TRUE,0,VLOOKUP(B129,'NÖBV 1'!$F$3:$G$34,2,FALSE)),IF(ISNA(VLOOKUP(B129,'NÖBV 1'!$J$3:$K$34,2,FALSE))=TRUE,0,VLOOKUP(B129,'NÖBV 1'!$J$3:$K$34,2,FALSE)),IF(ISNA(VLOOKUP(B129,'NÖBV 1'!$N$3:$O$34,2,FALSE))=TRUE,0,VLOOKUP(B129,'NÖBV 1'!$N$3:$O$34,2,FALSE)))</f>
        <v>0</v>
      </c>
      <c r="M129" s="19">
        <f>MAX(IF(ISNA(VLOOKUP(B129,'NÖBV 2'!$B$3:$C$34,2,FALSE))=TRUE,0,VLOOKUP(B129,'NÖBV 2'!$B$3:$C$34,2,FALSE)),IF(ISNA(VLOOKUP(B129,'NÖBV 2'!$F$3:$G$34,2,FALSE))=TRUE,0,VLOOKUP(B129,'NÖBV 2'!$F$3:$G$34,2,FALSE)),IF(ISNA(VLOOKUP(B129,'NÖBV 2'!$J$3:$K$34,2,FALSE))=TRUE,0,VLOOKUP(B129,'NÖBV 2'!$J$3:$K$34,2,FALSE)),IF(ISNA(VLOOKUP(B129,'NÖBV 2'!$N$3:$O$34,2,FALSE))=TRUE,0,VLOOKUP(B129,'NÖBV 2'!$N$3:$O$34,2,FALSE)))</f>
        <v>0</v>
      </c>
      <c r="N129" s="19">
        <f>MAX(IF(ISNA(VLOOKUP(B129,'NÖBV 3'!$B$3:$C$34,2,FALSE))=TRUE,0,VLOOKUP(B129,'NÖBV 3'!$B$3:$C$34,2,FALSE)),IF(ISNA(VLOOKUP(B129,'NÖBV 3'!$F$3:$G$34,2,FALSE))=TRUE,0,VLOOKUP(B129,'NÖBV 3'!$F$3:$G$34,2,FALSE)),IF(ISNA(VLOOKUP(B129,'NÖBV 3'!$J$3:$K$34,2,FALSE))=TRUE,0,VLOOKUP(B129,'NÖBV 3'!$J$3:$K$34,2,FALSE)),IF(ISNA(VLOOKUP(B129,'NÖBV 3'!$N$3:$O$34,2,FALSE))=TRUE,0,VLOOKUP(B129,'NÖBV 3'!$N$3:$O$34,2,FALSE)))</f>
        <v>0</v>
      </c>
      <c r="O129" s="15">
        <f>MAX(IF(ISNA(VLOOKUP(B129,'Regioturnier 1'!$B$3:$C$34,2,FALSE))=TRUE,0,VLOOKUP(B129,'Regioturnier 1'!$B$3:$C$34,2,FALSE)),IF(ISNA(VLOOKUP(B129,'Regioturnier 1'!$F$3:$G$34,2,FALSE))=TRUE,0,VLOOKUP(B129,'Regioturnier 1'!$F$3:$G$34,2,FALSE)),IF(ISNA(VLOOKUP(B129,'Regioturnier 1'!$J$3:$K$34,2,FALSE))=TRUE,0,VLOOKUP(B129,'Regioturnier 1'!$J$3:$K$34,2,FALSE)),IF(ISNA(VLOOKUP(B129,'Regioturnier 1'!$N$3:$O$34,2,FALSE))=TRUE,0,VLOOKUP(B129,'Regioturnier 1'!$N$3:$O$34,2,FALSE)),IF(ISNA(VLOOKUP(B129,'Regioturnier 1'!$R$3:$S$34,2,FALSE))=TRUE,0,VLOOKUP(B129,'Regioturnier 1'!$R$3:$S$34,2,FALSE)), IF(ISNA(VLOOKUP(B129,'Regioturnier 1'!$V$3:$W$34,2,FALSE))=TRUE,0,VLOOKUP(B129,'Regioturnier 1'!$V$3:$W$34,2,FALSE)), IF(ISNA(VLOOKUP(B129,'Regioturnier 1'!$Z$3:$AA$34,2,FALSE))=TRUE,0,VLOOKUP(B129,'Regioturnier 1'!$Z$3:$AA$34,2,FALSE)))</f>
        <v>0</v>
      </c>
      <c r="P129" s="15">
        <f>MAX(IF(ISNA(VLOOKUP(B129,'Regioturnier 2'!$B$3:$C$34,2,FALSE))=TRUE,0,VLOOKUP(B129,'Regioturnier 2'!$B$3:$C$34,2,FALSE)),IF(ISNA(VLOOKUP(B129,'Regioturnier 2'!$F$3:$G$34,2,FALSE))=TRUE,0,VLOOKUP(B129,'Regioturnier 2'!$F$3:$G$34,2,FALSE)),IF(ISNA(VLOOKUP(B129,'Regioturnier 2'!$J$3:$K$34,2,FALSE))=TRUE,0,VLOOKUP(B129,'Regioturnier 2'!$J$3:$K$34,2,FALSE)),IF(ISNA(VLOOKUP(B129,'Regioturnier 2'!$N$3:$O$34,2,FALSE))=TRUE,0,VLOOKUP(B129,'Regioturnier 2'!$N$3:$O$34,2,FALSE)),IF(ISNA(VLOOKUP(B129,'Regioturnier 2'!$R$3:$S$34,2,FALSE))=TRUE,0,VLOOKUP(B129,'Regioturnier 2'!$R$3:$S$34,2,FALSE)), IF(ISNA(VLOOKUP(B129,'Regioturnier 2'!$V$3:$W$34,2,FALSE))=TRUE,0,VLOOKUP(B129,'Regioturnier 2'!$V$3:$W$34,2,FALSE)), IF(ISNA(VLOOKUP(B129,'Regioturnier 2'!$Z$3:$AA$34,2,FALSE))=TRUE,0,VLOOKUP(B129,'Regioturnier 2'!$Z$3:$AA$34,2,FALSE)))</f>
        <v>0</v>
      </c>
      <c r="Q129" s="15">
        <f>MAX(IF(ISNA(VLOOKUP(B129,'Regioturnier 3'!$B$3:$C$34,2,FALSE))=TRUE,0,VLOOKUP(B129,'Regioturnier 3'!$B$3:$C$34,2,FALSE)),IF(ISNA(VLOOKUP(B129,'Regioturnier 3'!$F$3:$G$34,2,FALSE))=TRUE,0,VLOOKUP(B129,'Regioturnier 3'!$F$3:$G$34,2,FALSE)),IF(ISNA(VLOOKUP(B129,'Regioturnier 3'!$J$3:$K$34,2,FALSE))=TRUE,0,VLOOKUP(B129,'Regioturnier 3'!$J$3:$K$34,2,FALSE)),IF(ISNA(VLOOKUP(B129,'Regioturnier 3'!$N$3:$O$34,2,FALSE))=TRUE,0,VLOOKUP(B129,'Regioturnier 3'!$N$3:$O$34,2,FALSE)),IF(ISNA(VLOOKUP(B129,'Regioturnier 3'!$R$3:$S$34,2,FALSE))=TRUE,0,VLOOKUP(B129,'Regioturnier 3'!$R$3:$S$34,2,FALSE)), IF(ISNA(VLOOKUP(B129,'Regioturnier 3'!$V$3:$W$34,2,FALSE))=TRUE,0,VLOOKUP(B129,'Regioturnier 3'!$V$3:$W$34,2,FALSE)), IF(ISNA(VLOOKUP(B129,'Regioturnier 3'!$Z$3:$AA$34,2,FALSE))=TRUE,0,VLOOKUP(B129,'Regioturnier 3'!$Z$3:$AA$34,2,FALSE)))</f>
        <v>0</v>
      </c>
      <c r="R129" s="20">
        <f>0.5*INDEX($H129:$N129,MATCH(LARGE($H129:$N129,1),$H129:$N129,0))+0.3*INDEX($H129:$N129,MATCH(LARGE($H129:$N129,2),$H129:$N129,0))+0.2*INDEX($H129:$N129,MATCH(LARGE($H129:$N129,3),$H129:$N129,0))</f>
        <v>82.5</v>
      </c>
      <c r="S129" s="20">
        <f>0.6*INDEX(O129:Q129,MATCH(LARGE(O129:Q129,1),O129:Q129,0))+0.4*INDEX(O129:Q129,MATCH(LARGE(O129:Q129,2),O129:Q129,0))+0*INDEX(O129:Q129,MATCH(LARGE(O129:Q129,3),O129:Q129,0))</f>
        <v>0</v>
      </c>
      <c r="T129" s="15">
        <f>1*INDEX(R129:S129,MATCH(LARGE(R129:S129,1),R129:S129,0))+0*INDEX(R129:S129,MATCH(LARGE(R129:S129,2),R129:S129,0))</f>
        <v>82.5</v>
      </c>
      <c r="U129" s="21"/>
      <c r="V129" s="21"/>
      <c r="W129" s="21"/>
      <c r="X129" s="21"/>
      <c r="Y129" s="21"/>
      <c r="Z129" s="21"/>
    </row>
    <row r="130" spans="1:26" ht="12.75" customHeight="1" x14ac:dyDescent="0.3">
      <c r="A130" s="15">
        <v>129</v>
      </c>
      <c r="B130" s="106" t="s">
        <v>570</v>
      </c>
      <c r="C130" s="106" t="s">
        <v>97</v>
      </c>
      <c r="D130" s="106" t="s">
        <v>102</v>
      </c>
      <c r="E130" s="106" t="s">
        <v>23</v>
      </c>
      <c r="F130" s="106" t="s">
        <v>595</v>
      </c>
      <c r="G130" s="107">
        <v>2010</v>
      </c>
      <c r="H130" s="105">
        <f>MAX(IF(ISNA(VLOOKUP(B130,'WBV 1'!$B$3:$C$34,2,FALSE))=TRUE,0,VLOOKUP(B130,'WBV 1'!$B$3:$C$34,2,FALSE)),IF(ISNA(VLOOKUP(B130,'WBV 1'!$F$3:$G$34,2,FALSE))=TRUE,0,VLOOKUP(B130,'WBV 1'!$F$3:$G$34,2,FALSE)),IF(ISNA(VLOOKUP(B130,'WBV 1'!$J$3:$K$34,2,FALSE))=TRUE,0,VLOOKUP(B130,'WBV 1'!$J$3:$K$34,2,FALSE)),IF(ISNA(VLOOKUP(B130,'WBV 1'!$N$3:$O$34,2,FALSE))=TRUE,0,VLOOKUP(B130,'WBV 1'!$N$3:$O$34,2,FALSE)))</f>
        <v>0</v>
      </c>
      <c r="I130" s="105">
        <f>MAX(IF(ISNA(VLOOKUP(B130,'WBV 2'!$B$3:$C$34,2,FALSE))=TRUE,0,VLOOKUP(B130,'WBV 2'!$B$3:$C$34,2,FALSE)),IF(ISNA(VLOOKUP(B130,'WBV 2'!$F$3:$G$34,2,FALSE))=TRUE,0,VLOOKUP(B130,'WBV 2'!$F$3:$G$34,2,FALSE)),IF(ISNA(VLOOKUP(B130,'WBV 2'!$J$3:$K$34,2,FALSE))=TRUE,0,VLOOKUP(B130,'WBV 2'!$J$3:$K$34,2,FALSE)),IF(ISNA(VLOOKUP(B130,'WBV 2'!$N$3:$O$34,2,FALSE))=TRUE,0,VLOOKUP(B130,'WBV 2'!$N$3:$O$34,2,FALSE)))</f>
        <v>0</v>
      </c>
      <c r="J130" s="105">
        <f>MAX(IF(ISNA(VLOOKUP(B130,'WBV 3'!$B$3:$C$34,2,FALSE))=TRUE,0,VLOOKUP(B130,'WBV 3'!$B$3:$C$34,2,FALSE)),IF(ISNA(VLOOKUP(B130,'WBV 3'!$F$3:$G$34,2,FALSE))=TRUE,0,VLOOKUP(B130,'WBV 3'!$F$3:$G$34,2,FALSE)),IF(ISNA(VLOOKUP(B130,'WBV 3'!$J$3:$K$34,2,FALSE))=TRUE,0,VLOOKUP(B130,'WBV 3'!$J$3:$K$34,2,FALSE)),IF(ISNA(VLOOKUP(B130,'WBV 3'!$N$3:$O$34,2,FALSE))=TRUE,0,VLOOKUP(B130,'WBV 3'!$N$3:$O$34,2,FALSE)))</f>
        <v>0</v>
      </c>
      <c r="K130" s="105">
        <f>MAX(IF(ISNA(VLOOKUP(B130,'WBV 4'!$B$3:$C$34,2,FALSE))=TRUE,0,VLOOKUP(B130,'WBV 4'!$B$3:$C$34,2,FALSE)),IF(ISNA(VLOOKUP(B130,'WBV 4'!$F$3:$G$34,2,FALSE))=TRUE,0,VLOOKUP(B130,'WBV 4'!$F$3:$G$34,2,FALSE)),IF(ISNA(VLOOKUP(B130,'WBV 4'!$J$3:$K$34,2,FALSE))=TRUE,0,VLOOKUP(B130,'WBV 4'!$J$3:$K$34,2,FALSE)),IF(ISNA(VLOOKUP(B130,'WBV 4'!$N$3:$O$34,2,FALSE))=TRUE,0,VLOOKUP(B130,'WBV 4'!$N$3:$O$34,2,FALSE)))</f>
        <v>0</v>
      </c>
      <c r="L130" s="105">
        <f>MAX(IF(ISNA(VLOOKUP(B130,'NÖBV 1'!$B$3:$C$34,2,FALSE))=TRUE,0,VLOOKUP(B130,'NÖBV 1'!$B$3:$C$34,2,FALSE)),IF(ISNA(VLOOKUP(B130,'NÖBV 1'!$F$3:$G$34,2,FALSE))=TRUE,0,VLOOKUP(B130,'NÖBV 1'!$F$3:$G$34,2,FALSE)),IF(ISNA(VLOOKUP(B130,'NÖBV 1'!$J$3:$K$34,2,FALSE))=TRUE,0,VLOOKUP(B130,'NÖBV 1'!$J$3:$K$34,2,FALSE)),IF(ISNA(VLOOKUP(B130,'NÖBV 1'!$N$3:$O$34,2,FALSE))=TRUE,0,VLOOKUP(B130,'NÖBV 1'!$N$3:$O$34,2,FALSE)))</f>
        <v>0</v>
      </c>
      <c r="M130" s="105">
        <f>MAX(IF(ISNA(VLOOKUP(B130,'NÖBV 2'!$B$3:$C$34,2,FALSE))=TRUE,0,VLOOKUP(B130,'NÖBV 2'!$B$3:$C$34,2,FALSE)),IF(ISNA(VLOOKUP(B130,'NÖBV 2'!$F$3:$G$34,2,FALSE))=TRUE,0,VLOOKUP(B130,'NÖBV 2'!$F$3:$G$34,2,FALSE)),IF(ISNA(VLOOKUP(B130,'NÖBV 2'!$J$3:$K$34,2,FALSE))=TRUE,0,VLOOKUP(B130,'NÖBV 2'!$J$3:$K$34,2,FALSE)),IF(ISNA(VLOOKUP(B130,'NÖBV 2'!$N$3:$O$34,2,FALSE))=TRUE,0,VLOOKUP(B130,'NÖBV 2'!$N$3:$O$34,2,FALSE)))</f>
        <v>165</v>
      </c>
      <c r="N130" s="105">
        <f>MAX(IF(ISNA(VLOOKUP(B130,'NÖBV 3'!$B$3:$C$34,2,FALSE))=TRUE,0,VLOOKUP(B130,'NÖBV 3'!$B$3:$C$34,2,FALSE)),IF(ISNA(VLOOKUP(B130,'NÖBV 3'!$F$3:$G$34,2,FALSE))=TRUE,0,VLOOKUP(B130,'NÖBV 3'!$F$3:$G$34,2,FALSE)),IF(ISNA(VLOOKUP(B130,'NÖBV 3'!$J$3:$K$34,2,FALSE))=TRUE,0,VLOOKUP(B130,'NÖBV 3'!$J$3:$K$34,2,FALSE)),IF(ISNA(VLOOKUP(B130,'NÖBV 3'!$N$3:$O$34,2,FALSE))=TRUE,0,VLOOKUP(B130,'NÖBV 3'!$N$3:$O$34,2,FALSE)))</f>
        <v>0</v>
      </c>
      <c r="O130" s="105">
        <f>MAX(IF(ISNA(VLOOKUP(B130,'Regioturnier 1'!$B$3:$C$34,2,FALSE))=TRUE,0,VLOOKUP(B130,'Regioturnier 1'!$B$3:$C$34,2,FALSE)),IF(ISNA(VLOOKUP(B130,'Regioturnier 1'!$F$3:$G$34,2,FALSE))=TRUE,0,VLOOKUP(B130,'Regioturnier 1'!$F$3:$G$34,2,FALSE)),IF(ISNA(VLOOKUP(B130,'Regioturnier 1'!$J$3:$K$34,2,FALSE))=TRUE,0,VLOOKUP(B130,'Regioturnier 1'!$J$3:$K$34,2,FALSE)),IF(ISNA(VLOOKUP(B130,'Regioturnier 1'!$N$3:$O$34,2,FALSE))=TRUE,0,VLOOKUP(B130,'Regioturnier 1'!$N$3:$O$34,2,FALSE)),IF(ISNA(VLOOKUP(B130,'Regioturnier 1'!$R$3:$S$34,2,FALSE))=TRUE,0,VLOOKUP(B130,'Regioturnier 1'!$R$3:$S$34,2,FALSE)), IF(ISNA(VLOOKUP(B130,'Regioturnier 1'!$V$3:$W$34,2,FALSE))=TRUE,0,VLOOKUP(B130,'Regioturnier 1'!$V$3:$W$34,2,FALSE)), IF(ISNA(VLOOKUP(B130,'Regioturnier 1'!$Z$3:$AA$34,2,FALSE))=TRUE,0,VLOOKUP(B130,'Regioturnier 1'!$Z$3:$AA$34,2,FALSE)))</f>
        <v>0</v>
      </c>
      <c r="P130" s="105">
        <f>MAX(IF(ISNA(VLOOKUP(B130,'Regioturnier 2'!$B$3:$C$34,2,FALSE))=TRUE,0,VLOOKUP(B130,'Regioturnier 2'!$B$3:$C$34,2,FALSE)),IF(ISNA(VLOOKUP(B130,'Regioturnier 2'!$F$3:$G$34,2,FALSE))=TRUE,0,VLOOKUP(B130,'Regioturnier 2'!$F$3:$G$34,2,FALSE)),IF(ISNA(VLOOKUP(B130,'Regioturnier 2'!$J$3:$K$34,2,FALSE))=TRUE,0,VLOOKUP(B130,'Regioturnier 2'!$J$3:$K$34,2,FALSE)),IF(ISNA(VLOOKUP(B130,'Regioturnier 2'!$N$3:$O$34,2,FALSE))=TRUE,0,VLOOKUP(B130,'Regioturnier 2'!$N$3:$O$34,2,FALSE)),IF(ISNA(VLOOKUP(B130,'Regioturnier 2'!$R$3:$S$34,2,FALSE))=TRUE,0,VLOOKUP(B130,'Regioturnier 2'!$R$3:$S$34,2,FALSE)), IF(ISNA(VLOOKUP(B130,'Regioturnier 2'!$V$3:$W$34,2,FALSE))=TRUE,0,VLOOKUP(B130,'Regioturnier 2'!$V$3:$W$34,2,FALSE)), IF(ISNA(VLOOKUP(B130,'Regioturnier 2'!$Z$3:$AA$34,2,FALSE))=TRUE,0,VLOOKUP(B130,'Regioturnier 2'!$Z$3:$AA$34,2,FALSE)))</f>
        <v>0</v>
      </c>
      <c r="Q130" s="105">
        <f>MAX(IF(ISNA(VLOOKUP(B130,'Regioturnier 3'!$B$3:$C$34,2,FALSE))=TRUE,0,VLOOKUP(B130,'Regioturnier 3'!$B$3:$C$34,2,FALSE)),IF(ISNA(VLOOKUP(B130,'Regioturnier 3'!$F$3:$G$34,2,FALSE))=TRUE,0,VLOOKUP(B130,'Regioturnier 3'!$F$3:$G$34,2,FALSE)),IF(ISNA(VLOOKUP(B130,'Regioturnier 3'!$J$3:$K$34,2,FALSE))=TRUE,0,VLOOKUP(B130,'Regioturnier 3'!$J$3:$K$34,2,FALSE)),IF(ISNA(VLOOKUP(B130,'Regioturnier 3'!$N$3:$O$34,2,FALSE))=TRUE,0,VLOOKUP(B130,'Regioturnier 3'!$N$3:$O$34,2,FALSE)),IF(ISNA(VLOOKUP(B130,'Regioturnier 3'!$R$3:$S$34,2,FALSE))=TRUE,0,VLOOKUP(B130,'Regioturnier 3'!$R$3:$S$34,2,FALSE)), IF(ISNA(VLOOKUP(B130,'Regioturnier 3'!$V$3:$W$34,2,FALSE))=TRUE,0,VLOOKUP(B130,'Regioturnier 3'!$V$3:$W$34,2,FALSE)), IF(ISNA(VLOOKUP(B130,'Regioturnier 3'!$Z$3:$AA$34,2,FALSE))=TRUE,0,VLOOKUP(B130,'Regioturnier 3'!$Z$3:$AA$34,2,FALSE)))</f>
        <v>0</v>
      </c>
      <c r="R130" s="108">
        <f>0.5*INDEX($H130:$N130,MATCH(LARGE($H130:$N130,1),$H130:$N130,0))+0.3*INDEX($H130:$N130,MATCH(LARGE($H130:$N130,2),$H130:$N130,0))+0.2*INDEX($H130:$N130,MATCH(LARGE($H130:$N130,3),$H130:$N130,0))</f>
        <v>82.5</v>
      </c>
      <c r="S130" s="108">
        <f>0.6*INDEX(O130:Q130,MATCH(LARGE(O130:Q130,1),O130:Q130,0))+0.4*INDEX(O130:Q130,MATCH(LARGE(O130:Q130,2),O130:Q130,0))+0*INDEX(O130:Q130,MATCH(LARGE(O130:Q130,3),O130:Q130,0))</f>
        <v>0</v>
      </c>
      <c r="T130" s="105">
        <f>1*INDEX(R130:S130,MATCH(LARGE(R130:S130,1),R130:S130,0))+0*INDEX(R130:S130,MATCH(LARGE(R130:S130,2),R130:S130,0))</f>
        <v>82.5</v>
      </c>
      <c r="U130" s="21"/>
      <c r="V130" s="21"/>
      <c r="W130" s="21"/>
      <c r="X130" s="21"/>
      <c r="Y130" s="21"/>
      <c r="Z130" s="21"/>
    </row>
    <row r="131" spans="1:26" ht="12.75" customHeight="1" x14ac:dyDescent="0.3">
      <c r="A131" s="15">
        <v>130</v>
      </c>
      <c r="B131" s="21" t="s">
        <v>644</v>
      </c>
      <c r="C131" s="21" t="s">
        <v>108</v>
      </c>
      <c r="D131" s="15" t="s">
        <v>22</v>
      </c>
      <c r="E131" s="15" t="s">
        <v>23</v>
      </c>
      <c r="F131" s="15"/>
      <c r="G131" s="15">
        <v>2018</v>
      </c>
      <c r="H131" s="15">
        <f>MAX(IF(ISNA(VLOOKUP(B131,'WBV 1'!$B$3:$C$34,2,FALSE))=TRUE,0,VLOOKUP(B131,'WBV 1'!$B$3:$C$34,2,FALSE)),IF(ISNA(VLOOKUP(B131,'WBV 1'!$F$3:$G$34,2,FALSE))=TRUE,0,VLOOKUP(B131,'WBV 1'!$F$3:$G$34,2,FALSE)),IF(ISNA(VLOOKUP(B131,'WBV 1'!$J$3:$K$34,2,FALSE))=TRUE,0,VLOOKUP(B131,'WBV 1'!$J$3:$K$34,2,FALSE)),IF(ISNA(VLOOKUP(B131,'WBV 1'!$N$3:$O$34,2,FALSE))=TRUE,0,VLOOKUP(B131,'WBV 1'!$N$3:$O$34,2,FALSE)))</f>
        <v>0</v>
      </c>
      <c r="I131" s="15">
        <f>MAX(IF(ISNA(VLOOKUP(B131,'WBV 2'!$B$3:$C$34,2,FALSE))=TRUE,0,VLOOKUP(B131,'WBV 2'!$B$3:$C$34,2,FALSE)),IF(ISNA(VLOOKUP(B131,'WBV 2'!$F$3:$G$34,2,FALSE))=TRUE,0,VLOOKUP(B131,'WBV 2'!$F$3:$G$34,2,FALSE)),IF(ISNA(VLOOKUP(B131,'WBV 2'!$J$3:$K$34,2,FALSE))=TRUE,0,VLOOKUP(B131,'WBV 2'!$J$3:$K$34,2,FALSE)),IF(ISNA(VLOOKUP(B131,'WBV 2'!$N$3:$O$34,2,FALSE))=TRUE,0,VLOOKUP(B131,'WBV 2'!$N$3:$O$34,2,FALSE)))</f>
        <v>0</v>
      </c>
      <c r="J131" s="15">
        <f>MAX(IF(ISNA(VLOOKUP(B131,'WBV 3'!$B$3:$C$34,2,FALSE))=TRUE,0,VLOOKUP(B131,'WBV 3'!$B$3:$C$34,2,FALSE)),IF(ISNA(VLOOKUP(B131,'WBV 3'!$F$3:$G$34,2,FALSE))=TRUE,0,VLOOKUP(B131,'WBV 3'!$F$3:$G$34,2,FALSE)),IF(ISNA(VLOOKUP(B131,'WBV 3'!$J$3:$K$34,2,FALSE))=TRUE,0,VLOOKUP(B131,'WBV 3'!$J$3:$K$34,2,FALSE)),IF(ISNA(VLOOKUP(B131,'WBV 3'!$N$3:$O$34,2,FALSE))=TRUE,0,VLOOKUP(B131,'WBV 3'!$N$3:$O$34,2,FALSE)))</f>
        <v>0</v>
      </c>
      <c r="K131" s="15">
        <f>MAX(IF(ISNA(VLOOKUP(B131,'WBV 4'!$B$3:$C$34,2,FALSE))=TRUE,0,VLOOKUP(B131,'WBV 4'!$B$3:$C$34,2,FALSE)),IF(ISNA(VLOOKUP(B131,'WBV 4'!$F$3:$G$34,2,FALSE))=TRUE,0,VLOOKUP(B131,'WBV 4'!$F$3:$G$34,2,FALSE)),IF(ISNA(VLOOKUP(B131,'WBV 4'!$J$3:$K$34,2,FALSE))=TRUE,0,VLOOKUP(B131,'WBV 4'!$J$3:$K$34,2,FALSE)),IF(ISNA(VLOOKUP(B131,'WBV 4'!$N$3:$O$34,2,FALSE))=TRUE,0,VLOOKUP(B131,'WBV 4'!$N$3:$O$34,2,FALSE)))</f>
        <v>0</v>
      </c>
      <c r="L131" s="19">
        <f>MAX(IF(ISNA(VLOOKUP(B131,'NÖBV 1'!$B$3:$C$34,2,FALSE))=TRUE,0,VLOOKUP(B131,'NÖBV 1'!$B$3:$C$34,2,FALSE)),IF(ISNA(VLOOKUP(B131,'NÖBV 1'!$F$3:$G$34,2,FALSE))=TRUE,0,VLOOKUP(B131,'NÖBV 1'!$F$3:$G$34,2,FALSE)),IF(ISNA(VLOOKUP(B131,'NÖBV 1'!$J$3:$K$34,2,FALSE))=TRUE,0,VLOOKUP(B131,'NÖBV 1'!$J$3:$K$34,2,FALSE)),IF(ISNA(VLOOKUP(B131,'NÖBV 1'!$N$3:$O$34,2,FALSE))=TRUE,0,VLOOKUP(B131,'NÖBV 1'!$N$3:$O$34,2,FALSE)))</f>
        <v>0</v>
      </c>
      <c r="M131" s="19">
        <f>MAX(IF(ISNA(VLOOKUP(B131,'NÖBV 2'!$B$3:$C$34,2,FALSE))=TRUE,0,VLOOKUP(B131,'NÖBV 2'!$B$3:$C$34,2,FALSE)),IF(ISNA(VLOOKUP(B131,'NÖBV 2'!$F$3:$G$34,2,FALSE))=TRUE,0,VLOOKUP(B131,'NÖBV 2'!$F$3:$G$34,2,FALSE)),IF(ISNA(VLOOKUP(B131,'NÖBV 2'!$J$3:$K$34,2,FALSE))=TRUE,0,VLOOKUP(B131,'NÖBV 2'!$J$3:$K$34,2,FALSE)),IF(ISNA(VLOOKUP(B131,'NÖBV 2'!$N$3:$O$34,2,FALSE))=TRUE,0,VLOOKUP(B131,'NÖBV 2'!$N$3:$O$34,2,FALSE)))</f>
        <v>0</v>
      </c>
      <c r="N131" s="19">
        <f>MAX(IF(ISNA(VLOOKUP(B131,'NÖBV 3'!$B$3:$C$34,2,FALSE))=TRUE,0,VLOOKUP(B131,'NÖBV 3'!$B$3:$C$34,2,FALSE)),IF(ISNA(VLOOKUP(B131,'NÖBV 3'!$F$3:$G$34,2,FALSE))=TRUE,0,VLOOKUP(B131,'NÖBV 3'!$F$3:$G$34,2,FALSE)),IF(ISNA(VLOOKUP(B131,'NÖBV 3'!$J$3:$K$34,2,FALSE))=TRUE,0,VLOOKUP(B131,'NÖBV 3'!$J$3:$K$34,2,FALSE)),IF(ISNA(VLOOKUP(B131,'NÖBV 3'!$N$3:$O$34,2,FALSE))=TRUE,0,VLOOKUP(B131,'NÖBV 3'!$N$3:$O$34,2,FALSE)))</f>
        <v>165</v>
      </c>
      <c r="O131" s="15">
        <f>MAX(IF(ISNA(VLOOKUP(B131,'Regioturnier 1'!$B$3:$C$34,2,FALSE))=TRUE,0,VLOOKUP(B131,'Regioturnier 1'!$B$3:$C$34,2,FALSE)),IF(ISNA(VLOOKUP(B131,'Regioturnier 1'!$F$3:$G$34,2,FALSE))=TRUE,0,VLOOKUP(B131,'Regioturnier 1'!$F$3:$G$34,2,FALSE)),IF(ISNA(VLOOKUP(B131,'Regioturnier 1'!$J$3:$K$34,2,FALSE))=TRUE,0,VLOOKUP(B131,'Regioturnier 1'!$J$3:$K$34,2,FALSE)),IF(ISNA(VLOOKUP(B131,'Regioturnier 1'!$N$3:$O$34,2,FALSE))=TRUE,0,VLOOKUP(B131,'Regioturnier 1'!$N$3:$O$34,2,FALSE)),IF(ISNA(VLOOKUP(B131,'Regioturnier 1'!$R$3:$S$34,2,FALSE))=TRUE,0,VLOOKUP(B131,'Regioturnier 1'!$R$3:$S$34,2,FALSE)), IF(ISNA(VLOOKUP(B131,'Regioturnier 1'!$V$3:$W$34,2,FALSE))=TRUE,0,VLOOKUP(B131,'Regioturnier 1'!$V$3:$W$34,2,FALSE)), IF(ISNA(VLOOKUP(B131,'Regioturnier 1'!$Z$3:$AA$34,2,FALSE))=TRUE,0,VLOOKUP(B131,'Regioturnier 1'!$Z$3:$AA$34,2,FALSE)))</f>
        <v>0</v>
      </c>
      <c r="P131" s="15">
        <f>MAX(IF(ISNA(VLOOKUP(B131,'Regioturnier 2'!$B$3:$C$34,2,FALSE))=TRUE,0,VLOOKUP(B131,'Regioturnier 2'!$B$3:$C$34,2,FALSE)),IF(ISNA(VLOOKUP(B131,'Regioturnier 2'!$F$3:$G$34,2,FALSE))=TRUE,0,VLOOKUP(B131,'Regioturnier 2'!$F$3:$G$34,2,FALSE)),IF(ISNA(VLOOKUP(B131,'Regioturnier 2'!$J$3:$K$34,2,FALSE))=TRUE,0,VLOOKUP(B131,'Regioturnier 2'!$J$3:$K$34,2,FALSE)),IF(ISNA(VLOOKUP(B131,'Regioturnier 2'!$N$3:$O$34,2,FALSE))=TRUE,0,VLOOKUP(B131,'Regioturnier 2'!$N$3:$O$34,2,FALSE)),IF(ISNA(VLOOKUP(B131,'Regioturnier 2'!$R$3:$S$34,2,FALSE))=TRUE,0,VLOOKUP(B131,'Regioturnier 2'!$R$3:$S$34,2,FALSE)), IF(ISNA(VLOOKUP(B131,'Regioturnier 2'!$V$3:$W$34,2,FALSE))=TRUE,0,VLOOKUP(B131,'Regioturnier 2'!$V$3:$W$34,2,FALSE)), IF(ISNA(VLOOKUP(B131,'Regioturnier 2'!$Z$3:$AA$34,2,FALSE))=TRUE,0,VLOOKUP(B131,'Regioturnier 2'!$Z$3:$AA$34,2,FALSE)))</f>
        <v>0</v>
      </c>
      <c r="Q131" s="15">
        <f>MAX(IF(ISNA(VLOOKUP(B131,'Regioturnier 3'!$B$3:$C$34,2,FALSE))=TRUE,0,VLOOKUP(B131,'Regioturnier 3'!$B$3:$C$34,2,FALSE)),IF(ISNA(VLOOKUP(B131,'Regioturnier 3'!$F$3:$G$34,2,FALSE))=TRUE,0,VLOOKUP(B131,'Regioturnier 3'!$F$3:$G$34,2,FALSE)),IF(ISNA(VLOOKUP(B131,'Regioturnier 3'!$J$3:$K$34,2,FALSE))=TRUE,0,VLOOKUP(B131,'Regioturnier 3'!$J$3:$K$34,2,FALSE)),IF(ISNA(VLOOKUP(B131,'Regioturnier 3'!$N$3:$O$34,2,FALSE))=TRUE,0,VLOOKUP(B131,'Regioturnier 3'!$N$3:$O$34,2,FALSE)),IF(ISNA(VLOOKUP(B131,'Regioturnier 3'!$R$3:$S$34,2,FALSE))=TRUE,0,VLOOKUP(B131,'Regioturnier 3'!$R$3:$S$34,2,FALSE)), IF(ISNA(VLOOKUP(B131,'Regioturnier 3'!$V$3:$W$34,2,FALSE))=TRUE,0,VLOOKUP(B131,'Regioturnier 3'!$V$3:$W$34,2,FALSE)), IF(ISNA(VLOOKUP(B131,'Regioturnier 3'!$Z$3:$AA$34,2,FALSE))=TRUE,0,VLOOKUP(B131,'Regioturnier 3'!$Z$3:$AA$34,2,FALSE)))</f>
        <v>0</v>
      </c>
      <c r="R131" s="20">
        <f>0.5*INDEX($H131:$N131,MATCH(LARGE($H131:$N131,1),$H131:$N131,0))+0.3*INDEX($H131:$N131,MATCH(LARGE($H131:$N131,2),$H131:$N131,0))+0.2*INDEX($H131:$N131,MATCH(LARGE($H131:$N131,3),$H131:$N131,0))</f>
        <v>82.5</v>
      </c>
      <c r="S131" s="20">
        <f>0.6*INDEX(O131:Q131,MATCH(LARGE(O131:Q131,1),O131:Q131,0))+0.4*INDEX(O131:Q131,MATCH(LARGE(O131:Q131,2),O131:Q131,0))+0*INDEX(O131:Q131,MATCH(LARGE(O131:Q131,3),O131:Q131,0))</f>
        <v>0</v>
      </c>
      <c r="T131" s="15">
        <f>1*INDEX(R131:S131,MATCH(LARGE(R131:S131,1),R131:S131,0))+0*INDEX(R131:S131,MATCH(LARGE(R131:S131,2),R131:S131,0))</f>
        <v>82.5</v>
      </c>
      <c r="U131" s="21"/>
      <c r="V131" s="21"/>
      <c r="W131" s="21"/>
      <c r="X131" s="21"/>
      <c r="Y131" s="21"/>
      <c r="Z131" s="21"/>
    </row>
    <row r="132" spans="1:26" ht="12.75" customHeight="1" x14ac:dyDescent="0.3">
      <c r="A132" s="15">
        <v>131</v>
      </c>
      <c r="B132" s="21" t="s">
        <v>611</v>
      </c>
      <c r="C132" s="21" t="s">
        <v>31</v>
      </c>
      <c r="D132" s="15" t="s">
        <v>26</v>
      </c>
      <c r="E132" s="15" t="s">
        <v>23</v>
      </c>
      <c r="F132" s="15"/>
      <c r="G132" s="15"/>
      <c r="H132" s="15">
        <f>MAX(IF(ISNA(VLOOKUP(B132,'WBV 1'!$B$3:$C$34,2,FALSE))=TRUE,0,VLOOKUP(B132,'WBV 1'!$B$3:$C$34,2,FALSE)),IF(ISNA(VLOOKUP(B132,'WBV 1'!$F$3:$G$34,2,FALSE))=TRUE,0,VLOOKUP(B132,'WBV 1'!$F$3:$G$34,2,FALSE)),IF(ISNA(VLOOKUP(B132,'WBV 1'!$J$3:$K$34,2,FALSE))=TRUE,0,VLOOKUP(B132,'WBV 1'!$J$3:$K$34,2,FALSE)),IF(ISNA(VLOOKUP(B132,'WBV 1'!$N$3:$O$34,2,FALSE))=TRUE,0,VLOOKUP(B132,'WBV 1'!$N$3:$O$34,2,FALSE)))</f>
        <v>0</v>
      </c>
      <c r="I132" s="15">
        <f>MAX(IF(ISNA(VLOOKUP(B132,'WBV 2'!$B$3:$C$34,2,FALSE))=TRUE,0,VLOOKUP(B132,'WBV 2'!$B$3:$C$34,2,FALSE)),IF(ISNA(VLOOKUP(B132,'WBV 2'!$F$3:$G$34,2,FALSE))=TRUE,0,VLOOKUP(B132,'WBV 2'!$F$3:$G$34,2,FALSE)),IF(ISNA(VLOOKUP(B132,'WBV 2'!$J$3:$K$34,2,FALSE))=TRUE,0,VLOOKUP(B132,'WBV 2'!$J$3:$K$34,2,FALSE)),IF(ISNA(VLOOKUP(B132,'WBV 2'!$N$3:$O$34,2,FALSE))=TRUE,0,VLOOKUP(B132,'WBV 2'!$N$3:$O$34,2,FALSE)))</f>
        <v>0</v>
      </c>
      <c r="J132" s="15">
        <f>MAX(IF(ISNA(VLOOKUP(B132,'WBV 3'!$B$3:$C$34,2,FALSE))=TRUE,0,VLOOKUP(B132,'WBV 3'!$B$3:$C$34,2,FALSE)),IF(ISNA(VLOOKUP(B132,'WBV 3'!$F$3:$G$34,2,FALSE))=TRUE,0,VLOOKUP(B132,'WBV 3'!$F$3:$G$34,2,FALSE)),IF(ISNA(VLOOKUP(B132,'WBV 3'!$J$3:$K$34,2,FALSE))=TRUE,0,VLOOKUP(B132,'WBV 3'!$J$3:$K$34,2,FALSE)),IF(ISNA(VLOOKUP(B132,'WBV 3'!$N$3:$O$34,2,FALSE))=TRUE,0,VLOOKUP(B132,'WBV 3'!$N$3:$O$34,2,FALSE)))</f>
        <v>163</v>
      </c>
      <c r="K132" s="15">
        <f>MAX(IF(ISNA(VLOOKUP(B132,'WBV 4'!$B$3:$C$34,2,FALSE))=TRUE,0,VLOOKUP(B132,'WBV 4'!$B$3:$C$34,2,FALSE)),IF(ISNA(VLOOKUP(B132,'WBV 4'!$F$3:$G$34,2,FALSE))=TRUE,0,VLOOKUP(B132,'WBV 4'!$F$3:$G$34,2,FALSE)),IF(ISNA(VLOOKUP(B132,'WBV 4'!$J$3:$K$34,2,FALSE))=TRUE,0,VLOOKUP(B132,'WBV 4'!$J$3:$K$34,2,FALSE)),IF(ISNA(VLOOKUP(B132,'WBV 4'!$N$3:$O$34,2,FALSE))=TRUE,0,VLOOKUP(B132,'WBV 4'!$N$3:$O$34,2,FALSE)))</f>
        <v>0</v>
      </c>
      <c r="L132" s="19">
        <f>MAX(IF(ISNA(VLOOKUP(B132,'NÖBV 1'!$B$3:$C$34,2,FALSE))=TRUE,0,VLOOKUP(B132,'NÖBV 1'!$B$3:$C$34,2,FALSE)),IF(ISNA(VLOOKUP(B132,'NÖBV 1'!$F$3:$G$34,2,FALSE))=TRUE,0,VLOOKUP(B132,'NÖBV 1'!$F$3:$G$34,2,FALSE)),IF(ISNA(VLOOKUP(B132,'NÖBV 1'!$J$3:$K$34,2,FALSE))=TRUE,0,VLOOKUP(B132,'NÖBV 1'!$J$3:$K$34,2,FALSE)),IF(ISNA(VLOOKUP(B132,'NÖBV 1'!$N$3:$O$34,2,FALSE))=TRUE,0,VLOOKUP(B132,'NÖBV 1'!$N$3:$O$34,2,FALSE)))</f>
        <v>0</v>
      </c>
      <c r="M132" s="19">
        <f>MAX(IF(ISNA(VLOOKUP(B132,'NÖBV 2'!$B$3:$C$34,2,FALSE))=TRUE,0,VLOOKUP(B132,'NÖBV 2'!$B$3:$C$34,2,FALSE)),IF(ISNA(VLOOKUP(B132,'NÖBV 2'!$F$3:$G$34,2,FALSE))=TRUE,0,VLOOKUP(B132,'NÖBV 2'!$F$3:$G$34,2,FALSE)),IF(ISNA(VLOOKUP(B132,'NÖBV 2'!$J$3:$K$34,2,FALSE))=TRUE,0,VLOOKUP(B132,'NÖBV 2'!$J$3:$K$34,2,FALSE)),IF(ISNA(VLOOKUP(B132,'NÖBV 2'!$N$3:$O$34,2,FALSE))=TRUE,0,VLOOKUP(B132,'NÖBV 2'!$N$3:$O$34,2,FALSE)))</f>
        <v>0</v>
      </c>
      <c r="N132" s="19">
        <f>MAX(IF(ISNA(VLOOKUP(B132,'NÖBV 3'!$B$3:$C$34,2,FALSE))=TRUE,0,VLOOKUP(B132,'NÖBV 3'!$B$3:$C$34,2,FALSE)),IF(ISNA(VLOOKUP(B132,'NÖBV 3'!$F$3:$G$34,2,FALSE))=TRUE,0,VLOOKUP(B132,'NÖBV 3'!$F$3:$G$34,2,FALSE)),IF(ISNA(VLOOKUP(B132,'NÖBV 3'!$J$3:$K$34,2,FALSE))=TRUE,0,VLOOKUP(B132,'NÖBV 3'!$J$3:$K$34,2,FALSE)),IF(ISNA(VLOOKUP(B132,'NÖBV 3'!$N$3:$O$34,2,FALSE))=TRUE,0,VLOOKUP(B132,'NÖBV 3'!$N$3:$O$34,2,FALSE)))</f>
        <v>0</v>
      </c>
      <c r="O132" s="15">
        <f>MAX(IF(ISNA(VLOOKUP(B132,'Regioturnier 1'!$B$3:$C$34,2,FALSE))=TRUE,0,VLOOKUP(B132,'Regioturnier 1'!$B$3:$C$34,2,FALSE)),IF(ISNA(VLOOKUP(B132,'Regioturnier 1'!$F$3:$G$34,2,FALSE))=TRUE,0,VLOOKUP(B132,'Regioturnier 1'!$F$3:$G$34,2,FALSE)),IF(ISNA(VLOOKUP(B132,'Regioturnier 1'!$J$3:$K$34,2,FALSE))=TRUE,0,VLOOKUP(B132,'Regioturnier 1'!$J$3:$K$34,2,FALSE)),IF(ISNA(VLOOKUP(B132,'Regioturnier 1'!$N$3:$O$34,2,FALSE))=TRUE,0,VLOOKUP(B132,'Regioturnier 1'!$N$3:$O$34,2,FALSE)),IF(ISNA(VLOOKUP(B132,'Regioturnier 1'!$R$3:$S$34,2,FALSE))=TRUE,0,VLOOKUP(B132,'Regioturnier 1'!$R$3:$S$34,2,FALSE)), IF(ISNA(VLOOKUP(B132,'Regioturnier 1'!$V$3:$W$34,2,FALSE))=TRUE,0,VLOOKUP(B132,'Regioturnier 1'!$V$3:$W$34,2,FALSE)), IF(ISNA(VLOOKUP(B132,'Regioturnier 1'!$Z$3:$AA$34,2,FALSE))=TRUE,0,VLOOKUP(B132,'Regioturnier 1'!$Z$3:$AA$34,2,FALSE)))</f>
        <v>0</v>
      </c>
      <c r="P132" s="15">
        <f>MAX(IF(ISNA(VLOOKUP(B132,'Regioturnier 2'!$B$3:$C$34,2,FALSE))=TRUE,0,VLOOKUP(B132,'Regioturnier 2'!$B$3:$C$34,2,FALSE)),IF(ISNA(VLOOKUP(B132,'Regioturnier 2'!$F$3:$G$34,2,FALSE))=TRUE,0,VLOOKUP(B132,'Regioturnier 2'!$F$3:$G$34,2,FALSE)),IF(ISNA(VLOOKUP(B132,'Regioturnier 2'!$J$3:$K$34,2,FALSE))=TRUE,0,VLOOKUP(B132,'Regioturnier 2'!$J$3:$K$34,2,FALSE)),IF(ISNA(VLOOKUP(B132,'Regioturnier 2'!$N$3:$O$34,2,FALSE))=TRUE,0,VLOOKUP(B132,'Regioturnier 2'!$N$3:$O$34,2,FALSE)),IF(ISNA(VLOOKUP(B132,'Regioturnier 2'!$R$3:$S$34,2,FALSE))=TRUE,0,VLOOKUP(B132,'Regioturnier 2'!$R$3:$S$34,2,FALSE)), IF(ISNA(VLOOKUP(B132,'Regioturnier 2'!$V$3:$W$34,2,FALSE))=TRUE,0,VLOOKUP(B132,'Regioturnier 2'!$V$3:$W$34,2,FALSE)), IF(ISNA(VLOOKUP(B132,'Regioturnier 2'!$Z$3:$AA$34,2,FALSE))=TRUE,0,VLOOKUP(B132,'Regioturnier 2'!$Z$3:$AA$34,2,FALSE)))</f>
        <v>0</v>
      </c>
      <c r="Q132" s="15">
        <f>MAX(IF(ISNA(VLOOKUP(B132,'Regioturnier 3'!$B$3:$C$34,2,FALSE))=TRUE,0,VLOOKUP(B132,'Regioturnier 3'!$B$3:$C$34,2,FALSE)),IF(ISNA(VLOOKUP(B132,'Regioturnier 3'!$F$3:$G$34,2,FALSE))=TRUE,0,VLOOKUP(B132,'Regioturnier 3'!$F$3:$G$34,2,FALSE)),IF(ISNA(VLOOKUP(B132,'Regioturnier 3'!$J$3:$K$34,2,FALSE))=TRUE,0,VLOOKUP(B132,'Regioturnier 3'!$J$3:$K$34,2,FALSE)),IF(ISNA(VLOOKUP(B132,'Regioturnier 3'!$N$3:$O$34,2,FALSE))=TRUE,0,VLOOKUP(B132,'Regioturnier 3'!$N$3:$O$34,2,FALSE)),IF(ISNA(VLOOKUP(B132,'Regioturnier 3'!$R$3:$S$34,2,FALSE))=TRUE,0,VLOOKUP(B132,'Regioturnier 3'!$R$3:$S$34,2,FALSE)), IF(ISNA(VLOOKUP(B132,'Regioturnier 3'!$V$3:$W$34,2,FALSE))=TRUE,0,VLOOKUP(B132,'Regioturnier 3'!$V$3:$W$34,2,FALSE)), IF(ISNA(VLOOKUP(B132,'Regioturnier 3'!$Z$3:$AA$34,2,FALSE))=TRUE,0,VLOOKUP(B132,'Regioturnier 3'!$Z$3:$AA$34,2,FALSE)))</f>
        <v>0</v>
      </c>
      <c r="R132" s="20">
        <f>0.5*INDEX($H132:$N132,MATCH(LARGE($H132:$N132,1),$H132:$N132,0))+0.3*INDEX($H132:$N132,MATCH(LARGE($H132:$N132,2),$H132:$N132,0))+0.2*INDEX($H132:$N132,MATCH(LARGE($H132:$N132,3),$H132:$N132,0))</f>
        <v>81.5</v>
      </c>
      <c r="S132" s="20">
        <f>0.6*INDEX(O132:Q132,MATCH(LARGE(O132:Q132,1),O132:Q132,0))+0.4*INDEX(O132:Q132,MATCH(LARGE(O132:Q132,2),O132:Q132,0))+0*INDEX(O132:Q132,MATCH(LARGE(O132:Q132,3),O132:Q132,0))</f>
        <v>0</v>
      </c>
      <c r="T132" s="15">
        <f>1*INDEX(R132:S132,MATCH(LARGE(R132:S132,1),R132:S132,0))+0*INDEX(R132:S132,MATCH(LARGE(R132:S132,2),R132:S132,0))</f>
        <v>81.5</v>
      </c>
      <c r="U132" s="21"/>
      <c r="V132" s="21"/>
      <c r="W132" s="21"/>
      <c r="X132" s="21"/>
      <c r="Y132" s="21"/>
      <c r="Z132" s="21"/>
    </row>
    <row r="133" spans="1:26" ht="12.75" customHeight="1" x14ac:dyDescent="0.3">
      <c r="A133" s="15">
        <v>132</v>
      </c>
      <c r="B133" s="16" t="s">
        <v>517</v>
      </c>
      <c r="C133" s="17" t="s">
        <v>25</v>
      </c>
      <c r="D133" s="15" t="s">
        <v>26</v>
      </c>
      <c r="E133" s="18" t="s">
        <v>23</v>
      </c>
      <c r="F133" s="15" t="s">
        <v>553</v>
      </c>
      <c r="G133" s="22">
        <v>2009</v>
      </c>
      <c r="H133" s="15">
        <f>MAX(IF(ISNA(VLOOKUP(B133,'WBV 1'!$B$3:$C$34,2,FALSE))=TRUE,0,VLOOKUP(B133,'WBV 1'!$B$3:$C$34,2,FALSE)),IF(ISNA(VLOOKUP(B133,'WBV 1'!$F$3:$G$34,2,FALSE))=TRUE,0,VLOOKUP(B133,'WBV 1'!$F$3:$G$34,2,FALSE)),IF(ISNA(VLOOKUP(B133,'WBV 1'!$J$3:$K$34,2,FALSE))=TRUE,0,VLOOKUP(B133,'WBV 1'!$J$3:$K$34,2,FALSE)),IF(ISNA(VLOOKUP(B133,'WBV 1'!$N$3:$O$34,2,FALSE))=TRUE,0,VLOOKUP(B133,'WBV 1'!$N$3:$O$34,2,FALSE)))</f>
        <v>0</v>
      </c>
      <c r="I133" s="15">
        <f>MAX(IF(ISNA(VLOOKUP(B133,'WBV 2'!$B$3:$C$34,2,FALSE))=TRUE,0,VLOOKUP(B133,'WBV 2'!$B$3:$C$34,2,FALSE)),IF(ISNA(VLOOKUP(B133,'WBV 2'!$F$3:$G$34,2,FALSE))=TRUE,0,VLOOKUP(B133,'WBV 2'!$F$3:$G$34,2,FALSE)),IF(ISNA(VLOOKUP(B133,'WBV 2'!$J$3:$K$34,2,FALSE))=TRUE,0,VLOOKUP(B133,'WBV 2'!$J$3:$K$34,2,FALSE)),IF(ISNA(VLOOKUP(B133,'WBV 2'!$N$3:$O$34,2,FALSE))=TRUE,0,VLOOKUP(B133,'WBV 2'!$N$3:$O$34,2,FALSE)))</f>
        <v>163</v>
      </c>
      <c r="J133" s="15">
        <f>MAX(IF(ISNA(VLOOKUP(B133,'WBV 3'!$B$3:$C$34,2,FALSE))=TRUE,0,VLOOKUP(B133,'WBV 3'!$B$3:$C$34,2,FALSE)),IF(ISNA(VLOOKUP(B133,'WBV 3'!$F$3:$G$34,2,FALSE))=TRUE,0,VLOOKUP(B133,'WBV 3'!$F$3:$G$34,2,FALSE)),IF(ISNA(VLOOKUP(B133,'WBV 3'!$J$3:$K$34,2,FALSE))=TRUE,0,VLOOKUP(B133,'WBV 3'!$J$3:$K$34,2,FALSE)),IF(ISNA(VLOOKUP(B133,'WBV 3'!$N$3:$O$34,2,FALSE))=TRUE,0,VLOOKUP(B133,'WBV 3'!$N$3:$O$34,2,FALSE)))</f>
        <v>0</v>
      </c>
      <c r="K133" s="15">
        <f>MAX(IF(ISNA(VLOOKUP(B133,'WBV 4'!$B$3:$C$34,2,FALSE))=TRUE,0,VLOOKUP(B133,'WBV 4'!$B$3:$C$34,2,FALSE)),IF(ISNA(VLOOKUP(B133,'WBV 4'!$F$3:$G$34,2,FALSE))=TRUE,0,VLOOKUP(B133,'WBV 4'!$F$3:$G$34,2,FALSE)),IF(ISNA(VLOOKUP(B133,'WBV 4'!$J$3:$K$34,2,FALSE))=TRUE,0,VLOOKUP(B133,'WBV 4'!$J$3:$K$34,2,FALSE)),IF(ISNA(VLOOKUP(B133,'WBV 4'!$N$3:$O$34,2,FALSE))=TRUE,0,VLOOKUP(B133,'WBV 4'!$N$3:$O$34,2,FALSE)))</f>
        <v>0</v>
      </c>
      <c r="L133" s="19">
        <f>MAX(IF(ISNA(VLOOKUP(B133,'NÖBV 1'!$B$3:$C$34,2,FALSE))=TRUE,0,VLOOKUP(B133,'NÖBV 1'!$B$3:$C$34,2,FALSE)),IF(ISNA(VLOOKUP(B133,'NÖBV 1'!$F$3:$G$34,2,FALSE))=TRUE,0,VLOOKUP(B133,'NÖBV 1'!$F$3:$G$34,2,FALSE)),IF(ISNA(VLOOKUP(B133,'NÖBV 1'!$J$3:$K$34,2,FALSE))=TRUE,0,VLOOKUP(B133,'NÖBV 1'!$J$3:$K$34,2,FALSE)),IF(ISNA(VLOOKUP(B133,'NÖBV 1'!$N$3:$O$34,2,FALSE))=TRUE,0,VLOOKUP(B133,'NÖBV 1'!$N$3:$O$34,2,FALSE)))</f>
        <v>0</v>
      </c>
      <c r="M133" s="19">
        <f>MAX(IF(ISNA(VLOOKUP(B133,'NÖBV 2'!$B$3:$C$34,2,FALSE))=TRUE,0,VLOOKUP(B133,'NÖBV 2'!$B$3:$C$34,2,FALSE)),IF(ISNA(VLOOKUP(B133,'NÖBV 2'!$F$3:$G$34,2,FALSE))=TRUE,0,VLOOKUP(B133,'NÖBV 2'!$F$3:$G$34,2,FALSE)),IF(ISNA(VLOOKUP(B133,'NÖBV 2'!$J$3:$K$34,2,FALSE))=TRUE,0,VLOOKUP(B133,'NÖBV 2'!$J$3:$K$34,2,FALSE)),IF(ISNA(VLOOKUP(B133,'NÖBV 2'!$N$3:$O$34,2,FALSE))=TRUE,0,VLOOKUP(B133,'NÖBV 2'!$N$3:$O$34,2,FALSE)))</f>
        <v>0</v>
      </c>
      <c r="N133" s="19">
        <f>MAX(IF(ISNA(VLOOKUP(B133,'NÖBV 3'!$B$3:$C$34,2,FALSE))=TRUE,0,VLOOKUP(B133,'NÖBV 3'!$B$3:$C$34,2,FALSE)),IF(ISNA(VLOOKUP(B133,'NÖBV 3'!$F$3:$G$34,2,FALSE))=TRUE,0,VLOOKUP(B133,'NÖBV 3'!$F$3:$G$34,2,FALSE)),IF(ISNA(VLOOKUP(B133,'NÖBV 3'!$J$3:$K$34,2,FALSE))=TRUE,0,VLOOKUP(B133,'NÖBV 3'!$J$3:$K$34,2,FALSE)),IF(ISNA(VLOOKUP(B133,'NÖBV 3'!$N$3:$O$34,2,FALSE))=TRUE,0,VLOOKUP(B133,'NÖBV 3'!$N$3:$O$34,2,FALSE)))</f>
        <v>0</v>
      </c>
      <c r="O133" s="15">
        <f>MAX(IF(ISNA(VLOOKUP(B133,'Regioturnier 1'!$B$3:$C$34,2,FALSE))=TRUE,0,VLOOKUP(B133,'Regioturnier 1'!$B$3:$C$34,2,FALSE)),IF(ISNA(VLOOKUP(B133,'Regioturnier 1'!$F$3:$G$34,2,FALSE))=TRUE,0,VLOOKUP(B133,'Regioturnier 1'!$F$3:$G$34,2,FALSE)),IF(ISNA(VLOOKUP(B133,'Regioturnier 1'!$J$3:$K$34,2,FALSE))=TRUE,0,VLOOKUP(B133,'Regioturnier 1'!$J$3:$K$34,2,FALSE)),IF(ISNA(VLOOKUP(B133,'Regioturnier 1'!$N$3:$O$34,2,FALSE))=TRUE,0,VLOOKUP(B133,'Regioturnier 1'!$N$3:$O$34,2,FALSE)),IF(ISNA(VLOOKUP(B133,'Regioturnier 1'!$R$3:$S$34,2,FALSE))=TRUE,0,VLOOKUP(B133,'Regioturnier 1'!$R$3:$S$34,2,FALSE)), IF(ISNA(VLOOKUP(B133,'Regioturnier 1'!$V$3:$W$34,2,FALSE))=TRUE,0,VLOOKUP(B133,'Regioturnier 1'!$V$3:$W$34,2,FALSE)), IF(ISNA(VLOOKUP(B133,'Regioturnier 1'!$Z$3:$AA$34,2,FALSE))=TRUE,0,VLOOKUP(B133,'Regioturnier 1'!$Z$3:$AA$34,2,FALSE)))</f>
        <v>0</v>
      </c>
      <c r="P133" s="15">
        <f>MAX(IF(ISNA(VLOOKUP(B133,'Regioturnier 2'!$B$3:$C$34,2,FALSE))=TRUE,0,VLOOKUP(B133,'Regioturnier 2'!$B$3:$C$34,2,FALSE)),IF(ISNA(VLOOKUP(B133,'Regioturnier 2'!$F$3:$G$34,2,FALSE))=TRUE,0,VLOOKUP(B133,'Regioturnier 2'!$F$3:$G$34,2,FALSE)),IF(ISNA(VLOOKUP(B133,'Regioturnier 2'!$J$3:$K$34,2,FALSE))=TRUE,0,VLOOKUP(B133,'Regioturnier 2'!$J$3:$K$34,2,FALSE)),IF(ISNA(VLOOKUP(B133,'Regioturnier 2'!$N$3:$O$34,2,FALSE))=TRUE,0,VLOOKUP(B133,'Regioturnier 2'!$N$3:$O$34,2,FALSE)),IF(ISNA(VLOOKUP(B133,'Regioturnier 2'!$R$3:$S$34,2,FALSE))=TRUE,0,VLOOKUP(B133,'Regioturnier 2'!$R$3:$S$34,2,FALSE)), IF(ISNA(VLOOKUP(B133,'Regioturnier 2'!$V$3:$W$34,2,FALSE))=TRUE,0,VLOOKUP(B133,'Regioturnier 2'!$V$3:$W$34,2,FALSE)), IF(ISNA(VLOOKUP(B133,'Regioturnier 2'!$Z$3:$AA$34,2,FALSE))=TRUE,0,VLOOKUP(B133,'Regioturnier 2'!$Z$3:$AA$34,2,FALSE)))</f>
        <v>0</v>
      </c>
      <c r="Q133" s="15">
        <f>MAX(IF(ISNA(VLOOKUP(B133,'Regioturnier 3'!$B$3:$C$34,2,FALSE))=TRUE,0,VLOOKUP(B133,'Regioturnier 3'!$B$3:$C$34,2,FALSE)),IF(ISNA(VLOOKUP(B133,'Regioturnier 3'!$F$3:$G$34,2,FALSE))=TRUE,0,VLOOKUP(B133,'Regioturnier 3'!$F$3:$G$34,2,FALSE)),IF(ISNA(VLOOKUP(B133,'Regioturnier 3'!$J$3:$K$34,2,FALSE))=TRUE,0,VLOOKUP(B133,'Regioturnier 3'!$J$3:$K$34,2,FALSE)),IF(ISNA(VLOOKUP(B133,'Regioturnier 3'!$N$3:$O$34,2,FALSE))=TRUE,0,VLOOKUP(B133,'Regioturnier 3'!$N$3:$O$34,2,FALSE)),IF(ISNA(VLOOKUP(B133,'Regioturnier 3'!$R$3:$S$34,2,FALSE))=TRUE,0,VLOOKUP(B133,'Regioturnier 3'!$R$3:$S$34,2,FALSE)), IF(ISNA(VLOOKUP(B133,'Regioturnier 3'!$V$3:$W$34,2,FALSE))=TRUE,0,VLOOKUP(B133,'Regioturnier 3'!$V$3:$W$34,2,FALSE)), IF(ISNA(VLOOKUP(B133,'Regioturnier 3'!$Z$3:$AA$34,2,FALSE))=TRUE,0,VLOOKUP(B133,'Regioturnier 3'!$Z$3:$AA$34,2,FALSE)))</f>
        <v>0</v>
      </c>
      <c r="R133" s="20">
        <f>0.5*INDEX($H133:$N133,MATCH(LARGE($H133:$N133,1),$H133:$N133,0))+0.3*INDEX($H133:$N133,MATCH(LARGE($H133:$N133,2),$H133:$N133,0))+0.2*INDEX($H133:$N133,MATCH(LARGE($H133:$N133,3),$H133:$N133,0))</f>
        <v>81.5</v>
      </c>
      <c r="S133" s="20">
        <f>0.6*INDEX(O133:Q133,MATCH(LARGE(O133:Q133,1),O133:Q133,0))+0.4*INDEX(O133:Q133,MATCH(LARGE(O133:Q133,2),O133:Q133,0))+0*INDEX(O133:Q133,MATCH(LARGE(O133:Q133,3),O133:Q133,0))</f>
        <v>0</v>
      </c>
      <c r="T133" s="15">
        <f>1*INDEX(R133:S133,MATCH(LARGE(R133:S133,1),R133:S133,0))+0*INDEX(R133:S133,MATCH(LARGE(R133:S133,2),R133:S133,0))</f>
        <v>81.5</v>
      </c>
      <c r="U133" s="21"/>
      <c r="V133" s="21"/>
      <c r="W133" s="21"/>
      <c r="X133" s="21"/>
      <c r="Y133" s="21"/>
      <c r="Z133" s="21"/>
    </row>
    <row r="134" spans="1:26" ht="12.75" customHeight="1" x14ac:dyDescent="0.3">
      <c r="A134" s="15">
        <v>133</v>
      </c>
      <c r="B134" s="21" t="s">
        <v>613</v>
      </c>
      <c r="C134" s="21" t="s">
        <v>25</v>
      </c>
      <c r="D134" s="15" t="s">
        <v>26</v>
      </c>
      <c r="E134" s="15" t="s">
        <v>40</v>
      </c>
      <c r="F134" s="15" t="s">
        <v>633</v>
      </c>
      <c r="G134" s="15">
        <v>2011</v>
      </c>
      <c r="H134" s="15">
        <f>MAX(IF(ISNA(VLOOKUP(B134,'WBV 1'!$B$3:$C$34,2,FALSE))=TRUE,0,VLOOKUP(B134,'WBV 1'!$B$3:$C$34,2,FALSE)),IF(ISNA(VLOOKUP(B134,'WBV 1'!$F$3:$G$34,2,FALSE))=TRUE,0,VLOOKUP(B134,'WBV 1'!$F$3:$G$34,2,FALSE)),IF(ISNA(VLOOKUP(B134,'WBV 1'!$J$3:$K$34,2,FALSE))=TRUE,0,VLOOKUP(B134,'WBV 1'!$J$3:$K$34,2,FALSE)),IF(ISNA(VLOOKUP(B134,'WBV 1'!$N$3:$O$34,2,FALSE))=TRUE,0,VLOOKUP(B134,'WBV 1'!$N$3:$O$34,2,FALSE)))</f>
        <v>0</v>
      </c>
      <c r="I134" s="15">
        <f>MAX(IF(ISNA(VLOOKUP(B134,'WBV 2'!$B$3:$C$34,2,FALSE))=TRUE,0,VLOOKUP(B134,'WBV 2'!$B$3:$C$34,2,FALSE)),IF(ISNA(VLOOKUP(B134,'WBV 2'!$F$3:$G$34,2,FALSE))=TRUE,0,VLOOKUP(B134,'WBV 2'!$F$3:$G$34,2,FALSE)),IF(ISNA(VLOOKUP(B134,'WBV 2'!$J$3:$K$34,2,FALSE))=TRUE,0,VLOOKUP(B134,'WBV 2'!$J$3:$K$34,2,FALSE)),IF(ISNA(VLOOKUP(B134,'WBV 2'!$N$3:$O$34,2,FALSE))=TRUE,0,VLOOKUP(B134,'WBV 2'!$N$3:$O$34,2,FALSE)))</f>
        <v>0</v>
      </c>
      <c r="J134" s="15">
        <f>MAX(IF(ISNA(VLOOKUP(B134,'WBV 3'!$B$3:$C$34,2,FALSE))=TRUE,0,VLOOKUP(B134,'WBV 3'!$B$3:$C$34,2,FALSE)),IF(ISNA(VLOOKUP(B134,'WBV 3'!$F$3:$G$34,2,FALSE))=TRUE,0,VLOOKUP(B134,'WBV 3'!$F$3:$G$34,2,FALSE)),IF(ISNA(VLOOKUP(B134,'WBV 3'!$J$3:$K$34,2,FALSE))=TRUE,0,VLOOKUP(B134,'WBV 3'!$J$3:$K$34,2,FALSE)),IF(ISNA(VLOOKUP(B134,'WBV 3'!$N$3:$O$34,2,FALSE))=TRUE,0,VLOOKUP(B134,'WBV 3'!$N$3:$O$34,2,FALSE)))</f>
        <v>162</v>
      </c>
      <c r="K134" s="15">
        <f>MAX(IF(ISNA(VLOOKUP(B134,'WBV 4'!$B$3:$C$34,2,FALSE))=TRUE,0,VLOOKUP(B134,'WBV 4'!$B$3:$C$34,2,FALSE)),IF(ISNA(VLOOKUP(B134,'WBV 4'!$F$3:$G$34,2,FALSE))=TRUE,0,VLOOKUP(B134,'WBV 4'!$F$3:$G$34,2,FALSE)),IF(ISNA(VLOOKUP(B134,'WBV 4'!$J$3:$K$34,2,FALSE))=TRUE,0,VLOOKUP(B134,'WBV 4'!$J$3:$K$34,2,FALSE)),IF(ISNA(VLOOKUP(B134,'WBV 4'!$N$3:$O$34,2,FALSE))=TRUE,0,VLOOKUP(B134,'WBV 4'!$N$3:$O$34,2,FALSE)))</f>
        <v>0</v>
      </c>
      <c r="L134" s="19">
        <f>MAX(IF(ISNA(VLOOKUP(B134,'NÖBV 1'!$B$3:$C$34,2,FALSE))=TRUE,0,VLOOKUP(B134,'NÖBV 1'!$B$3:$C$34,2,FALSE)),IF(ISNA(VLOOKUP(B134,'NÖBV 1'!$F$3:$G$34,2,FALSE))=TRUE,0,VLOOKUP(B134,'NÖBV 1'!$F$3:$G$34,2,FALSE)),IF(ISNA(VLOOKUP(B134,'NÖBV 1'!$J$3:$K$34,2,FALSE))=TRUE,0,VLOOKUP(B134,'NÖBV 1'!$J$3:$K$34,2,FALSE)),IF(ISNA(VLOOKUP(B134,'NÖBV 1'!$N$3:$O$34,2,FALSE))=TRUE,0,VLOOKUP(B134,'NÖBV 1'!$N$3:$O$34,2,FALSE)))</f>
        <v>0</v>
      </c>
      <c r="M134" s="19">
        <f>MAX(IF(ISNA(VLOOKUP(B134,'NÖBV 2'!$B$3:$C$34,2,FALSE))=TRUE,0,VLOOKUP(B134,'NÖBV 2'!$B$3:$C$34,2,FALSE)),IF(ISNA(VLOOKUP(B134,'NÖBV 2'!$F$3:$G$34,2,FALSE))=TRUE,0,VLOOKUP(B134,'NÖBV 2'!$F$3:$G$34,2,FALSE)),IF(ISNA(VLOOKUP(B134,'NÖBV 2'!$J$3:$K$34,2,FALSE))=TRUE,0,VLOOKUP(B134,'NÖBV 2'!$J$3:$K$34,2,FALSE)),IF(ISNA(VLOOKUP(B134,'NÖBV 2'!$N$3:$O$34,2,FALSE))=TRUE,0,VLOOKUP(B134,'NÖBV 2'!$N$3:$O$34,2,FALSE)))</f>
        <v>0</v>
      </c>
      <c r="N134" s="19">
        <f>MAX(IF(ISNA(VLOOKUP(B134,'NÖBV 3'!$B$3:$C$34,2,FALSE))=TRUE,0,VLOOKUP(B134,'NÖBV 3'!$B$3:$C$34,2,FALSE)),IF(ISNA(VLOOKUP(B134,'NÖBV 3'!$F$3:$G$34,2,FALSE))=TRUE,0,VLOOKUP(B134,'NÖBV 3'!$F$3:$G$34,2,FALSE)),IF(ISNA(VLOOKUP(B134,'NÖBV 3'!$J$3:$K$34,2,FALSE))=TRUE,0,VLOOKUP(B134,'NÖBV 3'!$J$3:$K$34,2,FALSE)),IF(ISNA(VLOOKUP(B134,'NÖBV 3'!$N$3:$O$34,2,FALSE))=TRUE,0,VLOOKUP(B134,'NÖBV 3'!$N$3:$O$34,2,FALSE)))</f>
        <v>0</v>
      </c>
      <c r="O134" s="15">
        <f>MAX(IF(ISNA(VLOOKUP(B134,'Regioturnier 1'!$B$3:$C$34,2,FALSE))=TRUE,0,VLOOKUP(B134,'Regioturnier 1'!$B$3:$C$34,2,FALSE)),IF(ISNA(VLOOKUP(B134,'Regioturnier 1'!$F$3:$G$34,2,FALSE))=TRUE,0,VLOOKUP(B134,'Regioturnier 1'!$F$3:$G$34,2,FALSE)),IF(ISNA(VLOOKUP(B134,'Regioturnier 1'!$J$3:$K$34,2,FALSE))=TRUE,0,VLOOKUP(B134,'Regioturnier 1'!$J$3:$K$34,2,FALSE)),IF(ISNA(VLOOKUP(B134,'Regioturnier 1'!$N$3:$O$34,2,FALSE))=TRUE,0,VLOOKUP(B134,'Regioturnier 1'!$N$3:$O$34,2,FALSE)),IF(ISNA(VLOOKUP(B134,'Regioturnier 1'!$R$3:$S$34,2,FALSE))=TRUE,0,VLOOKUP(B134,'Regioturnier 1'!$R$3:$S$34,2,FALSE)), IF(ISNA(VLOOKUP(B134,'Regioturnier 1'!$V$3:$W$34,2,FALSE))=TRUE,0,VLOOKUP(B134,'Regioturnier 1'!$V$3:$W$34,2,FALSE)), IF(ISNA(VLOOKUP(B134,'Regioturnier 1'!$Z$3:$AA$34,2,FALSE))=TRUE,0,VLOOKUP(B134,'Regioturnier 1'!$Z$3:$AA$34,2,FALSE)))</f>
        <v>0</v>
      </c>
      <c r="P134" s="15">
        <f>MAX(IF(ISNA(VLOOKUP(B134,'Regioturnier 2'!$B$3:$C$34,2,FALSE))=TRUE,0,VLOOKUP(B134,'Regioturnier 2'!$B$3:$C$34,2,FALSE)),IF(ISNA(VLOOKUP(B134,'Regioturnier 2'!$F$3:$G$34,2,FALSE))=TRUE,0,VLOOKUP(B134,'Regioturnier 2'!$F$3:$G$34,2,FALSE)),IF(ISNA(VLOOKUP(B134,'Regioturnier 2'!$J$3:$K$34,2,FALSE))=TRUE,0,VLOOKUP(B134,'Regioturnier 2'!$J$3:$K$34,2,FALSE)),IF(ISNA(VLOOKUP(B134,'Regioturnier 2'!$N$3:$O$34,2,FALSE))=TRUE,0,VLOOKUP(B134,'Regioturnier 2'!$N$3:$O$34,2,FALSE)),IF(ISNA(VLOOKUP(B134,'Regioturnier 2'!$R$3:$S$34,2,FALSE))=TRUE,0,VLOOKUP(B134,'Regioturnier 2'!$R$3:$S$34,2,FALSE)), IF(ISNA(VLOOKUP(B134,'Regioturnier 2'!$V$3:$W$34,2,FALSE))=TRUE,0,VLOOKUP(B134,'Regioturnier 2'!$V$3:$W$34,2,FALSE)), IF(ISNA(VLOOKUP(B134,'Regioturnier 2'!$Z$3:$AA$34,2,FALSE))=TRUE,0,VLOOKUP(B134,'Regioturnier 2'!$Z$3:$AA$34,2,FALSE)))</f>
        <v>0</v>
      </c>
      <c r="Q134" s="15">
        <f>MAX(IF(ISNA(VLOOKUP(B134,'Regioturnier 3'!$B$3:$C$34,2,FALSE))=TRUE,0,VLOOKUP(B134,'Regioturnier 3'!$B$3:$C$34,2,FALSE)),IF(ISNA(VLOOKUP(B134,'Regioturnier 3'!$F$3:$G$34,2,FALSE))=TRUE,0,VLOOKUP(B134,'Regioturnier 3'!$F$3:$G$34,2,FALSE)),IF(ISNA(VLOOKUP(B134,'Regioturnier 3'!$J$3:$K$34,2,FALSE))=TRUE,0,VLOOKUP(B134,'Regioturnier 3'!$J$3:$K$34,2,FALSE)),IF(ISNA(VLOOKUP(B134,'Regioturnier 3'!$N$3:$O$34,2,FALSE))=TRUE,0,VLOOKUP(B134,'Regioturnier 3'!$N$3:$O$34,2,FALSE)),IF(ISNA(VLOOKUP(B134,'Regioturnier 3'!$R$3:$S$34,2,FALSE))=TRUE,0,VLOOKUP(B134,'Regioturnier 3'!$R$3:$S$34,2,FALSE)), IF(ISNA(VLOOKUP(B134,'Regioturnier 3'!$V$3:$W$34,2,FALSE))=TRUE,0,VLOOKUP(B134,'Regioturnier 3'!$V$3:$W$34,2,FALSE)), IF(ISNA(VLOOKUP(B134,'Regioturnier 3'!$Z$3:$AA$34,2,FALSE))=TRUE,0,VLOOKUP(B134,'Regioturnier 3'!$Z$3:$AA$34,2,FALSE)))</f>
        <v>0</v>
      </c>
      <c r="R134" s="20">
        <f>0.5*INDEX($H134:$N134,MATCH(LARGE($H134:$N134,1),$H134:$N134,0))+0.3*INDEX($H134:$N134,MATCH(LARGE($H134:$N134,2),$H134:$N134,0))+0.2*INDEX($H134:$N134,MATCH(LARGE($H134:$N134,3),$H134:$N134,0))</f>
        <v>81</v>
      </c>
      <c r="S134" s="20">
        <f>0.6*INDEX(O134:Q134,MATCH(LARGE(O134:Q134,1),O134:Q134,0))+0.4*INDEX(O134:Q134,MATCH(LARGE(O134:Q134,2),O134:Q134,0))+0*INDEX(O134:Q134,MATCH(LARGE(O134:Q134,3),O134:Q134,0))</f>
        <v>0</v>
      </c>
      <c r="T134" s="15">
        <f>1*INDEX(R134:S134,MATCH(LARGE(R134:S134,1),R134:S134,0))+0*INDEX(R134:S134,MATCH(LARGE(R134:S134,2),R134:S134,0))</f>
        <v>81</v>
      </c>
      <c r="U134" s="21"/>
      <c r="V134" s="21"/>
      <c r="W134" s="21"/>
      <c r="X134" s="21"/>
      <c r="Y134" s="21"/>
      <c r="Z134" s="21"/>
    </row>
    <row r="135" spans="1:26" ht="12.75" customHeight="1" x14ac:dyDescent="0.3">
      <c r="A135" s="15">
        <v>134</v>
      </c>
      <c r="B135" s="16" t="s">
        <v>518</v>
      </c>
      <c r="C135" s="17" t="s">
        <v>43</v>
      </c>
      <c r="D135" s="15" t="s">
        <v>26</v>
      </c>
      <c r="E135" s="18" t="s">
        <v>23</v>
      </c>
      <c r="F135" s="15"/>
      <c r="G135" s="22">
        <v>2014</v>
      </c>
      <c r="H135" s="15">
        <f>MAX(IF(ISNA(VLOOKUP(B135,'WBV 1'!$B$3:$C$34,2,FALSE))=TRUE,0,VLOOKUP(B135,'WBV 1'!$B$3:$C$34,2,FALSE)),IF(ISNA(VLOOKUP(B135,'WBV 1'!$F$3:$G$34,2,FALSE))=TRUE,0,VLOOKUP(B135,'WBV 1'!$F$3:$G$34,2,FALSE)),IF(ISNA(VLOOKUP(B135,'WBV 1'!$J$3:$K$34,2,FALSE))=TRUE,0,VLOOKUP(B135,'WBV 1'!$J$3:$K$34,2,FALSE)),IF(ISNA(VLOOKUP(B135,'WBV 1'!$N$3:$O$34,2,FALSE))=TRUE,0,VLOOKUP(B135,'WBV 1'!$N$3:$O$34,2,FALSE)))</f>
        <v>0</v>
      </c>
      <c r="I135" s="15">
        <f>MAX(IF(ISNA(VLOOKUP(B135,'WBV 2'!$B$3:$C$34,2,FALSE))=TRUE,0,VLOOKUP(B135,'WBV 2'!$B$3:$C$34,2,FALSE)),IF(ISNA(VLOOKUP(B135,'WBV 2'!$F$3:$G$34,2,FALSE))=TRUE,0,VLOOKUP(B135,'WBV 2'!$F$3:$G$34,2,FALSE)),IF(ISNA(VLOOKUP(B135,'WBV 2'!$J$3:$K$34,2,FALSE))=TRUE,0,VLOOKUP(B135,'WBV 2'!$J$3:$K$34,2,FALSE)),IF(ISNA(VLOOKUP(B135,'WBV 2'!$N$3:$O$34,2,FALSE))=TRUE,0,VLOOKUP(B135,'WBV 2'!$N$3:$O$34,2,FALSE)))</f>
        <v>162</v>
      </c>
      <c r="J135" s="15">
        <f>MAX(IF(ISNA(VLOOKUP(B135,'WBV 3'!$B$3:$C$34,2,FALSE))=TRUE,0,VLOOKUP(B135,'WBV 3'!$B$3:$C$34,2,FALSE)),IF(ISNA(VLOOKUP(B135,'WBV 3'!$F$3:$G$34,2,FALSE))=TRUE,0,VLOOKUP(B135,'WBV 3'!$F$3:$G$34,2,FALSE)),IF(ISNA(VLOOKUP(B135,'WBV 3'!$J$3:$K$34,2,FALSE))=TRUE,0,VLOOKUP(B135,'WBV 3'!$J$3:$K$34,2,FALSE)),IF(ISNA(VLOOKUP(B135,'WBV 3'!$N$3:$O$34,2,FALSE))=TRUE,0,VLOOKUP(B135,'WBV 3'!$N$3:$O$34,2,FALSE)))</f>
        <v>0</v>
      </c>
      <c r="K135" s="15">
        <f>MAX(IF(ISNA(VLOOKUP(B135,'WBV 4'!$B$3:$C$34,2,FALSE))=TRUE,0,VLOOKUP(B135,'WBV 4'!$B$3:$C$34,2,FALSE)),IF(ISNA(VLOOKUP(B135,'WBV 4'!$F$3:$G$34,2,FALSE))=TRUE,0,VLOOKUP(B135,'WBV 4'!$F$3:$G$34,2,FALSE)),IF(ISNA(VLOOKUP(B135,'WBV 4'!$J$3:$K$34,2,FALSE))=TRUE,0,VLOOKUP(B135,'WBV 4'!$J$3:$K$34,2,FALSE)),IF(ISNA(VLOOKUP(B135,'WBV 4'!$N$3:$O$34,2,FALSE))=TRUE,0,VLOOKUP(B135,'WBV 4'!$N$3:$O$34,2,FALSE)))</f>
        <v>0</v>
      </c>
      <c r="L135" s="19">
        <f>MAX(IF(ISNA(VLOOKUP(B135,'NÖBV 1'!$B$3:$C$34,2,FALSE))=TRUE,0,VLOOKUP(B135,'NÖBV 1'!$B$3:$C$34,2,FALSE)),IF(ISNA(VLOOKUP(B135,'NÖBV 1'!$F$3:$G$34,2,FALSE))=TRUE,0,VLOOKUP(B135,'NÖBV 1'!$F$3:$G$34,2,FALSE)),IF(ISNA(VLOOKUP(B135,'NÖBV 1'!$J$3:$K$34,2,FALSE))=TRUE,0,VLOOKUP(B135,'NÖBV 1'!$J$3:$K$34,2,FALSE)),IF(ISNA(VLOOKUP(B135,'NÖBV 1'!$N$3:$O$34,2,FALSE))=TRUE,0,VLOOKUP(B135,'NÖBV 1'!$N$3:$O$34,2,FALSE)))</f>
        <v>0</v>
      </c>
      <c r="M135" s="19">
        <f>MAX(IF(ISNA(VLOOKUP(B135,'NÖBV 2'!$B$3:$C$34,2,FALSE))=TRUE,0,VLOOKUP(B135,'NÖBV 2'!$B$3:$C$34,2,FALSE)),IF(ISNA(VLOOKUP(B135,'NÖBV 2'!$F$3:$G$34,2,FALSE))=TRUE,0,VLOOKUP(B135,'NÖBV 2'!$F$3:$G$34,2,FALSE)),IF(ISNA(VLOOKUP(B135,'NÖBV 2'!$J$3:$K$34,2,FALSE))=TRUE,0,VLOOKUP(B135,'NÖBV 2'!$J$3:$K$34,2,FALSE)),IF(ISNA(VLOOKUP(B135,'NÖBV 2'!$N$3:$O$34,2,FALSE))=TRUE,0,VLOOKUP(B135,'NÖBV 2'!$N$3:$O$34,2,FALSE)))</f>
        <v>0</v>
      </c>
      <c r="N135" s="19">
        <f>MAX(IF(ISNA(VLOOKUP(B135,'NÖBV 3'!$B$3:$C$34,2,FALSE))=TRUE,0,VLOOKUP(B135,'NÖBV 3'!$B$3:$C$34,2,FALSE)),IF(ISNA(VLOOKUP(B135,'NÖBV 3'!$F$3:$G$34,2,FALSE))=TRUE,0,VLOOKUP(B135,'NÖBV 3'!$F$3:$G$34,2,FALSE)),IF(ISNA(VLOOKUP(B135,'NÖBV 3'!$J$3:$K$34,2,FALSE))=TRUE,0,VLOOKUP(B135,'NÖBV 3'!$J$3:$K$34,2,FALSE)),IF(ISNA(VLOOKUP(B135,'NÖBV 3'!$N$3:$O$34,2,FALSE))=TRUE,0,VLOOKUP(B135,'NÖBV 3'!$N$3:$O$34,2,FALSE)))</f>
        <v>0</v>
      </c>
      <c r="O135" s="15">
        <f>MAX(IF(ISNA(VLOOKUP(B135,'Regioturnier 1'!$B$3:$C$34,2,FALSE))=TRUE,0,VLOOKUP(B135,'Regioturnier 1'!$B$3:$C$34,2,FALSE)),IF(ISNA(VLOOKUP(B135,'Regioturnier 1'!$F$3:$G$34,2,FALSE))=TRUE,0,VLOOKUP(B135,'Regioturnier 1'!$F$3:$G$34,2,FALSE)),IF(ISNA(VLOOKUP(B135,'Regioturnier 1'!$J$3:$K$34,2,FALSE))=TRUE,0,VLOOKUP(B135,'Regioturnier 1'!$J$3:$K$34,2,FALSE)),IF(ISNA(VLOOKUP(B135,'Regioturnier 1'!$N$3:$O$34,2,FALSE))=TRUE,0,VLOOKUP(B135,'Regioturnier 1'!$N$3:$O$34,2,FALSE)),IF(ISNA(VLOOKUP(B135,'Regioturnier 1'!$R$3:$S$34,2,FALSE))=TRUE,0,VLOOKUP(B135,'Regioturnier 1'!$R$3:$S$34,2,FALSE)), IF(ISNA(VLOOKUP(B135,'Regioturnier 1'!$V$3:$W$34,2,FALSE))=TRUE,0,VLOOKUP(B135,'Regioturnier 1'!$V$3:$W$34,2,FALSE)), IF(ISNA(VLOOKUP(B135,'Regioturnier 1'!$Z$3:$AA$34,2,FALSE))=TRUE,0,VLOOKUP(B135,'Regioturnier 1'!$Z$3:$AA$34,2,FALSE)))</f>
        <v>0</v>
      </c>
      <c r="P135" s="15">
        <f>MAX(IF(ISNA(VLOOKUP(B135,'Regioturnier 2'!$B$3:$C$34,2,FALSE))=TRUE,0,VLOOKUP(B135,'Regioturnier 2'!$B$3:$C$34,2,FALSE)),IF(ISNA(VLOOKUP(B135,'Regioturnier 2'!$F$3:$G$34,2,FALSE))=TRUE,0,VLOOKUP(B135,'Regioturnier 2'!$F$3:$G$34,2,FALSE)),IF(ISNA(VLOOKUP(B135,'Regioturnier 2'!$J$3:$K$34,2,FALSE))=TRUE,0,VLOOKUP(B135,'Regioturnier 2'!$J$3:$K$34,2,FALSE)),IF(ISNA(VLOOKUP(B135,'Regioturnier 2'!$N$3:$O$34,2,FALSE))=TRUE,0,VLOOKUP(B135,'Regioturnier 2'!$N$3:$O$34,2,FALSE)),IF(ISNA(VLOOKUP(B135,'Regioturnier 2'!$R$3:$S$34,2,FALSE))=TRUE,0,VLOOKUP(B135,'Regioturnier 2'!$R$3:$S$34,2,FALSE)), IF(ISNA(VLOOKUP(B135,'Regioturnier 2'!$V$3:$W$34,2,FALSE))=TRUE,0,VLOOKUP(B135,'Regioturnier 2'!$V$3:$W$34,2,FALSE)), IF(ISNA(VLOOKUP(B135,'Regioturnier 2'!$Z$3:$AA$34,2,FALSE))=TRUE,0,VLOOKUP(B135,'Regioturnier 2'!$Z$3:$AA$34,2,FALSE)))</f>
        <v>0</v>
      </c>
      <c r="Q135" s="15">
        <f>MAX(IF(ISNA(VLOOKUP(B135,'Regioturnier 3'!$B$3:$C$34,2,FALSE))=TRUE,0,VLOOKUP(B135,'Regioturnier 3'!$B$3:$C$34,2,FALSE)),IF(ISNA(VLOOKUP(B135,'Regioturnier 3'!$F$3:$G$34,2,FALSE))=TRUE,0,VLOOKUP(B135,'Regioturnier 3'!$F$3:$G$34,2,FALSE)),IF(ISNA(VLOOKUP(B135,'Regioturnier 3'!$J$3:$K$34,2,FALSE))=TRUE,0,VLOOKUP(B135,'Regioturnier 3'!$J$3:$K$34,2,FALSE)),IF(ISNA(VLOOKUP(B135,'Regioturnier 3'!$N$3:$O$34,2,FALSE))=TRUE,0,VLOOKUP(B135,'Regioturnier 3'!$N$3:$O$34,2,FALSE)),IF(ISNA(VLOOKUP(B135,'Regioturnier 3'!$R$3:$S$34,2,FALSE))=TRUE,0,VLOOKUP(B135,'Regioturnier 3'!$R$3:$S$34,2,FALSE)), IF(ISNA(VLOOKUP(B135,'Regioturnier 3'!$V$3:$W$34,2,FALSE))=TRUE,0,VLOOKUP(B135,'Regioturnier 3'!$V$3:$W$34,2,FALSE)), IF(ISNA(VLOOKUP(B135,'Regioturnier 3'!$Z$3:$AA$34,2,FALSE))=TRUE,0,VLOOKUP(B135,'Regioturnier 3'!$Z$3:$AA$34,2,FALSE)))</f>
        <v>0</v>
      </c>
      <c r="R135" s="20">
        <f>0.5*INDEX($H135:$N135,MATCH(LARGE($H135:$N135,1),$H135:$N135,0))+0.3*INDEX($H135:$N135,MATCH(LARGE($H135:$N135,2),$H135:$N135,0))+0.2*INDEX($H135:$N135,MATCH(LARGE($H135:$N135,3),$H135:$N135,0))</f>
        <v>81</v>
      </c>
      <c r="S135" s="20">
        <f>0.6*INDEX(O135:Q135,MATCH(LARGE(O135:Q135,1),O135:Q135,0))+0.4*INDEX(O135:Q135,MATCH(LARGE(O135:Q135,2),O135:Q135,0))+0*INDEX(O135:Q135,MATCH(LARGE(O135:Q135,3),O135:Q135,0))</f>
        <v>0</v>
      </c>
      <c r="T135" s="15">
        <f>1*INDEX(R135:S135,MATCH(LARGE(R135:S135,1),R135:S135,0))+0*INDEX(R135:S135,MATCH(LARGE(R135:S135,2),R135:S135,0))</f>
        <v>81</v>
      </c>
      <c r="U135" s="21"/>
      <c r="V135" s="21"/>
      <c r="W135" s="21"/>
      <c r="X135" s="21"/>
      <c r="Y135" s="21"/>
      <c r="Z135" s="21"/>
    </row>
    <row r="136" spans="1:26" ht="12.75" customHeight="1" x14ac:dyDescent="0.3">
      <c r="A136" s="15">
        <v>135</v>
      </c>
      <c r="B136" s="16" t="s">
        <v>126</v>
      </c>
      <c r="C136" s="17" t="s">
        <v>97</v>
      </c>
      <c r="D136" s="15" t="s">
        <v>102</v>
      </c>
      <c r="E136" s="18" t="s">
        <v>40</v>
      </c>
      <c r="F136" s="15" t="s">
        <v>127</v>
      </c>
      <c r="G136" s="22">
        <v>2015</v>
      </c>
      <c r="H136" s="15">
        <f>MAX(IF(ISNA(VLOOKUP(B136,'WBV 1'!$B$3:$C$34,2,FALSE))=TRUE,0,VLOOKUP(B136,'WBV 1'!$B$3:$C$34,2,FALSE)),IF(ISNA(VLOOKUP(B136,'WBV 1'!$F$3:$G$34,2,FALSE))=TRUE,0,VLOOKUP(B136,'WBV 1'!$F$3:$G$34,2,FALSE)),IF(ISNA(VLOOKUP(B136,'WBV 1'!$J$3:$K$34,2,FALSE))=TRUE,0,VLOOKUP(B136,'WBV 1'!$J$3:$K$34,2,FALSE)),IF(ISNA(VLOOKUP(B136,'WBV 1'!$N$3:$O$34,2,FALSE))=TRUE,0,VLOOKUP(B136,'WBV 1'!$N$3:$O$34,2,FALSE)))</f>
        <v>0</v>
      </c>
      <c r="I136" s="15">
        <f>MAX(IF(ISNA(VLOOKUP(B136,'WBV 2'!$B$3:$C$34,2,FALSE))=TRUE,0,VLOOKUP(B136,'WBV 2'!$B$3:$C$34,2,FALSE)),IF(ISNA(VLOOKUP(B136,'WBV 2'!$F$3:$G$34,2,FALSE))=TRUE,0,VLOOKUP(B136,'WBV 2'!$F$3:$G$34,2,FALSE)),IF(ISNA(VLOOKUP(B136,'WBV 2'!$J$3:$K$34,2,FALSE))=TRUE,0,VLOOKUP(B136,'WBV 2'!$J$3:$K$34,2,FALSE)),IF(ISNA(VLOOKUP(B136,'WBV 2'!$N$3:$O$34,2,FALSE))=TRUE,0,VLOOKUP(B136,'WBV 2'!$N$3:$O$34,2,FALSE)))</f>
        <v>0</v>
      </c>
      <c r="J136" s="15">
        <f>MAX(IF(ISNA(VLOOKUP(B136,'WBV 3'!$B$3:$C$34,2,FALSE))=TRUE,0,VLOOKUP(B136,'WBV 3'!$B$3:$C$34,2,FALSE)),IF(ISNA(VLOOKUP(B136,'WBV 3'!$F$3:$G$34,2,FALSE))=TRUE,0,VLOOKUP(B136,'WBV 3'!$F$3:$G$34,2,FALSE)),IF(ISNA(VLOOKUP(B136,'WBV 3'!$J$3:$K$34,2,FALSE))=TRUE,0,VLOOKUP(B136,'WBV 3'!$J$3:$K$34,2,FALSE)),IF(ISNA(VLOOKUP(B136,'WBV 3'!$N$3:$O$34,2,FALSE))=TRUE,0,VLOOKUP(B136,'WBV 3'!$N$3:$O$34,2,FALSE)))</f>
        <v>0</v>
      </c>
      <c r="K136" s="15">
        <f>MAX(IF(ISNA(VLOOKUP(B136,'WBV 4'!$B$3:$C$34,2,FALSE))=TRUE,0,VLOOKUP(B136,'WBV 4'!$B$3:$C$34,2,FALSE)),IF(ISNA(VLOOKUP(B136,'WBV 4'!$F$3:$G$34,2,FALSE))=TRUE,0,VLOOKUP(B136,'WBV 4'!$F$3:$G$34,2,FALSE)),IF(ISNA(VLOOKUP(B136,'WBV 4'!$J$3:$K$34,2,FALSE))=TRUE,0,VLOOKUP(B136,'WBV 4'!$J$3:$K$34,2,FALSE)),IF(ISNA(VLOOKUP(B136,'WBV 4'!$N$3:$O$34,2,FALSE))=TRUE,0,VLOOKUP(B136,'WBV 4'!$N$3:$O$34,2,FALSE)))</f>
        <v>0</v>
      </c>
      <c r="L136" s="19">
        <f>MAX(IF(ISNA(VLOOKUP(B136,'NÖBV 1'!$B$3:$C$34,2,FALSE))=TRUE,0,VLOOKUP(B136,'NÖBV 1'!$B$3:$C$34,2,FALSE)),IF(ISNA(VLOOKUP(B136,'NÖBV 1'!$F$3:$G$34,2,FALSE))=TRUE,0,VLOOKUP(B136,'NÖBV 1'!$F$3:$G$34,2,FALSE)),IF(ISNA(VLOOKUP(B136,'NÖBV 1'!$J$3:$K$34,2,FALSE))=TRUE,0,VLOOKUP(B136,'NÖBV 1'!$J$3:$K$34,2,FALSE)),IF(ISNA(VLOOKUP(B136,'NÖBV 1'!$N$3:$O$34,2,FALSE))=TRUE,0,VLOOKUP(B136,'NÖBV 1'!$N$3:$O$34,2,FALSE)))</f>
        <v>0</v>
      </c>
      <c r="M136" s="19">
        <f>MAX(IF(ISNA(VLOOKUP(B136,'NÖBV 2'!$B$3:$C$34,2,FALSE))=TRUE,0,VLOOKUP(B136,'NÖBV 2'!$B$3:$C$34,2,FALSE)),IF(ISNA(VLOOKUP(B136,'NÖBV 2'!$F$3:$G$34,2,FALSE))=TRUE,0,VLOOKUP(B136,'NÖBV 2'!$F$3:$G$34,2,FALSE)),IF(ISNA(VLOOKUP(B136,'NÖBV 2'!$J$3:$K$34,2,FALSE))=TRUE,0,VLOOKUP(B136,'NÖBV 2'!$J$3:$K$34,2,FALSE)),IF(ISNA(VLOOKUP(B136,'NÖBV 2'!$N$3:$O$34,2,FALSE))=TRUE,0,VLOOKUP(B136,'NÖBV 2'!$N$3:$O$34,2,FALSE)))</f>
        <v>162</v>
      </c>
      <c r="N136" s="19">
        <f>MAX(IF(ISNA(VLOOKUP(B136,'NÖBV 3'!$B$3:$C$34,2,FALSE))=TRUE,0,VLOOKUP(B136,'NÖBV 3'!$B$3:$C$34,2,FALSE)),IF(ISNA(VLOOKUP(B136,'NÖBV 3'!$F$3:$G$34,2,FALSE))=TRUE,0,VLOOKUP(B136,'NÖBV 3'!$F$3:$G$34,2,FALSE)),IF(ISNA(VLOOKUP(B136,'NÖBV 3'!$J$3:$K$34,2,FALSE))=TRUE,0,VLOOKUP(B136,'NÖBV 3'!$J$3:$K$34,2,FALSE)),IF(ISNA(VLOOKUP(B136,'NÖBV 3'!$N$3:$O$34,2,FALSE))=TRUE,0,VLOOKUP(B136,'NÖBV 3'!$N$3:$O$34,2,FALSE)))</f>
        <v>0</v>
      </c>
      <c r="O136" s="15">
        <f>MAX(IF(ISNA(VLOOKUP(B136,'Regioturnier 1'!$B$3:$C$34,2,FALSE))=TRUE,0,VLOOKUP(B136,'Regioturnier 1'!$B$3:$C$34,2,FALSE)),IF(ISNA(VLOOKUP(B136,'Regioturnier 1'!$F$3:$G$34,2,FALSE))=TRUE,0,VLOOKUP(B136,'Regioturnier 1'!$F$3:$G$34,2,FALSE)),IF(ISNA(VLOOKUP(B136,'Regioturnier 1'!$J$3:$K$34,2,FALSE))=TRUE,0,VLOOKUP(B136,'Regioturnier 1'!$J$3:$K$34,2,FALSE)),IF(ISNA(VLOOKUP(B136,'Regioturnier 1'!$N$3:$O$34,2,FALSE))=TRUE,0,VLOOKUP(B136,'Regioturnier 1'!$N$3:$O$34,2,FALSE)),IF(ISNA(VLOOKUP(B136,'Regioturnier 1'!$R$3:$S$34,2,FALSE))=TRUE,0,VLOOKUP(B136,'Regioturnier 1'!$R$3:$S$34,2,FALSE)), IF(ISNA(VLOOKUP(B136,'Regioturnier 1'!$V$3:$W$34,2,FALSE))=TRUE,0,VLOOKUP(B136,'Regioturnier 1'!$V$3:$W$34,2,FALSE)), IF(ISNA(VLOOKUP(B136,'Regioturnier 1'!$Z$3:$AA$34,2,FALSE))=TRUE,0,VLOOKUP(B136,'Regioturnier 1'!$Z$3:$AA$34,2,FALSE)))</f>
        <v>0</v>
      </c>
      <c r="P136" s="15">
        <f>MAX(IF(ISNA(VLOOKUP(B136,'Regioturnier 2'!$B$3:$C$34,2,FALSE))=TRUE,0,VLOOKUP(B136,'Regioturnier 2'!$B$3:$C$34,2,FALSE)),IF(ISNA(VLOOKUP(B136,'Regioturnier 2'!$F$3:$G$34,2,FALSE))=TRUE,0,VLOOKUP(B136,'Regioturnier 2'!$F$3:$G$34,2,FALSE)),IF(ISNA(VLOOKUP(B136,'Regioturnier 2'!$J$3:$K$34,2,FALSE))=TRUE,0,VLOOKUP(B136,'Regioturnier 2'!$J$3:$K$34,2,FALSE)),IF(ISNA(VLOOKUP(B136,'Regioturnier 2'!$N$3:$O$34,2,FALSE))=TRUE,0,VLOOKUP(B136,'Regioturnier 2'!$N$3:$O$34,2,FALSE)),IF(ISNA(VLOOKUP(B136,'Regioturnier 2'!$R$3:$S$34,2,FALSE))=TRUE,0,VLOOKUP(B136,'Regioturnier 2'!$R$3:$S$34,2,FALSE)), IF(ISNA(VLOOKUP(B136,'Regioturnier 2'!$V$3:$W$34,2,FALSE))=TRUE,0,VLOOKUP(B136,'Regioturnier 2'!$V$3:$W$34,2,FALSE)), IF(ISNA(VLOOKUP(B136,'Regioturnier 2'!$Z$3:$AA$34,2,FALSE))=TRUE,0,VLOOKUP(B136,'Regioturnier 2'!$Z$3:$AA$34,2,FALSE)))</f>
        <v>0</v>
      </c>
      <c r="Q136" s="15">
        <f>MAX(IF(ISNA(VLOOKUP(B136,'Regioturnier 3'!$B$3:$C$34,2,FALSE))=TRUE,0,VLOOKUP(B136,'Regioturnier 3'!$B$3:$C$34,2,FALSE)),IF(ISNA(VLOOKUP(B136,'Regioturnier 3'!$F$3:$G$34,2,FALSE))=TRUE,0,VLOOKUP(B136,'Regioturnier 3'!$F$3:$G$34,2,FALSE)),IF(ISNA(VLOOKUP(B136,'Regioturnier 3'!$J$3:$K$34,2,FALSE))=TRUE,0,VLOOKUP(B136,'Regioturnier 3'!$J$3:$K$34,2,FALSE)),IF(ISNA(VLOOKUP(B136,'Regioturnier 3'!$N$3:$O$34,2,FALSE))=TRUE,0,VLOOKUP(B136,'Regioturnier 3'!$N$3:$O$34,2,FALSE)),IF(ISNA(VLOOKUP(B136,'Regioturnier 3'!$R$3:$S$34,2,FALSE))=TRUE,0,VLOOKUP(B136,'Regioturnier 3'!$R$3:$S$34,2,FALSE)), IF(ISNA(VLOOKUP(B136,'Regioturnier 3'!$V$3:$W$34,2,FALSE))=TRUE,0,VLOOKUP(B136,'Regioturnier 3'!$V$3:$W$34,2,FALSE)), IF(ISNA(VLOOKUP(B136,'Regioturnier 3'!$Z$3:$AA$34,2,FALSE))=TRUE,0,VLOOKUP(B136,'Regioturnier 3'!$Z$3:$AA$34,2,FALSE)))</f>
        <v>0</v>
      </c>
      <c r="R136" s="20">
        <f>0.5*INDEX($H136:$N136,MATCH(LARGE($H136:$N136,1),$H136:$N136,0))+0.3*INDEX($H136:$N136,MATCH(LARGE($H136:$N136,2),$H136:$N136,0))+0.2*INDEX($H136:$N136,MATCH(LARGE($H136:$N136,3),$H136:$N136,0))</f>
        <v>81</v>
      </c>
      <c r="S136" s="20">
        <f>0.6*INDEX(O136:Q136,MATCH(LARGE(O136:Q136,1),O136:Q136,0))+0.4*INDEX(O136:Q136,MATCH(LARGE(O136:Q136,2),O136:Q136,0))+0*INDEX(O136:Q136,MATCH(LARGE(O136:Q136,3),O136:Q136,0))</f>
        <v>0</v>
      </c>
      <c r="T136" s="15">
        <f>1*INDEX(R136:S136,MATCH(LARGE(R136:S136,1),R136:S136,0))+0*INDEX(R136:S136,MATCH(LARGE(R136:S136,2),R136:S136,0))</f>
        <v>81</v>
      </c>
      <c r="U136" s="21"/>
      <c r="V136" s="21"/>
      <c r="W136" s="21"/>
      <c r="X136" s="21"/>
      <c r="Y136" s="21"/>
      <c r="Z136" s="21"/>
    </row>
    <row r="137" spans="1:26" ht="12.75" customHeight="1" x14ac:dyDescent="0.3">
      <c r="A137" s="15">
        <v>136</v>
      </c>
      <c r="B137" s="16" t="s">
        <v>306</v>
      </c>
      <c r="C137" s="17" t="s">
        <v>25</v>
      </c>
      <c r="D137" s="15" t="s">
        <v>26</v>
      </c>
      <c r="E137" s="18" t="s">
        <v>23</v>
      </c>
      <c r="F137" s="15">
        <v>112181</v>
      </c>
      <c r="G137" s="22"/>
      <c r="H137" s="15">
        <f>MAX(IF(ISNA(VLOOKUP(B137,'WBV 1'!$B$3:$C$34,2,FALSE))=TRUE,0,VLOOKUP(B137,'WBV 1'!$B$3:$C$34,2,FALSE)),IF(ISNA(VLOOKUP(B137,'WBV 1'!$F$3:$G$34,2,FALSE))=TRUE,0,VLOOKUP(B137,'WBV 1'!$F$3:$G$34,2,FALSE)),IF(ISNA(VLOOKUP(B137,'WBV 1'!$J$3:$K$34,2,FALSE))=TRUE,0,VLOOKUP(B137,'WBV 1'!$J$3:$K$34,2,FALSE)),IF(ISNA(VLOOKUP(B137,'WBV 1'!$N$3:$O$34,2,FALSE))=TRUE,0,VLOOKUP(B137,'WBV 1'!$N$3:$O$34,2,FALSE)))</f>
        <v>161</v>
      </c>
      <c r="I137" s="15">
        <f>MAX(IF(ISNA(VLOOKUP(B137,'WBV 2'!$B$3:$C$34,2,FALSE))=TRUE,0,VLOOKUP(B137,'WBV 2'!$B$3:$C$34,2,FALSE)),IF(ISNA(VLOOKUP(B137,'WBV 2'!$F$3:$G$34,2,FALSE))=TRUE,0,VLOOKUP(B137,'WBV 2'!$F$3:$G$34,2,FALSE)),IF(ISNA(VLOOKUP(B137,'WBV 2'!$J$3:$K$34,2,FALSE))=TRUE,0,VLOOKUP(B137,'WBV 2'!$J$3:$K$34,2,FALSE)),IF(ISNA(VLOOKUP(B137,'WBV 2'!$N$3:$O$34,2,FALSE))=TRUE,0,VLOOKUP(B137,'WBV 2'!$N$3:$O$34,2,FALSE)))</f>
        <v>0</v>
      </c>
      <c r="J137" s="15">
        <f>MAX(IF(ISNA(VLOOKUP(B137,'WBV 3'!$B$3:$C$34,2,FALSE))=TRUE,0,VLOOKUP(B137,'WBV 3'!$B$3:$C$34,2,FALSE)),IF(ISNA(VLOOKUP(B137,'WBV 3'!$F$3:$G$34,2,FALSE))=TRUE,0,VLOOKUP(B137,'WBV 3'!$F$3:$G$34,2,FALSE)),IF(ISNA(VLOOKUP(B137,'WBV 3'!$J$3:$K$34,2,FALSE))=TRUE,0,VLOOKUP(B137,'WBV 3'!$J$3:$K$34,2,FALSE)),IF(ISNA(VLOOKUP(B137,'WBV 3'!$N$3:$O$34,2,FALSE))=TRUE,0,VLOOKUP(B137,'WBV 3'!$N$3:$O$34,2,FALSE)))</f>
        <v>0</v>
      </c>
      <c r="K137" s="15">
        <f>MAX(IF(ISNA(VLOOKUP(B137,'WBV 4'!$B$3:$C$34,2,FALSE))=TRUE,0,VLOOKUP(B137,'WBV 4'!$B$3:$C$34,2,FALSE)),IF(ISNA(VLOOKUP(B137,'WBV 4'!$F$3:$G$34,2,FALSE))=TRUE,0,VLOOKUP(B137,'WBV 4'!$F$3:$G$34,2,FALSE)),IF(ISNA(VLOOKUP(B137,'WBV 4'!$J$3:$K$34,2,FALSE))=TRUE,0,VLOOKUP(B137,'WBV 4'!$J$3:$K$34,2,FALSE)),IF(ISNA(VLOOKUP(B137,'WBV 4'!$N$3:$O$34,2,FALSE))=TRUE,0,VLOOKUP(B137,'WBV 4'!$N$3:$O$34,2,FALSE)))</f>
        <v>0</v>
      </c>
      <c r="L137" s="19">
        <f>MAX(IF(ISNA(VLOOKUP(B137,'NÖBV 1'!$B$3:$C$34,2,FALSE))=TRUE,0,VLOOKUP(B137,'NÖBV 1'!$B$3:$C$34,2,FALSE)),IF(ISNA(VLOOKUP(B137,'NÖBV 1'!$F$3:$G$34,2,FALSE))=TRUE,0,VLOOKUP(B137,'NÖBV 1'!$F$3:$G$34,2,FALSE)),IF(ISNA(VLOOKUP(B137,'NÖBV 1'!$J$3:$K$34,2,FALSE))=TRUE,0,VLOOKUP(B137,'NÖBV 1'!$J$3:$K$34,2,FALSE)),IF(ISNA(VLOOKUP(B137,'NÖBV 1'!$N$3:$O$34,2,FALSE))=TRUE,0,VLOOKUP(B137,'NÖBV 1'!$N$3:$O$34,2,FALSE)))</f>
        <v>0</v>
      </c>
      <c r="M137" s="19">
        <f>MAX(IF(ISNA(VLOOKUP(B137,'NÖBV 2'!$B$3:$C$34,2,FALSE))=TRUE,0,VLOOKUP(B137,'NÖBV 2'!$B$3:$C$34,2,FALSE)),IF(ISNA(VLOOKUP(B137,'NÖBV 2'!$F$3:$G$34,2,FALSE))=TRUE,0,VLOOKUP(B137,'NÖBV 2'!$F$3:$G$34,2,FALSE)),IF(ISNA(VLOOKUP(B137,'NÖBV 2'!$J$3:$K$34,2,FALSE))=TRUE,0,VLOOKUP(B137,'NÖBV 2'!$J$3:$K$34,2,FALSE)),IF(ISNA(VLOOKUP(B137,'NÖBV 2'!$N$3:$O$34,2,FALSE))=TRUE,0,VLOOKUP(B137,'NÖBV 2'!$N$3:$O$34,2,FALSE)))</f>
        <v>0</v>
      </c>
      <c r="N137" s="19">
        <f>MAX(IF(ISNA(VLOOKUP(B137,'NÖBV 3'!$B$3:$C$34,2,FALSE))=TRUE,0,VLOOKUP(B137,'NÖBV 3'!$B$3:$C$34,2,FALSE)),IF(ISNA(VLOOKUP(B137,'NÖBV 3'!$F$3:$G$34,2,FALSE))=TRUE,0,VLOOKUP(B137,'NÖBV 3'!$F$3:$G$34,2,FALSE)),IF(ISNA(VLOOKUP(B137,'NÖBV 3'!$J$3:$K$34,2,FALSE))=TRUE,0,VLOOKUP(B137,'NÖBV 3'!$J$3:$K$34,2,FALSE)),IF(ISNA(VLOOKUP(B137,'NÖBV 3'!$N$3:$O$34,2,FALSE))=TRUE,0,VLOOKUP(B137,'NÖBV 3'!$N$3:$O$34,2,FALSE)))</f>
        <v>0</v>
      </c>
      <c r="O137" s="15">
        <f>MAX(IF(ISNA(VLOOKUP(B137,'Regioturnier 1'!$B$3:$C$34,2,FALSE))=TRUE,0,VLOOKUP(B137,'Regioturnier 1'!$B$3:$C$34,2,FALSE)),IF(ISNA(VLOOKUP(B137,'Regioturnier 1'!$F$3:$G$34,2,FALSE))=TRUE,0,VLOOKUP(B137,'Regioturnier 1'!$F$3:$G$34,2,FALSE)),IF(ISNA(VLOOKUP(B137,'Regioturnier 1'!$J$3:$K$34,2,FALSE))=TRUE,0,VLOOKUP(B137,'Regioturnier 1'!$J$3:$K$34,2,FALSE)),IF(ISNA(VLOOKUP(B137,'Regioturnier 1'!$N$3:$O$34,2,FALSE))=TRUE,0,VLOOKUP(B137,'Regioturnier 1'!$N$3:$O$34,2,FALSE)),IF(ISNA(VLOOKUP(B137,'Regioturnier 1'!$R$3:$S$34,2,FALSE))=TRUE,0,VLOOKUP(B137,'Regioturnier 1'!$R$3:$S$34,2,FALSE)), IF(ISNA(VLOOKUP(B137,'Regioturnier 1'!$V$3:$W$34,2,FALSE))=TRUE,0,VLOOKUP(B137,'Regioturnier 1'!$V$3:$W$34,2,FALSE)), IF(ISNA(VLOOKUP(B137,'Regioturnier 1'!$Z$3:$AA$34,2,FALSE))=TRUE,0,VLOOKUP(B137,'Regioturnier 1'!$Z$3:$AA$34,2,FALSE)))</f>
        <v>0</v>
      </c>
      <c r="P137" s="15">
        <f>MAX(IF(ISNA(VLOOKUP(B137,'Regioturnier 2'!$B$3:$C$34,2,FALSE))=TRUE,0,VLOOKUP(B137,'Regioturnier 2'!$B$3:$C$34,2,FALSE)),IF(ISNA(VLOOKUP(B137,'Regioturnier 2'!$F$3:$G$34,2,FALSE))=TRUE,0,VLOOKUP(B137,'Regioturnier 2'!$F$3:$G$34,2,FALSE)),IF(ISNA(VLOOKUP(B137,'Regioturnier 2'!$J$3:$K$34,2,FALSE))=TRUE,0,VLOOKUP(B137,'Regioturnier 2'!$J$3:$K$34,2,FALSE)),IF(ISNA(VLOOKUP(B137,'Regioturnier 2'!$N$3:$O$34,2,FALSE))=TRUE,0,VLOOKUP(B137,'Regioturnier 2'!$N$3:$O$34,2,FALSE)),IF(ISNA(VLOOKUP(B137,'Regioturnier 2'!$R$3:$S$34,2,FALSE))=TRUE,0,VLOOKUP(B137,'Regioturnier 2'!$R$3:$S$34,2,FALSE)), IF(ISNA(VLOOKUP(B137,'Regioturnier 2'!$V$3:$W$34,2,FALSE))=TRUE,0,VLOOKUP(B137,'Regioturnier 2'!$V$3:$W$34,2,FALSE)), IF(ISNA(VLOOKUP(B137,'Regioturnier 2'!$Z$3:$AA$34,2,FALSE))=TRUE,0,VLOOKUP(B137,'Regioturnier 2'!$Z$3:$AA$34,2,FALSE)))</f>
        <v>0</v>
      </c>
      <c r="Q137" s="15">
        <f>MAX(IF(ISNA(VLOOKUP(B137,'Regioturnier 3'!$B$3:$C$34,2,FALSE))=TRUE,0,VLOOKUP(B137,'Regioturnier 3'!$B$3:$C$34,2,FALSE)),IF(ISNA(VLOOKUP(B137,'Regioturnier 3'!$F$3:$G$34,2,FALSE))=TRUE,0,VLOOKUP(B137,'Regioturnier 3'!$F$3:$G$34,2,FALSE)),IF(ISNA(VLOOKUP(B137,'Regioturnier 3'!$J$3:$K$34,2,FALSE))=TRUE,0,VLOOKUP(B137,'Regioturnier 3'!$J$3:$K$34,2,FALSE)),IF(ISNA(VLOOKUP(B137,'Regioturnier 3'!$N$3:$O$34,2,FALSE))=TRUE,0,VLOOKUP(B137,'Regioturnier 3'!$N$3:$O$34,2,FALSE)),IF(ISNA(VLOOKUP(B137,'Regioturnier 3'!$R$3:$S$34,2,FALSE))=TRUE,0,VLOOKUP(B137,'Regioturnier 3'!$R$3:$S$34,2,FALSE)), IF(ISNA(VLOOKUP(B137,'Regioturnier 3'!$V$3:$W$34,2,FALSE))=TRUE,0,VLOOKUP(B137,'Regioturnier 3'!$V$3:$W$34,2,FALSE)), IF(ISNA(VLOOKUP(B137,'Regioturnier 3'!$Z$3:$AA$34,2,FALSE))=TRUE,0,VLOOKUP(B137,'Regioturnier 3'!$Z$3:$AA$34,2,FALSE)))</f>
        <v>0</v>
      </c>
      <c r="R137" s="20">
        <f>0.5*INDEX($H137:$N137,MATCH(LARGE($H137:$N137,1),$H137:$N137,0))+0.3*INDEX($H137:$N137,MATCH(LARGE($H137:$N137,2),$H137:$N137,0))+0.2*INDEX($H137:$N137,MATCH(LARGE($H137:$N137,3),$H137:$N137,0))</f>
        <v>80.5</v>
      </c>
      <c r="S137" s="20">
        <f>0.6*INDEX(O137:Q137,MATCH(LARGE(O137:Q137,1),O137:Q137,0))+0.4*INDEX(O137:Q137,MATCH(LARGE(O137:Q137,2),O137:Q137,0))+0*INDEX(O137:Q137,MATCH(LARGE(O137:Q137,3),O137:Q137,0))</f>
        <v>0</v>
      </c>
      <c r="T137" s="15">
        <f>1*INDEX(R137:S137,MATCH(LARGE(R137:S137,1),R137:S137,0))+0*INDEX(R137:S137,MATCH(LARGE(R137:S137,2),R137:S137,0))</f>
        <v>80.5</v>
      </c>
      <c r="U137" s="21"/>
      <c r="V137" s="21"/>
      <c r="W137" s="21"/>
      <c r="X137" s="21"/>
      <c r="Y137" s="21"/>
      <c r="Z137" s="21"/>
    </row>
    <row r="138" spans="1:26" ht="12.75" customHeight="1" x14ac:dyDescent="0.3">
      <c r="A138" s="15">
        <v>137</v>
      </c>
      <c r="B138" s="16" t="s">
        <v>230</v>
      </c>
      <c r="C138" s="17" t="s">
        <v>181</v>
      </c>
      <c r="D138" s="15" t="s">
        <v>22</v>
      </c>
      <c r="E138" s="18" t="s">
        <v>40</v>
      </c>
      <c r="F138" s="15" t="s">
        <v>231</v>
      </c>
      <c r="G138" s="22">
        <v>2012</v>
      </c>
      <c r="H138" s="15">
        <f>MAX(IF(ISNA(VLOOKUP(B138,'WBV 1'!$B$3:$C$34,2,FALSE))=TRUE,0,VLOOKUP(B138,'WBV 1'!$B$3:$C$34,2,FALSE)),IF(ISNA(VLOOKUP(B138,'WBV 1'!$F$3:$G$34,2,FALSE))=TRUE,0,VLOOKUP(B138,'WBV 1'!$F$3:$G$34,2,FALSE)),IF(ISNA(VLOOKUP(B138,'WBV 1'!$J$3:$K$34,2,FALSE))=TRUE,0,VLOOKUP(B138,'WBV 1'!$J$3:$K$34,2,FALSE)),IF(ISNA(VLOOKUP(B138,'WBV 1'!$N$3:$O$34,2,FALSE))=TRUE,0,VLOOKUP(B138,'WBV 1'!$N$3:$O$34,2,FALSE)))</f>
        <v>0</v>
      </c>
      <c r="I138" s="15">
        <f>MAX(IF(ISNA(VLOOKUP(B138,'WBV 2'!$B$3:$C$34,2,FALSE))=TRUE,0,VLOOKUP(B138,'WBV 2'!$B$3:$C$34,2,FALSE)),IF(ISNA(VLOOKUP(B138,'WBV 2'!$F$3:$G$34,2,FALSE))=TRUE,0,VLOOKUP(B138,'WBV 2'!$F$3:$G$34,2,FALSE)),IF(ISNA(VLOOKUP(B138,'WBV 2'!$J$3:$K$34,2,FALSE))=TRUE,0,VLOOKUP(B138,'WBV 2'!$J$3:$K$34,2,FALSE)),IF(ISNA(VLOOKUP(B138,'WBV 2'!$N$3:$O$34,2,FALSE))=TRUE,0,VLOOKUP(B138,'WBV 2'!$N$3:$O$34,2,FALSE)))</f>
        <v>0</v>
      </c>
      <c r="J138" s="15">
        <f>MAX(IF(ISNA(VLOOKUP(B138,'WBV 3'!$B$3:$C$34,2,FALSE))=TRUE,0,VLOOKUP(B138,'WBV 3'!$B$3:$C$34,2,FALSE)),IF(ISNA(VLOOKUP(B138,'WBV 3'!$F$3:$G$34,2,FALSE))=TRUE,0,VLOOKUP(B138,'WBV 3'!$F$3:$G$34,2,FALSE)),IF(ISNA(VLOOKUP(B138,'WBV 3'!$J$3:$K$34,2,FALSE))=TRUE,0,VLOOKUP(B138,'WBV 3'!$J$3:$K$34,2,FALSE)),IF(ISNA(VLOOKUP(B138,'WBV 3'!$N$3:$O$34,2,FALSE))=TRUE,0,VLOOKUP(B138,'WBV 3'!$N$3:$O$34,2,FALSE)))</f>
        <v>0</v>
      </c>
      <c r="K138" s="15">
        <f>MAX(IF(ISNA(VLOOKUP(B138,'WBV 4'!$B$3:$C$34,2,FALSE))=TRUE,0,VLOOKUP(B138,'WBV 4'!$B$3:$C$34,2,FALSE)),IF(ISNA(VLOOKUP(B138,'WBV 4'!$F$3:$G$34,2,FALSE))=TRUE,0,VLOOKUP(B138,'WBV 4'!$F$3:$G$34,2,FALSE)),IF(ISNA(VLOOKUP(B138,'WBV 4'!$J$3:$K$34,2,FALSE))=TRUE,0,VLOOKUP(B138,'WBV 4'!$J$3:$K$34,2,FALSE)),IF(ISNA(VLOOKUP(B138,'WBV 4'!$N$3:$O$34,2,FALSE))=TRUE,0,VLOOKUP(B138,'WBV 4'!$N$3:$O$34,2,FALSE)))</f>
        <v>0</v>
      </c>
      <c r="L138" s="19">
        <f>MAX(IF(ISNA(VLOOKUP(B138,'NÖBV 1'!$B$3:$C$34,2,FALSE))=TRUE,0,VLOOKUP(B138,'NÖBV 1'!$B$3:$C$34,2,FALSE)),IF(ISNA(VLOOKUP(B138,'NÖBV 1'!$F$3:$G$34,2,FALSE))=TRUE,0,VLOOKUP(B138,'NÖBV 1'!$F$3:$G$34,2,FALSE)),IF(ISNA(VLOOKUP(B138,'NÖBV 1'!$J$3:$K$34,2,FALSE))=TRUE,0,VLOOKUP(B138,'NÖBV 1'!$J$3:$K$34,2,FALSE)),IF(ISNA(VLOOKUP(B138,'NÖBV 1'!$N$3:$O$34,2,FALSE))=TRUE,0,VLOOKUP(B138,'NÖBV 1'!$N$3:$O$34,2,FALSE)))</f>
        <v>0</v>
      </c>
      <c r="M138" s="19">
        <f>MAX(IF(ISNA(VLOOKUP(B138,'NÖBV 2'!$B$3:$C$34,2,FALSE))=TRUE,0,VLOOKUP(B138,'NÖBV 2'!$B$3:$C$34,2,FALSE)),IF(ISNA(VLOOKUP(B138,'NÖBV 2'!$F$3:$G$34,2,FALSE))=TRUE,0,VLOOKUP(B138,'NÖBV 2'!$F$3:$G$34,2,FALSE)),IF(ISNA(VLOOKUP(B138,'NÖBV 2'!$J$3:$K$34,2,FALSE))=TRUE,0,VLOOKUP(B138,'NÖBV 2'!$J$3:$K$34,2,FALSE)),IF(ISNA(VLOOKUP(B138,'NÖBV 2'!$N$3:$O$34,2,FALSE))=TRUE,0,VLOOKUP(B138,'NÖBV 2'!$N$3:$O$34,2,FALSE)))</f>
        <v>160</v>
      </c>
      <c r="N138" s="19">
        <f>MAX(IF(ISNA(VLOOKUP(B138,'NÖBV 3'!$B$3:$C$34,2,FALSE))=TRUE,0,VLOOKUP(B138,'NÖBV 3'!$B$3:$C$34,2,FALSE)),IF(ISNA(VLOOKUP(B138,'NÖBV 3'!$F$3:$G$34,2,FALSE))=TRUE,0,VLOOKUP(B138,'NÖBV 3'!$F$3:$G$34,2,FALSE)),IF(ISNA(VLOOKUP(B138,'NÖBV 3'!$J$3:$K$34,2,FALSE))=TRUE,0,VLOOKUP(B138,'NÖBV 3'!$J$3:$K$34,2,FALSE)),IF(ISNA(VLOOKUP(B138,'NÖBV 3'!$N$3:$O$34,2,FALSE))=TRUE,0,VLOOKUP(B138,'NÖBV 3'!$N$3:$O$34,2,FALSE)))</f>
        <v>0</v>
      </c>
      <c r="O138" s="15">
        <f>MAX(IF(ISNA(VLOOKUP(B138,'Regioturnier 1'!$B$3:$C$34,2,FALSE))=TRUE,0,VLOOKUP(B138,'Regioturnier 1'!$B$3:$C$34,2,FALSE)),IF(ISNA(VLOOKUP(B138,'Regioturnier 1'!$F$3:$G$34,2,FALSE))=TRUE,0,VLOOKUP(B138,'Regioturnier 1'!$F$3:$G$34,2,FALSE)),IF(ISNA(VLOOKUP(B138,'Regioturnier 1'!$J$3:$K$34,2,FALSE))=TRUE,0,VLOOKUP(B138,'Regioturnier 1'!$J$3:$K$34,2,FALSE)),IF(ISNA(VLOOKUP(B138,'Regioturnier 1'!$N$3:$O$34,2,FALSE))=TRUE,0,VLOOKUP(B138,'Regioturnier 1'!$N$3:$O$34,2,FALSE)),IF(ISNA(VLOOKUP(B138,'Regioturnier 1'!$R$3:$S$34,2,FALSE))=TRUE,0,VLOOKUP(B138,'Regioturnier 1'!$R$3:$S$34,2,FALSE)), IF(ISNA(VLOOKUP(B138,'Regioturnier 1'!$V$3:$W$34,2,FALSE))=TRUE,0,VLOOKUP(B138,'Regioturnier 1'!$V$3:$W$34,2,FALSE)), IF(ISNA(VLOOKUP(B138,'Regioturnier 1'!$Z$3:$AA$34,2,FALSE))=TRUE,0,VLOOKUP(B138,'Regioturnier 1'!$Z$3:$AA$34,2,FALSE)))</f>
        <v>0</v>
      </c>
      <c r="P138" s="15">
        <f>MAX(IF(ISNA(VLOOKUP(B138,'Regioturnier 2'!$B$3:$C$34,2,FALSE))=TRUE,0,VLOOKUP(B138,'Regioturnier 2'!$B$3:$C$34,2,FALSE)),IF(ISNA(VLOOKUP(B138,'Regioturnier 2'!$F$3:$G$34,2,FALSE))=TRUE,0,VLOOKUP(B138,'Regioturnier 2'!$F$3:$G$34,2,FALSE)),IF(ISNA(VLOOKUP(B138,'Regioturnier 2'!$J$3:$K$34,2,FALSE))=TRUE,0,VLOOKUP(B138,'Regioturnier 2'!$J$3:$K$34,2,FALSE)),IF(ISNA(VLOOKUP(B138,'Regioturnier 2'!$N$3:$O$34,2,FALSE))=TRUE,0,VLOOKUP(B138,'Regioturnier 2'!$N$3:$O$34,2,FALSE)),IF(ISNA(VLOOKUP(B138,'Regioturnier 2'!$R$3:$S$34,2,FALSE))=TRUE,0,VLOOKUP(B138,'Regioturnier 2'!$R$3:$S$34,2,FALSE)), IF(ISNA(VLOOKUP(B138,'Regioturnier 2'!$V$3:$W$34,2,FALSE))=TRUE,0,VLOOKUP(B138,'Regioturnier 2'!$V$3:$W$34,2,FALSE)), IF(ISNA(VLOOKUP(B138,'Regioturnier 2'!$Z$3:$AA$34,2,FALSE))=TRUE,0,VLOOKUP(B138,'Regioturnier 2'!$Z$3:$AA$34,2,FALSE)))</f>
        <v>0</v>
      </c>
      <c r="Q138" s="15">
        <f>MAX(IF(ISNA(VLOOKUP(B138,'Regioturnier 3'!$B$3:$C$34,2,FALSE))=TRUE,0,VLOOKUP(B138,'Regioturnier 3'!$B$3:$C$34,2,FALSE)),IF(ISNA(VLOOKUP(B138,'Regioturnier 3'!$F$3:$G$34,2,FALSE))=TRUE,0,VLOOKUP(B138,'Regioturnier 3'!$F$3:$G$34,2,FALSE)),IF(ISNA(VLOOKUP(B138,'Regioturnier 3'!$J$3:$K$34,2,FALSE))=TRUE,0,VLOOKUP(B138,'Regioturnier 3'!$J$3:$K$34,2,FALSE)),IF(ISNA(VLOOKUP(B138,'Regioturnier 3'!$N$3:$O$34,2,FALSE))=TRUE,0,VLOOKUP(B138,'Regioturnier 3'!$N$3:$O$34,2,FALSE)),IF(ISNA(VLOOKUP(B138,'Regioturnier 3'!$R$3:$S$34,2,FALSE))=TRUE,0,VLOOKUP(B138,'Regioturnier 3'!$R$3:$S$34,2,FALSE)), IF(ISNA(VLOOKUP(B138,'Regioturnier 3'!$V$3:$W$34,2,FALSE))=TRUE,0,VLOOKUP(B138,'Regioturnier 3'!$V$3:$W$34,2,FALSE)), IF(ISNA(VLOOKUP(B138,'Regioturnier 3'!$Z$3:$AA$34,2,FALSE))=TRUE,0,VLOOKUP(B138,'Regioturnier 3'!$Z$3:$AA$34,2,FALSE)))</f>
        <v>0</v>
      </c>
      <c r="R138" s="20">
        <f>0.5*INDEX($H138:$N138,MATCH(LARGE($H138:$N138,1),$H138:$N138,0))+0.3*INDEX($H138:$N138,MATCH(LARGE($H138:$N138,2),$H138:$N138,0))+0.2*INDEX($H138:$N138,MATCH(LARGE($H138:$N138,3),$H138:$N138,0))</f>
        <v>80</v>
      </c>
      <c r="S138" s="20">
        <f>0.6*INDEX(O138:Q138,MATCH(LARGE(O138:Q138,1),O138:Q138,0))+0.4*INDEX(O138:Q138,MATCH(LARGE(O138:Q138,2),O138:Q138,0))+0*INDEX(O138:Q138,MATCH(LARGE(O138:Q138,3),O138:Q138,0))</f>
        <v>0</v>
      </c>
      <c r="T138" s="15">
        <f>1*INDEX(R138:S138,MATCH(LARGE(R138:S138,1),R138:S138,0))+0*INDEX(R138:S138,MATCH(LARGE(R138:S138,2),R138:S138,0))</f>
        <v>80</v>
      </c>
      <c r="U138" s="21"/>
      <c r="V138" s="21"/>
      <c r="W138" s="21"/>
      <c r="X138" s="21"/>
      <c r="Y138" s="21"/>
      <c r="Z138" s="21"/>
    </row>
    <row r="139" spans="1:26" ht="12.75" customHeight="1" x14ac:dyDescent="0.3">
      <c r="A139" s="15">
        <v>138</v>
      </c>
      <c r="B139" s="21" t="s">
        <v>614</v>
      </c>
      <c r="C139" s="21" t="s">
        <v>31</v>
      </c>
      <c r="D139" s="15" t="s">
        <v>26</v>
      </c>
      <c r="E139" s="15" t="s">
        <v>40</v>
      </c>
      <c r="F139" s="15" t="s">
        <v>627</v>
      </c>
      <c r="G139" s="15">
        <v>2010</v>
      </c>
      <c r="H139" s="15">
        <f>MAX(IF(ISNA(VLOOKUP(B139,'WBV 1'!$B$3:$C$34,2,FALSE))=TRUE,0,VLOOKUP(B139,'WBV 1'!$B$3:$C$34,2,FALSE)),IF(ISNA(VLOOKUP(B139,'WBV 1'!$F$3:$G$34,2,FALSE))=TRUE,0,VLOOKUP(B139,'WBV 1'!$F$3:$G$34,2,FALSE)),IF(ISNA(VLOOKUP(B139,'WBV 1'!$J$3:$K$34,2,FALSE))=TRUE,0,VLOOKUP(B139,'WBV 1'!$J$3:$K$34,2,FALSE)),IF(ISNA(VLOOKUP(B139,'WBV 1'!$N$3:$O$34,2,FALSE))=TRUE,0,VLOOKUP(B139,'WBV 1'!$N$3:$O$34,2,FALSE)))</f>
        <v>0</v>
      </c>
      <c r="I139" s="15">
        <f>MAX(IF(ISNA(VLOOKUP(B139,'WBV 2'!$B$3:$C$34,2,FALSE))=TRUE,0,VLOOKUP(B139,'WBV 2'!$B$3:$C$34,2,FALSE)),IF(ISNA(VLOOKUP(B139,'WBV 2'!$F$3:$G$34,2,FALSE))=TRUE,0,VLOOKUP(B139,'WBV 2'!$F$3:$G$34,2,FALSE)),IF(ISNA(VLOOKUP(B139,'WBV 2'!$J$3:$K$34,2,FALSE))=TRUE,0,VLOOKUP(B139,'WBV 2'!$J$3:$K$34,2,FALSE)),IF(ISNA(VLOOKUP(B139,'WBV 2'!$N$3:$O$34,2,FALSE))=TRUE,0,VLOOKUP(B139,'WBV 2'!$N$3:$O$34,2,FALSE)))</f>
        <v>0</v>
      </c>
      <c r="J139" s="15">
        <f>MAX(IF(ISNA(VLOOKUP(B139,'WBV 3'!$B$3:$C$34,2,FALSE))=TRUE,0,VLOOKUP(B139,'WBV 3'!$B$3:$C$34,2,FALSE)),IF(ISNA(VLOOKUP(B139,'WBV 3'!$F$3:$G$34,2,FALSE))=TRUE,0,VLOOKUP(B139,'WBV 3'!$F$3:$G$34,2,FALSE)),IF(ISNA(VLOOKUP(B139,'WBV 3'!$J$3:$K$34,2,FALSE))=TRUE,0,VLOOKUP(B139,'WBV 3'!$J$3:$K$34,2,FALSE)),IF(ISNA(VLOOKUP(B139,'WBV 3'!$N$3:$O$34,2,FALSE))=TRUE,0,VLOOKUP(B139,'WBV 3'!$N$3:$O$34,2,FALSE)))</f>
        <v>160</v>
      </c>
      <c r="K139" s="15">
        <f>MAX(IF(ISNA(VLOOKUP(B139,'WBV 4'!$B$3:$C$34,2,FALSE))=TRUE,0,VLOOKUP(B139,'WBV 4'!$B$3:$C$34,2,FALSE)),IF(ISNA(VLOOKUP(B139,'WBV 4'!$F$3:$G$34,2,FALSE))=TRUE,0,VLOOKUP(B139,'WBV 4'!$F$3:$G$34,2,FALSE)),IF(ISNA(VLOOKUP(B139,'WBV 4'!$J$3:$K$34,2,FALSE))=TRUE,0,VLOOKUP(B139,'WBV 4'!$J$3:$K$34,2,FALSE)),IF(ISNA(VLOOKUP(B139,'WBV 4'!$N$3:$O$34,2,FALSE))=TRUE,0,VLOOKUP(B139,'WBV 4'!$N$3:$O$34,2,FALSE)))</f>
        <v>0</v>
      </c>
      <c r="L139" s="19">
        <f>MAX(IF(ISNA(VLOOKUP(B139,'NÖBV 1'!$B$3:$C$34,2,FALSE))=TRUE,0,VLOOKUP(B139,'NÖBV 1'!$B$3:$C$34,2,FALSE)),IF(ISNA(VLOOKUP(B139,'NÖBV 1'!$F$3:$G$34,2,FALSE))=TRUE,0,VLOOKUP(B139,'NÖBV 1'!$F$3:$G$34,2,FALSE)),IF(ISNA(VLOOKUP(B139,'NÖBV 1'!$J$3:$K$34,2,FALSE))=TRUE,0,VLOOKUP(B139,'NÖBV 1'!$J$3:$K$34,2,FALSE)),IF(ISNA(VLOOKUP(B139,'NÖBV 1'!$N$3:$O$34,2,FALSE))=TRUE,0,VLOOKUP(B139,'NÖBV 1'!$N$3:$O$34,2,FALSE)))</f>
        <v>0</v>
      </c>
      <c r="M139" s="19">
        <f>MAX(IF(ISNA(VLOOKUP(B139,'NÖBV 2'!$B$3:$C$34,2,FALSE))=TRUE,0,VLOOKUP(B139,'NÖBV 2'!$B$3:$C$34,2,FALSE)),IF(ISNA(VLOOKUP(B139,'NÖBV 2'!$F$3:$G$34,2,FALSE))=TRUE,0,VLOOKUP(B139,'NÖBV 2'!$F$3:$G$34,2,FALSE)),IF(ISNA(VLOOKUP(B139,'NÖBV 2'!$J$3:$K$34,2,FALSE))=TRUE,0,VLOOKUP(B139,'NÖBV 2'!$J$3:$K$34,2,FALSE)),IF(ISNA(VLOOKUP(B139,'NÖBV 2'!$N$3:$O$34,2,FALSE))=TRUE,0,VLOOKUP(B139,'NÖBV 2'!$N$3:$O$34,2,FALSE)))</f>
        <v>0</v>
      </c>
      <c r="N139" s="19">
        <f>MAX(IF(ISNA(VLOOKUP(B139,'NÖBV 3'!$B$3:$C$34,2,FALSE))=TRUE,0,VLOOKUP(B139,'NÖBV 3'!$B$3:$C$34,2,FALSE)),IF(ISNA(VLOOKUP(B139,'NÖBV 3'!$F$3:$G$34,2,FALSE))=TRUE,0,VLOOKUP(B139,'NÖBV 3'!$F$3:$G$34,2,FALSE)),IF(ISNA(VLOOKUP(B139,'NÖBV 3'!$J$3:$K$34,2,FALSE))=TRUE,0,VLOOKUP(B139,'NÖBV 3'!$J$3:$K$34,2,FALSE)),IF(ISNA(VLOOKUP(B139,'NÖBV 3'!$N$3:$O$34,2,FALSE))=TRUE,0,VLOOKUP(B139,'NÖBV 3'!$N$3:$O$34,2,FALSE)))</f>
        <v>0</v>
      </c>
      <c r="O139" s="15">
        <f>MAX(IF(ISNA(VLOOKUP(B139,'Regioturnier 1'!$B$3:$C$34,2,FALSE))=TRUE,0,VLOOKUP(B139,'Regioturnier 1'!$B$3:$C$34,2,FALSE)),IF(ISNA(VLOOKUP(B139,'Regioturnier 1'!$F$3:$G$34,2,FALSE))=TRUE,0,VLOOKUP(B139,'Regioturnier 1'!$F$3:$G$34,2,FALSE)),IF(ISNA(VLOOKUP(B139,'Regioturnier 1'!$J$3:$K$34,2,FALSE))=TRUE,0,VLOOKUP(B139,'Regioturnier 1'!$J$3:$K$34,2,FALSE)),IF(ISNA(VLOOKUP(B139,'Regioturnier 1'!$N$3:$O$34,2,FALSE))=TRUE,0,VLOOKUP(B139,'Regioturnier 1'!$N$3:$O$34,2,FALSE)),IF(ISNA(VLOOKUP(B139,'Regioturnier 1'!$R$3:$S$34,2,FALSE))=TRUE,0,VLOOKUP(B139,'Regioturnier 1'!$R$3:$S$34,2,FALSE)), IF(ISNA(VLOOKUP(B139,'Regioturnier 1'!$V$3:$W$34,2,FALSE))=TRUE,0,VLOOKUP(B139,'Regioturnier 1'!$V$3:$W$34,2,FALSE)), IF(ISNA(VLOOKUP(B139,'Regioturnier 1'!$Z$3:$AA$34,2,FALSE))=TRUE,0,VLOOKUP(B139,'Regioturnier 1'!$Z$3:$AA$34,2,FALSE)))</f>
        <v>0</v>
      </c>
      <c r="P139" s="15">
        <f>MAX(IF(ISNA(VLOOKUP(B139,'Regioturnier 2'!$B$3:$C$34,2,FALSE))=TRUE,0,VLOOKUP(B139,'Regioturnier 2'!$B$3:$C$34,2,FALSE)),IF(ISNA(VLOOKUP(B139,'Regioturnier 2'!$F$3:$G$34,2,FALSE))=TRUE,0,VLOOKUP(B139,'Regioturnier 2'!$F$3:$G$34,2,FALSE)),IF(ISNA(VLOOKUP(B139,'Regioturnier 2'!$J$3:$K$34,2,FALSE))=TRUE,0,VLOOKUP(B139,'Regioturnier 2'!$J$3:$K$34,2,FALSE)),IF(ISNA(VLOOKUP(B139,'Regioturnier 2'!$N$3:$O$34,2,FALSE))=TRUE,0,VLOOKUP(B139,'Regioturnier 2'!$N$3:$O$34,2,FALSE)),IF(ISNA(VLOOKUP(B139,'Regioturnier 2'!$R$3:$S$34,2,FALSE))=TRUE,0,VLOOKUP(B139,'Regioturnier 2'!$R$3:$S$34,2,FALSE)), IF(ISNA(VLOOKUP(B139,'Regioturnier 2'!$V$3:$W$34,2,FALSE))=TRUE,0,VLOOKUP(B139,'Regioturnier 2'!$V$3:$W$34,2,FALSE)), IF(ISNA(VLOOKUP(B139,'Regioturnier 2'!$Z$3:$AA$34,2,FALSE))=TRUE,0,VLOOKUP(B139,'Regioturnier 2'!$Z$3:$AA$34,2,FALSE)))</f>
        <v>0</v>
      </c>
      <c r="Q139" s="15">
        <f>MAX(IF(ISNA(VLOOKUP(B139,'Regioturnier 3'!$B$3:$C$34,2,FALSE))=TRUE,0,VLOOKUP(B139,'Regioturnier 3'!$B$3:$C$34,2,FALSE)),IF(ISNA(VLOOKUP(B139,'Regioturnier 3'!$F$3:$G$34,2,FALSE))=TRUE,0,VLOOKUP(B139,'Regioturnier 3'!$F$3:$G$34,2,FALSE)),IF(ISNA(VLOOKUP(B139,'Regioturnier 3'!$J$3:$K$34,2,FALSE))=TRUE,0,VLOOKUP(B139,'Regioturnier 3'!$J$3:$K$34,2,FALSE)),IF(ISNA(VLOOKUP(B139,'Regioturnier 3'!$N$3:$O$34,2,FALSE))=TRUE,0,VLOOKUP(B139,'Regioturnier 3'!$N$3:$O$34,2,FALSE)),IF(ISNA(VLOOKUP(B139,'Regioturnier 3'!$R$3:$S$34,2,FALSE))=TRUE,0,VLOOKUP(B139,'Regioturnier 3'!$R$3:$S$34,2,FALSE)), IF(ISNA(VLOOKUP(B139,'Regioturnier 3'!$V$3:$W$34,2,FALSE))=TRUE,0,VLOOKUP(B139,'Regioturnier 3'!$V$3:$W$34,2,FALSE)), IF(ISNA(VLOOKUP(B139,'Regioturnier 3'!$Z$3:$AA$34,2,FALSE))=TRUE,0,VLOOKUP(B139,'Regioturnier 3'!$Z$3:$AA$34,2,FALSE)))</f>
        <v>0</v>
      </c>
      <c r="R139" s="20">
        <f>0.5*INDEX($H139:$N139,MATCH(LARGE($H139:$N139,1),$H139:$N139,0))+0.3*INDEX($H139:$N139,MATCH(LARGE($H139:$N139,2),$H139:$N139,0))+0.2*INDEX($H139:$N139,MATCH(LARGE($H139:$N139,3),$H139:$N139,0))</f>
        <v>80</v>
      </c>
      <c r="S139" s="20">
        <f>0.6*INDEX(O139:Q139,MATCH(LARGE(O139:Q139,1),O139:Q139,0))+0.4*INDEX(O139:Q139,MATCH(LARGE(O139:Q139,2),O139:Q139,0))+0*INDEX(O139:Q139,MATCH(LARGE(O139:Q139,3),O139:Q139,0))</f>
        <v>0</v>
      </c>
      <c r="T139" s="15">
        <f>1*INDEX(R139:S139,MATCH(LARGE(R139:S139,1),R139:S139,0))+0*INDEX(R139:S139,MATCH(LARGE(R139:S139,2),R139:S139,0))</f>
        <v>80</v>
      </c>
      <c r="U139" s="21"/>
      <c r="V139" s="21"/>
      <c r="W139" s="21"/>
      <c r="X139" s="21"/>
      <c r="Y139" s="21"/>
      <c r="Z139" s="21"/>
    </row>
    <row r="140" spans="1:26" ht="12.75" customHeight="1" x14ac:dyDescent="0.3">
      <c r="A140" s="15">
        <v>139</v>
      </c>
      <c r="B140" s="16" t="s">
        <v>498</v>
      </c>
      <c r="C140" s="17" t="s">
        <v>28</v>
      </c>
      <c r="D140" s="15" t="s">
        <v>22</v>
      </c>
      <c r="E140" s="18" t="s">
        <v>23</v>
      </c>
      <c r="F140" s="15" t="s">
        <v>508</v>
      </c>
      <c r="G140" s="22">
        <v>2015</v>
      </c>
      <c r="H140" s="15">
        <f>MAX(IF(ISNA(VLOOKUP(B140,'WBV 1'!$B$3:$C$34,2,FALSE))=TRUE,0,VLOOKUP(B140,'WBV 1'!$B$3:$C$34,2,FALSE)),IF(ISNA(VLOOKUP(B140,'WBV 1'!$F$3:$G$34,2,FALSE))=TRUE,0,VLOOKUP(B140,'WBV 1'!$F$3:$G$34,2,FALSE)),IF(ISNA(VLOOKUP(B140,'WBV 1'!$J$3:$K$34,2,FALSE))=TRUE,0,VLOOKUP(B140,'WBV 1'!$J$3:$K$34,2,FALSE)),IF(ISNA(VLOOKUP(B140,'WBV 1'!$N$3:$O$34,2,FALSE))=TRUE,0,VLOOKUP(B140,'WBV 1'!$N$3:$O$34,2,FALSE)))</f>
        <v>0</v>
      </c>
      <c r="I140" s="15">
        <f>MAX(IF(ISNA(VLOOKUP(B140,'WBV 2'!$B$3:$C$34,2,FALSE))=TRUE,0,VLOOKUP(B140,'WBV 2'!$B$3:$C$34,2,FALSE)),IF(ISNA(VLOOKUP(B140,'WBV 2'!$F$3:$G$34,2,FALSE))=TRUE,0,VLOOKUP(B140,'WBV 2'!$F$3:$G$34,2,FALSE)),IF(ISNA(VLOOKUP(B140,'WBV 2'!$J$3:$K$34,2,FALSE))=TRUE,0,VLOOKUP(B140,'WBV 2'!$J$3:$K$34,2,FALSE)),IF(ISNA(VLOOKUP(B140,'WBV 2'!$N$3:$O$34,2,FALSE))=TRUE,0,VLOOKUP(B140,'WBV 2'!$N$3:$O$34,2,FALSE)))</f>
        <v>0</v>
      </c>
      <c r="J140" s="15">
        <f>MAX(IF(ISNA(VLOOKUP(B140,'WBV 3'!$B$3:$C$34,2,FALSE))=TRUE,0,VLOOKUP(B140,'WBV 3'!$B$3:$C$34,2,FALSE)),IF(ISNA(VLOOKUP(B140,'WBV 3'!$F$3:$G$34,2,FALSE))=TRUE,0,VLOOKUP(B140,'WBV 3'!$F$3:$G$34,2,FALSE)),IF(ISNA(VLOOKUP(B140,'WBV 3'!$J$3:$K$34,2,FALSE))=TRUE,0,VLOOKUP(B140,'WBV 3'!$J$3:$K$34,2,FALSE)),IF(ISNA(VLOOKUP(B140,'WBV 3'!$N$3:$O$34,2,FALSE))=TRUE,0,VLOOKUP(B140,'WBV 3'!$N$3:$O$34,2,FALSE)))</f>
        <v>0</v>
      </c>
      <c r="K140" s="15">
        <f>MAX(IF(ISNA(VLOOKUP(B140,'WBV 4'!$B$3:$C$34,2,FALSE))=TRUE,0,VLOOKUP(B140,'WBV 4'!$B$3:$C$34,2,FALSE)),IF(ISNA(VLOOKUP(B140,'WBV 4'!$F$3:$G$34,2,FALSE))=TRUE,0,VLOOKUP(B140,'WBV 4'!$F$3:$G$34,2,FALSE)),IF(ISNA(VLOOKUP(B140,'WBV 4'!$J$3:$K$34,2,FALSE))=TRUE,0,VLOOKUP(B140,'WBV 4'!$J$3:$K$34,2,FALSE)),IF(ISNA(VLOOKUP(B140,'WBV 4'!$N$3:$O$34,2,FALSE))=TRUE,0,VLOOKUP(B140,'WBV 4'!$N$3:$O$34,2,FALSE)))</f>
        <v>0</v>
      </c>
      <c r="L140" s="19">
        <f>MAX(IF(ISNA(VLOOKUP(B140,'NÖBV 1'!$B$3:$C$34,2,FALSE))=TRUE,0,VLOOKUP(B140,'NÖBV 1'!$B$3:$C$34,2,FALSE)),IF(ISNA(VLOOKUP(B140,'NÖBV 1'!$F$3:$G$34,2,FALSE))=TRUE,0,VLOOKUP(B140,'NÖBV 1'!$F$3:$G$34,2,FALSE)),IF(ISNA(VLOOKUP(B140,'NÖBV 1'!$J$3:$K$34,2,FALSE))=TRUE,0,VLOOKUP(B140,'NÖBV 1'!$J$3:$K$34,2,FALSE)),IF(ISNA(VLOOKUP(B140,'NÖBV 1'!$N$3:$O$34,2,FALSE))=TRUE,0,VLOOKUP(B140,'NÖBV 1'!$N$3:$O$34,2,FALSE)))</f>
        <v>158</v>
      </c>
      <c r="M140" s="19">
        <f>MAX(IF(ISNA(VLOOKUP(B140,'NÖBV 2'!$B$3:$C$34,2,FALSE))=TRUE,0,VLOOKUP(B140,'NÖBV 2'!$B$3:$C$34,2,FALSE)),IF(ISNA(VLOOKUP(B140,'NÖBV 2'!$F$3:$G$34,2,FALSE))=TRUE,0,VLOOKUP(B140,'NÖBV 2'!$F$3:$G$34,2,FALSE)),IF(ISNA(VLOOKUP(B140,'NÖBV 2'!$J$3:$K$34,2,FALSE))=TRUE,0,VLOOKUP(B140,'NÖBV 2'!$J$3:$K$34,2,FALSE)),IF(ISNA(VLOOKUP(B140,'NÖBV 2'!$N$3:$O$34,2,FALSE))=TRUE,0,VLOOKUP(B140,'NÖBV 2'!$N$3:$O$34,2,FALSE)))</f>
        <v>0</v>
      </c>
      <c r="N140" s="19">
        <f>MAX(IF(ISNA(VLOOKUP(B140,'NÖBV 3'!$B$3:$C$34,2,FALSE))=TRUE,0,VLOOKUP(B140,'NÖBV 3'!$B$3:$C$34,2,FALSE)),IF(ISNA(VLOOKUP(B140,'NÖBV 3'!$F$3:$G$34,2,FALSE))=TRUE,0,VLOOKUP(B140,'NÖBV 3'!$F$3:$G$34,2,FALSE)),IF(ISNA(VLOOKUP(B140,'NÖBV 3'!$J$3:$K$34,2,FALSE))=TRUE,0,VLOOKUP(B140,'NÖBV 3'!$J$3:$K$34,2,FALSE)),IF(ISNA(VLOOKUP(B140,'NÖBV 3'!$N$3:$O$34,2,FALSE))=TRUE,0,VLOOKUP(B140,'NÖBV 3'!$N$3:$O$34,2,FALSE)))</f>
        <v>0</v>
      </c>
      <c r="O140" s="15">
        <f>MAX(IF(ISNA(VLOOKUP(B140,'Regioturnier 1'!$B$3:$C$34,2,FALSE))=TRUE,0,VLOOKUP(B140,'Regioturnier 1'!$B$3:$C$34,2,FALSE)),IF(ISNA(VLOOKUP(B140,'Regioturnier 1'!$F$3:$G$34,2,FALSE))=TRUE,0,VLOOKUP(B140,'Regioturnier 1'!$F$3:$G$34,2,FALSE)),IF(ISNA(VLOOKUP(B140,'Regioturnier 1'!$J$3:$K$34,2,FALSE))=TRUE,0,VLOOKUP(B140,'Regioturnier 1'!$J$3:$K$34,2,FALSE)),IF(ISNA(VLOOKUP(B140,'Regioturnier 1'!$N$3:$O$34,2,FALSE))=TRUE,0,VLOOKUP(B140,'Regioturnier 1'!$N$3:$O$34,2,FALSE)),IF(ISNA(VLOOKUP(B140,'Regioturnier 1'!$R$3:$S$34,2,FALSE))=TRUE,0,VLOOKUP(B140,'Regioturnier 1'!$R$3:$S$34,2,FALSE)), IF(ISNA(VLOOKUP(B140,'Regioturnier 1'!$V$3:$W$34,2,FALSE))=TRUE,0,VLOOKUP(B140,'Regioturnier 1'!$V$3:$W$34,2,FALSE)), IF(ISNA(VLOOKUP(B140,'Regioturnier 1'!$Z$3:$AA$34,2,FALSE))=TRUE,0,VLOOKUP(B140,'Regioturnier 1'!$Z$3:$AA$34,2,FALSE)))</f>
        <v>0</v>
      </c>
      <c r="P140" s="15">
        <f>MAX(IF(ISNA(VLOOKUP(B140,'Regioturnier 2'!$B$3:$C$34,2,FALSE))=TRUE,0,VLOOKUP(B140,'Regioturnier 2'!$B$3:$C$34,2,FALSE)),IF(ISNA(VLOOKUP(B140,'Regioturnier 2'!$F$3:$G$34,2,FALSE))=TRUE,0,VLOOKUP(B140,'Regioturnier 2'!$F$3:$G$34,2,FALSE)),IF(ISNA(VLOOKUP(B140,'Regioturnier 2'!$J$3:$K$34,2,FALSE))=TRUE,0,VLOOKUP(B140,'Regioturnier 2'!$J$3:$K$34,2,FALSE)),IF(ISNA(VLOOKUP(B140,'Regioturnier 2'!$N$3:$O$34,2,FALSE))=TRUE,0,VLOOKUP(B140,'Regioturnier 2'!$N$3:$O$34,2,FALSE)),IF(ISNA(VLOOKUP(B140,'Regioturnier 2'!$R$3:$S$34,2,FALSE))=TRUE,0,VLOOKUP(B140,'Regioturnier 2'!$R$3:$S$34,2,FALSE)), IF(ISNA(VLOOKUP(B140,'Regioturnier 2'!$V$3:$W$34,2,FALSE))=TRUE,0,VLOOKUP(B140,'Regioturnier 2'!$V$3:$W$34,2,FALSE)), IF(ISNA(VLOOKUP(B140,'Regioturnier 2'!$Z$3:$AA$34,2,FALSE))=TRUE,0,VLOOKUP(B140,'Regioturnier 2'!$Z$3:$AA$34,2,FALSE)))</f>
        <v>0</v>
      </c>
      <c r="Q140" s="15">
        <f>MAX(IF(ISNA(VLOOKUP(B140,'Regioturnier 3'!$B$3:$C$34,2,FALSE))=TRUE,0,VLOOKUP(B140,'Regioturnier 3'!$B$3:$C$34,2,FALSE)),IF(ISNA(VLOOKUP(B140,'Regioturnier 3'!$F$3:$G$34,2,FALSE))=TRUE,0,VLOOKUP(B140,'Regioturnier 3'!$F$3:$G$34,2,FALSE)),IF(ISNA(VLOOKUP(B140,'Regioturnier 3'!$J$3:$K$34,2,FALSE))=TRUE,0,VLOOKUP(B140,'Regioturnier 3'!$J$3:$K$34,2,FALSE)),IF(ISNA(VLOOKUP(B140,'Regioturnier 3'!$N$3:$O$34,2,FALSE))=TRUE,0,VLOOKUP(B140,'Regioturnier 3'!$N$3:$O$34,2,FALSE)),IF(ISNA(VLOOKUP(B140,'Regioturnier 3'!$R$3:$S$34,2,FALSE))=TRUE,0,VLOOKUP(B140,'Regioturnier 3'!$R$3:$S$34,2,FALSE)), IF(ISNA(VLOOKUP(B140,'Regioturnier 3'!$V$3:$W$34,2,FALSE))=TRUE,0,VLOOKUP(B140,'Regioturnier 3'!$V$3:$W$34,2,FALSE)), IF(ISNA(VLOOKUP(B140,'Regioturnier 3'!$Z$3:$AA$34,2,FALSE))=TRUE,0,VLOOKUP(B140,'Regioturnier 3'!$Z$3:$AA$34,2,FALSE)))</f>
        <v>0</v>
      </c>
      <c r="R140" s="20">
        <f>0.5*INDEX($H140:$N140,MATCH(LARGE($H140:$N140,1),$H140:$N140,0))+0.3*INDEX($H140:$N140,MATCH(LARGE($H140:$N140,2),$H140:$N140,0))+0.2*INDEX($H140:$N140,MATCH(LARGE($H140:$N140,3),$H140:$N140,0))</f>
        <v>79</v>
      </c>
      <c r="S140" s="20">
        <f>0.6*INDEX(O140:Q140,MATCH(LARGE(O140:Q140,1),O140:Q140,0))+0.4*INDEX(O140:Q140,MATCH(LARGE(O140:Q140,2),O140:Q140,0))+0*INDEX(O140:Q140,MATCH(LARGE(O140:Q140,3),O140:Q140,0))</f>
        <v>0</v>
      </c>
      <c r="T140" s="15">
        <f>1*INDEX(R140:S140,MATCH(LARGE(R140:S140,1),R140:S140,0))+0*INDEX(R140:S140,MATCH(LARGE(R140:S140,2),R140:S140,0))</f>
        <v>79</v>
      </c>
      <c r="U140" s="21"/>
      <c r="V140" s="21"/>
      <c r="W140" s="21"/>
      <c r="X140" s="21"/>
      <c r="Y140" s="21"/>
      <c r="Z140" s="21"/>
    </row>
    <row r="141" spans="1:26" ht="12.75" customHeight="1" x14ac:dyDescent="0.3">
      <c r="A141" s="15">
        <v>140</v>
      </c>
      <c r="B141" s="16" t="s">
        <v>519</v>
      </c>
      <c r="C141" s="17" t="s">
        <v>31</v>
      </c>
      <c r="D141" s="15" t="s">
        <v>26</v>
      </c>
      <c r="E141" s="18" t="s">
        <v>40</v>
      </c>
      <c r="F141" s="15" t="s">
        <v>551</v>
      </c>
      <c r="G141" s="22">
        <v>2012</v>
      </c>
      <c r="H141" s="15">
        <f>MAX(IF(ISNA(VLOOKUP(B141,'WBV 1'!$B$3:$C$34,2,FALSE))=TRUE,0,VLOOKUP(B141,'WBV 1'!$B$3:$C$34,2,FALSE)),IF(ISNA(VLOOKUP(B141,'WBV 1'!$F$3:$G$34,2,FALSE))=TRUE,0,VLOOKUP(B141,'WBV 1'!$F$3:$G$34,2,FALSE)),IF(ISNA(VLOOKUP(B141,'WBV 1'!$J$3:$K$34,2,FALSE))=TRUE,0,VLOOKUP(B141,'WBV 1'!$J$3:$K$34,2,FALSE)),IF(ISNA(VLOOKUP(B141,'WBV 1'!$N$3:$O$34,2,FALSE))=TRUE,0,VLOOKUP(B141,'WBV 1'!$N$3:$O$34,2,FALSE)))</f>
        <v>0</v>
      </c>
      <c r="I141" s="15">
        <f>MAX(IF(ISNA(VLOOKUP(B141,'WBV 2'!$B$3:$C$34,2,FALSE))=TRUE,0,VLOOKUP(B141,'WBV 2'!$B$3:$C$34,2,FALSE)),IF(ISNA(VLOOKUP(B141,'WBV 2'!$F$3:$G$34,2,FALSE))=TRUE,0,VLOOKUP(B141,'WBV 2'!$F$3:$G$34,2,FALSE)),IF(ISNA(VLOOKUP(B141,'WBV 2'!$J$3:$K$34,2,FALSE))=TRUE,0,VLOOKUP(B141,'WBV 2'!$J$3:$K$34,2,FALSE)),IF(ISNA(VLOOKUP(B141,'WBV 2'!$N$3:$O$34,2,FALSE))=TRUE,0,VLOOKUP(B141,'WBV 2'!$N$3:$O$34,2,FALSE)))</f>
        <v>158</v>
      </c>
      <c r="J141" s="15">
        <f>MAX(IF(ISNA(VLOOKUP(B141,'WBV 3'!$B$3:$C$34,2,FALSE))=TRUE,0,VLOOKUP(B141,'WBV 3'!$B$3:$C$34,2,FALSE)),IF(ISNA(VLOOKUP(B141,'WBV 3'!$F$3:$G$34,2,FALSE))=TRUE,0,VLOOKUP(B141,'WBV 3'!$F$3:$G$34,2,FALSE)),IF(ISNA(VLOOKUP(B141,'WBV 3'!$J$3:$K$34,2,FALSE))=TRUE,0,VLOOKUP(B141,'WBV 3'!$J$3:$K$34,2,FALSE)),IF(ISNA(VLOOKUP(B141,'WBV 3'!$N$3:$O$34,2,FALSE))=TRUE,0,VLOOKUP(B141,'WBV 3'!$N$3:$O$34,2,FALSE)))</f>
        <v>0</v>
      </c>
      <c r="K141" s="15">
        <f>MAX(IF(ISNA(VLOOKUP(B141,'WBV 4'!$B$3:$C$34,2,FALSE))=TRUE,0,VLOOKUP(B141,'WBV 4'!$B$3:$C$34,2,FALSE)),IF(ISNA(VLOOKUP(B141,'WBV 4'!$F$3:$G$34,2,FALSE))=TRUE,0,VLOOKUP(B141,'WBV 4'!$F$3:$G$34,2,FALSE)),IF(ISNA(VLOOKUP(B141,'WBV 4'!$J$3:$K$34,2,FALSE))=TRUE,0,VLOOKUP(B141,'WBV 4'!$J$3:$K$34,2,FALSE)),IF(ISNA(VLOOKUP(B141,'WBV 4'!$N$3:$O$34,2,FALSE))=TRUE,0,VLOOKUP(B141,'WBV 4'!$N$3:$O$34,2,FALSE)))</f>
        <v>0</v>
      </c>
      <c r="L141" s="19">
        <f>MAX(IF(ISNA(VLOOKUP(B141,'NÖBV 1'!$B$3:$C$34,2,FALSE))=TRUE,0,VLOOKUP(B141,'NÖBV 1'!$B$3:$C$34,2,FALSE)),IF(ISNA(VLOOKUP(B141,'NÖBV 1'!$F$3:$G$34,2,FALSE))=TRUE,0,VLOOKUP(B141,'NÖBV 1'!$F$3:$G$34,2,FALSE)),IF(ISNA(VLOOKUP(B141,'NÖBV 1'!$J$3:$K$34,2,FALSE))=TRUE,0,VLOOKUP(B141,'NÖBV 1'!$J$3:$K$34,2,FALSE)),IF(ISNA(VLOOKUP(B141,'NÖBV 1'!$N$3:$O$34,2,FALSE))=TRUE,0,VLOOKUP(B141,'NÖBV 1'!$N$3:$O$34,2,FALSE)))</f>
        <v>0</v>
      </c>
      <c r="M141" s="19">
        <f>MAX(IF(ISNA(VLOOKUP(B141,'NÖBV 2'!$B$3:$C$34,2,FALSE))=TRUE,0,VLOOKUP(B141,'NÖBV 2'!$B$3:$C$34,2,FALSE)),IF(ISNA(VLOOKUP(B141,'NÖBV 2'!$F$3:$G$34,2,FALSE))=TRUE,0,VLOOKUP(B141,'NÖBV 2'!$F$3:$G$34,2,FALSE)),IF(ISNA(VLOOKUP(B141,'NÖBV 2'!$J$3:$K$34,2,FALSE))=TRUE,0,VLOOKUP(B141,'NÖBV 2'!$J$3:$K$34,2,FALSE)),IF(ISNA(VLOOKUP(B141,'NÖBV 2'!$N$3:$O$34,2,FALSE))=TRUE,0,VLOOKUP(B141,'NÖBV 2'!$N$3:$O$34,2,FALSE)))</f>
        <v>0</v>
      </c>
      <c r="N141" s="19">
        <f>MAX(IF(ISNA(VLOOKUP(B141,'NÖBV 3'!$B$3:$C$34,2,FALSE))=TRUE,0,VLOOKUP(B141,'NÖBV 3'!$B$3:$C$34,2,FALSE)),IF(ISNA(VLOOKUP(B141,'NÖBV 3'!$F$3:$G$34,2,FALSE))=TRUE,0,VLOOKUP(B141,'NÖBV 3'!$F$3:$G$34,2,FALSE)),IF(ISNA(VLOOKUP(B141,'NÖBV 3'!$J$3:$K$34,2,FALSE))=TRUE,0,VLOOKUP(B141,'NÖBV 3'!$J$3:$K$34,2,FALSE)),IF(ISNA(VLOOKUP(B141,'NÖBV 3'!$N$3:$O$34,2,FALSE))=TRUE,0,VLOOKUP(B141,'NÖBV 3'!$N$3:$O$34,2,FALSE)))</f>
        <v>0</v>
      </c>
      <c r="O141" s="15">
        <f>MAX(IF(ISNA(VLOOKUP(B141,'Regioturnier 1'!$B$3:$C$34,2,FALSE))=TRUE,0,VLOOKUP(B141,'Regioturnier 1'!$B$3:$C$34,2,FALSE)),IF(ISNA(VLOOKUP(B141,'Regioturnier 1'!$F$3:$G$34,2,FALSE))=TRUE,0,VLOOKUP(B141,'Regioturnier 1'!$F$3:$G$34,2,FALSE)),IF(ISNA(VLOOKUP(B141,'Regioturnier 1'!$J$3:$K$34,2,FALSE))=TRUE,0,VLOOKUP(B141,'Regioturnier 1'!$J$3:$K$34,2,FALSE)),IF(ISNA(VLOOKUP(B141,'Regioturnier 1'!$N$3:$O$34,2,FALSE))=TRUE,0,VLOOKUP(B141,'Regioturnier 1'!$N$3:$O$34,2,FALSE)),IF(ISNA(VLOOKUP(B141,'Regioturnier 1'!$R$3:$S$34,2,FALSE))=TRUE,0,VLOOKUP(B141,'Regioturnier 1'!$R$3:$S$34,2,FALSE)), IF(ISNA(VLOOKUP(B141,'Regioturnier 1'!$V$3:$W$34,2,FALSE))=TRUE,0,VLOOKUP(B141,'Regioturnier 1'!$V$3:$W$34,2,FALSE)), IF(ISNA(VLOOKUP(B141,'Regioturnier 1'!$Z$3:$AA$34,2,FALSE))=TRUE,0,VLOOKUP(B141,'Regioturnier 1'!$Z$3:$AA$34,2,FALSE)))</f>
        <v>0</v>
      </c>
      <c r="P141" s="15">
        <f>MAX(IF(ISNA(VLOOKUP(B141,'Regioturnier 2'!$B$3:$C$34,2,FALSE))=TRUE,0,VLOOKUP(B141,'Regioturnier 2'!$B$3:$C$34,2,FALSE)),IF(ISNA(VLOOKUP(B141,'Regioturnier 2'!$F$3:$G$34,2,FALSE))=TRUE,0,VLOOKUP(B141,'Regioturnier 2'!$F$3:$G$34,2,FALSE)),IF(ISNA(VLOOKUP(B141,'Regioturnier 2'!$J$3:$K$34,2,FALSE))=TRUE,0,VLOOKUP(B141,'Regioturnier 2'!$J$3:$K$34,2,FALSE)),IF(ISNA(VLOOKUP(B141,'Regioturnier 2'!$N$3:$O$34,2,FALSE))=TRUE,0,VLOOKUP(B141,'Regioturnier 2'!$N$3:$O$34,2,FALSE)),IF(ISNA(VLOOKUP(B141,'Regioturnier 2'!$R$3:$S$34,2,FALSE))=TRUE,0,VLOOKUP(B141,'Regioturnier 2'!$R$3:$S$34,2,FALSE)), IF(ISNA(VLOOKUP(B141,'Regioturnier 2'!$V$3:$W$34,2,FALSE))=TRUE,0,VLOOKUP(B141,'Regioturnier 2'!$V$3:$W$34,2,FALSE)), IF(ISNA(VLOOKUP(B141,'Regioturnier 2'!$Z$3:$AA$34,2,FALSE))=TRUE,0,VLOOKUP(B141,'Regioturnier 2'!$Z$3:$AA$34,2,FALSE)))</f>
        <v>0</v>
      </c>
      <c r="Q141" s="15">
        <f>MAX(IF(ISNA(VLOOKUP(B141,'Regioturnier 3'!$B$3:$C$34,2,FALSE))=TRUE,0,VLOOKUP(B141,'Regioturnier 3'!$B$3:$C$34,2,FALSE)),IF(ISNA(VLOOKUP(B141,'Regioturnier 3'!$F$3:$G$34,2,FALSE))=TRUE,0,VLOOKUP(B141,'Regioturnier 3'!$F$3:$G$34,2,FALSE)),IF(ISNA(VLOOKUP(B141,'Regioturnier 3'!$J$3:$K$34,2,FALSE))=TRUE,0,VLOOKUP(B141,'Regioturnier 3'!$J$3:$K$34,2,FALSE)),IF(ISNA(VLOOKUP(B141,'Regioturnier 3'!$N$3:$O$34,2,FALSE))=TRUE,0,VLOOKUP(B141,'Regioturnier 3'!$N$3:$O$34,2,FALSE)),IF(ISNA(VLOOKUP(B141,'Regioturnier 3'!$R$3:$S$34,2,FALSE))=TRUE,0,VLOOKUP(B141,'Regioturnier 3'!$R$3:$S$34,2,FALSE)), IF(ISNA(VLOOKUP(B141,'Regioturnier 3'!$V$3:$W$34,2,FALSE))=TRUE,0,VLOOKUP(B141,'Regioturnier 3'!$V$3:$W$34,2,FALSE)), IF(ISNA(VLOOKUP(B141,'Regioturnier 3'!$Z$3:$AA$34,2,FALSE))=TRUE,0,VLOOKUP(B141,'Regioturnier 3'!$Z$3:$AA$34,2,FALSE)))</f>
        <v>0</v>
      </c>
      <c r="R141" s="20">
        <f>0.5*INDEX($H141:$N141,MATCH(LARGE($H141:$N141,1),$H141:$N141,0))+0.3*INDEX($H141:$N141,MATCH(LARGE($H141:$N141,2),$H141:$N141,0))+0.2*INDEX($H141:$N141,MATCH(LARGE($H141:$N141,3),$H141:$N141,0))</f>
        <v>79</v>
      </c>
      <c r="S141" s="20">
        <f>0.6*INDEX(O141:Q141,MATCH(LARGE(O141:Q141,1),O141:Q141,0))+0.4*INDEX(O141:Q141,MATCH(LARGE(O141:Q141,2),O141:Q141,0))+0*INDEX(O141:Q141,MATCH(LARGE(O141:Q141,3),O141:Q141,0))</f>
        <v>0</v>
      </c>
      <c r="T141" s="15">
        <f>1*INDEX(R141:S141,MATCH(LARGE(R141:S141,1),R141:S141,0))+0*INDEX(R141:S141,MATCH(LARGE(R141:S141,2),R141:S141,0))</f>
        <v>79</v>
      </c>
      <c r="U141" s="21"/>
      <c r="V141" s="21"/>
      <c r="W141" s="21"/>
      <c r="X141" s="21"/>
      <c r="Y141" s="21"/>
      <c r="Z141" s="21"/>
    </row>
    <row r="142" spans="1:26" ht="12.75" customHeight="1" x14ac:dyDescent="0.3">
      <c r="A142" s="15">
        <v>141</v>
      </c>
      <c r="B142" s="106" t="s">
        <v>573</v>
      </c>
      <c r="C142" s="106" t="s">
        <v>97</v>
      </c>
      <c r="D142" s="106" t="s">
        <v>102</v>
      </c>
      <c r="E142" s="106" t="s">
        <v>40</v>
      </c>
      <c r="F142" s="106" t="s">
        <v>581</v>
      </c>
      <c r="G142" s="107">
        <v>2016</v>
      </c>
      <c r="H142" s="105">
        <f>MAX(IF(ISNA(VLOOKUP(B142,'WBV 1'!$B$3:$C$34,2,FALSE))=TRUE,0,VLOOKUP(B142,'WBV 1'!$B$3:$C$34,2,FALSE)),IF(ISNA(VLOOKUP(B142,'WBV 1'!$F$3:$G$34,2,FALSE))=TRUE,0,VLOOKUP(B142,'WBV 1'!$F$3:$G$34,2,FALSE)),IF(ISNA(VLOOKUP(B142,'WBV 1'!$J$3:$K$34,2,FALSE))=TRUE,0,VLOOKUP(B142,'WBV 1'!$J$3:$K$34,2,FALSE)),IF(ISNA(VLOOKUP(B142,'WBV 1'!$N$3:$O$34,2,FALSE))=TRUE,0,VLOOKUP(B142,'WBV 1'!$N$3:$O$34,2,FALSE)))</f>
        <v>0</v>
      </c>
      <c r="I142" s="105">
        <f>MAX(IF(ISNA(VLOOKUP(B142,'WBV 2'!$B$3:$C$34,2,FALSE))=TRUE,0,VLOOKUP(B142,'WBV 2'!$B$3:$C$34,2,FALSE)),IF(ISNA(VLOOKUP(B142,'WBV 2'!$F$3:$G$34,2,FALSE))=TRUE,0,VLOOKUP(B142,'WBV 2'!$F$3:$G$34,2,FALSE)),IF(ISNA(VLOOKUP(B142,'WBV 2'!$J$3:$K$34,2,FALSE))=TRUE,0,VLOOKUP(B142,'WBV 2'!$J$3:$K$34,2,FALSE)),IF(ISNA(VLOOKUP(B142,'WBV 2'!$N$3:$O$34,2,FALSE))=TRUE,0,VLOOKUP(B142,'WBV 2'!$N$3:$O$34,2,FALSE)))</f>
        <v>0</v>
      </c>
      <c r="J142" s="105">
        <f>MAX(IF(ISNA(VLOOKUP(B142,'WBV 3'!$B$3:$C$34,2,FALSE))=TRUE,0,VLOOKUP(B142,'WBV 3'!$B$3:$C$34,2,FALSE)),IF(ISNA(VLOOKUP(B142,'WBV 3'!$F$3:$G$34,2,FALSE))=TRUE,0,VLOOKUP(B142,'WBV 3'!$F$3:$G$34,2,FALSE)),IF(ISNA(VLOOKUP(B142,'WBV 3'!$J$3:$K$34,2,FALSE))=TRUE,0,VLOOKUP(B142,'WBV 3'!$J$3:$K$34,2,FALSE)),IF(ISNA(VLOOKUP(B142,'WBV 3'!$N$3:$O$34,2,FALSE))=TRUE,0,VLOOKUP(B142,'WBV 3'!$N$3:$O$34,2,FALSE)))</f>
        <v>0</v>
      </c>
      <c r="K142" s="105">
        <f>MAX(IF(ISNA(VLOOKUP(B142,'WBV 4'!$B$3:$C$34,2,FALSE))=TRUE,0,VLOOKUP(B142,'WBV 4'!$B$3:$C$34,2,FALSE)),IF(ISNA(VLOOKUP(B142,'WBV 4'!$F$3:$G$34,2,FALSE))=TRUE,0,VLOOKUP(B142,'WBV 4'!$F$3:$G$34,2,FALSE)),IF(ISNA(VLOOKUP(B142,'WBV 4'!$J$3:$K$34,2,FALSE))=TRUE,0,VLOOKUP(B142,'WBV 4'!$J$3:$K$34,2,FALSE)),IF(ISNA(VLOOKUP(B142,'WBV 4'!$N$3:$O$34,2,FALSE))=TRUE,0,VLOOKUP(B142,'WBV 4'!$N$3:$O$34,2,FALSE)))</f>
        <v>0</v>
      </c>
      <c r="L142" s="105">
        <f>MAX(IF(ISNA(VLOOKUP(B142,'NÖBV 1'!$B$3:$C$34,2,FALSE))=TRUE,0,VLOOKUP(B142,'NÖBV 1'!$B$3:$C$34,2,FALSE)),IF(ISNA(VLOOKUP(B142,'NÖBV 1'!$F$3:$G$34,2,FALSE))=TRUE,0,VLOOKUP(B142,'NÖBV 1'!$F$3:$G$34,2,FALSE)),IF(ISNA(VLOOKUP(B142,'NÖBV 1'!$J$3:$K$34,2,FALSE))=TRUE,0,VLOOKUP(B142,'NÖBV 1'!$J$3:$K$34,2,FALSE)),IF(ISNA(VLOOKUP(B142,'NÖBV 1'!$N$3:$O$34,2,FALSE))=TRUE,0,VLOOKUP(B142,'NÖBV 1'!$N$3:$O$34,2,FALSE)))</f>
        <v>0</v>
      </c>
      <c r="M142" s="105">
        <f>MAX(IF(ISNA(VLOOKUP(B142,'NÖBV 2'!$B$3:$C$34,2,FALSE))=TRUE,0,VLOOKUP(B142,'NÖBV 2'!$B$3:$C$34,2,FALSE)),IF(ISNA(VLOOKUP(B142,'NÖBV 2'!$F$3:$G$34,2,FALSE))=TRUE,0,VLOOKUP(B142,'NÖBV 2'!$F$3:$G$34,2,FALSE)),IF(ISNA(VLOOKUP(B142,'NÖBV 2'!$J$3:$K$34,2,FALSE))=TRUE,0,VLOOKUP(B142,'NÖBV 2'!$J$3:$K$34,2,FALSE)),IF(ISNA(VLOOKUP(B142,'NÖBV 2'!$N$3:$O$34,2,FALSE))=TRUE,0,VLOOKUP(B142,'NÖBV 2'!$N$3:$O$34,2,FALSE)))</f>
        <v>158</v>
      </c>
      <c r="N142" s="105">
        <f>MAX(IF(ISNA(VLOOKUP(B142,'NÖBV 3'!$B$3:$C$34,2,FALSE))=TRUE,0,VLOOKUP(B142,'NÖBV 3'!$B$3:$C$34,2,FALSE)),IF(ISNA(VLOOKUP(B142,'NÖBV 3'!$F$3:$G$34,2,FALSE))=TRUE,0,VLOOKUP(B142,'NÖBV 3'!$F$3:$G$34,2,FALSE)),IF(ISNA(VLOOKUP(B142,'NÖBV 3'!$J$3:$K$34,2,FALSE))=TRUE,0,VLOOKUP(B142,'NÖBV 3'!$J$3:$K$34,2,FALSE)),IF(ISNA(VLOOKUP(B142,'NÖBV 3'!$N$3:$O$34,2,FALSE))=TRUE,0,VLOOKUP(B142,'NÖBV 3'!$N$3:$O$34,2,FALSE)))</f>
        <v>0</v>
      </c>
      <c r="O142" s="105">
        <f>MAX(IF(ISNA(VLOOKUP(B142,'Regioturnier 1'!$B$3:$C$34,2,FALSE))=TRUE,0,VLOOKUP(B142,'Regioturnier 1'!$B$3:$C$34,2,FALSE)),IF(ISNA(VLOOKUP(B142,'Regioturnier 1'!$F$3:$G$34,2,FALSE))=TRUE,0,VLOOKUP(B142,'Regioturnier 1'!$F$3:$G$34,2,FALSE)),IF(ISNA(VLOOKUP(B142,'Regioturnier 1'!$J$3:$K$34,2,FALSE))=TRUE,0,VLOOKUP(B142,'Regioturnier 1'!$J$3:$K$34,2,FALSE)),IF(ISNA(VLOOKUP(B142,'Regioturnier 1'!$N$3:$O$34,2,FALSE))=TRUE,0,VLOOKUP(B142,'Regioturnier 1'!$N$3:$O$34,2,FALSE)),IF(ISNA(VLOOKUP(B142,'Regioturnier 1'!$R$3:$S$34,2,FALSE))=TRUE,0,VLOOKUP(B142,'Regioturnier 1'!$R$3:$S$34,2,FALSE)), IF(ISNA(VLOOKUP(B142,'Regioturnier 1'!$V$3:$W$34,2,FALSE))=TRUE,0,VLOOKUP(B142,'Regioturnier 1'!$V$3:$W$34,2,FALSE)), IF(ISNA(VLOOKUP(B142,'Regioturnier 1'!$Z$3:$AA$34,2,FALSE))=TRUE,0,VLOOKUP(B142,'Regioturnier 1'!$Z$3:$AA$34,2,FALSE)))</f>
        <v>0</v>
      </c>
      <c r="P142" s="105">
        <f>MAX(IF(ISNA(VLOOKUP(B142,'Regioturnier 2'!$B$3:$C$34,2,FALSE))=TRUE,0,VLOOKUP(B142,'Regioturnier 2'!$B$3:$C$34,2,FALSE)),IF(ISNA(VLOOKUP(B142,'Regioturnier 2'!$F$3:$G$34,2,FALSE))=TRUE,0,VLOOKUP(B142,'Regioturnier 2'!$F$3:$G$34,2,FALSE)),IF(ISNA(VLOOKUP(B142,'Regioturnier 2'!$J$3:$K$34,2,FALSE))=TRUE,0,VLOOKUP(B142,'Regioturnier 2'!$J$3:$K$34,2,FALSE)),IF(ISNA(VLOOKUP(B142,'Regioturnier 2'!$N$3:$O$34,2,FALSE))=TRUE,0,VLOOKUP(B142,'Regioturnier 2'!$N$3:$O$34,2,FALSE)),IF(ISNA(VLOOKUP(B142,'Regioturnier 2'!$R$3:$S$34,2,FALSE))=TRUE,0,VLOOKUP(B142,'Regioturnier 2'!$R$3:$S$34,2,FALSE)), IF(ISNA(VLOOKUP(B142,'Regioturnier 2'!$V$3:$W$34,2,FALSE))=TRUE,0,VLOOKUP(B142,'Regioturnier 2'!$V$3:$W$34,2,FALSE)), IF(ISNA(VLOOKUP(B142,'Regioturnier 2'!$Z$3:$AA$34,2,FALSE))=TRUE,0,VLOOKUP(B142,'Regioturnier 2'!$Z$3:$AA$34,2,FALSE)))</f>
        <v>0</v>
      </c>
      <c r="Q142" s="105">
        <f>MAX(IF(ISNA(VLOOKUP(B142,'Regioturnier 3'!$B$3:$C$34,2,FALSE))=TRUE,0,VLOOKUP(B142,'Regioturnier 3'!$B$3:$C$34,2,FALSE)),IF(ISNA(VLOOKUP(B142,'Regioturnier 3'!$F$3:$G$34,2,FALSE))=TRUE,0,VLOOKUP(B142,'Regioturnier 3'!$F$3:$G$34,2,FALSE)),IF(ISNA(VLOOKUP(B142,'Regioturnier 3'!$J$3:$K$34,2,FALSE))=TRUE,0,VLOOKUP(B142,'Regioturnier 3'!$J$3:$K$34,2,FALSE)),IF(ISNA(VLOOKUP(B142,'Regioturnier 3'!$N$3:$O$34,2,FALSE))=TRUE,0,VLOOKUP(B142,'Regioturnier 3'!$N$3:$O$34,2,FALSE)),IF(ISNA(VLOOKUP(B142,'Regioturnier 3'!$R$3:$S$34,2,FALSE))=TRUE,0,VLOOKUP(B142,'Regioturnier 3'!$R$3:$S$34,2,FALSE)), IF(ISNA(VLOOKUP(B142,'Regioturnier 3'!$V$3:$W$34,2,FALSE))=TRUE,0,VLOOKUP(B142,'Regioturnier 3'!$V$3:$W$34,2,FALSE)), IF(ISNA(VLOOKUP(B142,'Regioturnier 3'!$Z$3:$AA$34,2,FALSE))=TRUE,0,VLOOKUP(B142,'Regioturnier 3'!$Z$3:$AA$34,2,FALSE)))</f>
        <v>0</v>
      </c>
      <c r="R142" s="108">
        <f>0.5*INDEX($H142:$N142,MATCH(LARGE($H142:$N142,1),$H142:$N142,0))+0.3*INDEX($H142:$N142,MATCH(LARGE($H142:$N142,2),$H142:$N142,0))+0.2*INDEX($H142:$N142,MATCH(LARGE($H142:$N142,3),$H142:$N142,0))</f>
        <v>79</v>
      </c>
      <c r="S142" s="108">
        <f>0.6*INDEX(O142:Q142,MATCH(LARGE(O142:Q142,1),O142:Q142,0))+0.4*INDEX(O142:Q142,MATCH(LARGE(O142:Q142,2),O142:Q142,0))+0*INDEX(O142:Q142,MATCH(LARGE(O142:Q142,3),O142:Q142,0))</f>
        <v>0</v>
      </c>
      <c r="T142" s="105">
        <f>1*INDEX(R142:S142,MATCH(LARGE(R142:S142,1),R142:S142,0))+0*INDEX(R142:S142,MATCH(LARGE(R142:S142,2),R142:S142,0))</f>
        <v>79</v>
      </c>
      <c r="U142" s="21"/>
      <c r="V142" s="21"/>
      <c r="W142" s="21"/>
      <c r="X142" s="21"/>
      <c r="Y142" s="21"/>
      <c r="Z142" s="21"/>
    </row>
    <row r="143" spans="1:26" ht="12.75" customHeight="1" x14ac:dyDescent="0.3">
      <c r="A143" s="15">
        <v>142</v>
      </c>
      <c r="B143" s="16" t="s">
        <v>156</v>
      </c>
      <c r="C143" s="17" t="s">
        <v>72</v>
      </c>
      <c r="D143" s="15" t="s">
        <v>22</v>
      </c>
      <c r="E143" s="18" t="s">
        <v>23</v>
      </c>
      <c r="F143" s="15" t="s">
        <v>157</v>
      </c>
      <c r="G143" s="22">
        <v>2014</v>
      </c>
      <c r="H143" s="15">
        <f>MAX(IF(ISNA(VLOOKUP(B143,'WBV 1'!$B$3:$C$34,2,FALSE))=TRUE,0,VLOOKUP(B143,'WBV 1'!$B$3:$C$34,2,FALSE)),IF(ISNA(VLOOKUP(B143,'WBV 1'!$F$3:$G$34,2,FALSE))=TRUE,0,VLOOKUP(B143,'WBV 1'!$F$3:$G$34,2,FALSE)),IF(ISNA(VLOOKUP(B143,'WBV 1'!$J$3:$K$34,2,FALSE))=TRUE,0,VLOOKUP(B143,'WBV 1'!$J$3:$K$34,2,FALSE)),IF(ISNA(VLOOKUP(B143,'WBV 1'!$N$3:$O$34,2,FALSE))=TRUE,0,VLOOKUP(B143,'WBV 1'!$N$3:$O$34,2,FALSE)))</f>
        <v>0</v>
      </c>
      <c r="I143" s="15">
        <f>MAX(IF(ISNA(VLOOKUP(B143,'WBV 2'!$B$3:$C$34,2,FALSE))=TRUE,0,VLOOKUP(B143,'WBV 2'!$B$3:$C$34,2,FALSE)),IF(ISNA(VLOOKUP(B143,'WBV 2'!$F$3:$G$34,2,FALSE))=TRUE,0,VLOOKUP(B143,'WBV 2'!$F$3:$G$34,2,FALSE)),IF(ISNA(VLOOKUP(B143,'WBV 2'!$J$3:$K$34,2,FALSE))=TRUE,0,VLOOKUP(B143,'WBV 2'!$J$3:$K$34,2,FALSE)),IF(ISNA(VLOOKUP(B143,'WBV 2'!$N$3:$O$34,2,FALSE))=TRUE,0,VLOOKUP(B143,'WBV 2'!$N$3:$O$34,2,FALSE)))</f>
        <v>0</v>
      </c>
      <c r="J143" s="15">
        <f>MAX(IF(ISNA(VLOOKUP(B143,'WBV 3'!$B$3:$C$34,2,FALSE))=TRUE,0,VLOOKUP(B143,'WBV 3'!$B$3:$C$34,2,FALSE)),IF(ISNA(VLOOKUP(B143,'WBV 3'!$F$3:$G$34,2,FALSE))=TRUE,0,VLOOKUP(B143,'WBV 3'!$F$3:$G$34,2,FALSE)),IF(ISNA(VLOOKUP(B143,'WBV 3'!$J$3:$K$34,2,FALSE))=TRUE,0,VLOOKUP(B143,'WBV 3'!$J$3:$K$34,2,FALSE)),IF(ISNA(VLOOKUP(B143,'WBV 3'!$N$3:$O$34,2,FALSE))=TRUE,0,VLOOKUP(B143,'WBV 3'!$N$3:$O$34,2,FALSE)))</f>
        <v>0</v>
      </c>
      <c r="K143" s="15">
        <f>MAX(IF(ISNA(VLOOKUP(B143,'WBV 4'!$B$3:$C$34,2,FALSE))=TRUE,0,VLOOKUP(B143,'WBV 4'!$B$3:$C$34,2,FALSE)),IF(ISNA(VLOOKUP(B143,'WBV 4'!$F$3:$G$34,2,FALSE))=TRUE,0,VLOOKUP(B143,'WBV 4'!$F$3:$G$34,2,FALSE)),IF(ISNA(VLOOKUP(B143,'WBV 4'!$J$3:$K$34,2,FALSE))=TRUE,0,VLOOKUP(B143,'WBV 4'!$J$3:$K$34,2,FALSE)),IF(ISNA(VLOOKUP(B143,'WBV 4'!$N$3:$O$34,2,FALSE))=TRUE,0,VLOOKUP(B143,'WBV 4'!$N$3:$O$34,2,FALSE)))</f>
        <v>0</v>
      </c>
      <c r="L143" s="19">
        <f>MAX(IF(ISNA(VLOOKUP(B143,'NÖBV 1'!$B$3:$C$34,2,FALSE))=TRUE,0,VLOOKUP(B143,'NÖBV 1'!$B$3:$C$34,2,FALSE)),IF(ISNA(VLOOKUP(B143,'NÖBV 1'!$F$3:$G$34,2,FALSE))=TRUE,0,VLOOKUP(B143,'NÖBV 1'!$F$3:$G$34,2,FALSE)),IF(ISNA(VLOOKUP(B143,'NÖBV 1'!$J$3:$K$34,2,FALSE))=TRUE,0,VLOOKUP(B143,'NÖBV 1'!$J$3:$K$34,2,FALSE)),IF(ISNA(VLOOKUP(B143,'NÖBV 1'!$N$3:$O$34,2,FALSE))=TRUE,0,VLOOKUP(B143,'NÖBV 1'!$N$3:$O$34,2,FALSE)))</f>
        <v>156</v>
      </c>
      <c r="M143" s="19">
        <f>MAX(IF(ISNA(VLOOKUP(B143,'NÖBV 2'!$B$3:$C$34,2,FALSE))=TRUE,0,VLOOKUP(B143,'NÖBV 2'!$B$3:$C$34,2,FALSE)),IF(ISNA(VLOOKUP(B143,'NÖBV 2'!$F$3:$G$34,2,FALSE))=TRUE,0,VLOOKUP(B143,'NÖBV 2'!$F$3:$G$34,2,FALSE)),IF(ISNA(VLOOKUP(B143,'NÖBV 2'!$J$3:$K$34,2,FALSE))=TRUE,0,VLOOKUP(B143,'NÖBV 2'!$J$3:$K$34,2,FALSE)),IF(ISNA(VLOOKUP(B143,'NÖBV 2'!$N$3:$O$34,2,FALSE))=TRUE,0,VLOOKUP(B143,'NÖBV 2'!$N$3:$O$34,2,FALSE)))</f>
        <v>0</v>
      </c>
      <c r="N143" s="19">
        <f>MAX(IF(ISNA(VLOOKUP(B143,'NÖBV 3'!$B$3:$C$34,2,FALSE))=TRUE,0,VLOOKUP(B143,'NÖBV 3'!$B$3:$C$34,2,FALSE)),IF(ISNA(VLOOKUP(B143,'NÖBV 3'!$F$3:$G$34,2,FALSE))=TRUE,0,VLOOKUP(B143,'NÖBV 3'!$F$3:$G$34,2,FALSE)),IF(ISNA(VLOOKUP(B143,'NÖBV 3'!$J$3:$K$34,2,FALSE))=TRUE,0,VLOOKUP(B143,'NÖBV 3'!$J$3:$K$34,2,FALSE)),IF(ISNA(VLOOKUP(B143,'NÖBV 3'!$N$3:$O$34,2,FALSE))=TRUE,0,VLOOKUP(B143,'NÖBV 3'!$N$3:$O$34,2,FALSE)))</f>
        <v>0</v>
      </c>
      <c r="O143" s="15">
        <f>MAX(IF(ISNA(VLOOKUP(B143,'Regioturnier 1'!$B$3:$C$34,2,FALSE))=TRUE,0,VLOOKUP(B143,'Regioturnier 1'!$B$3:$C$34,2,FALSE)),IF(ISNA(VLOOKUP(B143,'Regioturnier 1'!$F$3:$G$34,2,FALSE))=TRUE,0,VLOOKUP(B143,'Regioturnier 1'!$F$3:$G$34,2,FALSE)),IF(ISNA(VLOOKUP(B143,'Regioturnier 1'!$J$3:$K$34,2,FALSE))=TRUE,0,VLOOKUP(B143,'Regioturnier 1'!$J$3:$K$34,2,FALSE)),IF(ISNA(VLOOKUP(B143,'Regioturnier 1'!$N$3:$O$34,2,FALSE))=TRUE,0,VLOOKUP(B143,'Regioturnier 1'!$N$3:$O$34,2,FALSE)),IF(ISNA(VLOOKUP(B143,'Regioturnier 1'!$R$3:$S$34,2,FALSE))=TRUE,0,VLOOKUP(B143,'Regioturnier 1'!$R$3:$S$34,2,FALSE)), IF(ISNA(VLOOKUP(B143,'Regioturnier 1'!$V$3:$W$34,2,FALSE))=TRUE,0,VLOOKUP(B143,'Regioturnier 1'!$V$3:$W$34,2,FALSE)), IF(ISNA(VLOOKUP(B143,'Regioturnier 1'!$Z$3:$AA$34,2,FALSE))=TRUE,0,VLOOKUP(B143,'Regioturnier 1'!$Z$3:$AA$34,2,FALSE)))</f>
        <v>0</v>
      </c>
      <c r="P143" s="15">
        <f>MAX(IF(ISNA(VLOOKUP(B143,'Regioturnier 2'!$B$3:$C$34,2,FALSE))=TRUE,0,VLOOKUP(B143,'Regioturnier 2'!$B$3:$C$34,2,FALSE)),IF(ISNA(VLOOKUP(B143,'Regioturnier 2'!$F$3:$G$34,2,FALSE))=TRUE,0,VLOOKUP(B143,'Regioturnier 2'!$F$3:$G$34,2,FALSE)),IF(ISNA(VLOOKUP(B143,'Regioturnier 2'!$J$3:$K$34,2,FALSE))=TRUE,0,VLOOKUP(B143,'Regioturnier 2'!$J$3:$K$34,2,FALSE)),IF(ISNA(VLOOKUP(B143,'Regioturnier 2'!$N$3:$O$34,2,FALSE))=TRUE,0,VLOOKUP(B143,'Regioturnier 2'!$N$3:$O$34,2,FALSE)),IF(ISNA(VLOOKUP(B143,'Regioturnier 2'!$R$3:$S$34,2,FALSE))=TRUE,0,VLOOKUP(B143,'Regioturnier 2'!$R$3:$S$34,2,FALSE)), IF(ISNA(VLOOKUP(B143,'Regioturnier 2'!$V$3:$W$34,2,FALSE))=TRUE,0,VLOOKUP(B143,'Regioturnier 2'!$V$3:$W$34,2,FALSE)), IF(ISNA(VLOOKUP(B143,'Regioturnier 2'!$Z$3:$AA$34,2,FALSE))=TRUE,0,VLOOKUP(B143,'Regioturnier 2'!$Z$3:$AA$34,2,FALSE)))</f>
        <v>0</v>
      </c>
      <c r="Q143" s="15">
        <f>MAX(IF(ISNA(VLOOKUP(B143,'Regioturnier 3'!$B$3:$C$34,2,FALSE))=TRUE,0,VLOOKUP(B143,'Regioturnier 3'!$B$3:$C$34,2,FALSE)),IF(ISNA(VLOOKUP(B143,'Regioturnier 3'!$F$3:$G$34,2,FALSE))=TRUE,0,VLOOKUP(B143,'Regioturnier 3'!$F$3:$G$34,2,FALSE)),IF(ISNA(VLOOKUP(B143,'Regioturnier 3'!$J$3:$K$34,2,FALSE))=TRUE,0,VLOOKUP(B143,'Regioturnier 3'!$J$3:$K$34,2,FALSE)),IF(ISNA(VLOOKUP(B143,'Regioturnier 3'!$N$3:$O$34,2,FALSE))=TRUE,0,VLOOKUP(B143,'Regioturnier 3'!$N$3:$O$34,2,FALSE)),IF(ISNA(VLOOKUP(B143,'Regioturnier 3'!$R$3:$S$34,2,FALSE))=TRUE,0,VLOOKUP(B143,'Regioturnier 3'!$R$3:$S$34,2,FALSE)), IF(ISNA(VLOOKUP(B143,'Regioturnier 3'!$V$3:$W$34,2,FALSE))=TRUE,0,VLOOKUP(B143,'Regioturnier 3'!$V$3:$W$34,2,FALSE)), IF(ISNA(VLOOKUP(B143,'Regioturnier 3'!$Z$3:$AA$34,2,FALSE))=TRUE,0,VLOOKUP(B143,'Regioturnier 3'!$Z$3:$AA$34,2,FALSE)))</f>
        <v>0</v>
      </c>
      <c r="R143" s="20">
        <f>0.5*INDEX($H143:$N143,MATCH(LARGE($H143:$N143,1),$H143:$N143,0))+0.3*INDEX($H143:$N143,MATCH(LARGE($H143:$N143,2),$H143:$N143,0))+0.2*INDEX($H143:$N143,MATCH(LARGE($H143:$N143,3),$H143:$N143,0))</f>
        <v>78</v>
      </c>
      <c r="S143" s="20">
        <f>0.6*INDEX(O143:Q143,MATCH(LARGE(O143:Q143,1),O143:Q143,0))+0.4*INDEX(O143:Q143,MATCH(LARGE(O143:Q143,2),O143:Q143,0))+0*INDEX(O143:Q143,MATCH(LARGE(O143:Q143,3),O143:Q143,0))</f>
        <v>0</v>
      </c>
      <c r="T143" s="15">
        <f>1*INDEX(R143:S143,MATCH(LARGE(R143:S143,1),R143:S143,0))+0*INDEX(R143:S143,MATCH(LARGE(R143:S143,2),R143:S143,0))</f>
        <v>78</v>
      </c>
      <c r="U143" s="21"/>
      <c r="V143" s="21"/>
      <c r="W143" s="21"/>
      <c r="X143" s="21"/>
      <c r="Y143" s="21"/>
      <c r="Z143" s="21"/>
    </row>
    <row r="144" spans="1:26" ht="12.75" customHeight="1" x14ac:dyDescent="0.3">
      <c r="A144" s="15">
        <v>143</v>
      </c>
      <c r="B144" s="16" t="s">
        <v>520</v>
      </c>
      <c r="C144" s="17" t="s">
        <v>160</v>
      </c>
      <c r="D144" s="15" t="s">
        <v>26</v>
      </c>
      <c r="E144" s="18" t="s">
        <v>23</v>
      </c>
      <c r="F144" s="15" t="s">
        <v>550</v>
      </c>
      <c r="G144" s="22">
        <v>2014</v>
      </c>
      <c r="H144" s="15">
        <f>MAX(IF(ISNA(VLOOKUP(B144,'WBV 1'!$B$3:$C$34,2,FALSE))=TRUE,0,VLOOKUP(B144,'WBV 1'!$B$3:$C$34,2,FALSE)),IF(ISNA(VLOOKUP(B144,'WBV 1'!$F$3:$G$34,2,FALSE))=TRUE,0,VLOOKUP(B144,'WBV 1'!$F$3:$G$34,2,FALSE)),IF(ISNA(VLOOKUP(B144,'WBV 1'!$J$3:$K$34,2,FALSE))=TRUE,0,VLOOKUP(B144,'WBV 1'!$J$3:$K$34,2,FALSE)),IF(ISNA(VLOOKUP(B144,'WBV 1'!$N$3:$O$34,2,FALSE))=TRUE,0,VLOOKUP(B144,'WBV 1'!$N$3:$O$34,2,FALSE)))</f>
        <v>0</v>
      </c>
      <c r="I144" s="15">
        <f>MAX(IF(ISNA(VLOOKUP(B144,'WBV 2'!$B$3:$C$34,2,FALSE))=TRUE,0,VLOOKUP(B144,'WBV 2'!$B$3:$C$34,2,FALSE)),IF(ISNA(VLOOKUP(B144,'WBV 2'!$F$3:$G$34,2,FALSE))=TRUE,0,VLOOKUP(B144,'WBV 2'!$F$3:$G$34,2,FALSE)),IF(ISNA(VLOOKUP(B144,'WBV 2'!$J$3:$K$34,2,FALSE))=TRUE,0,VLOOKUP(B144,'WBV 2'!$J$3:$K$34,2,FALSE)),IF(ISNA(VLOOKUP(B144,'WBV 2'!$N$3:$O$34,2,FALSE))=TRUE,0,VLOOKUP(B144,'WBV 2'!$N$3:$O$34,2,FALSE)))</f>
        <v>156</v>
      </c>
      <c r="J144" s="15">
        <f>MAX(IF(ISNA(VLOOKUP(B144,'WBV 3'!$B$3:$C$34,2,FALSE))=TRUE,0,VLOOKUP(B144,'WBV 3'!$B$3:$C$34,2,FALSE)),IF(ISNA(VLOOKUP(B144,'WBV 3'!$F$3:$G$34,2,FALSE))=TRUE,0,VLOOKUP(B144,'WBV 3'!$F$3:$G$34,2,FALSE)),IF(ISNA(VLOOKUP(B144,'WBV 3'!$J$3:$K$34,2,FALSE))=TRUE,0,VLOOKUP(B144,'WBV 3'!$J$3:$K$34,2,FALSE)),IF(ISNA(VLOOKUP(B144,'WBV 3'!$N$3:$O$34,2,FALSE))=TRUE,0,VLOOKUP(B144,'WBV 3'!$N$3:$O$34,2,FALSE)))</f>
        <v>0</v>
      </c>
      <c r="K144" s="15">
        <f>MAX(IF(ISNA(VLOOKUP(B144,'WBV 4'!$B$3:$C$34,2,FALSE))=TRUE,0,VLOOKUP(B144,'WBV 4'!$B$3:$C$34,2,FALSE)),IF(ISNA(VLOOKUP(B144,'WBV 4'!$F$3:$G$34,2,FALSE))=TRUE,0,VLOOKUP(B144,'WBV 4'!$F$3:$G$34,2,FALSE)),IF(ISNA(VLOOKUP(B144,'WBV 4'!$J$3:$K$34,2,FALSE))=TRUE,0,VLOOKUP(B144,'WBV 4'!$J$3:$K$34,2,FALSE)),IF(ISNA(VLOOKUP(B144,'WBV 4'!$N$3:$O$34,2,FALSE))=TRUE,0,VLOOKUP(B144,'WBV 4'!$N$3:$O$34,2,FALSE)))</f>
        <v>0</v>
      </c>
      <c r="L144" s="19">
        <f>MAX(IF(ISNA(VLOOKUP(B144,'NÖBV 1'!$B$3:$C$34,2,FALSE))=TRUE,0,VLOOKUP(B144,'NÖBV 1'!$B$3:$C$34,2,FALSE)),IF(ISNA(VLOOKUP(B144,'NÖBV 1'!$F$3:$G$34,2,FALSE))=TRUE,0,VLOOKUP(B144,'NÖBV 1'!$F$3:$G$34,2,FALSE)),IF(ISNA(VLOOKUP(B144,'NÖBV 1'!$J$3:$K$34,2,FALSE))=TRUE,0,VLOOKUP(B144,'NÖBV 1'!$J$3:$K$34,2,FALSE)),IF(ISNA(VLOOKUP(B144,'NÖBV 1'!$N$3:$O$34,2,FALSE))=TRUE,0,VLOOKUP(B144,'NÖBV 1'!$N$3:$O$34,2,FALSE)))</f>
        <v>0</v>
      </c>
      <c r="M144" s="19">
        <f>MAX(IF(ISNA(VLOOKUP(B144,'NÖBV 2'!$B$3:$C$34,2,FALSE))=TRUE,0,VLOOKUP(B144,'NÖBV 2'!$B$3:$C$34,2,FALSE)),IF(ISNA(VLOOKUP(B144,'NÖBV 2'!$F$3:$G$34,2,FALSE))=TRUE,0,VLOOKUP(B144,'NÖBV 2'!$F$3:$G$34,2,FALSE)),IF(ISNA(VLOOKUP(B144,'NÖBV 2'!$J$3:$K$34,2,FALSE))=TRUE,0,VLOOKUP(B144,'NÖBV 2'!$J$3:$K$34,2,FALSE)),IF(ISNA(VLOOKUP(B144,'NÖBV 2'!$N$3:$O$34,2,FALSE))=TRUE,0,VLOOKUP(B144,'NÖBV 2'!$N$3:$O$34,2,FALSE)))</f>
        <v>0</v>
      </c>
      <c r="N144" s="19">
        <f>MAX(IF(ISNA(VLOOKUP(B144,'NÖBV 3'!$B$3:$C$34,2,FALSE))=TRUE,0,VLOOKUP(B144,'NÖBV 3'!$B$3:$C$34,2,FALSE)),IF(ISNA(VLOOKUP(B144,'NÖBV 3'!$F$3:$G$34,2,FALSE))=TRUE,0,VLOOKUP(B144,'NÖBV 3'!$F$3:$G$34,2,FALSE)),IF(ISNA(VLOOKUP(B144,'NÖBV 3'!$J$3:$K$34,2,FALSE))=TRUE,0,VLOOKUP(B144,'NÖBV 3'!$J$3:$K$34,2,FALSE)),IF(ISNA(VLOOKUP(B144,'NÖBV 3'!$N$3:$O$34,2,FALSE))=TRUE,0,VLOOKUP(B144,'NÖBV 3'!$N$3:$O$34,2,FALSE)))</f>
        <v>0</v>
      </c>
      <c r="O144" s="15">
        <f>MAX(IF(ISNA(VLOOKUP(B144,'Regioturnier 1'!$B$3:$C$34,2,FALSE))=TRUE,0,VLOOKUP(B144,'Regioturnier 1'!$B$3:$C$34,2,FALSE)),IF(ISNA(VLOOKUP(B144,'Regioturnier 1'!$F$3:$G$34,2,FALSE))=TRUE,0,VLOOKUP(B144,'Regioturnier 1'!$F$3:$G$34,2,FALSE)),IF(ISNA(VLOOKUP(B144,'Regioturnier 1'!$J$3:$K$34,2,FALSE))=TRUE,0,VLOOKUP(B144,'Regioturnier 1'!$J$3:$K$34,2,FALSE)),IF(ISNA(VLOOKUP(B144,'Regioturnier 1'!$N$3:$O$34,2,FALSE))=TRUE,0,VLOOKUP(B144,'Regioturnier 1'!$N$3:$O$34,2,FALSE)),IF(ISNA(VLOOKUP(B144,'Regioturnier 1'!$R$3:$S$34,2,FALSE))=TRUE,0,VLOOKUP(B144,'Regioturnier 1'!$R$3:$S$34,2,FALSE)), IF(ISNA(VLOOKUP(B144,'Regioturnier 1'!$V$3:$W$34,2,FALSE))=TRUE,0,VLOOKUP(B144,'Regioturnier 1'!$V$3:$W$34,2,FALSE)), IF(ISNA(VLOOKUP(B144,'Regioturnier 1'!$Z$3:$AA$34,2,FALSE))=TRUE,0,VLOOKUP(B144,'Regioturnier 1'!$Z$3:$AA$34,2,FALSE)))</f>
        <v>0</v>
      </c>
      <c r="P144" s="15">
        <f>MAX(IF(ISNA(VLOOKUP(B144,'Regioturnier 2'!$B$3:$C$34,2,FALSE))=TRUE,0,VLOOKUP(B144,'Regioturnier 2'!$B$3:$C$34,2,FALSE)),IF(ISNA(VLOOKUP(B144,'Regioturnier 2'!$F$3:$G$34,2,FALSE))=TRUE,0,VLOOKUP(B144,'Regioturnier 2'!$F$3:$G$34,2,FALSE)),IF(ISNA(VLOOKUP(B144,'Regioturnier 2'!$J$3:$K$34,2,FALSE))=TRUE,0,VLOOKUP(B144,'Regioturnier 2'!$J$3:$K$34,2,FALSE)),IF(ISNA(VLOOKUP(B144,'Regioturnier 2'!$N$3:$O$34,2,FALSE))=TRUE,0,VLOOKUP(B144,'Regioturnier 2'!$N$3:$O$34,2,FALSE)),IF(ISNA(VLOOKUP(B144,'Regioturnier 2'!$R$3:$S$34,2,FALSE))=TRUE,0,VLOOKUP(B144,'Regioturnier 2'!$R$3:$S$34,2,FALSE)), IF(ISNA(VLOOKUP(B144,'Regioturnier 2'!$V$3:$W$34,2,FALSE))=TRUE,0,VLOOKUP(B144,'Regioturnier 2'!$V$3:$W$34,2,FALSE)), IF(ISNA(VLOOKUP(B144,'Regioturnier 2'!$Z$3:$AA$34,2,FALSE))=TRUE,0,VLOOKUP(B144,'Regioturnier 2'!$Z$3:$AA$34,2,FALSE)))</f>
        <v>0</v>
      </c>
      <c r="Q144" s="15">
        <f>MAX(IF(ISNA(VLOOKUP(B144,'Regioturnier 3'!$B$3:$C$34,2,FALSE))=TRUE,0,VLOOKUP(B144,'Regioturnier 3'!$B$3:$C$34,2,FALSE)),IF(ISNA(VLOOKUP(B144,'Regioturnier 3'!$F$3:$G$34,2,FALSE))=TRUE,0,VLOOKUP(B144,'Regioturnier 3'!$F$3:$G$34,2,FALSE)),IF(ISNA(VLOOKUP(B144,'Regioturnier 3'!$J$3:$K$34,2,FALSE))=TRUE,0,VLOOKUP(B144,'Regioturnier 3'!$J$3:$K$34,2,FALSE)),IF(ISNA(VLOOKUP(B144,'Regioturnier 3'!$N$3:$O$34,2,FALSE))=TRUE,0,VLOOKUP(B144,'Regioturnier 3'!$N$3:$O$34,2,FALSE)),IF(ISNA(VLOOKUP(B144,'Regioturnier 3'!$R$3:$S$34,2,FALSE))=TRUE,0,VLOOKUP(B144,'Regioturnier 3'!$R$3:$S$34,2,FALSE)), IF(ISNA(VLOOKUP(B144,'Regioturnier 3'!$V$3:$W$34,2,FALSE))=TRUE,0,VLOOKUP(B144,'Regioturnier 3'!$V$3:$W$34,2,FALSE)), IF(ISNA(VLOOKUP(B144,'Regioturnier 3'!$Z$3:$AA$34,2,FALSE))=TRUE,0,VLOOKUP(B144,'Regioturnier 3'!$Z$3:$AA$34,2,FALSE)))</f>
        <v>0</v>
      </c>
      <c r="R144" s="20">
        <f>0.5*INDEX($H144:$N144,MATCH(LARGE($H144:$N144,1),$H144:$N144,0))+0.3*INDEX($H144:$N144,MATCH(LARGE($H144:$N144,2),$H144:$N144,0))+0.2*INDEX($H144:$N144,MATCH(LARGE($H144:$N144,3),$H144:$N144,0))</f>
        <v>78</v>
      </c>
      <c r="S144" s="20">
        <f>0.6*INDEX(O144:Q144,MATCH(LARGE(O144:Q144,1),O144:Q144,0))+0.4*INDEX(O144:Q144,MATCH(LARGE(O144:Q144,2),O144:Q144,0))+0*INDEX(O144:Q144,MATCH(LARGE(O144:Q144,3),O144:Q144,0))</f>
        <v>0</v>
      </c>
      <c r="T144" s="15">
        <f>1*INDEX(R144:S144,MATCH(LARGE(R144:S144,1),R144:S144,0))+0*INDEX(R144:S144,MATCH(LARGE(R144:S144,2),R144:S144,0))</f>
        <v>78</v>
      </c>
      <c r="U144" s="21"/>
      <c r="V144" s="21"/>
      <c r="W144" s="21"/>
      <c r="X144" s="21"/>
      <c r="Y144" s="21"/>
      <c r="Z144" s="21"/>
    </row>
    <row r="145" spans="1:26" ht="12.75" customHeight="1" x14ac:dyDescent="0.3">
      <c r="A145" s="15">
        <v>144</v>
      </c>
      <c r="B145" s="106" t="s">
        <v>574</v>
      </c>
      <c r="C145" s="106" t="s">
        <v>93</v>
      </c>
      <c r="D145" s="106" t="s">
        <v>22</v>
      </c>
      <c r="E145" s="106" t="s">
        <v>23</v>
      </c>
      <c r="F145" s="106" t="s">
        <v>590</v>
      </c>
      <c r="G145" s="107">
        <v>2013</v>
      </c>
      <c r="H145" s="105">
        <f>MAX(IF(ISNA(VLOOKUP(B145,'WBV 1'!$B$3:$C$34,2,FALSE))=TRUE,0,VLOOKUP(B145,'WBV 1'!$B$3:$C$34,2,FALSE)),IF(ISNA(VLOOKUP(B145,'WBV 1'!$F$3:$G$34,2,FALSE))=TRUE,0,VLOOKUP(B145,'WBV 1'!$F$3:$G$34,2,FALSE)),IF(ISNA(VLOOKUP(B145,'WBV 1'!$J$3:$K$34,2,FALSE))=TRUE,0,VLOOKUP(B145,'WBV 1'!$J$3:$K$34,2,FALSE)),IF(ISNA(VLOOKUP(B145,'WBV 1'!$N$3:$O$34,2,FALSE))=TRUE,0,VLOOKUP(B145,'WBV 1'!$N$3:$O$34,2,FALSE)))</f>
        <v>0</v>
      </c>
      <c r="I145" s="105">
        <f>MAX(IF(ISNA(VLOOKUP(B145,'WBV 2'!$B$3:$C$34,2,FALSE))=TRUE,0,VLOOKUP(B145,'WBV 2'!$B$3:$C$34,2,FALSE)),IF(ISNA(VLOOKUP(B145,'WBV 2'!$F$3:$G$34,2,FALSE))=TRUE,0,VLOOKUP(B145,'WBV 2'!$F$3:$G$34,2,FALSE)),IF(ISNA(VLOOKUP(B145,'WBV 2'!$J$3:$K$34,2,FALSE))=TRUE,0,VLOOKUP(B145,'WBV 2'!$J$3:$K$34,2,FALSE)),IF(ISNA(VLOOKUP(B145,'WBV 2'!$N$3:$O$34,2,FALSE))=TRUE,0,VLOOKUP(B145,'WBV 2'!$N$3:$O$34,2,FALSE)))</f>
        <v>0</v>
      </c>
      <c r="J145" s="105">
        <f>MAX(IF(ISNA(VLOOKUP(B145,'WBV 3'!$B$3:$C$34,2,FALSE))=TRUE,0,VLOOKUP(B145,'WBV 3'!$B$3:$C$34,2,FALSE)),IF(ISNA(VLOOKUP(B145,'WBV 3'!$F$3:$G$34,2,FALSE))=TRUE,0,VLOOKUP(B145,'WBV 3'!$F$3:$G$34,2,FALSE)),IF(ISNA(VLOOKUP(B145,'WBV 3'!$J$3:$K$34,2,FALSE))=TRUE,0,VLOOKUP(B145,'WBV 3'!$J$3:$K$34,2,FALSE)),IF(ISNA(VLOOKUP(B145,'WBV 3'!$N$3:$O$34,2,FALSE))=TRUE,0,VLOOKUP(B145,'WBV 3'!$N$3:$O$34,2,FALSE)))</f>
        <v>0</v>
      </c>
      <c r="K145" s="105">
        <f>MAX(IF(ISNA(VLOOKUP(B145,'WBV 4'!$B$3:$C$34,2,FALSE))=TRUE,0,VLOOKUP(B145,'WBV 4'!$B$3:$C$34,2,FALSE)),IF(ISNA(VLOOKUP(B145,'WBV 4'!$F$3:$G$34,2,FALSE))=TRUE,0,VLOOKUP(B145,'WBV 4'!$F$3:$G$34,2,FALSE)),IF(ISNA(VLOOKUP(B145,'WBV 4'!$J$3:$K$34,2,FALSE))=TRUE,0,VLOOKUP(B145,'WBV 4'!$J$3:$K$34,2,FALSE)),IF(ISNA(VLOOKUP(B145,'WBV 4'!$N$3:$O$34,2,FALSE))=TRUE,0,VLOOKUP(B145,'WBV 4'!$N$3:$O$34,2,FALSE)))</f>
        <v>0</v>
      </c>
      <c r="L145" s="105">
        <f>MAX(IF(ISNA(VLOOKUP(B145,'NÖBV 1'!$B$3:$C$34,2,FALSE))=TRUE,0,VLOOKUP(B145,'NÖBV 1'!$B$3:$C$34,2,FALSE)),IF(ISNA(VLOOKUP(B145,'NÖBV 1'!$F$3:$G$34,2,FALSE))=TRUE,0,VLOOKUP(B145,'NÖBV 1'!$F$3:$G$34,2,FALSE)),IF(ISNA(VLOOKUP(B145,'NÖBV 1'!$J$3:$K$34,2,FALSE))=TRUE,0,VLOOKUP(B145,'NÖBV 1'!$J$3:$K$34,2,FALSE)),IF(ISNA(VLOOKUP(B145,'NÖBV 1'!$N$3:$O$34,2,FALSE))=TRUE,0,VLOOKUP(B145,'NÖBV 1'!$N$3:$O$34,2,FALSE)))</f>
        <v>0</v>
      </c>
      <c r="M145" s="105">
        <f>MAX(IF(ISNA(VLOOKUP(B145,'NÖBV 2'!$B$3:$C$34,2,FALSE))=TRUE,0,VLOOKUP(B145,'NÖBV 2'!$B$3:$C$34,2,FALSE)),IF(ISNA(VLOOKUP(B145,'NÖBV 2'!$F$3:$G$34,2,FALSE))=TRUE,0,VLOOKUP(B145,'NÖBV 2'!$F$3:$G$34,2,FALSE)),IF(ISNA(VLOOKUP(B145,'NÖBV 2'!$J$3:$K$34,2,FALSE))=TRUE,0,VLOOKUP(B145,'NÖBV 2'!$J$3:$K$34,2,FALSE)),IF(ISNA(VLOOKUP(B145,'NÖBV 2'!$N$3:$O$34,2,FALSE))=TRUE,0,VLOOKUP(B145,'NÖBV 2'!$N$3:$O$34,2,FALSE)))</f>
        <v>156</v>
      </c>
      <c r="N145" s="105">
        <f>MAX(IF(ISNA(VLOOKUP(B145,'NÖBV 3'!$B$3:$C$34,2,FALSE))=TRUE,0,VLOOKUP(B145,'NÖBV 3'!$B$3:$C$34,2,FALSE)),IF(ISNA(VLOOKUP(B145,'NÖBV 3'!$F$3:$G$34,2,FALSE))=TRUE,0,VLOOKUP(B145,'NÖBV 3'!$F$3:$G$34,2,FALSE)),IF(ISNA(VLOOKUP(B145,'NÖBV 3'!$J$3:$K$34,2,FALSE))=TRUE,0,VLOOKUP(B145,'NÖBV 3'!$J$3:$K$34,2,FALSE)),IF(ISNA(VLOOKUP(B145,'NÖBV 3'!$N$3:$O$34,2,FALSE))=TRUE,0,VLOOKUP(B145,'NÖBV 3'!$N$3:$O$34,2,FALSE)))</f>
        <v>0</v>
      </c>
      <c r="O145" s="105">
        <f>MAX(IF(ISNA(VLOOKUP(B145,'Regioturnier 1'!$B$3:$C$34,2,FALSE))=TRUE,0,VLOOKUP(B145,'Regioturnier 1'!$B$3:$C$34,2,FALSE)),IF(ISNA(VLOOKUP(B145,'Regioturnier 1'!$F$3:$G$34,2,FALSE))=TRUE,0,VLOOKUP(B145,'Regioturnier 1'!$F$3:$G$34,2,FALSE)),IF(ISNA(VLOOKUP(B145,'Regioturnier 1'!$J$3:$K$34,2,FALSE))=TRUE,0,VLOOKUP(B145,'Regioturnier 1'!$J$3:$K$34,2,FALSE)),IF(ISNA(VLOOKUP(B145,'Regioturnier 1'!$N$3:$O$34,2,FALSE))=TRUE,0,VLOOKUP(B145,'Regioturnier 1'!$N$3:$O$34,2,FALSE)),IF(ISNA(VLOOKUP(B145,'Regioturnier 1'!$R$3:$S$34,2,FALSE))=TRUE,0,VLOOKUP(B145,'Regioturnier 1'!$R$3:$S$34,2,FALSE)), IF(ISNA(VLOOKUP(B145,'Regioturnier 1'!$V$3:$W$34,2,FALSE))=TRUE,0,VLOOKUP(B145,'Regioturnier 1'!$V$3:$W$34,2,FALSE)), IF(ISNA(VLOOKUP(B145,'Regioturnier 1'!$Z$3:$AA$34,2,FALSE))=TRUE,0,VLOOKUP(B145,'Regioturnier 1'!$Z$3:$AA$34,2,FALSE)))</f>
        <v>0</v>
      </c>
      <c r="P145" s="105">
        <f>MAX(IF(ISNA(VLOOKUP(B145,'Regioturnier 2'!$B$3:$C$34,2,FALSE))=TRUE,0,VLOOKUP(B145,'Regioturnier 2'!$B$3:$C$34,2,FALSE)),IF(ISNA(VLOOKUP(B145,'Regioturnier 2'!$F$3:$G$34,2,FALSE))=TRUE,0,VLOOKUP(B145,'Regioturnier 2'!$F$3:$G$34,2,FALSE)),IF(ISNA(VLOOKUP(B145,'Regioturnier 2'!$J$3:$K$34,2,FALSE))=TRUE,0,VLOOKUP(B145,'Regioturnier 2'!$J$3:$K$34,2,FALSE)),IF(ISNA(VLOOKUP(B145,'Regioturnier 2'!$N$3:$O$34,2,FALSE))=TRUE,0,VLOOKUP(B145,'Regioturnier 2'!$N$3:$O$34,2,FALSE)),IF(ISNA(VLOOKUP(B145,'Regioturnier 2'!$R$3:$S$34,2,FALSE))=TRUE,0,VLOOKUP(B145,'Regioturnier 2'!$R$3:$S$34,2,FALSE)), IF(ISNA(VLOOKUP(B145,'Regioturnier 2'!$V$3:$W$34,2,FALSE))=TRUE,0,VLOOKUP(B145,'Regioturnier 2'!$V$3:$W$34,2,FALSE)), IF(ISNA(VLOOKUP(B145,'Regioturnier 2'!$Z$3:$AA$34,2,FALSE))=TRUE,0,VLOOKUP(B145,'Regioturnier 2'!$Z$3:$AA$34,2,FALSE)))</f>
        <v>0</v>
      </c>
      <c r="Q145" s="105">
        <f>MAX(IF(ISNA(VLOOKUP(B145,'Regioturnier 3'!$B$3:$C$34,2,FALSE))=TRUE,0,VLOOKUP(B145,'Regioturnier 3'!$B$3:$C$34,2,FALSE)),IF(ISNA(VLOOKUP(B145,'Regioturnier 3'!$F$3:$G$34,2,FALSE))=TRUE,0,VLOOKUP(B145,'Regioturnier 3'!$F$3:$G$34,2,FALSE)),IF(ISNA(VLOOKUP(B145,'Regioturnier 3'!$J$3:$K$34,2,FALSE))=TRUE,0,VLOOKUP(B145,'Regioturnier 3'!$J$3:$K$34,2,FALSE)),IF(ISNA(VLOOKUP(B145,'Regioturnier 3'!$N$3:$O$34,2,FALSE))=TRUE,0,VLOOKUP(B145,'Regioturnier 3'!$N$3:$O$34,2,FALSE)),IF(ISNA(VLOOKUP(B145,'Regioturnier 3'!$R$3:$S$34,2,FALSE))=TRUE,0,VLOOKUP(B145,'Regioturnier 3'!$R$3:$S$34,2,FALSE)), IF(ISNA(VLOOKUP(B145,'Regioturnier 3'!$V$3:$W$34,2,FALSE))=TRUE,0,VLOOKUP(B145,'Regioturnier 3'!$V$3:$W$34,2,FALSE)), IF(ISNA(VLOOKUP(B145,'Regioturnier 3'!$Z$3:$AA$34,2,FALSE))=TRUE,0,VLOOKUP(B145,'Regioturnier 3'!$Z$3:$AA$34,2,FALSE)))</f>
        <v>0</v>
      </c>
      <c r="R145" s="108">
        <f>0.5*INDEX($H145:$N145,MATCH(LARGE($H145:$N145,1),$H145:$N145,0))+0.3*INDEX($H145:$N145,MATCH(LARGE($H145:$N145,2),$H145:$N145,0))+0.2*INDEX($H145:$N145,MATCH(LARGE($H145:$N145,3),$H145:$N145,0))</f>
        <v>78</v>
      </c>
      <c r="S145" s="108">
        <f>0.6*INDEX(O145:Q145,MATCH(LARGE(O145:Q145,1),O145:Q145,0))+0.4*INDEX(O145:Q145,MATCH(LARGE(O145:Q145,2),O145:Q145,0))+0*INDEX(O145:Q145,MATCH(LARGE(O145:Q145,3),O145:Q145,0))</f>
        <v>0</v>
      </c>
      <c r="T145" s="105">
        <f>1*INDEX(R145:S145,MATCH(LARGE(R145:S145,1),R145:S145,0))+0*INDEX(R145:S145,MATCH(LARGE(R145:S145,2),R145:S145,0))</f>
        <v>78</v>
      </c>
      <c r="U145" s="21"/>
      <c r="V145" s="21"/>
      <c r="W145" s="21"/>
      <c r="X145" s="21"/>
      <c r="Y145" s="21"/>
      <c r="Z145" s="21"/>
    </row>
    <row r="146" spans="1:26" ht="12.75" customHeight="1" x14ac:dyDescent="0.3">
      <c r="A146" s="15">
        <v>145</v>
      </c>
      <c r="B146" s="16" t="s">
        <v>521</v>
      </c>
      <c r="C146" s="17" t="s">
        <v>31</v>
      </c>
      <c r="D146" s="15" t="s">
        <v>26</v>
      </c>
      <c r="E146" s="18" t="s">
        <v>40</v>
      </c>
      <c r="F146" s="15">
        <v>112507</v>
      </c>
      <c r="G146" s="22"/>
      <c r="H146" s="15">
        <f>MAX(IF(ISNA(VLOOKUP(B146,'WBV 1'!$B$3:$C$34,2,FALSE))=TRUE,0,VLOOKUP(B146,'WBV 1'!$B$3:$C$34,2,FALSE)),IF(ISNA(VLOOKUP(B146,'WBV 1'!$F$3:$G$34,2,FALSE))=TRUE,0,VLOOKUP(B146,'WBV 1'!$F$3:$G$34,2,FALSE)),IF(ISNA(VLOOKUP(B146,'WBV 1'!$J$3:$K$34,2,FALSE))=TRUE,0,VLOOKUP(B146,'WBV 1'!$J$3:$K$34,2,FALSE)),IF(ISNA(VLOOKUP(B146,'WBV 1'!$N$3:$O$34,2,FALSE))=TRUE,0,VLOOKUP(B146,'WBV 1'!$N$3:$O$34,2,FALSE)))</f>
        <v>0</v>
      </c>
      <c r="I146" s="15">
        <f>MAX(IF(ISNA(VLOOKUP(B146,'WBV 2'!$B$3:$C$34,2,FALSE))=TRUE,0,VLOOKUP(B146,'WBV 2'!$B$3:$C$34,2,FALSE)),IF(ISNA(VLOOKUP(B146,'WBV 2'!$F$3:$G$34,2,FALSE))=TRUE,0,VLOOKUP(B146,'WBV 2'!$F$3:$G$34,2,FALSE)),IF(ISNA(VLOOKUP(B146,'WBV 2'!$J$3:$K$34,2,FALSE))=TRUE,0,VLOOKUP(B146,'WBV 2'!$J$3:$K$34,2,FALSE)),IF(ISNA(VLOOKUP(B146,'WBV 2'!$N$3:$O$34,2,FALSE))=TRUE,0,VLOOKUP(B146,'WBV 2'!$N$3:$O$34,2,FALSE)))</f>
        <v>154</v>
      </c>
      <c r="J146" s="15">
        <f>MAX(IF(ISNA(VLOOKUP(B146,'WBV 3'!$B$3:$C$34,2,FALSE))=TRUE,0,VLOOKUP(B146,'WBV 3'!$B$3:$C$34,2,FALSE)),IF(ISNA(VLOOKUP(B146,'WBV 3'!$F$3:$G$34,2,FALSE))=TRUE,0,VLOOKUP(B146,'WBV 3'!$F$3:$G$34,2,FALSE)),IF(ISNA(VLOOKUP(B146,'WBV 3'!$J$3:$K$34,2,FALSE))=TRUE,0,VLOOKUP(B146,'WBV 3'!$J$3:$K$34,2,FALSE)),IF(ISNA(VLOOKUP(B146,'WBV 3'!$N$3:$O$34,2,FALSE))=TRUE,0,VLOOKUP(B146,'WBV 3'!$N$3:$O$34,2,FALSE)))</f>
        <v>0</v>
      </c>
      <c r="K146" s="15">
        <f>MAX(IF(ISNA(VLOOKUP(B146,'WBV 4'!$B$3:$C$34,2,FALSE))=TRUE,0,VLOOKUP(B146,'WBV 4'!$B$3:$C$34,2,FALSE)),IF(ISNA(VLOOKUP(B146,'WBV 4'!$F$3:$G$34,2,FALSE))=TRUE,0,VLOOKUP(B146,'WBV 4'!$F$3:$G$34,2,FALSE)),IF(ISNA(VLOOKUP(B146,'WBV 4'!$J$3:$K$34,2,FALSE))=TRUE,0,VLOOKUP(B146,'WBV 4'!$J$3:$K$34,2,FALSE)),IF(ISNA(VLOOKUP(B146,'WBV 4'!$N$3:$O$34,2,FALSE))=TRUE,0,VLOOKUP(B146,'WBV 4'!$N$3:$O$34,2,FALSE)))</f>
        <v>0</v>
      </c>
      <c r="L146" s="19">
        <f>MAX(IF(ISNA(VLOOKUP(B146,'NÖBV 1'!$B$3:$C$34,2,FALSE))=TRUE,0,VLOOKUP(B146,'NÖBV 1'!$B$3:$C$34,2,FALSE)),IF(ISNA(VLOOKUP(B146,'NÖBV 1'!$F$3:$G$34,2,FALSE))=TRUE,0,VLOOKUP(B146,'NÖBV 1'!$F$3:$G$34,2,FALSE)),IF(ISNA(VLOOKUP(B146,'NÖBV 1'!$J$3:$K$34,2,FALSE))=TRUE,0,VLOOKUP(B146,'NÖBV 1'!$J$3:$K$34,2,FALSE)),IF(ISNA(VLOOKUP(B146,'NÖBV 1'!$N$3:$O$34,2,FALSE))=TRUE,0,VLOOKUP(B146,'NÖBV 1'!$N$3:$O$34,2,FALSE)))</f>
        <v>0</v>
      </c>
      <c r="M146" s="19">
        <f>MAX(IF(ISNA(VLOOKUP(B146,'NÖBV 2'!$B$3:$C$34,2,FALSE))=TRUE,0,VLOOKUP(B146,'NÖBV 2'!$B$3:$C$34,2,FALSE)),IF(ISNA(VLOOKUP(B146,'NÖBV 2'!$F$3:$G$34,2,FALSE))=TRUE,0,VLOOKUP(B146,'NÖBV 2'!$F$3:$G$34,2,FALSE)),IF(ISNA(VLOOKUP(B146,'NÖBV 2'!$J$3:$K$34,2,FALSE))=TRUE,0,VLOOKUP(B146,'NÖBV 2'!$J$3:$K$34,2,FALSE)),IF(ISNA(VLOOKUP(B146,'NÖBV 2'!$N$3:$O$34,2,FALSE))=TRUE,0,VLOOKUP(B146,'NÖBV 2'!$N$3:$O$34,2,FALSE)))</f>
        <v>0</v>
      </c>
      <c r="N146" s="19">
        <f>MAX(IF(ISNA(VLOOKUP(B146,'NÖBV 3'!$B$3:$C$34,2,FALSE))=TRUE,0,VLOOKUP(B146,'NÖBV 3'!$B$3:$C$34,2,FALSE)),IF(ISNA(VLOOKUP(B146,'NÖBV 3'!$F$3:$G$34,2,FALSE))=TRUE,0,VLOOKUP(B146,'NÖBV 3'!$F$3:$G$34,2,FALSE)),IF(ISNA(VLOOKUP(B146,'NÖBV 3'!$J$3:$K$34,2,FALSE))=TRUE,0,VLOOKUP(B146,'NÖBV 3'!$J$3:$K$34,2,FALSE)),IF(ISNA(VLOOKUP(B146,'NÖBV 3'!$N$3:$O$34,2,FALSE))=TRUE,0,VLOOKUP(B146,'NÖBV 3'!$N$3:$O$34,2,FALSE)))</f>
        <v>0</v>
      </c>
      <c r="O146" s="15">
        <f>MAX(IF(ISNA(VLOOKUP(B146,'Regioturnier 1'!$B$3:$C$34,2,FALSE))=TRUE,0,VLOOKUP(B146,'Regioturnier 1'!$B$3:$C$34,2,FALSE)),IF(ISNA(VLOOKUP(B146,'Regioturnier 1'!$F$3:$G$34,2,FALSE))=TRUE,0,VLOOKUP(B146,'Regioturnier 1'!$F$3:$G$34,2,FALSE)),IF(ISNA(VLOOKUP(B146,'Regioturnier 1'!$J$3:$K$34,2,FALSE))=TRUE,0,VLOOKUP(B146,'Regioturnier 1'!$J$3:$K$34,2,FALSE)),IF(ISNA(VLOOKUP(B146,'Regioturnier 1'!$N$3:$O$34,2,FALSE))=TRUE,0,VLOOKUP(B146,'Regioturnier 1'!$N$3:$O$34,2,FALSE)),IF(ISNA(VLOOKUP(B146,'Regioturnier 1'!$R$3:$S$34,2,FALSE))=TRUE,0,VLOOKUP(B146,'Regioturnier 1'!$R$3:$S$34,2,FALSE)), IF(ISNA(VLOOKUP(B146,'Regioturnier 1'!$V$3:$W$34,2,FALSE))=TRUE,0,VLOOKUP(B146,'Regioturnier 1'!$V$3:$W$34,2,FALSE)), IF(ISNA(VLOOKUP(B146,'Regioturnier 1'!$Z$3:$AA$34,2,FALSE))=TRUE,0,VLOOKUP(B146,'Regioturnier 1'!$Z$3:$AA$34,2,FALSE)))</f>
        <v>0</v>
      </c>
      <c r="P146" s="15">
        <f>MAX(IF(ISNA(VLOOKUP(B146,'Regioturnier 2'!$B$3:$C$34,2,FALSE))=TRUE,0,VLOOKUP(B146,'Regioturnier 2'!$B$3:$C$34,2,FALSE)),IF(ISNA(VLOOKUP(B146,'Regioturnier 2'!$F$3:$G$34,2,FALSE))=TRUE,0,VLOOKUP(B146,'Regioturnier 2'!$F$3:$G$34,2,FALSE)),IF(ISNA(VLOOKUP(B146,'Regioturnier 2'!$J$3:$K$34,2,FALSE))=TRUE,0,VLOOKUP(B146,'Regioturnier 2'!$J$3:$K$34,2,FALSE)),IF(ISNA(VLOOKUP(B146,'Regioturnier 2'!$N$3:$O$34,2,FALSE))=TRUE,0,VLOOKUP(B146,'Regioturnier 2'!$N$3:$O$34,2,FALSE)),IF(ISNA(VLOOKUP(B146,'Regioturnier 2'!$R$3:$S$34,2,FALSE))=TRUE,0,VLOOKUP(B146,'Regioturnier 2'!$R$3:$S$34,2,FALSE)), IF(ISNA(VLOOKUP(B146,'Regioturnier 2'!$V$3:$W$34,2,FALSE))=TRUE,0,VLOOKUP(B146,'Regioturnier 2'!$V$3:$W$34,2,FALSE)), IF(ISNA(VLOOKUP(B146,'Regioturnier 2'!$Z$3:$AA$34,2,FALSE))=TRUE,0,VLOOKUP(B146,'Regioturnier 2'!$Z$3:$AA$34,2,FALSE)))</f>
        <v>0</v>
      </c>
      <c r="Q146" s="15">
        <f>MAX(IF(ISNA(VLOOKUP(B146,'Regioturnier 3'!$B$3:$C$34,2,FALSE))=TRUE,0,VLOOKUP(B146,'Regioturnier 3'!$B$3:$C$34,2,FALSE)),IF(ISNA(VLOOKUP(B146,'Regioturnier 3'!$F$3:$G$34,2,FALSE))=TRUE,0,VLOOKUP(B146,'Regioturnier 3'!$F$3:$G$34,2,FALSE)),IF(ISNA(VLOOKUP(B146,'Regioturnier 3'!$J$3:$K$34,2,FALSE))=TRUE,0,VLOOKUP(B146,'Regioturnier 3'!$J$3:$K$34,2,FALSE)),IF(ISNA(VLOOKUP(B146,'Regioturnier 3'!$N$3:$O$34,2,FALSE))=TRUE,0,VLOOKUP(B146,'Regioturnier 3'!$N$3:$O$34,2,FALSE)),IF(ISNA(VLOOKUP(B146,'Regioturnier 3'!$R$3:$S$34,2,FALSE))=TRUE,0,VLOOKUP(B146,'Regioturnier 3'!$R$3:$S$34,2,FALSE)), IF(ISNA(VLOOKUP(B146,'Regioturnier 3'!$V$3:$W$34,2,FALSE))=TRUE,0,VLOOKUP(B146,'Regioturnier 3'!$V$3:$W$34,2,FALSE)), IF(ISNA(VLOOKUP(B146,'Regioturnier 3'!$Z$3:$AA$34,2,FALSE))=TRUE,0,VLOOKUP(B146,'Regioturnier 3'!$Z$3:$AA$34,2,FALSE)))</f>
        <v>0</v>
      </c>
      <c r="R146" s="20">
        <f>0.5*INDEX($H146:$N146,MATCH(LARGE($H146:$N146,1),$H146:$N146,0))+0.3*INDEX($H146:$N146,MATCH(LARGE($H146:$N146,2),$H146:$N146,0))+0.2*INDEX($H146:$N146,MATCH(LARGE($H146:$N146,3),$H146:$N146,0))</f>
        <v>77</v>
      </c>
      <c r="S146" s="20">
        <f>0.6*INDEX(O146:Q146,MATCH(LARGE(O146:Q146,1),O146:Q146,0))+0.4*INDEX(O146:Q146,MATCH(LARGE(O146:Q146,2),O146:Q146,0))+0*INDEX(O146:Q146,MATCH(LARGE(O146:Q146,3),O146:Q146,0))</f>
        <v>0</v>
      </c>
      <c r="T146" s="15">
        <f>1*INDEX(R146:S146,MATCH(LARGE(R146:S146,1),R146:S146,0))+0*INDEX(R146:S146,MATCH(LARGE(R146:S146,2),R146:S146,0))</f>
        <v>77</v>
      </c>
      <c r="U146" s="21"/>
      <c r="V146" s="21"/>
      <c r="W146" s="21"/>
      <c r="X146" s="21"/>
      <c r="Y146" s="21"/>
      <c r="Z146" s="21"/>
    </row>
    <row r="147" spans="1:26" ht="12.75" customHeight="1" x14ac:dyDescent="0.3">
      <c r="A147" s="15">
        <v>146</v>
      </c>
      <c r="B147" s="16" t="s">
        <v>206</v>
      </c>
      <c r="C147" s="17" t="s">
        <v>181</v>
      </c>
      <c r="D147" s="15" t="s">
        <v>22</v>
      </c>
      <c r="E147" s="18" t="s">
        <v>23</v>
      </c>
      <c r="F147" s="15">
        <v>208733</v>
      </c>
      <c r="G147" s="22">
        <v>2013</v>
      </c>
      <c r="H147" s="15">
        <f>MAX(IF(ISNA(VLOOKUP(B147,'WBV 1'!$B$3:$C$34,2,FALSE))=TRUE,0,VLOOKUP(B147,'WBV 1'!$B$3:$C$34,2,FALSE)),IF(ISNA(VLOOKUP(B147,'WBV 1'!$F$3:$G$34,2,FALSE))=TRUE,0,VLOOKUP(B147,'WBV 1'!$F$3:$G$34,2,FALSE)),IF(ISNA(VLOOKUP(B147,'WBV 1'!$J$3:$K$34,2,FALSE))=TRUE,0,VLOOKUP(B147,'WBV 1'!$J$3:$K$34,2,FALSE)),IF(ISNA(VLOOKUP(B147,'WBV 1'!$N$3:$O$34,2,FALSE))=TRUE,0,VLOOKUP(B147,'WBV 1'!$N$3:$O$34,2,FALSE)))</f>
        <v>0</v>
      </c>
      <c r="I147" s="15">
        <f>MAX(IF(ISNA(VLOOKUP(B147,'WBV 2'!$B$3:$C$34,2,FALSE))=TRUE,0,VLOOKUP(B147,'WBV 2'!$B$3:$C$34,2,FALSE)),IF(ISNA(VLOOKUP(B147,'WBV 2'!$F$3:$G$34,2,FALSE))=TRUE,0,VLOOKUP(B147,'WBV 2'!$F$3:$G$34,2,FALSE)),IF(ISNA(VLOOKUP(B147,'WBV 2'!$J$3:$K$34,2,FALSE))=TRUE,0,VLOOKUP(B147,'WBV 2'!$J$3:$K$34,2,FALSE)),IF(ISNA(VLOOKUP(B147,'WBV 2'!$N$3:$O$34,2,FALSE))=TRUE,0,VLOOKUP(B147,'WBV 2'!$N$3:$O$34,2,FALSE)))</f>
        <v>0</v>
      </c>
      <c r="J147" s="15">
        <f>MAX(IF(ISNA(VLOOKUP(B147,'WBV 3'!$B$3:$C$34,2,FALSE))=TRUE,0,VLOOKUP(B147,'WBV 3'!$B$3:$C$34,2,FALSE)),IF(ISNA(VLOOKUP(B147,'WBV 3'!$F$3:$G$34,2,FALSE))=TRUE,0,VLOOKUP(B147,'WBV 3'!$F$3:$G$34,2,FALSE)),IF(ISNA(VLOOKUP(B147,'WBV 3'!$J$3:$K$34,2,FALSE))=TRUE,0,VLOOKUP(B147,'WBV 3'!$J$3:$K$34,2,FALSE)),IF(ISNA(VLOOKUP(B147,'WBV 3'!$N$3:$O$34,2,FALSE))=TRUE,0,VLOOKUP(B147,'WBV 3'!$N$3:$O$34,2,FALSE)))</f>
        <v>0</v>
      </c>
      <c r="K147" s="15">
        <f>MAX(IF(ISNA(VLOOKUP(B147,'WBV 4'!$B$3:$C$34,2,FALSE))=TRUE,0,VLOOKUP(B147,'WBV 4'!$B$3:$C$34,2,FALSE)),IF(ISNA(VLOOKUP(B147,'WBV 4'!$F$3:$G$34,2,FALSE))=TRUE,0,VLOOKUP(B147,'WBV 4'!$F$3:$G$34,2,FALSE)),IF(ISNA(VLOOKUP(B147,'WBV 4'!$J$3:$K$34,2,FALSE))=TRUE,0,VLOOKUP(B147,'WBV 4'!$J$3:$K$34,2,FALSE)),IF(ISNA(VLOOKUP(B147,'WBV 4'!$N$3:$O$34,2,FALSE))=TRUE,0,VLOOKUP(B147,'WBV 4'!$N$3:$O$34,2,FALSE)))</f>
        <v>0</v>
      </c>
      <c r="L147" s="19">
        <f>MAX(IF(ISNA(VLOOKUP(B147,'NÖBV 1'!$B$3:$C$34,2,FALSE))=TRUE,0,VLOOKUP(B147,'NÖBV 1'!$B$3:$C$34,2,FALSE)),IF(ISNA(VLOOKUP(B147,'NÖBV 1'!$F$3:$G$34,2,FALSE))=TRUE,0,VLOOKUP(B147,'NÖBV 1'!$F$3:$G$34,2,FALSE)),IF(ISNA(VLOOKUP(B147,'NÖBV 1'!$J$3:$K$34,2,FALSE))=TRUE,0,VLOOKUP(B147,'NÖBV 1'!$J$3:$K$34,2,FALSE)),IF(ISNA(VLOOKUP(B147,'NÖBV 1'!$N$3:$O$34,2,FALSE))=TRUE,0,VLOOKUP(B147,'NÖBV 1'!$N$3:$O$34,2,FALSE)))</f>
        <v>0</v>
      </c>
      <c r="M147" s="19">
        <f>MAX(IF(ISNA(VLOOKUP(B147,'NÖBV 2'!$B$3:$C$34,2,FALSE))=TRUE,0,VLOOKUP(B147,'NÖBV 2'!$B$3:$C$34,2,FALSE)),IF(ISNA(VLOOKUP(B147,'NÖBV 2'!$F$3:$G$34,2,FALSE))=TRUE,0,VLOOKUP(B147,'NÖBV 2'!$F$3:$G$34,2,FALSE)),IF(ISNA(VLOOKUP(B147,'NÖBV 2'!$J$3:$K$34,2,FALSE))=TRUE,0,VLOOKUP(B147,'NÖBV 2'!$J$3:$K$34,2,FALSE)),IF(ISNA(VLOOKUP(B147,'NÖBV 2'!$N$3:$O$34,2,FALSE))=TRUE,0,VLOOKUP(B147,'NÖBV 2'!$N$3:$O$34,2,FALSE)))</f>
        <v>152</v>
      </c>
      <c r="N147" s="19">
        <f>MAX(IF(ISNA(VLOOKUP(B147,'NÖBV 3'!$B$3:$C$34,2,FALSE))=TRUE,0,VLOOKUP(B147,'NÖBV 3'!$B$3:$C$34,2,FALSE)),IF(ISNA(VLOOKUP(B147,'NÖBV 3'!$F$3:$G$34,2,FALSE))=TRUE,0,VLOOKUP(B147,'NÖBV 3'!$F$3:$G$34,2,FALSE)),IF(ISNA(VLOOKUP(B147,'NÖBV 3'!$J$3:$K$34,2,FALSE))=TRUE,0,VLOOKUP(B147,'NÖBV 3'!$J$3:$K$34,2,FALSE)),IF(ISNA(VLOOKUP(B147,'NÖBV 3'!$N$3:$O$34,2,FALSE))=TRUE,0,VLOOKUP(B147,'NÖBV 3'!$N$3:$O$34,2,FALSE)))</f>
        <v>0</v>
      </c>
      <c r="O147" s="15">
        <f>MAX(IF(ISNA(VLOOKUP(B147,'Regioturnier 1'!$B$3:$C$34,2,FALSE))=TRUE,0,VLOOKUP(B147,'Regioturnier 1'!$B$3:$C$34,2,FALSE)),IF(ISNA(VLOOKUP(B147,'Regioturnier 1'!$F$3:$G$34,2,FALSE))=TRUE,0,VLOOKUP(B147,'Regioturnier 1'!$F$3:$G$34,2,FALSE)),IF(ISNA(VLOOKUP(B147,'Regioturnier 1'!$J$3:$K$34,2,FALSE))=TRUE,0,VLOOKUP(B147,'Regioturnier 1'!$J$3:$K$34,2,FALSE)),IF(ISNA(VLOOKUP(B147,'Regioturnier 1'!$N$3:$O$34,2,FALSE))=TRUE,0,VLOOKUP(B147,'Regioturnier 1'!$N$3:$O$34,2,FALSE)),IF(ISNA(VLOOKUP(B147,'Regioturnier 1'!$R$3:$S$34,2,FALSE))=TRUE,0,VLOOKUP(B147,'Regioturnier 1'!$R$3:$S$34,2,FALSE)), IF(ISNA(VLOOKUP(B147,'Regioturnier 1'!$V$3:$W$34,2,FALSE))=TRUE,0,VLOOKUP(B147,'Regioturnier 1'!$V$3:$W$34,2,FALSE)), IF(ISNA(VLOOKUP(B147,'Regioturnier 1'!$Z$3:$AA$34,2,FALSE))=TRUE,0,VLOOKUP(B147,'Regioturnier 1'!$Z$3:$AA$34,2,FALSE)))</f>
        <v>0</v>
      </c>
      <c r="P147" s="15">
        <f>MAX(IF(ISNA(VLOOKUP(B147,'Regioturnier 2'!$B$3:$C$34,2,FALSE))=TRUE,0,VLOOKUP(B147,'Regioturnier 2'!$B$3:$C$34,2,FALSE)),IF(ISNA(VLOOKUP(B147,'Regioturnier 2'!$F$3:$G$34,2,FALSE))=TRUE,0,VLOOKUP(B147,'Regioturnier 2'!$F$3:$G$34,2,FALSE)),IF(ISNA(VLOOKUP(B147,'Regioturnier 2'!$J$3:$K$34,2,FALSE))=TRUE,0,VLOOKUP(B147,'Regioturnier 2'!$J$3:$K$34,2,FALSE)),IF(ISNA(VLOOKUP(B147,'Regioturnier 2'!$N$3:$O$34,2,FALSE))=TRUE,0,VLOOKUP(B147,'Regioturnier 2'!$N$3:$O$34,2,FALSE)),IF(ISNA(VLOOKUP(B147,'Regioturnier 2'!$R$3:$S$34,2,FALSE))=TRUE,0,VLOOKUP(B147,'Regioturnier 2'!$R$3:$S$34,2,FALSE)), IF(ISNA(VLOOKUP(B147,'Regioturnier 2'!$V$3:$W$34,2,FALSE))=TRUE,0,VLOOKUP(B147,'Regioturnier 2'!$V$3:$W$34,2,FALSE)), IF(ISNA(VLOOKUP(B147,'Regioturnier 2'!$Z$3:$AA$34,2,FALSE))=TRUE,0,VLOOKUP(B147,'Regioturnier 2'!$Z$3:$AA$34,2,FALSE)))</f>
        <v>0</v>
      </c>
      <c r="Q147" s="15">
        <f>MAX(IF(ISNA(VLOOKUP(B147,'Regioturnier 3'!$B$3:$C$34,2,FALSE))=TRUE,0,VLOOKUP(B147,'Regioturnier 3'!$B$3:$C$34,2,FALSE)),IF(ISNA(VLOOKUP(B147,'Regioturnier 3'!$F$3:$G$34,2,FALSE))=TRUE,0,VLOOKUP(B147,'Regioturnier 3'!$F$3:$G$34,2,FALSE)),IF(ISNA(VLOOKUP(B147,'Regioturnier 3'!$J$3:$K$34,2,FALSE))=TRUE,0,VLOOKUP(B147,'Regioturnier 3'!$J$3:$K$34,2,FALSE)),IF(ISNA(VLOOKUP(B147,'Regioturnier 3'!$N$3:$O$34,2,FALSE))=TRUE,0,VLOOKUP(B147,'Regioturnier 3'!$N$3:$O$34,2,FALSE)),IF(ISNA(VLOOKUP(B147,'Regioturnier 3'!$R$3:$S$34,2,FALSE))=TRUE,0,VLOOKUP(B147,'Regioturnier 3'!$R$3:$S$34,2,FALSE)), IF(ISNA(VLOOKUP(B147,'Regioturnier 3'!$V$3:$W$34,2,FALSE))=TRUE,0,VLOOKUP(B147,'Regioturnier 3'!$V$3:$W$34,2,FALSE)), IF(ISNA(VLOOKUP(B147,'Regioturnier 3'!$Z$3:$AA$34,2,FALSE))=TRUE,0,VLOOKUP(B147,'Regioturnier 3'!$Z$3:$AA$34,2,FALSE)))</f>
        <v>0</v>
      </c>
      <c r="R147" s="20">
        <f>0.5*INDEX($H147:$N147,MATCH(LARGE($H147:$N147,1),$H147:$N147,0))+0.3*INDEX($H147:$N147,MATCH(LARGE($H147:$N147,2),$H147:$N147,0))+0.2*INDEX($H147:$N147,MATCH(LARGE($H147:$N147,3),$H147:$N147,0))</f>
        <v>76</v>
      </c>
      <c r="S147" s="20">
        <f>0.6*INDEX(O147:Q147,MATCH(LARGE(O147:Q147,1),O147:Q147,0))+0.4*INDEX(O147:Q147,MATCH(LARGE(O147:Q147,2),O147:Q147,0))+0*INDEX(O147:Q147,MATCH(LARGE(O147:Q147,3),O147:Q147,0))</f>
        <v>0</v>
      </c>
      <c r="T147" s="15">
        <f>1*INDEX(R147:S147,MATCH(LARGE(R147:S147,1),R147:S147,0))+0*INDEX(R147:S147,MATCH(LARGE(R147:S147,2),R147:S147,0))</f>
        <v>76</v>
      </c>
      <c r="U147" s="21"/>
      <c r="V147" s="21"/>
      <c r="W147" s="21"/>
      <c r="X147" s="21"/>
      <c r="Y147" s="21"/>
      <c r="Z147" s="21"/>
    </row>
    <row r="148" spans="1:26" ht="12.75" customHeight="1" x14ac:dyDescent="0.3">
      <c r="A148" s="15">
        <v>147</v>
      </c>
      <c r="B148" s="16" t="s">
        <v>500</v>
      </c>
      <c r="C148" s="17" t="s">
        <v>54</v>
      </c>
      <c r="D148" s="15" t="s">
        <v>22</v>
      </c>
      <c r="E148" s="18" t="s">
        <v>23</v>
      </c>
      <c r="F148" s="15" t="s">
        <v>73</v>
      </c>
      <c r="G148" s="22">
        <v>2014</v>
      </c>
      <c r="H148" s="15">
        <f>MAX(IF(ISNA(VLOOKUP(B148,'WBV 1'!$B$3:$C$34,2,FALSE))=TRUE,0,VLOOKUP(B148,'WBV 1'!$B$3:$C$34,2,FALSE)),IF(ISNA(VLOOKUP(B148,'WBV 1'!$F$3:$G$34,2,FALSE))=TRUE,0,VLOOKUP(B148,'WBV 1'!$F$3:$G$34,2,FALSE)),IF(ISNA(VLOOKUP(B148,'WBV 1'!$J$3:$K$34,2,FALSE))=TRUE,0,VLOOKUP(B148,'WBV 1'!$J$3:$K$34,2,FALSE)),IF(ISNA(VLOOKUP(B148,'WBV 1'!$N$3:$O$34,2,FALSE))=TRUE,0,VLOOKUP(B148,'WBV 1'!$N$3:$O$34,2,FALSE)))</f>
        <v>0</v>
      </c>
      <c r="I148" s="15">
        <f>MAX(IF(ISNA(VLOOKUP(B148,'WBV 2'!$B$3:$C$34,2,FALSE))=TRUE,0,VLOOKUP(B148,'WBV 2'!$B$3:$C$34,2,FALSE)),IF(ISNA(VLOOKUP(B148,'WBV 2'!$F$3:$G$34,2,FALSE))=TRUE,0,VLOOKUP(B148,'WBV 2'!$F$3:$G$34,2,FALSE)),IF(ISNA(VLOOKUP(B148,'WBV 2'!$J$3:$K$34,2,FALSE))=TRUE,0,VLOOKUP(B148,'WBV 2'!$J$3:$K$34,2,FALSE)),IF(ISNA(VLOOKUP(B148,'WBV 2'!$N$3:$O$34,2,FALSE))=TRUE,0,VLOOKUP(B148,'WBV 2'!$N$3:$O$34,2,FALSE)))</f>
        <v>0</v>
      </c>
      <c r="J148" s="15">
        <f>MAX(IF(ISNA(VLOOKUP(B148,'WBV 3'!$B$3:$C$34,2,FALSE))=TRUE,0,VLOOKUP(B148,'WBV 3'!$B$3:$C$34,2,FALSE)),IF(ISNA(VLOOKUP(B148,'WBV 3'!$F$3:$G$34,2,FALSE))=TRUE,0,VLOOKUP(B148,'WBV 3'!$F$3:$G$34,2,FALSE)),IF(ISNA(VLOOKUP(B148,'WBV 3'!$J$3:$K$34,2,FALSE))=TRUE,0,VLOOKUP(B148,'WBV 3'!$J$3:$K$34,2,FALSE)),IF(ISNA(VLOOKUP(B148,'WBV 3'!$N$3:$O$34,2,FALSE))=TRUE,0,VLOOKUP(B148,'WBV 3'!$N$3:$O$34,2,FALSE)))</f>
        <v>0</v>
      </c>
      <c r="K148" s="15">
        <f>MAX(IF(ISNA(VLOOKUP(B148,'WBV 4'!$B$3:$C$34,2,FALSE))=TRUE,0,VLOOKUP(B148,'WBV 4'!$B$3:$C$34,2,FALSE)),IF(ISNA(VLOOKUP(B148,'WBV 4'!$F$3:$G$34,2,FALSE))=TRUE,0,VLOOKUP(B148,'WBV 4'!$F$3:$G$34,2,FALSE)),IF(ISNA(VLOOKUP(B148,'WBV 4'!$J$3:$K$34,2,FALSE))=TRUE,0,VLOOKUP(B148,'WBV 4'!$J$3:$K$34,2,FALSE)),IF(ISNA(VLOOKUP(B148,'WBV 4'!$N$3:$O$34,2,FALSE))=TRUE,0,VLOOKUP(B148,'WBV 4'!$N$3:$O$34,2,FALSE)))</f>
        <v>0</v>
      </c>
      <c r="L148" s="19">
        <f>MAX(IF(ISNA(VLOOKUP(B148,'NÖBV 1'!$B$3:$C$34,2,FALSE))=TRUE,0,VLOOKUP(B148,'NÖBV 1'!$B$3:$C$34,2,FALSE)),IF(ISNA(VLOOKUP(B148,'NÖBV 1'!$F$3:$G$34,2,FALSE))=TRUE,0,VLOOKUP(B148,'NÖBV 1'!$F$3:$G$34,2,FALSE)),IF(ISNA(VLOOKUP(B148,'NÖBV 1'!$J$3:$K$34,2,FALSE))=TRUE,0,VLOOKUP(B148,'NÖBV 1'!$J$3:$K$34,2,FALSE)),IF(ISNA(VLOOKUP(B148,'NÖBV 1'!$N$3:$O$34,2,FALSE))=TRUE,0,VLOOKUP(B148,'NÖBV 1'!$N$3:$O$34,2,FALSE)))</f>
        <v>150</v>
      </c>
      <c r="M148" s="19">
        <f>MAX(IF(ISNA(VLOOKUP(B148,'NÖBV 2'!$B$3:$C$34,2,FALSE))=TRUE,0,VLOOKUP(B148,'NÖBV 2'!$B$3:$C$34,2,FALSE)),IF(ISNA(VLOOKUP(B148,'NÖBV 2'!$F$3:$G$34,2,FALSE))=TRUE,0,VLOOKUP(B148,'NÖBV 2'!$F$3:$G$34,2,FALSE)),IF(ISNA(VLOOKUP(B148,'NÖBV 2'!$J$3:$K$34,2,FALSE))=TRUE,0,VLOOKUP(B148,'NÖBV 2'!$J$3:$K$34,2,FALSE)),IF(ISNA(VLOOKUP(B148,'NÖBV 2'!$N$3:$O$34,2,FALSE))=TRUE,0,VLOOKUP(B148,'NÖBV 2'!$N$3:$O$34,2,FALSE)))</f>
        <v>0</v>
      </c>
      <c r="N148" s="19">
        <f>MAX(IF(ISNA(VLOOKUP(B148,'NÖBV 3'!$B$3:$C$34,2,FALSE))=TRUE,0,VLOOKUP(B148,'NÖBV 3'!$B$3:$C$34,2,FALSE)),IF(ISNA(VLOOKUP(B148,'NÖBV 3'!$F$3:$G$34,2,FALSE))=TRUE,0,VLOOKUP(B148,'NÖBV 3'!$F$3:$G$34,2,FALSE)),IF(ISNA(VLOOKUP(B148,'NÖBV 3'!$J$3:$K$34,2,FALSE))=TRUE,0,VLOOKUP(B148,'NÖBV 3'!$J$3:$K$34,2,FALSE)),IF(ISNA(VLOOKUP(B148,'NÖBV 3'!$N$3:$O$34,2,FALSE))=TRUE,0,VLOOKUP(B148,'NÖBV 3'!$N$3:$O$34,2,FALSE)))</f>
        <v>0</v>
      </c>
      <c r="O148" s="15">
        <f>MAX(IF(ISNA(VLOOKUP(B148,'Regioturnier 1'!$B$3:$C$34,2,FALSE))=TRUE,0,VLOOKUP(B148,'Regioturnier 1'!$B$3:$C$34,2,FALSE)),IF(ISNA(VLOOKUP(B148,'Regioturnier 1'!$F$3:$G$34,2,FALSE))=TRUE,0,VLOOKUP(B148,'Regioturnier 1'!$F$3:$G$34,2,FALSE)),IF(ISNA(VLOOKUP(B148,'Regioturnier 1'!$J$3:$K$34,2,FALSE))=TRUE,0,VLOOKUP(B148,'Regioturnier 1'!$J$3:$K$34,2,FALSE)),IF(ISNA(VLOOKUP(B148,'Regioturnier 1'!$N$3:$O$34,2,FALSE))=TRUE,0,VLOOKUP(B148,'Regioturnier 1'!$N$3:$O$34,2,FALSE)),IF(ISNA(VLOOKUP(B148,'Regioturnier 1'!$R$3:$S$34,2,FALSE))=TRUE,0,VLOOKUP(B148,'Regioturnier 1'!$R$3:$S$34,2,FALSE)), IF(ISNA(VLOOKUP(B148,'Regioturnier 1'!$V$3:$W$34,2,FALSE))=TRUE,0,VLOOKUP(B148,'Regioturnier 1'!$V$3:$W$34,2,FALSE)), IF(ISNA(VLOOKUP(B148,'Regioturnier 1'!$Z$3:$AA$34,2,FALSE))=TRUE,0,VLOOKUP(B148,'Regioturnier 1'!$Z$3:$AA$34,2,FALSE)))</f>
        <v>0</v>
      </c>
      <c r="P148" s="15">
        <f>MAX(IF(ISNA(VLOOKUP(B148,'Regioturnier 2'!$B$3:$C$34,2,FALSE))=TRUE,0,VLOOKUP(B148,'Regioturnier 2'!$B$3:$C$34,2,FALSE)),IF(ISNA(VLOOKUP(B148,'Regioturnier 2'!$F$3:$G$34,2,FALSE))=TRUE,0,VLOOKUP(B148,'Regioturnier 2'!$F$3:$G$34,2,FALSE)),IF(ISNA(VLOOKUP(B148,'Regioturnier 2'!$J$3:$K$34,2,FALSE))=TRUE,0,VLOOKUP(B148,'Regioturnier 2'!$J$3:$K$34,2,FALSE)),IF(ISNA(VLOOKUP(B148,'Regioturnier 2'!$N$3:$O$34,2,FALSE))=TRUE,0,VLOOKUP(B148,'Regioturnier 2'!$N$3:$O$34,2,FALSE)),IF(ISNA(VLOOKUP(B148,'Regioturnier 2'!$R$3:$S$34,2,FALSE))=TRUE,0,VLOOKUP(B148,'Regioturnier 2'!$R$3:$S$34,2,FALSE)), IF(ISNA(VLOOKUP(B148,'Regioturnier 2'!$V$3:$W$34,2,FALSE))=TRUE,0,VLOOKUP(B148,'Regioturnier 2'!$V$3:$W$34,2,FALSE)), IF(ISNA(VLOOKUP(B148,'Regioturnier 2'!$Z$3:$AA$34,2,FALSE))=TRUE,0,VLOOKUP(B148,'Regioturnier 2'!$Z$3:$AA$34,2,FALSE)))</f>
        <v>0</v>
      </c>
      <c r="Q148" s="15">
        <f>MAX(IF(ISNA(VLOOKUP(B148,'Regioturnier 3'!$B$3:$C$34,2,FALSE))=TRUE,0,VLOOKUP(B148,'Regioturnier 3'!$B$3:$C$34,2,FALSE)),IF(ISNA(VLOOKUP(B148,'Regioturnier 3'!$F$3:$G$34,2,FALSE))=TRUE,0,VLOOKUP(B148,'Regioturnier 3'!$F$3:$G$34,2,FALSE)),IF(ISNA(VLOOKUP(B148,'Regioturnier 3'!$J$3:$K$34,2,FALSE))=TRUE,0,VLOOKUP(B148,'Regioturnier 3'!$J$3:$K$34,2,FALSE)),IF(ISNA(VLOOKUP(B148,'Regioturnier 3'!$N$3:$O$34,2,FALSE))=TRUE,0,VLOOKUP(B148,'Regioturnier 3'!$N$3:$O$34,2,FALSE)),IF(ISNA(VLOOKUP(B148,'Regioturnier 3'!$R$3:$S$34,2,FALSE))=TRUE,0,VLOOKUP(B148,'Regioturnier 3'!$R$3:$S$34,2,FALSE)), IF(ISNA(VLOOKUP(B148,'Regioturnier 3'!$V$3:$W$34,2,FALSE))=TRUE,0,VLOOKUP(B148,'Regioturnier 3'!$V$3:$W$34,2,FALSE)), IF(ISNA(VLOOKUP(B148,'Regioturnier 3'!$Z$3:$AA$34,2,FALSE))=TRUE,0,VLOOKUP(B148,'Regioturnier 3'!$Z$3:$AA$34,2,FALSE)))</f>
        <v>0</v>
      </c>
      <c r="R148" s="20">
        <f>0.5*INDEX($H148:$N148,MATCH(LARGE($H148:$N148,1),$H148:$N148,0))+0.3*INDEX($H148:$N148,MATCH(LARGE($H148:$N148,2),$H148:$N148,0))+0.2*INDEX($H148:$N148,MATCH(LARGE($H148:$N148,3),$H148:$N148,0))</f>
        <v>75</v>
      </c>
      <c r="S148" s="20">
        <f>0.6*INDEX(O148:Q148,MATCH(LARGE(O148:Q148,1),O148:Q148,0))+0.4*INDEX(O148:Q148,MATCH(LARGE(O148:Q148,2),O148:Q148,0))+0*INDEX(O148:Q148,MATCH(LARGE(O148:Q148,3),O148:Q148,0))</f>
        <v>0</v>
      </c>
      <c r="T148" s="15">
        <f>1*INDEX(R148:S148,MATCH(LARGE(R148:S148,1),R148:S148,0))+0*INDEX(R148:S148,MATCH(LARGE(R148:S148,2),R148:S148,0))</f>
        <v>75</v>
      </c>
      <c r="U148" s="21"/>
      <c r="V148" s="21"/>
      <c r="W148" s="21"/>
      <c r="X148" s="21"/>
      <c r="Y148" s="21"/>
      <c r="Z148" s="21"/>
    </row>
    <row r="149" spans="1:26" ht="12.75" customHeight="1" x14ac:dyDescent="0.3">
      <c r="A149" s="15">
        <v>148</v>
      </c>
      <c r="B149" s="16" t="s">
        <v>86</v>
      </c>
      <c r="C149" s="17" t="s">
        <v>54</v>
      </c>
      <c r="D149" s="15" t="s">
        <v>22</v>
      </c>
      <c r="E149" s="18" t="s">
        <v>40</v>
      </c>
      <c r="F149" s="15" t="s">
        <v>87</v>
      </c>
      <c r="G149" s="22">
        <v>2015</v>
      </c>
      <c r="H149" s="15">
        <f>MAX(IF(ISNA(VLOOKUP(B149,'WBV 1'!$B$3:$C$34,2,FALSE))=TRUE,0,VLOOKUP(B149,'WBV 1'!$B$3:$C$34,2,FALSE)),IF(ISNA(VLOOKUP(B149,'WBV 1'!$F$3:$G$34,2,FALSE))=TRUE,0,VLOOKUP(B149,'WBV 1'!$F$3:$G$34,2,FALSE)),IF(ISNA(VLOOKUP(B149,'WBV 1'!$J$3:$K$34,2,FALSE))=TRUE,0,VLOOKUP(B149,'WBV 1'!$J$3:$K$34,2,FALSE)),IF(ISNA(VLOOKUP(B149,'WBV 1'!$N$3:$O$34,2,FALSE))=TRUE,0,VLOOKUP(B149,'WBV 1'!$N$3:$O$34,2,FALSE)))</f>
        <v>0</v>
      </c>
      <c r="I149" s="15">
        <f>MAX(IF(ISNA(VLOOKUP(B149,'WBV 2'!$B$3:$C$34,2,FALSE))=TRUE,0,VLOOKUP(B149,'WBV 2'!$B$3:$C$34,2,FALSE)),IF(ISNA(VLOOKUP(B149,'WBV 2'!$F$3:$G$34,2,FALSE))=TRUE,0,VLOOKUP(B149,'WBV 2'!$F$3:$G$34,2,FALSE)),IF(ISNA(VLOOKUP(B149,'WBV 2'!$J$3:$K$34,2,FALSE))=TRUE,0,VLOOKUP(B149,'WBV 2'!$J$3:$K$34,2,FALSE)),IF(ISNA(VLOOKUP(B149,'WBV 2'!$N$3:$O$34,2,FALSE))=TRUE,0,VLOOKUP(B149,'WBV 2'!$N$3:$O$34,2,FALSE)))</f>
        <v>0</v>
      </c>
      <c r="J149" s="15">
        <f>MAX(IF(ISNA(VLOOKUP(B149,'WBV 3'!$B$3:$C$34,2,FALSE))=TRUE,0,VLOOKUP(B149,'WBV 3'!$B$3:$C$34,2,FALSE)),IF(ISNA(VLOOKUP(B149,'WBV 3'!$F$3:$G$34,2,FALSE))=TRUE,0,VLOOKUP(B149,'WBV 3'!$F$3:$G$34,2,FALSE)),IF(ISNA(VLOOKUP(B149,'WBV 3'!$J$3:$K$34,2,FALSE))=TRUE,0,VLOOKUP(B149,'WBV 3'!$J$3:$K$34,2,FALSE)),IF(ISNA(VLOOKUP(B149,'WBV 3'!$N$3:$O$34,2,FALSE))=TRUE,0,VLOOKUP(B149,'WBV 3'!$N$3:$O$34,2,FALSE)))</f>
        <v>0</v>
      </c>
      <c r="K149" s="15">
        <f>MAX(IF(ISNA(VLOOKUP(B149,'WBV 4'!$B$3:$C$34,2,FALSE))=TRUE,0,VLOOKUP(B149,'WBV 4'!$B$3:$C$34,2,FALSE)),IF(ISNA(VLOOKUP(B149,'WBV 4'!$F$3:$G$34,2,FALSE))=TRUE,0,VLOOKUP(B149,'WBV 4'!$F$3:$G$34,2,FALSE)),IF(ISNA(VLOOKUP(B149,'WBV 4'!$J$3:$K$34,2,FALSE))=TRUE,0,VLOOKUP(B149,'WBV 4'!$J$3:$K$34,2,FALSE)),IF(ISNA(VLOOKUP(B149,'WBV 4'!$N$3:$O$34,2,FALSE))=TRUE,0,VLOOKUP(B149,'WBV 4'!$N$3:$O$34,2,FALSE)))</f>
        <v>0</v>
      </c>
      <c r="L149" s="19">
        <f>MAX(IF(ISNA(VLOOKUP(B149,'NÖBV 1'!$B$3:$C$34,2,FALSE))=TRUE,0,VLOOKUP(B149,'NÖBV 1'!$B$3:$C$34,2,FALSE)),IF(ISNA(VLOOKUP(B149,'NÖBV 1'!$F$3:$G$34,2,FALSE))=TRUE,0,VLOOKUP(B149,'NÖBV 1'!$F$3:$G$34,2,FALSE)),IF(ISNA(VLOOKUP(B149,'NÖBV 1'!$J$3:$K$34,2,FALSE))=TRUE,0,VLOOKUP(B149,'NÖBV 1'!$J$3:$K$34,2,FALSE)),IF(ISNA(VLOOKUP(B149,'NÖBV 1'!$N$3:$O$34,2,FALSE))=TRUE,0,VLOOKUP(B149,'NÖBV 1'!$N$3:$O$34,2,FALSE)))</f>
        <v>0</v>
      </c>
      <c r="M149" s="19">
        <f>MAX(IF(ISNA(VLOOKUP(B149,'NÖBV 2'!$B$3:$C$34,2,FALSE))=TRUE,0,VLOOKUP(B149,'NÖBV 2'!$B$3:$C$34,2,FALSE)),IF(ISNA(VLOOKUP(B149,'NÖBV 2'!$F$3:$G$34,2,FALSE))=TRUE,0,VLOOKUP(B149,'NÖBV 2'!$F$3:$G$34,2,FALSE)),IF(ISNA(VLOOKUP(B149,'NÖBV 2'!$J$3:$K$34,2,FALSE))=TRUE,0,VLOOKUP(B149,'NÖBV 2'!$J$3:$K$34,2,FALSE)),IF(ISNA(VLOOKUP(B149,'NÖBV 2'!$N$3:$O$34,2,FALSE))=TRUE,0,VLOOKUP(B149,'NÖBV 2'!$N$3:$O$34,2,FALSE)))</f>
        <v>148</v>
      </c>
      <c r="N149" s="19">
        <f>MAX(IF(ISNA(VLOOKUP(B149,'NÖBV 3'!$B$3:$C$34,2,FALSE))=TRUE,0,VLOOKUP(B149,'NÖBV 3'!$B$3:$C$34,2,FALSE)),IF(ISNA(VLOOKUP(B149,'NÖBV 3'!$F$3:$G$34,2,FALSE))=TRUE,0,VLOOKUP(B149,'NÖBV 3'!$F$3:$G$34,2,FALSE)),IF(ISNA(VLOOKUP(B149,'NÖBV 3'!$J$3:$K$34,2,FALSE))=TRUE,0,VLOOKUP(B149,'NÖBV 3'!$J$3:$K$34,2,FALSE)),IF(ISNA(VLOOKUP(B149,'NÖBV 3'!$N$3:$O$34,2,FALSE))=TRUE,0,VLOOKUP(B149,'NÖBV 3'!$N$3:$O$34,2,FALSE)))</f>
        <v>0</v>
      </c>
      <c r="O149" s="15">
        <f>MAX(IF(ISNA(VLOOKUP(B149,'Regioturnier 1'!$B$3:$C$34,2,FALSE))=TRUE,0,VLOOKUP(B149,'Regioturnier 1'!$B$3:$C$34,2,FALSE)),IF(ISNA(VLOOKUP(B149,'Regioturnier 1'!$F$3:$G$34,2,FALSE))=TRUE,0,VLOOKUP(B149,'Regioturnier 1'!$F$3:$G$34,2,FALSE)),IF(ISNA(VLOOKUP(B149,'Regioturnier 1'!$J$3:$K$34,2,FALSE))=TRUE,0,VLOOKUP(B149,'Regioturnier 1'!$J$3:$K$34,2,FALSE)),IF(ISNA(VLOOKUP(B149,'Regioturnier 1'!$N$3:$O$34,2,FALSE))=TRUE,0,VLOOKUP(B149,'Regioturnier 1'!$N$3:$O$34,2,FALSE)),IF(ISNA(VLOOKUP(B149,'Regioturnier 1'!$R$3:$S$34,2,FALSE))=TRUE,0,VLOOKUP(B149,'Regioturnier 1'!$R$3:$S$34,2,FALSE)), IF(ISNA(VLOOKUP(B149,'Regioturnier 1'!$V$3:$W$34,2,FALSE))=TRUE,0,VLOOKUP(B149,'Regioturnier 1'!$V$3:$W$34,2,FALSE)), IF(ISNA(VLOOKUP(B149,'Regioturnier 1'!$Z$3:$AA$34,2,FALSE))=TRUE,0,VLOOKUP(B149,'Regioturnier 1'!$Z$3:$AA$34,2,FALSE)))</f>
        <v>0</v>
      </c>
      <c r="P149" s="15">
        <f>MAX(IF(ISNA(VLOOKUP(B149,'Regioturnier 2'!$B$3:$C$34,2,FALSE))=TRUE,0,VLOOKUP(B149,'Regioturnier 2'!$B$3:$C$34,2,FALSE)),IF(ISNA(VLOOKUP(B149,'Regioturnier 2'!$F$3:$G$34,2,FALSE))=TRUE,0,VLOOKUP(B149,'Regioturnier 2'!$F$3:$G$34,2,FALSE)),IF(ISNA(VLOOKUP(B149,'Regioturnier 2'!$J$3:$K$34,2,FALSE))=TRUE,0,VLOOKUP(B149,'Regioturnier 2'!$J$3:$K$34,2,FALSE)),IF(ISNA(VLOOKUP(B149,'Regioturnier 2'!$N$3:$O$34,2,FALSE))=TRUE,0,VLOOKUP(B149,'Regioturnier 2'!$N$3:$O$34,2,FALSE)),IF(ISNA(VLOOKUP(B149,'Regioturnier 2'!$R$3:$S$34,2,FALSE))=TRUE,0,VLOOKUP(B149,'Regioturnier 2'!$R$3:$S$34,2,FALSE)), IF(ISNA(VLOOKUP(B149,'Regioturnier 2'!$V$3:$W$34,2,FALSE))=TRUE,0,VLOOKUP(B149,'Regioturnier 2'!$V$3:$W$34,2,FALSE)), IF(ISNA(VLOOKUP(B149,'Regioturnier 2'!$Z$3:$AA$34,2,FALSE))=TRUE,0,VLOOKUP(B149,'Regioturnier 2'!$Z$3:$AA$34,2,FALSE)))</f>
        <v>0</v>
      </c>
      <c r="Q149" s="15">
        <f>MAX(IF(ISNA(VLOOKUP(B149,'Regioturnier 3'!$B$3:$C$34,2,FALSE))=TRUE,0,VLOOKUP(B149,'Regioturnier 3'!$B$3:$C$34,2,FALSE)),IF(ISNA(VLOOKUP(B149,'Regioturnier 3'!$F$3:$G$34,2,FALSE))=TRUE,0,VLOOKUP(B149,'Regioturnier 3'!$F$3:$G$34,2,FALSE)),IF(ISNA(VLOOKUP(B149,'Regioturnier 3'!$J$3:$K$34,2,FALSE))=TRUE,0,VLOOKUP(B149,'Regioturnier 3'!$J$3:$K$34,2,FALSE)),IF(ISNA(VLOOKUP(B149,'Regioturnier 3'!$N$3:$O$34,2,FALSE))=TRUE,0,VLOOKUP(B149,'Regioturnier 3'!$N$3:$O$34,2,FALSE)),IF(ISNA(VLOOKUP(B149,'Regioturnier 3'!$R$3:$S$34,2,FALSE))=TRUE,0,VLOOKUP(B149,'Regioturnier 3'!$R$3:$S$34,2,FALSE)), IF(ISNA(VLOOKUP(B149,'Regioturnier 3'!$V$3:$W$34,2,FALSE))=TRUE,0,VLOOKUP(B149,'Regioturnier 3'!$V$3:$W$34,2,FALSE)), IF(ISNA(VLOOKUP(B149,'Regioturnier 3'!$Z$3:$AA$34,2,FALSE))=TRUE,0,VLOOKUP(B149,'Regioturnier 3'!$Z$3:$AA$34,2,FALSE)))</f>
        <v>0</v>
      </c>
      <c r="R149" s="20">
        <f>0.5*INDEX($H149:$N149,MATCH(LARGE($H149:$N149,1),$H149:$N149,0))+0.3*INDEX($H149:$N149,MATCH(LARGE($H149:$N149,2),$H149:$N149,0))+0.2*INDEX($H149:$N149,MATCH(LARGE($H149:$N149,3),$H149:$N149,0))</f>
        <v>74</v>
      </c>
      <c r="S149" s="20">
        <f>0.6*INDEX(O149:Q149,MATCH(LARGE(O149:Q149,1),O149:Q149,0))+0.4*INDEX(O149:Q149,MATCH(LARGE(O149:Q149,2),O149:Q149,0))+0*INDEX(O149:Q149,MATCH(LARGE(O149:Q149,3),O149:Q149,0))</f>
        <v>0</v>
      </c>
      <c r="T149" s="15">
        <f>1*INDEX(R149:S149,MATCH(LARGE(R149:S149,1),R149:S149,0))+0*INDEX(R149:S149,MATCH(LARGE(R149:S149,2),R149:S149,0))</f>
        <v>74</v>
      </c>
      <c r="U149" s="21"/>
      <c r="V149" s="21"/>
      <c r="W149" s="21"/>
      <c r="X149" s="21"/>
      <c r="Y149" s="21"/>
      <c r="Z149" s="21"/>
    </row>
    <row r="150" spans="1:26" ht="12.75" customHeight="1" x14ac:dyDescent="0.3">
      <c r="A150" s="15">
        <v>149</v>
      </c>
      <c r="B150" s="16" t="s">
        <v>501</v>
      </c>
      <c r="C150" s="17" t="s">
        <v>54</v>
      </c>
      <c r="D150" s="15" t="s">
        <v>22</v>
      </c>
      <c r="E150" s="18" t="s">
        <v>23</v>
      </c>
      <c r="F150" s="15" t="s">
        <v>73</v>
      </c>
      <c r="G150" s="22">
        <v>2014</v>
      </c>
      <c r="H150" s="15">
        <f>MAX(IF(ISNA(VLOOKUP(B150,'WBV 1'!$B$3:$C$34,2,FALSE))=TRUE,0,VLOOKUP(B150,'WBV 1'!$B$3:$C$34,2,FALSE)),IF(ISNA(VLOOKUP(B150,'WBV 1'!$F$3:$G$34,2,FALSE))=TRUE,0,VLOOKUP(B150,'WBV 1'!$F$3:$G$34,2,FALSE)),IF(ISNA(VLOOKUP(B150,'WBV 1'!$J$3:$K$34,2,FALSE))=TRUE,0,VLOOKUP(B150,'WBV 1'!$J$3:$K$34,2,FALSE)),IF(ISNA(VLOOKUP(B150,'WBV 1'!$N$3:$O$34,2,FALSE))=TRUE,0,VLOOKUP(B150,'WBV 1'!$N$3:$O$34,2,FALSE)))</f>
        <v>0</v>
      </c>
      <c r="I150" s="15">
        <f>MAX(IF(ISNA(VLOOKUP(B150,'WBV 2'!$B$3:$C$34,2,FALSE))=TRUE,0,VLOOKUP(B150,'WBV 2'!$B$3:$C$34,2,FALSE)),IF(ISNA(VLOOKUP(B150,'WBV 2'!$F$3:$G$34,2,FALSE))=TRUE,0,VLOOKUP(B150,'WBV 2'!$F$3:$G$34,2,FALSE)),IF(ISNA(VLOOKUP(B150,'WBV 2'!$J$3:$K$34,2,FALSE))=TRUE,0,VLOOKUP(B150,'WBV 2'!$J$3:$K$34,2,FALSE)),IF(ISNA(VLOOKUP(B150,'WBV 2'!$N$3:$O$34,2,FALSE))=TRUE,0,VLOOKUP(B150,'WBV 2'!$N$3:$O$34,2,FALSE)))</f>
        <v>0</v>
      </c>
      <c r="J150" s="15">
        <f>MAX(IF(ISNA(VLOOKUP(B150,'WBV 3'!$B$3:$C$34,2,FALSE))=TRUE,0,VLOOKUP(B150,'WBV 3'!$B$3:$C$34,2,FALSE)),IF(ISNA(VLOOKUP(B150,'WBV 3'!$F$3:$G$34,2,FALSE))=TRUE,0,VLOOKUP(B150,'WBV 3'!$F$3:$G$34,2,FALSE)),IF(ISNA(VLOOKUP(B150,'WBV 3'!$J$3:$K$34,2,FALSE))=TRUE,0,VLOOKUP(B150,'WBV 3'!$J$3:$K$34,2,FALSE)),IF(ISNA(VLOOKUP(B150,'WBV 3'!$N$3:$O$34,2,FALSE))=TRUE,0,VLOOKUP(B150,'WBV 3'!$N$3:$O$34,2,FALSE)))</f>
        <v>0</v>
      </c>
      <c r="K150" s="15">
        <f>MAX(IF(ISNA(VLOOKUP(B150,'WBV 4'!$B$3:$C$34,2,FALSE))=TRUE,0,VLOOKUP(B150,'WBV 4'!$B$3:$C$34,2,FALSE)),IF(ISNA(VLOOKUP(B150,'WBV 4'!$F$3:$G$34,2,FALSE))=TRUE,0,VLOOKUP(B150,'WBV 4'!$F$3:$G$34,2,FALSE)),IF(ISNA(VLOOKUP(B150,'WBV 4'!$J$3:$K$34,2,FALSE))=TRUE,0,VLOOKUP(B150,'WBV 4'!$J$3:$K$34,2,FALSE)),IF(ISNA(VLOOKUP(B150,'WBV 4'!$N$3:$O$34,2,FALSE))=TRUE,0,VLOOKUP(B150,'WBV 4'!$N$3:$O$34,2,FALSE)))</f>
        <v>0</v>
      </c>
      <c r="L150" s="19">
        <f>MAX(IF(ISNA(VLOOKUP(B150,'NÖBV 1'!$B$3:$C$34,2,FALSE))=TRUE,0,VLOOKUP(B150,'NÖBV 1'!$B$3:$C$34,2,FALSE)),IF(ISNA(VLOOKUP(B150,'NÖBV 1'!$F$3:$G$34,2,FALSE))=TRUE,0,VLOOKUP(B150,'NÖBV 1'!$F$3:$G$34,2,FALSE)),IF(ISNA(VLOOKUP(B150,'NÖBV 1'!$J$3:$K$34,2,FALSE))=TRUE,0,VLOOKUP(B150,'NÖBV 1'!$J$3:$K$34,2,FALSE)),IF(ISNA(VLOOKUP(B150,'NÖBV 1'!$N$3:$O$34,2,FALSE))=TRUE,0,VLOOKUP(B150,'NÖBV 1'!$N$3:$O$34,2,FALSE)))</f>
        <v>148</v>
      </c>
      <c r="M150" s="19">
        <f>MAX(IF(ISNA(VLOOKUP(B150,'NÖBV 2'!$B$3:$C$34,2,FALSE))=TRUE,0,VLOOKUP(B150,'NÖBV 2'!$B$3:$C$34,2,FALSE)),IF(ISNA(VLOOKUP(B150,'NÖBV 2'!$F$3:$G$34,2,FALSE))=TRUE,0,VLOOKUP(B150,'NÖBV 2'!$F$3:$G$34,2,FALSE)),IF(ISNA(VLOOKUP(B150,'NÖBV 2'!$J$3:$K$34,2,FALSE))=TRUE,0,VLOOKUP(B150,'NÖBV 2'!$J$3:$K$34,2,FALSE)),IF(ISNA(VLOOKUP(B150,'NÖBV 2'!$N$3:$O$34,2,FALSE))=TRUE,0,VLOOKUP(B150,'NÖBV 2'!$N$3:$O$34,2,FALSE)))</f>
        <v>0</v>
      </c>
      <c r="N150" s="19">
        <f>MAX(IF(ISNA(VLOOKUP(B150,'NÖBV 3'!$B$3:$C$34,2,FALSE))=TRUE,0,VLOOKUP(B150,'NÖBV 3'!$B$3:$C$34,2,FALSE)),IF(ISNA(VLOOKUP(B150,'NÖBV 3'!$F$3:$G$34,2,FALSE))=TRUE,0,VLOOKUP(B150,'NÖBV 3'!$F$3:$G$34,2,FALSE)),IF(ISNA(VLOOKUP(B150,'NÖBV 3'!$J$3:$K$34,2,FALSE))=TRUE,0,VLOOKUP(B150,'NÖBV 3'!$J$3:$K$34,2,FALSE)),IF(ISNA(VLOOKUP(B150,'NÖBV 3'!$N$3:$O$34,2,FALSE))=TRUE,0,VLOOKUP(B150,'NÖBV 3'!$N$3:$O$34,2,FALSE)))</f>
        <v>0</v>
      </c>
      <c r="O150" s="15">
        <f>MAX(IF(ISNA(VLOOKUP(B150,'Regioturnier 1'!$B$3:$C$34,2,FALSE))=TRUE,0,VLOOKUP(B150,'Regioturnier 1'!$B$3:$C$34,2,FALSE)),IF(ISNA(VLOOKUP(B150,'Regioturnier 1'!$F$3:$G$34,2,FALSE))=TRUE,0,VLOOKUP(B150,'Regioturnier 1'!$F$3:$G$34,2,FALSE)),IF(ISNA(VLOOKUP(B150,'Regioturnier 1'!$J$3:$K$34,2,FALSE))=TRUE,0,VLOOKUP(B150,'Regioturnier 1'!$J$3:$K$34,2,FALSE)),IF(ISNA(VLOOKUP(B150,'Regioturnier 1'!$N$3:$O$34,2,FALSE))=TRUE,0,VLOOKUP(B150,'Regioturnier 1'!$N$3:$O$34,2,FALSE)),IF(ISNA(VLOOKUP(B150,'Regioturnier 1'!$R$3:$S$34,2,FALSE))=TRUE,0,VLOOKUP(B150,'Regioturnier 1'!$R$3:$S$34,2,FALSE)), IF(ISNA(VLOOKUP(B150,'Regioturnier 1'!$V$3:$W$34,2,FALSE))=TRUE,0,VLOOKUP(B150,'Regioturnier 1'!$V$3:$W$34,2,FALSE)), IF(ISNA(VLOOKUP(B150,'Regioturnier 1'!$Z$3:$AA$34,2,FALSE))=TRUE,0,VLOOKUP(B150,'Regioturnier 1'!$Z$3:$AA$34,2,FALSE)))</f>
        <v>0</v>
      </c>
      <c r="P150" s="15">
        <f>MAX(IF(ISNA(VLOOKUP(B150,'Regioturnier 2'!$B$3:$C$34,2,FALSE))=TRUE,0,VLOOKUP(B150,'Regioturnier 2'!$B$3:$C$34,2,FALSE)),IF(ISNA(VLOOKUP(B150,'Regioturnier 2'!$F$3:$G$34,2,FALSE))=TRUE,0,VLOOKUP(B150,'Regioturnier 2'!$F$3:$G$34,2,FALSE)),IF(ISNA(VLOOKUP(B150,'Regioturnier 2'!$J$3:$K$34,2,FALSE))=TRUE,0,VLOOKUP(B150,'Regioturnier 2'!$J$3:$K$34,2,FALSE)),IF(ISNA(VLOOKUP(B150,'Regioturnier 2'!$N$3:$O$34,2,FALSE))=TRUE,0,VLOOKUP(B150,'Regioturnier 2'!$N$3:$O$34,2,FALSE)),IF(ISNA(VLOOKUP(B150,'Regioturnier 2'!$R$3:$S$34,2,FALSE))=TRUE,0,VLOOKUP(B150,'Regioturnier 2'!$R$3:$S$34,2,FALSE)), IF(ISNA(VLOOKUP(B150,'Regioturnier 2'!$V$3:$W$34,2,FALSE))=TRUE,0,VLOOKUP(B150,'Regioturnier 2'!$V$3:$W$34,2,FALSE)), IF(ISNA(VLOOKUP(B150,'Regioturnier 2'!$Z$3:$AA$34,2,FALSE))=TRUE,0,VLOOKUP(B150,'Regioturnier 2'!$Z$3:$AA$34,2,FALSE)))</f>
        <v>0</v>
      </c>
      <c r="Q150" s="15">
        <f>MAX(IF(ISNA(VLOOKUP(B150,'Regioturnier 3'!$B$3:$C$34,2,FALSE))=TRUE,0,VLOOKUP(B150,'Regioturnier 3'!$B$3:$C$34,2,FALSE)),IF(ISNA(VLOOKUP(B150,'Regioturnier 3'!$F$3:$G$34,2,FALSE))=TRUE,0,VLOOKUP(B150,'Regioturnier 3'!$F$3:$G$34,2,FALSE)),IF(ISNA(VLOOKUP(B150,'Regioturnier 3'!$J$3:$K$34,2,FALSE))=TRUE,0,VLOOKUP(B150,'Regioturnier 3'!$J$3:$K$34,2,FALSE)),IF(ISNA(VLOOKUP(B150,'Regioturnier 3'!$N$3:$O$34,2,FALSE))=TRUE,0,VLOOKUP(B150,'Regioturnier 3'!$N$3:$O$34,2,FALSE)),IF(ISNA(VLOOKUP(B150,'Regioturnier 3'!$R$3:$S$34,2,FALSE))=TRUE,0,VLOOKUP(B150,'Regioturnier 3'!$R$3:$S$34,2,FALSE)), IF(ISNA(VLOOKUP(B150,'Regioturnier 3'!$V$3:$W$34,2,FALSE))=TRUE,0,VLOOKUP(B150,'Regioturnier 3'!$V$3:$W$34,2,FALSE)), IF(ISNA(VLOOKUP(B150,'Regioturnier 3'!$Z$3:$AA$34,2,FALSE))=TRUE,0,VLOOKUP(B150,'Regioturnier 3'!$Z$3:$AA$34,2,FALSE)))</f>
        <v>0</v>
      </c>
      <c r="R150" s="20">
        <f>0.5*INDEX($H150:$N150,MATCH(LARGE($H150:$N150,1),$H150:$N150,0))+0.3*INDEX($H150:$N150,MATCH(LARGE($H150:$N150,2),$H150:$N150,0))+0.2*INDEX($H150:$N150,MATCH(LARGE($H150:$N150,3),$H150:$N150,0))</f>
        <v>74</v>
      </c>
      <c r="S150" s="20">
        <f>0.6*INDEX(O150:Q150,MATCH(LARGE(O150:Q150,1),O150:Q150,0))+0.4*INDEX(O150:Q150,MATCH(LARGE(O150:Q150,2),O150:Q150,0))+0*INDEX(O150:Q150,MATCH(LARGE(O150:Q150,3),O150:Q150,0))</f>
        <v>0</v>
      </c>
      <c r="T150" s="15">
        <f>1*INDEX(R150:S150,MATCH(LARGE(R150:S150,1),R150:S150,0))+0*INDEX(R150:S150,MATCH(LARGE(R150:S150,2),R150:S150,0))</f>
        <v>74</v>
      </c>
      <c r="U150" s="21"/>
      <c r="V150" s="21"/>
      <c r="W150" s="21"/>
      <c r="X150" s="21"/>
      <c r="Y150" s="21"/>
      <c r="Z150" s="21"/>
    </row>
    <row r="151" spans="1:26" ht="12.75" customHeight="1" x14ac:dyDescent="0.3">
      <c r="A151" s="15">
        <v>150</v>
      </c>
      <c r="B151" s="16" t="s">
        <v>313</v>
      </c>
      <c r="C151" s="17" t="s">
        <v>39</v>
      </c>
      <c r="D151" s="15" t="s">
        <v>26</v>
      </c>
      <c r="E151" s="18" t="s">
        <v>40</v>
      </c>
      <c r="F151" s="15"/>
      <c r="G151" s="22"/>
      <c r="H151" s="15">
        <f>MAX(IF(ISNA(VLOOKUP(B151,'WBV 1'!$B$3:$C$34,2,FALSE))=TRUE,0,VLOOKUP(B151,'WBV 1'!$B$3:$C$34,2,FALSE)),IF(ISNA(VLOOKUP(B151,'WBV 1'!$F$3:$G$34,2,FALSE))=TRUE,0,VLOOKUP(B151,'WBV 1'!$F$3:$G$34,2,FALSE)),IF(ISNA(VLOOKUP(B151,'WBV 1'!$J$3:$K$34,2,FALSE))=TRUE,0,VLOOKUP(B151,'WBV 1'!$J$3:$K$34,2,FALSE)),IF(ISNA(VLOOKUP(B151,'WBV 1'!$N$3:$O$34,2,FALSE))=TRUE,0,VLOOKUP(B151,'WBV 1'!$N$3:$O$34,2,FALSE)))</f>
        <v>147</v>
      </c>
      <c r="I151" s="15">
        <f>MAX(IF(ISNA(VLOOKUP(B151,'WBV 2'!$B$3:$C$34,2,FALSE))=TRUE,0,VLOOKUP(B151,'WBV 2'!$B$3:$C$34,2,FALSE)),IF(ISNA(VLOOKUP(B151,'WBV 2'!$F$3:$G$34,2,FALSE))=TRUE,0,VLOOKUP(B151,'WBV 2'!$F$3:$G$34,2,FALSE)),IF(ISNA(VLOOKUP(B151,'WBV 2'!$J$3:$K$34,2,FALSE))=TRUE,0,VLOOKUP(B151,'WBV 2'!$J$3:$K$34,2,FALSE)),IF(ISNA(VLOOKUP(B151,'WBV 2'!$N$3:$O$34,2,FALSE))=TRUE,0,VLOOKUP(B151,'WBV 2'!$N$3:$O$34,2,FALSE)))</f>
        <v>0</v>
      </c>
      <c r="J151" s="15">
        <f>MAX(IF(ISNA(VLOOKUP(B151,'WBV 3'!$B$3:$C$34,2,FALSE))=TRUE,0,VLOOKUP(B151,'WBV 3'!$B$3:$C$34,2,FALSE)),IF(ISNA(VLOOKUP(B151,'WBV 3'!$F$3:$G$34,2,FALSE))=TRUE,0,VLOOKUP(B151,'WBV 3'!$F$3:$G$34,2,FALSE)),IF(ISNA(VLOOKUP(B151,'WBV 3'!$J$3:$K$34,2,FALSE))=TRUE,0,VLOOKUP(B151,'WBV 3'!$J$3:$K$34,2,FALSE)),IF(ISNA(VLOOKUP(B151,'WBV 3'!$N$3:$O$34,2,FALSE))=TRUE,0,VLOOKUP(B151,'WBV 3'!$N$3:$O$34,2,FALSE)))</f>
        <v>0</v>
      </c>
      <c r="K151" s="15">
        <f>MAX(IF(ISNA(VLOOKUP(B151,'WBV 4'!$B$3:$C$34,2,FALSE))=TRUE,0,VLOOKUP(B151,'WBV 4'!$B$3:$C$34,2,FALSE)),IF(ISNA(VLOOKUP(B151,'WBV 4'!$F$3:$G$34,2,FALSE))=TRUE,0,VLOOKUP(B151,'WBV 4'!$F$3:$G$34,2,FALSE)),IF(ISNA(VLOOKUP(B151,'WBV 4'!$J$3:$K$34,2,FALSE))=TRUE,0,VLOOKUP(B151,'WBV 4'!$J$3:$K$34,2,FALSE)),IF(ISNA(VLOOKUP(B151,'WBV 4'!$N$3:$O$34,2,FALSE))=TRUE,0,VLOOKUP(B151,'WBV 4'!$N$3:$O$34,2,FALSE)))</f>
        <v>0</v>
      </c>
      <c r="L151" s="19">
        <f>MAX(IF(ISNA(VLOOKUP(B151,'NÖBV 1'!$B$3:$C$34,2,FALSE))=TRUE,0,VLOOKUP(B151,'NÖBV 1'!$B$3:$C$34,2,FALSE)),IF(ISNA(VLOOKUP(B151,'NÖBV 1'!$F$3:$G$34,2,FALSE))=TRUE,0,VLOOKUP(B151,'NÖBV 1'!$F$3:$G$34,2,FALSE)),IF(ISNA(VLOOKUP(B151,'NÖBV 1'!$J$3:$K$34,2,FALSE))=TRUE,0,VLOOKUP(B151,'NÖBV 1'!$J$3:$K$34,2,FALSE)),IF(ISNA(VLOOKUP(B151,'NÖBV 1'!$N$3:$O$34,2,FALSE))=TRUE,0,VLOOKUP(B151,'NÖBV 1'!$N$3:$O$34,2,FALSE)))</f>
        <v>0</v>
      </c>
      <c r="M151" s="19">
        <f>MAX(IF(ISNA(VLOOKUP(B151,'NÖBV 2'!$B$3:$C$34,2,FALSE))=TRUE,0,VLOOKUP(B151,'NÖBV 2'!$B$3:$C$34,2,FALSE)),IF(ISNA(VLOOKUP(B151,'NÖBV 2'!$F$3:$G$34,2,FALSE))=TRUE,0,VLOOKUP(B151,'NÖBV 2'!$F$3:$G$34,2,FALSE)),IF(ISNA(VLOOKUP(B151,'NÖBV 2'!$J$3:$K$34,2,FALSE))=TRUE,0,VLOOKUP(B151,'NÖBV 2'!$J$3:$K$34,2,FALSE)),IF(ISNA(VLOOKUP(B151,'NÖBV 2'!$N$3:$O$34,2,FALSE))=TRUE,0,VLOOKUP(B151,'NÖBV 2'!$N$3:$O$34,2,FALSE)))</f>
        <v>0</v>
      </c>
      <c r="N151" s="19">
        <f>MAX(IF(ISNA(VLOOKUP(B151,'NÖBV 3'!$B$3:$C$34,2,FALSE))=TRUE,0,VLOOKUP(B151,'NÖBV 3'!$B$3:$C$34,2,FALSE)),IF(ISNA(VLOOKUP(B151,'NÖBV 3'!$F$3:$G$34,2,FALSE))=TRUE,0,VLOOKUP(B151,'NÖBV 3'!$F$3:$G$34,2,FALSE)),IF(ISNA(VLOOKUP(B151,'NÖBV 3'!$J$3:$K$34,2,FALSE))=TRUE,0,VLOOKUP(B151,'NÖBV 3'!$J$3:$K$34,2,FALSE)),IF(ISNA(VLOOKUP(B151,'NÖBV 3'!$N$3:$O$34,2,FALSE))=TRUE,0,VLOOKUP(B151,'NÖBV 3'!$N$3:$O$34,2,FALSE)))</f>
        <v>0</v>
      </c>
      <c r="O151" s="15">
        <f>MAX(IF(ISNA(VLOOKUP(B151,'Regioturnier 1'!$B$3:$C$34,2,FALSE))=TRUE,0,VLOOKUP(B151,'Regioturnier 1'!$B$3:$C$34,2,FALSE)),IF(ISNA(VLOOKUP(B151,'Regioturnier 1'!$F$3:$G$34,2,FALSE))=TRUE,0,VLOOKUP(B151,'Regioturnier 1'!$F$3:$G$34,2,FALSE)),IF(ISNA(VLOOKUP(B151,'Regioturnier 1'!$J$3:$K$34,2,FALSE))=TRUE,0,VLOOKUP(B151,'Regioturnier 1'!$J$3:$K$34,2,FALSE)),IF(ISNA(VLOOKUP(B151,'Regioturnier 1'!$N$3:$O$34,2,FALSE))=TRUE,0,VLOOKUP(B151,'Regioturnier 1'!$N$3:$O$34,2,FALSE)),IF(ISNA(VLOOKUP(B151,'Regioturnier 1'!$R$3:$S$34,2,FALSE))=TRUE,0,VLOOKUP(B151,'Regioturnier 1'!$R$3:$S$34,2,FALSE)), IF(ISNA(VLOOKUP(B151,'Regioturnier 1'!$V$3:$W$34,2,FALSE))=TRUE,0,VLOOKUP(B151,'Regioturnier 1'!$V$3:$W$34,2,FALSE)), IF(ISNA(VLOOKUP(B151,'Regioturnier 1'!$Z$3:$AA$34,2,FALSE))=TRUE,0,VLOOKUP(B151,'Regioturnier 1'!$Z$3:$AA$34,2,FALSE)))</f>
        <v>0</v>
      </c>
      <c r="P151" s="15">
        <f>MAX(IF(ISNA(VLOOKUP(B151,'Regioturnier 2'!$B$3:$C$34,2,FALSE))=TRUE,0,VLOOKUP(B151,'Regioturnier 2'!$B$3:$C$34,2,FALSE)),IF(ISNA(VLOOKUP(B151,'Regioturnier 2'!$F$3:$G$34,2,FALSE))=TRUE,0,VLOOKUP(B151,'Regioturnier 2'!$F$3:$G$34,2,FALSE)),IF(ISNA(VLOOKUP(B151,'Regioturnier 2'!$J$3:$K$34,2,FALSE))=TRUE,0,VLOOKUP(B151,'Regioturnier 2'!$J$3:$K$34,2,FALSE)),IF(ISNA(VLOOKUP(B151,'Regioturnier 2'!$N$3:$O$34,2,FALSE))=TRUE,0,VLOOKUP(B151,'Regioturnier 2'!$N$3:$O$34,2,FALSE)),IF(ISNA(VLOOKUP(B151,'Regioturnier 2'!$R$3:$S$34,2,FALSE))=TRUE,0,VLOOKUP(B151,'Regioturnier 2'!$R$3:$S$34,2,FALSE)), IF(ISNA(VLOOKUP(B151,'Regioturnier 2'!$V$3:$W$34,2,FALSE))=TRUE,0,VLOOKUP(B151,'Regioturnier 2'!$V$3:$W$34,2,FALSE)), IF(ISNA(VLOOKUP(B151,'Regioturnier 2'!$Z$3:$AA$34,2,FALSE))=TRUE,0,VLOOKUP(B151,'Regioturnier 2'!$Z$3:$AA$34,2,FALSE)))</f>
        <v>0</v>
      </c>
      <c r="Q151" s="15">
        <f>MAX(IF(ISNA(VLOOKUP(B151,'Regioturnier 3'!$B$3:$C$34,2,FALSE))=TRUE,0,VLOOKUP(B151,'Regioturnier 3'!$B$3:$C$34,2,FALSE)),IF(ISNA(VLOOKUP(B151,'Regioturnier 3'!$F$3:$G$34,2,FALSE))=TRUE,0,VLOOKUP(B151,'Regioturnier 3'!$F$3:$G$34,2,FALSE)),IF(ISNA(VLOOKUP(B151,'Regioturnier 3'!$J$3:$K$34,2,FALSE))=TRUE,0,VLOOKUP(B151,'Regioturnier 3'!$J$3:$K$34,2,FALSE)),IF(ISNA(VLOOKUP(B151,'Regioturnier 3'!$N$3:$O$34,2,FALSE))=TRUE,0,VLOOKUP(B151,'Regioturnier 3'!$N$3:$O$34,2,FALSE)),IF(ISNA(VLOOKUP(B151,'Regioturnier 3'!$R$3:$S$34,2,FALSE))=TRUE,0,VLOOKUP(B151,'Regioturnier 3'!$R$3:$S$34,2,FALSE)), IF(ISNA(VLOOKUP(B151,'Regioturnier 3'!$V$3:$W$34,2,FALSE))=TRUE,0,VLOOKUP(B151,'Regioturnier 3'!$V$3:$W$34,2,FALSE)), IF(ISNA(VLOOKUP(B151,'Regioturnier 3'!$Z$3:$AA$34,2,FALSE))=TRUE,0,VLOOKUP(B151,'Regioturnier 3'!$Z$3:$AA$34,2,FALSE)))</f>
        <v>0</v>
      </c>
      <c r="R151" s="20">
        <f>0.5*INDEX($H151:$N151,MATCH(LARGE($H151:$N151,1),$H151:$N151,0))+0.3*INDEX($H151:$N151,MATCH(LARGE($H151:$N151,2),$H151:$N151,0))+0.2*INDEX($H151:$N151,MATCH(LARGE($H151:$N151,3),$H151:$N151,0))</f>
        <v>73.5</v>
      </c>
      <c r="S151" s="20">
        <f>0.6*INDEX(O151:Q151,MATCH(LARGE(O151:Q151,1),O151:Q151,0))+0.4*INDEX(O151:Q151,MATCH(LARGE(O151:Q151,2),O151:Q151,0))+0*INDEX(O151:Q151,MATCH(LARGE(O151:Q151,3),O151:Q151,0))</f>
        <v>0</v>
      </c>
      <c r="T151" s="15">
        <f>1*INDEX(R151:S151,MATCH(LARGE(R151:S151,1),R151:S151,0))+0*INDEX(R151:S151,MATCH(LARGE(R151:S151,2),R151:S151,0))</f>
        <v>73.5</v>
      </c>
      <c r="U151" s="21"/>
      <c r="V151" s="21"/>
      <c r="W151" s="21"/>
      <c r="X151" s="21"/>
      <c r="Y151" s="21"/>
      <c r="Z151" s="21"/>
    </row>
    <row r="152" spans="1:26" ht="12.75" customHeight="1" x14ac:dyDescent="0.3">
      <c r="A152" s="15">
        <v>151</v>
      </c>
      <c r="B152" s="16" t="s">
        <v>221</v>
      </c>
      <c r="C152" s="17" t="s">
        <v>181</v>
      </c>
      <c r="D152" s="15" t="s">
        <v>22</v>
      </c>
      <c r="E152" s="18" t="s">
        <v>40</v>
      </c>
      <c r="F152" s="15" t="s">
        <v>222</v>
      </c>
      <c r="G152" s="22">
        <v>2013</v>
      </c>
      <c r="H152" s="15">
        <f>MAX(IF(ISNA(VLOOKUP(B152,'WBV 1'!$B$3:$C$34,2,FALSE))=TRUE,0,VLOOKUP(B152,'WBV 1'!$B$3:$C$34,2,FALSE)),IF(ISNA(VLOOKUP(B152,'WBV 1'!$F$3:$G$34,2,FALSE))=TRUE,0,VLOOKUP(B152,'WBV 1'!$F$3:$G$34,2,FALSE)),IF(ISNA(VLOOKUP(B152,'WBV 1'!$J$3:$K$34,2,FALSE))=TRUE,0,VLOOKUP(B152,'WBV 1'!$J$3:$K$34,2,FALSE)),IF(ISNA(VLOOKUP(B152,'WBV 1'!$N$3:$O$34,2,FALSE))=TRUE,0,VLOOKUP(B152,'WBV 1'!$N$3:$O$34,2,FALSE)))</f>
        <v>0</v>
      </c>
      <c r="I152" s="15">
        <f>MAX(IF(ISNA(VLOOKUP(B152,'WBV 2'!$B$3:$C$34,2,FALSE))=TRUE,0,VLOOKUP(B152,'WBV 2'!$B$3:$C$34,2,FALSE)),IF(ISNA(VLOOKUP(B152,'WBV 2'!$F$3:$G$34,2,FALSE))=TRUE,0,VLOOKUP(B152,'WBV 2'!$F$3:$G$34,2,FALSE)),IF(ISNA(VLOOKUP(B152,'WBV 2'!$J$3:$K$34,2,FALSE))=TRUE,0,VLOOKUP(B152,'WBV 2'!$J$3:$K$34,2,FALSE)),IF(ISNA(VLOOKUP(B152,'WBV 2'!$N$3:$O$34,2,FALSE))=TRUE,0,VLOOKUP(B152,'WBV 2'!$N$3:$O$34,2,FALSE)))</f>
        <v>0</v>
      </c>
      <c r="J152" s="15">
        <f>MAX(IF(ISNA(VLOOKUP(B152,'WBV 3'!$B$3:$C$34,2,FALSE))=TRUE,0,VLOOKUP(B152,'WBV 3'!$B$3:$C$34,2,FALSE)),IF(ISNA(VLOOKUP(B152,'WBV 3'!$F$3:$G$34,2,FALSE))=TRUE,0,VLOOKUP(B152,'WBV 3'!$F$3:$G$34,2,FALSE)),IF(ISNA(VLOOKUP(B152,'WBV 3'!$J$3:$K$34,2,FALSE))=TRUE,0,VLOOKUP(B152,'WBV 3'!$J$3:$K$34,2,FALSE)),IF(ISNA(VLOOKUP(B152,'WBV 3'!$N$3:$O$34,2,FALSE))=TRUE,0,VLOOKUP(B152,'WBV 3'!$N$3:$O$34,2,FALSE)))</f>
        <v>0</v>
      </c>
      <c r="K152" s="15">
        <f>MAX(IF(ISNA(VLOOKUP(B152,'WBV 4'!$B$3:$C$34,2,FALSE))=TRUE,0,VLOOKUP(B152,'WBV 4'!$B$3:$C$34,2,FALSE)),IF(ISNA(VLOOKUP(B152,'WBV 4'!$F$3:$G$34,2,FALSE))=TRUE,0,VLOOKUP(B152,'WBV 4'!$F$3:$G$34,2,FALSE)),IF(ISNA(VLOOKUP(B152,'WBV 4'!$J$3:$K$34,2,FALSE))=TRUE,0,VLOOKUP(B152,'WBV 4'!$J$3:$K$34,2,FALSE)),IF(ISNA(VLOOKUP(B152,'WBV 4'!$N$3:$O$34,2,FALSE))=TRUE,0,VLOOKUP(B152,'WBV 4'!$N$3:$O$34,2,FALSE)))</f>
        <v>0</v>
      </c>
      <c r="L152" s="19">
        <f>MAX(IF(ISNA(VLOOKUP(B152,'NÖBV 1'!$B$3:$C$34,2,FALSE))=TRUE,0,VLOOKUP(B152,'NÖBV 1'!$B$3:$C$34,2,FALSE)),IF(ISNA(VLOOKUP(B152,'NÖBV 1'!$F$3:$G$34,2,FALSE))=TRUE,0,VLOOKUP(B152,'NÖBV 1'!$F$3:$G$34,2,FALSE)),IF(ISNA(VLOOKUP(B152,'NÖBV 1'!$J$3:$K$34,2,FALSE))=TRUE,0,VLOOKUP(B152,'NÖBV 1'!$J$3:$K$34,2,FALSE)),IF(ISNA(VLOOKUP(B152,'NÖBV 1'!$N$3:$O$34,2,FALSE))=TRUE,0,VLOOKUP(B152,'NÖBV 1'!$N$3:$O$34,2,FALSE)))</f>
        <v>0</v>
      </c>
      <c r="M152" s="19">
        <f>MAX(IF(ISNA(VLOOKUP(B152,'NÖBV 2'!$B$3:$C$34,2,FALSE))=TRUE,0,VLOOKUP(B152,'NÖBV 2'!$B$3:$C$34,2,FALSE)),IF(ISNA(VLOOKUP(B152,'NÖBV 2'!$F$3:$G$34,2,FALSE))=TRUE,0,VLOOKUP(B152,'NÖBV 2'!$F$3:$G$34,2,FALSE)),IF(ISNA(VLOOKUP(B152,'NÖBV 2'!$J$3:$K$34,2,FALSE))=TRUE,0,VLOOKUP(B152,'NÖBV 2'!$J$3:$K$34,2,FALSE)),IF(ISNA(VLOOKUP(B152,'NÖBV 2'!$N$3:$O$34,2,FALSE))=TRUE,0,VLOOKUP(B152,'NÖBV 2'!$N$3:$O$34,2,FALSE)))</f>
        <v>146</v>
      </c>
      <c r="N152" s="19">
        <f>MAX(IF(ISNA(VLOOKUP(B152,'NÖBV 3'!$B$3:$C$34,2,FALSE))=TRUE,0,VLOOKUP(B152,'NÖBV 3'!$B$3:$C$34,2,FALSE)),IF(ISNA(VLOOKUP(B152,'NÖBV 3'!$F$3:$G$34,2,FALSE))=TRUE,0,VLOOKUP(B152,'NÖBV 3'!$F$3:$G$34,2,FALSE)),IF(ISNA(VLOOKUP(B152,'NÖBV 3'!$J$3:$K$34,2,FALSE))=TRUE,0,VLOOKUP(B152,'NÖBV 3'!$J$3:$K$34,2,FALSE)),IF(ISNA(VLOOKUP(B152,'NÖBV 3'!$N$3:$O$34,2,FALSE))=TRUE,0,VLOOKUP(B152,'NÖBV 3'!$N$3:$O$34,2,FALSE)))</f>
        <v>0</v>
      </c>
      <c r="O152" s="15">
        <f>MAX(IF(ISNA(VLOOKUP(B152,'Regioturnier 1'!$B$3:$C$34,2,FALSE))=TRUE,0,VLOOKUP(B152,'Regioturnier 1'!$B$3:$C$34,2,FALSE)),IF(ISNA(VLOOKUP(B152,'Regioturnier 1'!$F$3:$G$34,2,FALSE))=TRUE,0,VLOOKUP(B152,'Regioturnier 1'!$F$3:$G$34,2,FALSE)),IF(ISNA(VLOOKUP(B152,'Regioturnier 1'!$J$3:$K$34,2,FALSE))=TRUE,0,VLOOKUP(B152,'Regioturnier 1'!$J$3:$K$34,2,FALSE)),IF(ISNA(VLOOKUP(B152,'Regioturnier 1'!$N$3:$O$34,2,FALSE))=TRUE,0,VLOOKUP(B152,'Regioturnier 1'!$N$3:$O$34,2,FALSE)),IF(ISNA(VLOOKUP(B152,'Regioturnier 1'!$R$3:$S$34,2,FALSE))=TRUE,0,VLOOKUP(B152,'Regioturnier 1'!$R$3:$S$34,2,FALSE)), IF(ISNA(VLOOKUP(B152,'Regioturnier 1'!$V$3:$W$34,2,FALSE))=TRUE,0,VLOOKUP(B152,'Regioturnier 1'!$V$3:$W$34,2,FALSE)), IF(ISNA(VLOOKUP(B152,'Regioturnier 1'!$Z$3:$AA$34,2,FALSE))=TRUE,0,VLOOKUP(B152,'Regioturnier 1'!$Z$3:$AA$34,2,FALSE)))</f>
        <v>0</v>
      </c>
      <c r="P152" s="15">
        <f>MAX(IF(ISNA(VLOOKUP(B152,'Regioturnier 2'!$B$3:$C$34,2,FALSE))=TRUE,0,VLOOKUP(B152,'Regioturnier 2'!$B$3:$C$34,2,FALSE)),IF(ISNA(VLOOKUP(B152,'Regioturnier 2'!$F$3:$G$34,2,FALSE))=TRUE,0,VLOOKUP(B152,'Regioturnier 2'!$F$3:$G$34,2,FALSE)),IF(ISNA(VLOOKUP(B152,'Regioturnier 2'!$J$3:$K$34,2,FALSE))=TRUE,0,VLOOKUP(B152,'Regioturnier 2'!$J$3:$K$34,2,FALSE)),IF(ISNA(VLOOKUP(B152,'Regioturnier 2'!$N$3:$O$34,2,FALSE))=TRUE,0,VLOOKUP(B152,'Regioturnier 2'!$N$3:$O$34,2,FALSE)),IF(ISNA(VLOOKUP(B152,'Regioturnier 2'!$R$3:$S$34,2,FALSE))=TRUE,0,VLOOKUP(B152,'Regioturnier 2'!$R$3:$S$34,2,FALSE)), IF(ISNA(VLOOKUP(B152,'Regioturnier 2'!$V$3:$W$34,2,FALSE))=TRUE,0,VLOOKUP(B152,'Regioturnier 2'!$V$3:$W$34,2,FALSE)), IF(ISNA(VLOOKUP(B152,'Regioturnier 2'!$Z$3:$AA$34,2,FALSE))=TRUE,0,VLOOKUP(B152,'Regioturnier 2'!$Z$3:$AA$34,2,FALSE)))</f>
        <v>0</v>
      </c>
      <c r="Q152" s="15">
        <f>MAX(IF(ISNA(VLOOKUP(B152,'Regioturnier 3'!$B$3:$C$34,2,FALSE))=TRUE,0,VLOOKUP(B152,'Regioturnier 3'!$B$3:$C$34,2,FALSE)),IF(ISNA(VLOOKUP(B152,'Regioturnier 3'!$F$3:$G$34,2,FALSE))=TRUE,0,VLOOKUP(B152,'Regioturnier 3'!$F$3:$G$34,2,FALSE)),IF(ISNA(VLOOKUP(B152,'Regioturnier 3'!$J$3:$K$34,2,FALSE))=TRUE,0,VLOOKUP(B152,'Regioturnier 3'!$J$3:$K$34,2,FALSE)),IF(ISNA(VLOOKUP(B152,'Regioturnier 3'!$N$3:$O$34,2,FALSE))=TRUE,0,VLOOKUP(B152,'Regioturnier 3'!$N$3:$O$34,2,FALSE)),IF(ISNA(VLOOKUP(B152,'Regioturnier 3'!$R$3:$S$34,2,FALSE))=TRUE,0,VLOOKUP(B152,'Regioturnier 3'!$R$3:$S$34,2,FALSE)), IF(ISNA(VLOOKUP(B152,'Regioturnier 3'!$V$3:$W$34,2,FALSE))=TRUE,0,VLOOKUP(B152,'Regioturnier 3'!$V$3:$W$34,2,FALSE)), IF(ISNA(VLOOKUP(B152,'Regioturnier 3'!$Z$3:$AA$34,2,FALSE))=TRUE,0,VLOOKUP(B152,'Regioturnier 3'!$Z$3:$AA$34,2,FALSE)))</f>
        <v>0</v>
      </c>
      <c r="R152" s="20">
        <f>0.5*INDEX($H152:$N152,MATCH(LARGE($H152:$N152,1),$H152:$N152,0))+0.3*INDEX($H152:$N152,MATCH(LARGE($H152:$N152,2),$H152:$N152,0))+0.2*INDEX($H152:$N152,MATCH(LARGE($H152:$N152,3),$H152:$N152,0))</f>
        <v>73</v>
      </c>
      <c r="S152" s="20">
        <f>0.6*INDEX(O152:Q152,MATCH(LARGE(O152:Q152,1),O152:Q152,0))+0.4*INDEX(O152:Q152,MATCH(LARGE(O152:Q152,2),O152:Q152,0))+0*INDEX(O152:Q152,MATCH(LARGE(O152:Q152,3),O152:Q152,0))</f>
        <v>0</v>
      </c>
      <c r="T152" s="15">
        <f>1*INDEX(R152:S152,MATCH(LARGE(R152:S152,1),R152:S152,0))+0*INDEX(R152:S152,MATCH(LARGE(R152:S152,2),R152:S152,0))</f>
        <v>73</v>
      </c>
      <c r="U152" s="21"/>
      <c r="V152" s="21"/>
      <c r="W152" s="21"/>
      <c r="X152" s="21"/>
      <c r="Y152" s="21"/>
      <c r="Z152" s="21"/>
    </row>
    <row r="153" spans="1:26" ht="12.75" customHeight="1" x14ac:dyDescent="0.3">
      <c r="A153" s="15">
        <v>152</v>
      </c>
      <c r="B153" s="16" t="s">
        <v>522</v>
      </c>
      <c r="C153" s="17" t="s">
        <v>25</v>
      </c>
      <c r="D153" s="15" t="s">
        <v>26</v>
      </c>
      <c r="E153" s="18" t="s">
        <v>23</v>
      </c>
      <c r="F153" s="15"/>
      <c r="G153" s="22">
        <v>2011</v>
      </c>
      <c r="H153" s="15">
        <f>MAX(IF(ISNA(VLOOKUP(B153,'WBV 1'!$B$3:$C$34,2,FALSE))=TRUE,0,VLOOKUP(B153,'WBV 1'!$B$3:$C$34,2,FALSE)),IF(ISNA(VLOOKUP(B153,'WBV 1'!$F$3:$G$34,2,FALSE))=TRUE,0,VLOOKUP(B153,'WBV 1'!$F$3:$G$34,2,FALSE)),IF(ISNA(VLOOKUP(B153,'WBV 1'!$J$3:$K$34,2,FALSE))=TRUE,0,VLOOKUP(B153,'WBV 1'!$J$3:$K$34,2,FALSE)),IF(ISNA(VLOOKUP(B153,'WBV 1'!$N$3:$O$34,2,FALSE))=TRUE,0,VLOOKUP(B153,'WBV 1'!$N$3:$O$34,2,FALSE)))</f>
        <v>0</v>
      </c>
      <c r="I153" s="15">
        <f>MAX(IF(ISNA(VLOOKUP(B153,'WBV 2'!$B$3:$C$34,2,FALSE))=TRUE,0,VLOOKUP(B153,'WBV 2'!$B$3:$C$34,2,FALSE)),IF(ISNA(VLOOKUP(B153,'WBV 2'!$F$3:$G$34,2,FALSE))=TRUE,0,VLOOKUP(B153,'WBV 2'!$F$3:$G$34,2,FALSE)),IF(ISNA(VLOOKUP(B153,'WBV 2'!$J$3:$K$34,2,FALSE))=TRUE,0,VLOOKUP(B153,'WBV 2'!$J$3:$K$34,2,FALSE)),IF(ISNA(VLOOKUP(B153,'WBV 2'!$N$3:$O$34,2,FALSE))=TRUE,0,VLOOKUP(B153,'WBV 2'!$N$3:$O$34,2,FALSE)))</f>
        <v>146</v>
      </c>
      <c r="J153" s="15">
        <f>MAX(IF(ISNA(VLOOKUP(B153,'WBV 3'!$B$3:$C$34,2,FALSE))=TRUE,0,VLOOKUP(B153,'WBV 3'!$B$3:$C$34,2,FALSE)),IF(ISNA(VLOOKUP(B153,'WBV 3'!$F$3:$G$34,2,FALSE))=TRUE,0,VLOOKUP(B153,'WBV 3'!$F$3:$G$34,2,FALSE)),IF(ISNA(VLOOKUP(B153,'WBV 3'!$J$3:$K$34,2,FALSE))=TRUE,0,VLOOKUP(B153,'WBV 3'!$J$3:$K$34,2,FALSE)),IF(ISNA(VLOOKUP(B153,'WBV 3'!$N$3:$O$34,2,FALSE))=TRUE,0,VLOOKUP(B153,'WBV 3'!$N$3:$O$34,2,FALSE)))</f>
        <v>0</v>
      </c>
      <c r="K153" s="15">
        <f>MAX(IF(ISNA(VLOOKUP(B153,'WBV 4'!$B$3:$C$34,2,FALSE))=TRUE,0,VLOOKUP(B153,'WBV 4'!$B$3:$C$34,2,FALSE)),IF(ISNA(VLOOKUP(B153,'WBV 4'!$F$3:$G$34,2,FALSE))=TRUE,0,VLOOKUP(B153,'WBV 4'!$F$3:$G$34,2,FALSE)),IF(ISNA(VLOOKUP(B153,'WBV 4'!$J$3:$K$34,2,FALSE))=TRUE,0,VLOOKUP(B153,'WBV 4'!$J$3:$K$34,2,FALSE)),IF(ISNA(VLOOKUP(B153,'WBV 4'!$N$3:$O$34,2,FALSE))=TRUE,0,VLOOKUP(B153,'WBV 4'!$N$3:$O$34,2,FALSE)))</f>
        <v>0</v>
      </c>
      <c r="L153" s="19">
        <f>MAX(IF(ISNA(VLOOKUP(B153,'NÖBV 1'!$B$3:$C$34,2,FALSE))=TRUE,0,VLOOKUP(B153,'NÖBV 1'!$B$3:$C$34,2,FALSE)),IF(ISNA(VLOOKUP(B153,'NÖBV 1'!$F$3:$G$34,2,FALSE))=TRUE,0,VLOOKUP(B153,'NÖBV 1'!$F$3:$G$34,2,FALSE)),IF(ISNA(VLOOKUP(B153,'NÖBV 1'!$J$3:$K$34,2,FALSE))=TRUE,0,VLOOKUP(B153,'NÖBV 1'!$J$3:$K$34,2,FALSE)),IF(ISNA(VLOOKUP(B153,'NÖBV 1'!$N$3:$O$34,2,FALSE))=TRUE,0,VLOOKUP(B153,'NÖBV 1'!$N$3:$O$34,2,FALSE)))</f>
        <v>0</v>
      </c>
      <c r="M153" s="19">
        <f>MAX(IF(ISNA(VLOOKUP(B153,'NÖBV 2'!$B$3:$C$34,2,FALSE))=TRUE,0,VLOOKUP(B153,'NÖBV 2'!$B$3:$C$34,2,FALSE)),IF(ISNA(VLOOKUP(B153,'NÖBV 2'!$F$3:$G$34,2,FALSE))=TRUE,0,VLOOKUP(B153,'NÖBV 2'!$F$3:$G$34,2,FALSE)),IF(ISNA(VLOOKUP(B153,'NÖBV 2'!$J$3:$K$34,2,FALSE))=TRUE,0,VLOOKUP(B153,'NÖBV 2'!$J$3:$K$34,2,FALSE)),IF(ISNA(VLOOKUP(B153,'NÖBV 2'!$N$3:$O$34,2,FALSE))=TRUE,0,VLOOKUP(B153,'NÖBV 2'!$N$3:$O$34,2,FALSE)))</f>
        <v>0</v>
      </c>
      <c r="N153" s="19">
        <f>MAX(IF(ISNA(VLOOKUP(B153,'NÖBV 3'!$B$3:$C$34,2,FALSE))=TRUE,0,VLOOKUP(B153,'NÖBV 3'!$B$3:$C$34,2,FALSE)),IF(ISNA(VLOOKUP(B153,'NÖBV 3'!$F$3:$G$34,2,FALSE))=TRUE,0,VLOOKUP(B153,'NÖBV 3'!$F$3:$G$34,2,FALSE)),IF(ISNA(VLOOKUP(B153,'NÖBV 3'!$J$3:$K$34,2,FALSE))=TRUE,0,VLOOKUP(B153,'NÖBV 3'!$J$3:$K$34,2,FALSE)),IF(ISNA(VLOOKUP(B153,'NÖBV 3'!$N$3:$O$34,2,FALSE))=TRUE,0,VLOOKUP(B153,'NÖBV 3'!$N$3:$O$34,2,FALSE)))</f>
        <v>0</v>
      </c>
      <c r="O153" s="15">
        <f>MAX(IF(ISNA(VLOOKUP(B153,'Regioturnier 1'!$B$3:$C$34,2,FALSE))=TRUE,0,VLOOKUP(B153,'Regioturnier 1'!$B$3:$C$34,2,FALSE)),IF(ISNA(VLOOKUP(B153,'Regioturnier 1'!$F$3:$G$34,2,FALSE))=TRUE,0,VLOOKUP(B153,'Regioturnier 1'!$F$3:$G$34,2,FALSE)),IF(ISNA(VLOOKUP(B153,'Regioturnier 1'!$J$3:$K$34,2,FALSE))=TRUE,0,VLOOKUP(B153,'Regioturnier 1'!$J$3:$K$34,2,FALSE)),IF(ISNA(VLOOKUP(B153,'Regioturnier 1'!$N$3:$O$34,2,FALSE))=TRUE,0,VLOOKUP(B153,'Regioturnier 1'!$N$3:$O$34,2,FALSE)),IF(ISNA(VLOOKUP(B153,'Regioturnier 1'!$R$3:$S$34,2,FALSE))=TRUE,0,VLOOKUP(B153,'Regioturnier 1'!$R$3:$S$34,2,FALSE)), IF(ISNA(VLOOKUP(B153,'Regioturnier 1'!$V$3:$W$34,2,FALSE))=TRUE,0,VLOOKUP(B153,'Regioturnier 1'!$V$3:$W$34,2,FALSE)), IF(ISNA(VLOOKUP(B153,'Regioturnier 1'!$Z$3:$AA$34,2,FALSE))=TRUE,0,VLOOKUP(B153,'Regioturnier 1'!$Z$3:$AA$34,2,FALSE)))</f>
        <v>0</v>
      </c>
      <c r="P153" s="15">
        <f>MAX(IF(ISNA(VLOOKUP(B153,'Regioturnier 2'!$B$3:$C$34,2,FALSE))=TRUE,0,VLOOKUP(B153,'Regioturnier 2'!$B$3:$C$34,2,FALSE)),IF(ISNA(VLOOKUP(B153,'Regioturnier 2'!$F$3:$G$34,2,FALSE))=TRUE,0,VLOOKUP(B153,'Regioturnier 2'!$F$3:$G$34,2,FALSE)),IF(ISNA(VLOOKUP(B153,'Regioturnier 2'!$J$3:$K$34,2,FALSE))=TRUE,0,VLOOKUP(B153,'Regioturnier 2'!$J$3:$K$34,2,FALSE)),IF(ISNA(VLOOKUP(B153,'Regioturnier 2'!$N$3:$O$34,2,FALSE))=TRUE,0,VLOOKUP(B153,'Regioturnier 2'!$N$3:$O$34,2,FALSE)),IF(ISNA(VLOOKUP(B153,'Regioturnier 2'!$R$3:$S$34,2,FALSE))=TRUE,0,VLOOKUP(B153,'Regioturnier 2'!$R$3:$S$34,2,FALSE)), IF(ISNA(VLOOKUP(B153,'Regioturnier 2'!$V$3:$W$34,2,FALSE))=TRUE,0,VLOOKUP(B153,'Regioturnier 2'!$V$3:$W$34,2,FALSE)), IF(ISNA(VLOOKUP(B153,'Regioturnier 2'!$Z$3:$AA$34,2,FALSE))=TRUE,0,VLOOKUP(B153,'Regioturnier 2'!$Z$3:$AA$34,2,FALSE)))</f>
        <v>0</v>
      </c>
      <c r="Q153" s="15">
        <f>MAX(IF(ISNA(VLOOKUP(B153,'Regioturnier 3'!$B$3:$C$34,2,FALSE))=TRUE,0,VLOOKUP(B153,'Regioturnier 3'!$B$3:$C$34,2,FALSE)),IF(ISNA(VLOOKUP(B153,'Regioturnier 3'!$F$3:$G$34,2,FALSE))=TRUE,0,VLOOKUP(B153,'Regioturnier 3'!$F$3:$G$34,2,FALSE)),IF(ISNA(VLOOKUP(B153,'Regioturnier 3'!$J$3:$K$34,2,FALSE))=TRUE,0,VLOOKUP(B153,'Regioturnier 3'!$J$3:$K$34,2,FALSE)),IF(ISNA(VLOOKUP(B153,'Regioturnier 3'!$N$3:$O$34,2,FALSE))=TRUE,0,VLOOKUP(B153,'Regioturnier 3'!$N$3:$O$34,2,FALSE)),IF(ISNA(VLOOKUP(B153,'Regioturnier 3'!$R$3:$S$34,2,FALSE))=TRUE,0,VLOOKUP(B153,'Regioturnier 3'!$R$3:$S$34,2,FALSE)), IF(ISNA(VLOOKUP(B153,'Regioturnier 3'!$V$3:$W$34,2,FALSE))=TRUE,0,VLOOKUP(B153,'Regioturnier 3'!$V$3:$W$34,2,FALSE)), IF(ISNA(VLOOKUP(B153,'Regioturnier 3'!$Z$3:$AA$34,2,FALSE))=TRUE,0,VLOOKUP(B153,'Regioturnier 3'!$Z$3:$AA$34,2,FALSE)))</f>
        <v>0</v>
      </c>
      <c r="R153" s="20">
        <f>0.5*INDEX($H153:$N153,MATCH(LARGE($H153:$N153,1),$H153:$N153,0))+0.3*INDEX($H153:$N153,MATCH(LARGE($H153:$N153,2),$H153:$N153,0))+0.2*INDEX($H153:$N153,MATCH(LARGE($H153:$N153,3),$H153:$N153,0))</f>
        <v>73</v>
      </c>
      <c r="S153" s="20">
        <f>0.6*INDEX(O153:Q153,MATCH(LARGE(O153:Q153,1),O153:Q153,0))+0.4*INDEX(O153:Q153,MATCH(LARGE(O153:Q153,2),O153:Q153,0))+0*INDEX(O153:Q153,MATCH(LARGE(O153:Q153,3),O153:Q153,0))</f>
        <v>0</v>
      </c>
      <c r="T153" s="15">
        <f>1*INDEX(R153:S153,MATCH(LARGE(R153:S153,1),R153:S153,0))+0*INDEX(R153:S153,MATCH(LARGE(R153:S153,2),R153:S153,0))</f>
        <v>73</v>
      </c>
      <c r="U153" s="21"/>
      <c r="V153" s="21"/>
      <c r="W153" s="21"/>
      <c r="X153" s="21"/>
      <c r="Y153" s="21"/>
      <c r="Z153" s="21"/>
    </row>
    <row r="154" spans="1:26" ht="12.75" customHeight="1" x14ac:dyDescent="0.3">
      <c r="A154" s="15">
        <v>153</v>
      </c>
      <c r="B154" s="21" t="s">
        <v>616</v>
      </c>
      <c r="C154" s="21" t="s">
        <v>57</v>
      </c>
      <c r="D154" s="15" t="s">
        <v>26</v>
      </c>
      <c r="E154" s="15" t="s">
        <v>23</v>
      </c>
      <c r="F154" s="15"/>
      <c r="G154" s="15">
        <v>2010</v>
      </c>
      <c r="H154" s="15">
        <f>MAX(IF(ISNA(VLOOKUP(B154,'WBV 1'!$B$3:$C$34,2,FALSE))=TRUE,0,VLOOKUP(B154,'WBV 1'!$B$3:$C$34,2,FALSE)),IF(ISNA(VLOOKUP(B154,'WBV 1'!$F$3:$G$34,2,FALSE))=TRUE,0,VLOOKUP(B154,'WBV 1'!$F$3:$G$34,2,FALSE)),IF(ISNA(VLOOKUP(B154,'WBV 1'!$J$3:$K$34,2,FALSE))=TRUE,0,VLOOKUP(B154,'WBV 1'!$J$3:$K$34,2,FALSE)),IF(ISNA(VLOOKUP(B154,'WBV 1'!$N$3:$O$34,2,FALSE))=TRUE,0,VLOOKUP(B154,'WBV 1'!$N$3:$O$34,2,FALSE)))</f>
        <v>0</v>
      </c>
      <c r="I154" s="15">
        <f>MAX(IF(ISNA(VLOOKUP(B154,'WBV 2'!$B$3:$C$34,2,FALSE))=TRUE,0,VLOOKUP(B154,'WBV 2'!$B$3:$C$34,2,FALSE)),IF(ISNA(VLOOKUP(B154,'WBV 2'!$F$3:$G$34,2,FALSE))=TRUE,0,VLOOKUP(B154,'WBV 2'!$F$3:$G$34,2,FALSE)),IF(ISNA(VLOOKUP(B154,'WBV 2'!$J$3:$K$34,2,FALSE))=TRUE,0,VLOOKUP(B154,'WBV 2'!$J$3:$K$34,2,FALSE)),IF(ISNA(VLOOKUP(B154,'WBV 2'!$N$3:$O$34,2,FALSE))=TRUE,0,VLOOKUP(B154,'WBV 2'!$N$3:$O$34,2,FALSE)))</f>
        <v>0</v>
      </c>
      <c r="J154" s="15">
        <f>MAX(IF(ISNA(VLOOKUP(B154,'WBV 3'!$B$3:$C$34,2,FALSE))=TRUE,0,VLOOKUP(B154,'WBV 3'!$B$3:$C$34,2,FALSE)),IF(ISNA(VLOOKUP(B154,'WBV 3'!$F$3:$G$34,2,FALSE))=TRUE,0,VLOOKUP(B154,'WBV 3'!$F$3:$G$34,2,FALSE)),IF(ISNA(VLOOKUP(B154,'WBV 3'!$J$3:$K$34,2,FALSE))=TRUE,0,VLOOKUP(B154,'WBV 3'!$J$3:$K$34,2,FALSE)),IF(ISNA(VLOOKUP(B154,'WBV 3'!$N$3:$O$34,2,FALSE))=TRUE,0,VLOOKUP(B154,'WBV 3'!$N$3:$O$34,2,FALSE)))</f>
        <v>144</v>
      </c>
      <c r="K154" s="15">
        <f>MAX(IF(ISNA(VLOOKUP(B154,'WBV 4'!$B$3:$C$34,2,FALSE))=TRUE,0,VLOOKUP(B154,'WBV 4'!$B$3:$C$34,2,FALSE)),IF(ISNA(VLOOKUP(B154,'WBV 4'!$F$3:$G$34,2,FALSE))=TRUE,0,VLOOKUP(B154,'WBV 4'!$F$3:$G$34,2,FALSE)),IF(ISNA(VLOOKUP(B154,'WBV 4'!$J$3:$K$34,2,FALSE))=TRUE,0,VLOOKUP(B154,'WBV 4'!$J$3:$K$34,2,FALSE)),IF(ISNA(VLOOKUP(B154,'WBV 4'!$N$3:$O$34,2,FALSE))=TRUE,0,VLOOKUP(B154,'WBV 4'!$N$3:$O$34,2,FALSE)))</f>
        <v>0</v>
      </c>
      <c r="L154" s="19">
        <f>MAX(IF(ISNA(VLOOKUP(B154,'NÖBV 1'!$B$3:$C$34,2,FALSE))=TRUE,0,VLOOKUP(B154,'NÖBV 1'!$B$3:$C$34,2,FALSE)),IF(ISNA(VLOOKUP(B154,'NÖBV 1'!$F$3:$G$34,2,FALSE))=TRUE,0,VLOOKUP(B154,'NÖBV 1'!$F$3:$G$34,2,FALSE)),IF(ISNA(VLOOKUP(B154,'NÖBV 1'!$J$3:$K$34,2,FALSE))=TRUE,0,VLOOKUP(B154,'NÖBV 1'!$J$3:$K$34,2,FALSE)),IF(ISNA(VLOOKUP(B154,'NÖBV 1'!$N$3:$O$34,2,FALSE))=TRUE,0,VLOOKUP(B154,'NÖBV 1'!$N$3:$O$34,2,FALSE)))</f>
        <v>0</v>
      </c>
      <c r="M154" s="19">
        <f>MAX(IF(ISNA(VLOOKUP(B154,'NÖBV 2'!$B$3:$C$34,2,FALSE))=TRUE,0,VLOOKUP(B154,'NÖBV 2'!$B$3:$C$34,2,FALSE)),IF(ISNA(VLOOKUP(B154,'NÖBV 2'!$F$3:$G$34,2,FALSE))=TRUE,0,VLOOKUP(B154,'NÖBV 2'!$F$3:$G$34,2,FALSE)),IF(ISNA(VLOOKUP(B154,'NÖBV 2'!$J$3:$K$34,2,FALSE))=TRUE,0,VLOOKUP(B154,'NÖBV 2'!$J$3:$K$34,2,FALSE)),IF(ISNA(VLOOKUP(B154,'NÖBV 2'!$N$3:$O$34,2,FALSE))=TRUE,0,VLOOKUP(B154,'NÖBV 2'!$N$3:$O$34,2,FALSE)))</f>
        <v>0</v>
      </c>
      <c r="N154" s="19">
        <f>MAX(IF(ISNA(VLOOKUP(B154,'NÖBV 3'!$B$3:$C$34,2,FALSE))=TRUE,0,VLOOKUP(B154,'NÖBV 3'!$B$3:$C$34,2,FALSE)),IF(ISNA(VLOOKUP(B154,'NÖBV 3'!$F$3:$G$34,2,FALSE))=TRUE,0,VLOOKUP(B154,'NÖBV 3'!$F$3:$G$34,2,FALSE)),IF(ISNA(VLOOKUP(B154,'NÖBV 3'!$J$3:$K$34,2,FALSE))=TRUE,0,VLOOKUP(B154,'NÖBV 3'!$J$3:$K$34,2,FALSE)),IF(ISNA(VLOOKUP(B154,'NÖBV 3'!$N$3:$O$34,2,FALSE))=TRUE,0,VLOOKUP(B154,'NÖBV 3'!$N$3:$O$34,2,FALSE)))</f>
        <v>0</v>
      </c>
      <c r="O154" s="15">
        <f>MAX(IF(ISNA(VLOOKUP(B154,'Regioturnier 1'!$B$3:$C$34,2,FALSE))=TRUE,0,VLOOKUP(B154,'Regioturnier 1'!$B$3:$C$34,2,FALSE)),IF(ISNA(VLOOKUP(B154,'Regioturnier 1'!$F$3:$G$34,2,FALSE))=TRUE,0,VLOOKUP(B154,'Regioturnier 1'!$F$3:$G$34,2,FALSE)),IF(ISNA(VLOOKUP(B154,'Regioturnier 1'!$J$3:$K$34,2,FALSE))=TRUE,0,VLOOKUP(B154,'Regioturnier 1'!$J$3:$K$34,2,FALSE)),IF(ISNA(VLOOKUP(B154,'Regioturnier 1'!$N$3:$O$34,2,FALSE))=TRUE,0,VLOOKUP(B154,'Regioturnier 1'!$N$3:$O$34,2,FALSE)),IF(ISNA(VLOOKUP(B154,'Regioturnier 1'!$R$3:$S$34,2,FALSE))=TRUE,0,VLOOKUP(B154,'Regioturnier 1'!$R$3:$S$34,2,FALSE)), IF(ISNA(VLOOKUP(B154,'Regioturnier 1'!$V$3:$W$34,2,FALSE))=TRUE,0,VLOOKUP(B154,'Regioturnier 1'!$V$3:$W$34,2,FALSE)), IF(ISNA(VLOOKUP(B154,'Regioturnier 1'!$Z$3:$AA$34,2,FALSE))=TRUE,0,VLOOKUP(B154,'Regioturnier 1'!$Z$3:$AA$34,2,FALSE)))</f>
        <v>0</v>
      </c>
      <c r="P154" s="15">
        <f>MAX(IF(ISNA(VLOOKUP(B154,'Regioturnier 2'!$B$3:$C$34,2,FALSE))=TRUE,0,VLOOKUP(B154,'Regioturnier 2'!$B$3:$C$34,2,FALSE)),IF(ISNA(VLOOKUP(B154,'Regioturnier 2'!$F$3:$G$34,2,FALSE))=TRUE,0,VLOOKUP(B154,'Regioturnier 2'!$F$3:$G$34,2,FALSE)),IF(ISNA(VLOOKUP(B154,'Regioturnier 2'!$J$3:$K$34,2,FALSE))=TRUE,0,VLOOKUP(B154,'Regioturnier 2'!$J$3:$K$34,2,FALSE)),IF(ISNA(VLOOKUP(B154,'Regioturnier 2'!$N$3:$O$34,2,FALSE))=TRUE,0,VLOOKUP(B154,'Regioturnier 2'!$N$3:$O$34,2,FALSE)),IF(ISNA(VLOOKUP(B154,'Regioturnier 2'!$R$3:$S$34,2,FALSE))=TRUE,0,VLOOKUP(B154,'Regioturnier 2'!$R$3:$S$34,2,FALSE)), IF(ISNA(VLOOKUP(B154,'Regioturnier 2'!$V$3:$W$34,2,FALSE))=TRUE,0,VLOOKUP(B154,'Regioturnier 2'!$V$3:$W$34,2,FALSE)), IF(ISNA(VLOOKUP(B154,'Regioturnier 2'!$Z$3:$AA$34,2,FALSE))=TRUE,0,VLOOKUP(B154,'Regioturnier 2'!$Z$3:$AA$34,2,FALSE)))</f>
        <v>0</v>
      </c>
      <c r="Q154" s="15">
        <f>MAX(IF(ISNA(VLOOKUP(B154,'Regioturnier 3'!$B$3:$C$34,2,FALSE))=TRUE,0,VLOOKUP(B154,'Regioturnier 3'!$B$3:$C$34,2,FALSE)),IF(ISNA(VLOOKUP(B154,'Regioturnier 3'!$F$3:$G$34,2,FALSE))=TRUE,0,VLOOKUP(B154,'Regioturnier 3'!$F$3:$G$34,2,FALSE)),IF(ISNA(VLOOKUP(B154,'Regioturnier 3'!$J$3:$K$34,2,FALSE))=TRUE,0,VLOOKUP(B154,'Regioturnier 3'!$J$3:$K$34,2,FALSE)),IF(ISNA(VLOOKUP(B154,'Regioturnier 3'!$N$3:$O$34,2,FALSE))=TRUE,0,VLOOKUP(B154,'Regioturnier 3'!$N$3:$O$34,2,FALSE)),IF(ISNA(VLOOKUP(B154,'Regioturnier 3'!$R$3:$S$34,2,FALSE))=TRUE,0,VLOOKUP(B154,'Regioturnier 3'!$R$3:$S$34,2,FALSE)), IF(ISNA(VLOOKUP(B154,'Regioturnier 3'!$V$3:$W$34,2,FALSE))=TRUE,0,VLOOKUP(B154,'Regioturnier 3'!$V$3:$W$34,2,FALSE)), IF(ISNA(VLOOKUP(B154,'Regioturnier 3'!$Z$3:$AA$34,2,FALSE))=TRUE,0,VLOOKUP(B154,'Regioturnier 3'!$Z$3:$AA$34,2,FALSE)))</f>
        <v>0</v>
      </c>
      <c r="R154" s="20">
        <f>0.5*INDEX($H154:$N154,MATCH(LARGE($H154:$N154,1),$H154:$N154,0))+0.3*INDEX($H154:$N154,MATCH(LARGE($H154:$N154,2),$H154:$N154,0))+0.2*INDEX($H154:$N154,MATCH(LARGE($H154:$N154,3),$H154:$N154,0))</f>
        <v>72</v>
      </c>
      <c r="S154" s="20">
        <f>0.6*INDEX(O154:Q154,MATCH(LARGE(O154:Q154,1),O154:Q154,0))+0.4*INDEX(O154:Q154,MATCH(LARGE(O154:Q154,2),O154:Q154,0))+0*INDEX(O154:Q154,MATCH(LARGE(O154:Q154,3),O154:Q154,0))</f>
        <v>0</v>
      </c>
      <c r="T154" s="15">
        <f>1*INDEX(R154:S154,MATCH(LARGE(R154:S154,1),R154:S154,0))+0*INDEX(R154:S154,MATCH(LARGE(R154:S154,2),R154:S154,0))</f>
        <v>72</v>
      </c>
      <c r="U154" s="21"/>
      <c r="V154" s="21"/>
      <c r="W154" s="21"/>
      <c r="X154" s="21"/>
      <c r="Y154" s="21"/>
      <c r="Z154" s="21"/>
    </row>
    <row r="155" spans="1:26" ht="12.75" customHeight="1" x14ac:dyDescent="0.3">
      <c r="A155" s="15">
        <v>154</v>
      </c>
      <c r="B155" s="16" t="s">
        <v>523</v>
      </c>
      <c r="C155" s="17" t="s">
        <v>43</v>
      </c>
      <c r="D155" s="15" t="s">
        <v>26</v>
      </c>
      <c r="E155" s="18" t="s">
        <v>40</v>
      </c>
      <c r="F155" s="15" t="s">
        <v>557</v>
      </c>
      <c r="G155" s="22">
        <v>2014</v>
      </c>
      <c r="H155" s="15">
        <f>MAX(IF(ISNA(VLOOKUP(B155,'WBV 1'!$B$3:$C$34,2,FALSE))=TRUE,0,VLOOKUP(B155,'WBV 1'!$B$3:$C$34,2,FALSE)),IF(ISNA(VLOOKUP(B155,'WBV 1'!$F$3:$G$34,2,FALSE))=TRUE,0,VLOOKUP(B155,'WBV 1'!$F$3:$G$34,2,FALSE)),IF(ISNA(VLOOKUP(B155,'WBV 1'!$J$3:$K$34,2,FALSE))=TRUE,0,VLOOKUP(B155,'WBV 1'!$J$3:$K$34,2,FALSE)),IF(ISNA(VLOOKUP(B155,'WBV 1'!$N$3:$O$34,2,FALSE))=TRUE,0,VLOOKUP(B155,'WBV 1'!$N$3:$O$34,2,FALSE)))</f>
        <v>0</v>
      </c>
      <c r="I155" s="15">
        <f>MAX(IF(ISNA(VLOOKUP(B155,'WBV 2'!$B$3:$C$34,2,FALSE))=TRUE,0,VLOOKUP(B155,'WBV 2'!$B$3:$C$34,2,FALSE)),IF(ISNA(VLOOKUP(B155,'WBV 2'!$F$3:$G$34,2,FALSE))=TRUE,0,VLOOKUP(B155,'WBV 2'!$F$3:$G$34,2,FALSE)),IF(ISNA(VLOOKUP(B155,'WBV 2'!$J$3:$K$34,2,FALSE))=TRUE,0,VLOOKUP(B155,'WBV 2'!$J$3:$K$34,2,FALSE)),IF(ISNA(VLOOKUP(B155,'WBV 2'!$N$3:$O$34,2,FALSE))=TRUE,0,VLOOKUP(B155,'WBV 2'!$N$3:$O$34,2,FALSE)))</f>
        <v>144</v>
      </c>
      <c r="J155" s="15">
        <f>MAX(IF(ISNA(VLOOKUP(B155,'WBV 3'!$B$3:$C$34,2,FALSE))=TRUE,0,VLOOKUP(B155,'WBV 3'!$B$3:$C$34,2,FALSE)),IF(ISNA(VLOOKUP(B155,'WBV 3'!$F$3:$G$34,2,FALSE))=TRUE,0,VLOOKUP(B155,'WBV 3'!$F$3:$G$34,2,FALSE)),IF(ISNA(VLOOKUP(B155,'WBV 3'!$J$3:$K$34,2,FALSE))=TRUE,0,VLOOKUP(B155,'WBV 3'!$J$3:$K$34,2,FALSE)),IF(ISNA(VLOOKUP(B155,'WBV 3'!$N$3:$O$34,2,FALSE))=TRUE,0,VLOOKUP(B155,'WBV 3'!$N$3:$O$34,2,FALSE)))</f>
        <v>0</v>
      </c>
      <c r="K155" s="15">
        <f>MAX(IF(ISNA(VLOOKUP(B155,'WBV 4'!$B$3:$C$34,2,FALSE))=TRUE,0,VLOOKUP(B155,'WBV 4'!$B$3:$C$34,2,FALSE)),IF(ISNA(VLOOKUP(B155,'WBV 4'!$F$3:$G$34,2,FALSE))=TRUE,0,VLOOKUP(B155,'WBV 4'!$F$3:$G$34,2,FALSE)),IF(ISNA(VLOOKUP(B155,'WBV 4'!$J$3:$K$34,2,FALSE))=TRUE,0,VLOOKUP(B155,'WBV 4'!$J$3:$K$34,2,FALSE)),IF(ISNA(VLOOKUP(B155,'WBV 4'!$N$3:$O$34,2,FALSE))=TRUE,0,VLOOKUP(B155,'WBV 4'!$N$3:$O$34,2,FALSE)))</f>
        <v>0</v>
      </c>
      <c r="L155" s="19">
        <f>MAX(IF(ISNA(VLOOKUP(B155,'NÖBV 1'!$B$3:$C$34,2,FALSE))=TRUE,0,VLOOKUP(B155,'NÖBV 1'!$B$3:$C$34,2,FALSE)),IF(ISNA(VLOOKUP(B155,'NÖBV 1'!$F$3:$G$34,2,FALSE))=TRUE,0,VLOOKUP(B155,'NÖBV 1'!$F$3:$G$34,2,FALSE)),IF(ISNA(VLOOKUP(B155,'NÖBV 1'!$J$3:$K$34,2,FALSE))=TRUE,0,VLOOKUP(B155,'NÖBV 1'!$J$3:$K$34,2,FALSE)),IF(ISNA(VLOOKUP(B155,'NÖBV 1'!$N$3:$O$34,2,FALSE))=TRUE,0,VLOOKUP(B155,'NÖBV 1'!$N$3:$O$34,2,FALSE)))</f>
        <v>0</v>
      </c>
      <c r="M155" s="19">
        <f>MAX(IF(ISNA(VLOOKUP(B155,'NÖBV 2'!$B$3:$C$34,2,FALSE))=TRUE,0,VLOOKUP(B155,'NÖBV 2'!$B$3:$C$34,2,FALSE)),IF(ISNA(VLOOKUP(B155,'NÖBV 2'!$F$3:$G$34,2,FALSE))=TRUE,0,VLOOKUP(B155,'NÖBV 2'!$F$3:$G$34,2,FALSE)),IF(ISNA(VLOOKUP(B155,'NÖBV 2'!$J$3:$K$34,2,FALSE))=TRUE,0,VLOOKUP(B155,'NÖBV 2'!$J$3:$K$34,2,FALSE)),IF(ISNA(VLOOKUP(B155,'NÖBV 2'!$N$3:$O$34,2,FALSE))=TRUE,0,VLOOKUP(B155,'NÖBV 2'!$N$3:$O$34,2,FALSE)))</f>
        <v>0</v>
      </c>
      <c r="N155" s="19">
        <f>MAX(IF(ISNA(VLOOKUP(B155,'NÖBV 3'!$B$3:$C$34,2,FALSE))=TRUE,0,VLOOKUP(B155,'NÖBV 3'!$B$3:$C$34,2,FALSE)),IF(ISNA(VLOOKUP(B155,'NÖBV 3'!$F$3:$G$34,2,FALSE))=TRUE,0,VLOOKUP(B155,'NÖBV 3'!$F$3:$G$34,2,FALSE)),IF(ISNA(VLOOKUP(B155,'NÖBV 3'!$J$3:$K$34,2,FALSE))=TRUE,0,VLOOKUP(B155,'NÖBV 3'!$J$3:$K$34,2,FALSE)),IF(ISNA(VLOOKUP(B155,'NÖBV 3'!$N$3:$O$34,2,FALSE))=TRUE,0,VLOOKUP(B155,'NÖBV 3'!$N$3:$O$34,2,FALSE)))</f>
        <v>0</v>
      </c>
      <c r="O155" s="15">
        <f>MAX(IF(ISNA(VLOOKUP(B155,'Regioturnier 1'!$B$3:$C$34,2,FALSE))=TRUE,0,VLOOKUP(B155,'Regioturnier 1'!$B$3:$C$34,2,FALSE)),IF(ISNA(VLOOKUP(B155,'Regioturnier 1'!$F$3:$G$34,2,FALSE))=TRUE,0,VLOOKUP(B155,'Regioturnier 1'!$F$3:$G$34,2,FALSE)),IF(ISNA(VLOOKUP(B155,'Regioturnier 1'!$J$3:$K$34,2,FALSE))=TRUE,0,VLOOKUP(B155,'Regioturnier 1'!$J$3:$K$34,2,FALSE)),IF(ISNA(VLOOKUP(B155,'Regioturnier 1'!$N$3:$O$34,2,FALSE))=TRUE,0,VLOOKUP(B155,'Regioturnier 1'!$N$3:$O$34,2,FALSE)),IF(ISNA(VLOOKUP(B155,'Regioturnier 1'!$R$3:$S$34,2,FALSE))=TRUE,0,VLOOKUP(B155,'Regioturnier 1'!$R$3:$S$34,2,FALSE)), IF(ISNA(VLOOKUP(B155,'Regioturnier 1'!$V$3:$W$34,2,FALSE))=TRUE,0,VLOOKUP(B155,'Regioturnier 1'!$V$3:$W$34,2,FALSE)), IF(ISNA(VLOOKUP(B155,'Regioturnier 1'!$Z$3:$AA$34,2,FALSE))=TRUE,0,VLOOKUP(B155,'Regioturnier 1'!$Z$3:$AA$34,2,FALSE)))</f>
        <v>0</v>
      </c>
      <c r="P155" s="15">
        <f>MAX(IF(ISNA(VLOOKUP(B155,'Regioturnier 2'!$B$3:$C$34,2,FALSE))=TRUE,0,VLOOKUP(B155,'Regioturnier 2'!$B$3:$C$34,2,FALSE)),IF(ISNA(VLOOKUP(B155,'Regioturnier 2'!$F$3:$G$34,2,FALSE))=TRUE,0,VLOOKUP(B155,'Regioturnier 2'!$F$3:$G$34,2,FALSE)),IF(ISNA(VLOOKUP(B155,'Regioturnier 2'!$J$3:$K$34,2,FALSE))=TRUE,0,VLOOKUP(B155,'Regioturnier 2'!$J$3:$K$34,2,FALSE)),IF(ISNA(VLOOKUP(B155,'Regioturnier 2'!$N$3:$O$34,2,FALSE))=TRUE,0,VLOOKUP(B155,'Regioturnier 2'!$N$3:$O$34,2,FALSE)),IF(ISNA(VLOOKUP(B155,'Regioturnier 2'!$R$3:$S$34,2,FALSE))=TRUE,0,VLOOKUP(B155,'Regioturnier 2'!$R$3:$S$34,2,FALSE)), IF(ISNA(VLOOKUP(B155,'Regioturnier 2'!$V$3:$W$34,2,FALSE))=TRUE,0,VLOOKUP(B155,'Regioturnier 2'!$V$3:$W$34,2,FALSE)), IF(ISNA(VLOOKUP(B155,'Regioturnier 2'!$Z$3:$AA$34,2,FALSE))=TRUE,0,VLOOKUP(B155,'Regioturnier 2'!$Z$3:$AA$34,2,FALSE)))</f>
        <v>0</v>
      </c>
      <c r="Q155" s="15">
        <f>MAX(IF(ISNA(VLOOKUP(B155,'Regioturnier 3'!$B$3:$C$34,2,FALSE))=TRUE,0,VLOOKUP(B155,'Regioturnier 3'!$B$3:$C$34,2,FALSE)),IF(ISNA(VLOOKUP(B155,'Regioturnier 3'!$F$3:$G$34,2,FALSE))=TRUE,0,VLOOKUP(B155,'Regioturnier 3'!$F$3:$G$34,2,FALSE)),IF(ISNA(VLOOKUP(B155,'Regioturnier 3'!$J$3:$K$34,2,FALSE))=TRUE,0,VLOOKUP(B155,'Regioturnier 3'!$J$3:$K$34,2,FALSE)),IF(ISNA(VLOOKUP(B155,'Regioturnier 3'!$N$3:$O$34,2,FALSE))=TRUE,0,VLOOKUP(B155,'Regioturnier 3'!$N$3:$O$34,2,FALSE)),IF(ISNA(VLOOKUP(B155,'Regioturnier 3'!$R$3:$S$34,2,FALSE))=TRUE,0,VLOOKUP(B155,'Regioturnier 3'!$R$3:$S$34,2,FALSE)), IF(ISNA(VLOOKUP(B155,'Regioturnier 3'!$V$3:$W$34,2,FALSE))=TRUE,0,VLOOKUP(B155,'Regioturnier 3'!$V$3:$W$34,2,FALSE)), IF(ISNA(VLOOKUP(B155,'Regioturnier 3'!$Z$3:$AA$34,2,FALSE))=TRUE,0,VLOOKUP(B155,'Regioturnier 3'!$Z$3:$AA$34,2,FALSE)))</f>
        <v>0</v>
      </c>
      <c r="R155" s="20">
        <f>0.5*INDEX($H155:$N155,MATCH(LARGE($H155:$N155,1),$H155:$N155,0))+0.3*INDEX($H155:$N155,MATCH(LARGE($H155:$N155,2),$H155:$N155,0))+0.2*INDEX($H155:$N155,MATCH(LARGE($H155:$N155,3),$H155:$N155,0))</f>
        <v>72</v>
      </c>
      <c r="S155" s="20">
        <f>0.6*INDEX(O155:Q155,MATCH(LARGE(O155:Q155,1),O155:Q155,0))+0.4*INDEX(O155:Q155,MATCH(LARGE(O155:Q155,2),O155:Q155,0))+0*INDEX(O155:Q155,MATCH(LARGE(O155:Q155,3),O155:Q155,0))</f>
        <v>0</v>
      </c>
      <c r="T155" s="15">
        <f>1*INDEX(R155:S155,MATCH(LARGE(R155:S155,1),R155:S155,0))+0*INDEX(R155:S155,MATCH(LARGE(R155:S155,2),R155:S155,0))</f>
        <v>72</v>
      </c>
      <c r="U155" s="21"/>
      <c r="V155" s="21"/>
      <c r="W155" s="21"/>
      <c r="X155" s="21"/>
      <c r="Y155" s="21"/>
      <c r="Z155" s="21"/>
    </row>
    <row r="156" spans="1:26" ht="12.75" customHeight="1" x14ac:dyDescent="0.3">
      <c r="A156" s="15">
        <v>155</v>
      </c>
      <c r="B156" s="21" t="s">
        <v>617</v>
      </c>
      <c r="C156" s="21" t="s">
        <v>31</v>
      </c>
      <c r="D156" s="15" t="s">
        <v>26</v>
      </c>
      <c r="E156" s="15" t="s">
        <v>40</v>
      </c>
      <c r="F156" s="15"/>
      <c r="G156" s="15"/>
      <c r="H156" s="15">
        <f>MAX(IF(ISNA(VLOOKUP(B156,'WBV 1'!$B$3:$C$34,2,FALSE))=TRUE,0,VLOOKUP(B156,'WBV 1'!$B$3:$C$34,2,FALSE)),IF(ISNA(VLOOKUP(B156,'WBV 1'!$F$3:$G$34,2,FALSE))=TRUE,0,VLOOKUP(B156,'WBV 1'!$F$3:$G$34,2,FALSE)),IF(ISNA(VLOOKUP(B156,'WBV 1'!$J$3:$K$34,2,FALSE))=TRUE,0,VLOOKUP(B156,'WBV 1'!$J$3:$K$34,2,FALSE)),IF(ISNA(VLOOKUP(B156,'WBV 1'!$N$3:$O$34,2,FALSE))=TRUE,0,VLOOKUP(B156,'WBV 1'!$N$3:$O$34,2,FALSE)))</f>
        <v>0</v>
      </c>
      <c r="I156" s="15">
        <f>MAX(IF(ISNA(VLOOKUP(B156,'WBV 2'!$B$3:$C$34,2,FALSE))=TRUE,0,VLOOKUP(B156,'WBV 2'!$B$3:$C$34,2,FALSE)),IF(ISNA(VLOOKUP(B156,'WBV 2'!$F$3:$G$34,2,FALSE))=TRUE,0,VLOOKUP(B156,'WBV 2'!$F$3:$G$34,2,FALSE)),IF(ISNA(VLOOKUP(B156,'WBV 2'!$J$3:$K$34,2,FALSE))=TRUE,0,VLOOKUP(B156,'WBV 2'!$J$3:$K$34,2,FALSE)),IF(ISNA(VLOOKUP(B156,'WBV 2'!$N$3:$O$34,2,FALSE))=TRUE,0,VLOOKUP(B156,'WBV 2'!$N$3:$O$34,2,FALSE)))</f>
        <v>0</v>
      </c>
      <c r="J156" s="15">
        <f>MAX(IF(ISNA(VLOOKUP(B156,'WBV 3'!$B$3:$C$34,2,FALSE))=TRUE,0,VLOOKUP(B156,'WBV 3'!$B$3:$C$34,2,FALSE)),IF(ISNA(VLOOKUP(B156,'WBV 3'!$F$3:$G$34,2,FALSE))=TRUE,0,VLOOKUP(B156,'WBV 3'!$F$3:$G$34,2,FALSE)),IF(ISNA(VLOOKUP(B156,'WBV 3'!$J$3:$K$34,2,FALSE))=TRUE,0,VLOOKUP(B156,'WBV 3'!$J$3:$K$34,2,FALSE)),IF(ISNA(VLOOKUP(B156,'WBV 3'!$N$3:$O$34,2,FALSE))=TRUE,0,VLOOKUP(B156,'WBV 3'!$N$3:$O$34,2,FALSE)))</f>
        <v>142</v>
      </c>
      <c r="K156" s="15">
        <f>MAX(IF(ISNA(VLOOKUP(B156,'WBV 4'!$B$3:$C$34,2,FALSE))=TRUE,0,VLOOKUP(B156,'WBV 4'!$B$3:$C$34,2,FALSE)),IF(ISNA(VLOOKUP(B156,'WBV 4'!$F$3:$G$34,2,FALSE))=TRUE,0,VLOOKUP(B156,'WBV 4'!$F$3:$G$34,2,FALSE)),IF(ISNA(VLOOKUP(B156,'WBV 4'!$J$3:$K$34,2,FALSE))=TRUE,0,VLOOKUP(B156,'WBV 4'!$J$3:$K$34,2,FALSE)),IF(ISNA(VLOOKUP(B156,'WBV 4'!$N$3:$O$34,2,FALSE))=TRUE,0,VLOOKUP(B156,'WBV 4'!$N$3:$O$34,2,FALSE)))</f>
        <v>0</v>
      </c>
      <c r="L156" s="19">
        <f>MAX(IF(ISNA(VLOOKUP(B156,'NÖBV 1'!$B$3:$C$34,2,FALSE))=TRUE,0,VLOOKUP(B156,'NÖBV 1'!$B$3:$C$34,2,FALSE)),IF(ISNA(VLOOKUP(B156,'NÖBV 1'!$F$3:$G$34,2,FALSE))=TRUE,0,VLOOKUP(B156,'NÖBV 1'!$F$3:$G$34,2,FALSE)),IF(ISNA(VLOOKUP(B156,'NÖBV 1'!$J$3:$K$34,2,FALSE))=TRUE,0,VLOOKUP(B156,'NÖBV 1'!$J$3:$K$34,2,FALSE)),IF(ISNA(VLOOKUP(B156,'NÖBV 1'!$N$3:$O$34,2,FALSE))=TRUE,0,VLOOKUP(B156,'NÖBV 1'!$N$3:$O$34,2,FALSE)))</f>
        <v>0</v>
      </c>
      <c r="M156" s="19">
        <f>MAX(IF(ISNA(VLOOKUP(B156,'NÖBV 2'!$B$3:$C$34,2,FALSE))=TRUE,0,VLOOKUP(B156,'NÖBV 2'!$B$3:$C$34,2,FALSE)),IF(ISNA(VLOOKUP(B156,'NÖBV 2'!$F$3:$G$34,2,FALSE))=TRUE,0,VLOOKUP(B156,'NÖBV 2'!$F$3:$G$34,2,FALSE)),IF(ISNA(VLOOKUP(B156,'NÖBV 2'!$J$3:$K$34,2,FALSE))=TRUE,0,VLOOKUP(B156,'NÖBV 2'!$J$3:$K$34,2,FALSE)),IF(ISNA(VLOOKUP(B156,'NÖBV 2'!$N$3:$O$34,2,FALSE))=TRUE,0,VLOOKUP(B156,'NÖBV 2'!$N$3:$O$34,2,FALSE)))</f>
        <v>0</v>
      </c>
      <c r="N156" s="19">
        <f>MAX(IF(ISNA(VLOOKUP(B156,'NÖBV 3'!$B$3:$C$34,2,FALSE))=TRUE,0,VLOOKUP(B156,'NÖBV 3'!$B$3:$C$34,2,FALSE)),IF(ISNA(VLOOKUP(B156,'NÖBV 3'!$F$3:$G$34,2,FALSE))=TRUE,0,VLOOKUP(B156,'NÖBV 3'!$F$3:$G$34,2,FALSE)),IF(ISNA(VLOOKUP(B156,'NÖBV 3'!$J$3:$K$34,2,FALSE))=TRUE,0,VLOOKUP(B156,'NÖBV 3'!$J$3:$K$34,2,FALSE)),IF(ISNA(VLOOKUP(B156,'NÖBV 3'!$N$3:$O$34,2,FALSE))=TRUE,0,VLOOKUP(B156,'NÖBV 3'!$N$3:$O$34,2,FALSE)))</f>
        <v>0</v>
      </c>
      <c r="O156" s="15">
        <f>MAX(IF(ISNA(VLOOKUP(B156,'Regioturnier 1'!$B$3:$C$34,2,FALSE))=TRUE,0,VLOOKUP(B156,'Regioturnier 1'!$B$3:$C$34,2,FALSE)),IF(ISNA(VLOOKUP(B156,'Regioturnier 1'!$F$3:$G$34,2,FALSE))=TRUE,0,VLOOKUP(B156,'Regioturnier 1'!$F$3:$G$34,2,FALSE)),IF(ISNA(VLOOKUP(B156,'Regioturnier 1'!$J$3:$K$34,2,FALSE))=TRUE,0,VLOOKUP(B156,'Regioturnier 1'!$J$3:$K$34,2,FALSE)),IF(ISNA(VLOOKUP(B156,'Regioturnier 1'!$N$3:$O$34,2,FALSE))=TRUE,0,VLOOKUP(B156,'Regioturnier 1'!$N$3:$O$34,2,FALSE)),IF(ISNA(VLOOKUP(B156,'Regioturnier 1'!$R$3:$S$34,2,FALSE))=TRUE,0,VLOOKUP(B156,'Regioturnier 1'!$R$3:$S$34,2,FALSE)), IF(ISNA(VLOOKUP(B156,'Regioturnier 1'!$V$3:$W$34,2,FALSE))=TRUE,0,VLOOKUP(B156,'Regioturnier 1'!$V$3:$W$34,2,FALSE)), IF(ISNA(VLOOKUP(B156,'Regioturnier 1'!$Z$3:$AA$34,2,FALSE))=TRUE,0,VLOOKUP(B156,'Regioturnier 1'!$Z$3:$AA$34,2,FALSE)))</f>
        <v>0</v>
      </c>
      <c r="P156" s="15">
        <f>MAX(IF(ISNA(VLOOKUP(B156,'Regioturnier 2'!$B$3:$C$34,2,FALSE))=TRUE,0,VLOOKUP(B156,'Regioturnier 2'!$B$3:$C$34,2,FALSE)),IF(ISNA(VLOOKUP(B156,'Regioturnier 2'!$F$3:$G$34,2,FALSE))=TRUE,0,VLOOKUP(B156,'Regioturnier 2'!$F$3:$G$34,2,FALSE)),IF(ISNA(VLOOKUP(B156,'Regioturnier 2'!$J$3:$K$34,2,FALSE))=TRUE,0,VLOOKUP(B156,'Regioturnier 2'!$J$3:$K$34,2,FALSE)),IF(ISNA(VLOOKUP(B156,'Regioturnier 2'!$N$3:$O$34,2,FALSE))=TRUE,0,VLOOKUP(B156,'Regioturnier 2'!$N$3:$O$34,2,FALSE)),IF(ISNA(VLOOKUP(B156,'Regioturnier 2'!$R$3:$S$34,2,FALSE))=TRUE,0,VLOOKUP(B156,'Regioturnier 2'!$R$3:$S$34,2,FALSE)), IF(ISNA(VLOOKUP(B156,'Regioturnier 2'!$V$3:$W$34,2,FALSE))=TRUE,0,VLOOKUP(B156,'Regioturnier 2'!$V$3:$W$34,2,FALSE)), IF(ISNA(VLOOKUP(B156,'Regioturnier 2'!$Z$3:$AA$34,2,FALSE))=TRUE,0,VLOOKUP(B156,'Regioturnier 2'!$Z$3:$AA$34,2,FALSE)))</f>
        <v>0</v>
      </c>
      <c r="Q156" s="15">
        <f>MAX(IF(ISNA(VLOOKUP(B156,'Regioturnier 3'!$B$3:$C$34,2,FALSE))=TRUE,0,VLOOKUP(B156,'Regioturnier 3'!$B$3:$C$34,2,FALSE)),IF(ISNA(VLOOKUP(B156,'Regioturnier 3'!$F$3:$G$34,2,FALSE))=TRUE,0,VLOOKUP(B156,'Regioturnier 3'!$F$3:$G$34,2,FALSE)),IF(ISNA(VLOOKUP(B156,'Regioturnier 3'!$J$3:$K$34,2,FALSE))=TRUE,0,VLOOKUP(B156,'Regioturnier 3'!$J$3:$K$34,2,FALSE)),IF(ISNA(VLOOKUP(B156,'Regioturnier 3'!$N$3:$O$34,2,FALSE))=TRUE,0,VLOOKUP(B156,'Regioturnier 3'!$N$3:$O$34,2,FALSE)),IF(ISNA(VLOOKUP(B156,'Regioturnier 3'!$R$3:$S$34,2,FALSE))=TRUE,0,VLOOKUP(B156,'Regioturnier 3'!$R$3:$S$34,2,FALSE)), IF(ISNA(VLOOKUP(B156,'Regioturnier 3'!$V$3:$W$34,2,FALSE))=TRUE,0,VLOOKUP(B156,'Regioturnier 3'!$V$3:$W$34,2,FALSE)), IF(ISNA(VLOOKUP(B156,'Regioturnier 3'!$Z$3:$AA$34,2,FALSE))=TRUE,0,VLOOKUP(B156,'Regioturnier 3'!$Z$3:$AA$34,2,FALSE)))</f>
        <v>0</v>
      </c>
      <c r="R156" s="20">
        <f>0.5*INDEX($H156:$N156,MATCH(LARGE($H156:$N156,1),$H156:$N156,0))+0.3*INDEX($H156:$N156,MATCH(LARGE($H156:$N156,2),$H156:$N156,0))+0.2*INDEX($H156:$N156,MATCH(LARGE($H156:$N156,3),$H156:$N156,0))</f>
        <v>71</v>
      </c>
      <c r="S156" s="20">
        <f>0.6*INDEX(O156:Q156,MATCH(LARGE(O156:Q156,1),O156:Q156,0))+0.4*INDEX(O156:Q156,MATCH(LARGE(O156:Q156,2),O156:Q156,0))+0*INDEX(O156:Q156,MATCH(LARGE(O156:Q156,3),O156:Q156,0))</f>
        <v>0</v>
      </c>
      <c r="T156" s="15">
        <f>1*INDEX(R156:S156,MATCH(LARGE(R156:S156,1),R156:S156,0))+0*INDEX(R156:S156,MATCH(LARGE(R156:S156,2),R156:S156,0))</f>
        <v>71</v>
      </c>
      <c r="U156" s="21"/>
      <c r="V156" s="21"/>
      <c r="W156" s="21"/>
      <c r="X156" s="21"/>
      <c r="Y156" s="21"/>
      <c r="Z156" s="21"/>
    </row>
    <row r="157" spans="1:26" ht="12.75" customHeight="1" x14ac:dyDescent="0.3">
      <c r="A157" s="15">
        <v>156</v>
      </c>
      <c r="B157" s="106" t="s">
        <v>575</v>
      </c>
      <c r="C157" s="106" t="s">
        <v>54</v>
      </c>
      <c r="D157" s="106" t="s">
        <v>22</v>
      </c>
      <c r="E157" s="106" t="s">
        <v>23</v>
      </c>
      <c r="F157" s="106" t="s">
        <v>594</v>
      </c>
      <c r="G157" s="107">
        <v>2016</v>
      </c>
      <c r="H157" s="105">
        <f>MAX(IF(ISNA(VLOOKUP(B157,'WBV 1'!$B$3:$C$34,2,FALSE))=TRUE,0,VLOOKUP(B157,'WBV 1'!$B$3:$C$34,2,FALSE)),IF(ISNA(VLOOKUP(B157,'WBV 1'!$F$3:$G$34,2,FALSE))=TRUE,0,VLOOKUP(B157,'WBV 1'!$F$3:$G$34,2,FALSE)),IF(ISNA(VLOOKUP(B157,'WBV 1'!$J$3:$K$34,2,FALSE))=TRUE,0,VLOOKUP(B157,'WBV 1'!$J$3:$K$34,2,FALSE)),IF(ISNA(VLOOKUP(B157,'WBV 1'!$N$3:$O$34,2,FALSE))=TRUE,0,VLOOKUP(B157,'WBV 1'!$N$3:$O$34,2,FALSE)))</f>
        <v>0</v>
      </c>
      <c r="I157" s="105">
        <f>MAX(IF(ISNA(VLOOKUP(B157,'WBV 2'!$B$3:$C$34,2,FALSE))=TRUE,0,VLOOKUP(B157,'WBV 2'!$B$3:$C$34,2,FALSE)),IF(ISNA(VLOOKUP(B157,'WBV 2'!$F$3:$G$34,2,FALSE))=TRUE,0,VLOOKUP(B157,'WBV 2'!$F$3:$G$34,2,FALSE)),IF(ISNA(VLOOKUP(B157,'WBV 2'!$J$3:$K$34,2,FALSE))=TRUE,0,VLOOKUP(B157,'WBV 2'!$J$3:$K$34,2,FALSE)),IF(ISNA(VLOOKUP(B157,'WBV 2'!$N$3:$O$34,2,FALSE))=TRUE,0,VLOOKUP(B157,'WBV 2'!$N$3:$O$34,2,FALSE)))</f>
        <v>0</v>
      </c>
      <c r="J157" s="105">
        <f>MAX(IF(ISNA(VLOOKUP(B157,'WBV 3'!$B$3:$C$34,2,FALSE))=TRUE,0,VLOOKUP(B157,'WBV 3'!$B$3:$C$34,2,FALSE)),IF(ISNA(VLOOKUP(B157,'WBV 3'!$F$3:$G$34,2,FALSE))=TRUE,0,VLOOKUP(B157,'WBV 3'!$F$3:$G$34,2,FALSE)),IF(ISNA(VLOOKUP(B157,'WBV 3'!$J$3:$K$34,2,FALSE))=TRUE,0,VLOOKUP(B157,'WBV 3'!$J$3:$K$34,2,FALSE)),IF(ISNA(VLOOKUP(B157,'WBV 3'!$N$3:$O$34,2,FALSE))=TRUE,0,VLOOKUP(B157,'WBV 3'!$N$3:$O$34,2,FALSE)))</f>
        <v>0</v>
      </c>
      <c r="K157" s="105">
        <f>MAX(IF(ISNA(VLOOKUP(B157,'WBV 4'!$B$3:$C$34,2,FALSE))=TRUE,0,VLOOKUP(B157,'WBV 4'!$B$3:$C$34,2,FALSE)),IF(ISNA(VLOOKUP(B157,'WBV 4'!$F$3:$G$34,2,FALSE))=TRUE,0,VLOOKUP(B157,'WBV 4'!$F$3:$G$34,2,FALSE)),IF(ISNA(VLOOKUP(B157,'WBV 4'!$J$3:$K$34,2,FALSE))=TRUE,0,VLOOKUP(B157,'WBV 4'!$J$3:$K$34,2,FALSE)),IF(ISNA(VLOOKUP(B157,'WBV 4'!$N$3:$O$34,2,FALSE))=TRUE,0,VLOOKUP(B157,'WBV 4'!$N$3:$O$34,2,FALSE)))</f>
        <v>0</v>
      </c>
      <c r="L157" s="105">
        <f>MAX(IF(ISNA(VLOOKUP(B157,'NÖBV 1'!$B$3:$C$34,2,FALSE))=TRUE,0,VLOOKUP(B157,'NÖBV 1'!$B$3:$C$34,2,FALSE)),IF(ISNA(VLOOKUP(B157,'NÖBV 1'!$F$3:$G$34,2,FALSE))=TRUE,0,VLOOKUP(B157,'NÖBV 1'!$F$3:$G$34,2,FALSE)),IF(ISNA(VLOOKUP(B157,'NÖBV 1'!$J$3:$K$34,2,FALSE))=TRUE,0,VLOOKUP(B157,'NÖBV 1'!$J$3:$K$34,2,FALSE)),IF(ISNA(VLOOKUP(B157,'NÖBV 1'!$N$3:$O$34,2,FALSE))=TRUE,0,VLOOKUP(B157,'NÖBV 1'!$N$3:$O$34,2,FALSE)))</f>
        <v>0</v>
      </c>
      <c r="M157" s="105">
        <f>MAX(IF(ISNA(VLOOKUP(B157,'NÖBV 2'!$B$3:$C$34,2,FALSE))=TRUE,0,VLOOKUP(B157,'NÖBV 2'!$B$3:$C$34,2,FALSE)),IF(ISNA(VLOOKUP(B157,'NÖBV 2'!$F$3:$G$34,2,FALSE))=TRUE,0,VLOOKUP(B157,'NÖBV 2'!$F$3:$G$34,2,FALSE)),IF(ISNA(VLOOKUP(B157,'NÖBV 2'!$J$3:$K$34,2,FALSE))=TRUE,0,VLOOKUP(B157,'NÖBV 2'!$J$3:$K$34,2,FALSE)),IF(ISNA(VLOOKUP(B157,'NÖBV 2'!$N$3:$O$34,2,FALSE))=TRUE,0,VLOOKUP(B157,'NÖBV 2'!$N$3:$O$34,2,FALSE)))</f>
        <v>142</v>
      </c>
      <c r="N157" s="105">
        <f>MAX(IF(ISNA(VLOOKUP(B157,'NÖBV 3'!$B$3:$C$34,2,FALSE))=TRUE,0,VLOOKUP(B157,'NÖBV 3'!$B$3:$C$34,2,FALSE)),IF(ISNA(VLOOKUP(B157,'NÖBV 3'!$F$3:$G$34,2,FALSE))=TRUE,0,VLOOKUP(B157,'NÖBV 3'!$F$3:$G$34,2,FALSE)),IF(ISNA(VLOOKUP(B157,'NÖBV 3'!$J$3:$K$34,2,FALSE))=TRUE,0,VLOOKUP(B157,'NÖBV 3'!$J$3:$K$34,2,FALSE)),IF(ISNA(VLOOKUP(B157,'NÖBV 3'!$N$3:$O$34,2,FALSE))=TRUE,0,VLOOKUP(B157,'NÖBV 3'!$N$3:$O$34,2,FALSE)))</f>
        <v>0</v>
      </c>
      <c r="O157" s="105">
        <f>MAX(IF(ISNA(VLOOKUP(B157,'Regioturnier 1'!$B$3:$C$34,2,FALSE))=TRUE,0,VLOOKUP(B157,'Regioturnier 1'!$B$3:$C$34,2,FALSE)),IF(ISNA(VLOOKUP(B157,'Regioturnier 1'!$F$3:$G$34,2,FALSE))=TRUE,0,VLOOKUP(B157,'Regioturnier 1'!$F$3:$G$34,2,FALSE)),IF(ISNA(VLOOKUP(B157,'Regioturnier 1'!$J$3:$K$34,2,FALSE))=TRUE,0,VLOOKUP(B157,'Regioturnier 1'!$J$3:$K$34,2,FALSE)),IF(ISNA(VLOOKUP(B157,'Regioturnier 1'!$N$3:$O$34,2,FALSE))=TRUE,0,VLOOKUP(B157,'Regioturnier 1'!$N$3:$O$34,2,FALSE)),IF(ISNA(VLOOKUP(B157,'Regioturnier 1'!$R$3:$S$34,2,FALSE))=TRUE,0,VLOOKUP(B157,'Regioturnier 1'!$R$3:$S$34,2,FALSE)), IF(ISNA(VLOOKUP(B157,'Regioturnier 1'!$V$3:$W$34,2,FALSE))=TRUE,0,VLOOKUP(B157,'Regioturnier 1'!$V$3:$W$34,2,FALSE)), IF(ISNA(VLOOKUP(B157,'Regioturnier 1'!$Z$3:$AA$34,2,FALSE))=TRUE,0,VLOOKUP(B157,'Regioturnier 1'!$Z$3:$AA$34,2,FALSE)))</f>
        <v>0</v>
      </c>
      <c r="P157" s="105">
        <f>MAX(IF(ISNA(VLOOKUP(B157,'Regioturnier 2'!$B$3:$C$34,2,FALSE))=TRUE,0,VLOOKUP(B157,'Regioturnier 2'!$B$3:$C$34,2,FALSE)),IF(ISNA(VLOOKUP(B157,'Regioturnier 2'!$F$3:$G$34,2,FALSE))=TRUE,0,VLOOKUP(B157,'Regioturnier 2'!$F$3:$G$34,2,FALSE)),IF(ISNA(VLOOKUP(B157,'Regioturnier 2'!$J$3:$K$34,2,FALSE))=TRUE,0,VLOOKUP(B157,'Regioturnier 2'!$J$3:$K$34,2,FALSE)),IF(ISNA(VLOOKUP(B157,'Regioturnier 2'!$N$3:$O$34,2,FALSE))=TRUE,0,VLOOKUP(B157,'Regioturnier 2'!$N$3:$O$34,2,FALSE)),IF(ISNA(VLOOKUP(B157,'Regioturnier 2'!$R$3:$S$34,2,FALSE))=TRUE,0,VLOOKUP(B157,'Regioturnier 2'!$R$3:$S$34,2,FALSE)), IF(ISNA(VLOOKUP(B157,'Regioturnier 2'!$V$3:$W$34,2,FALSE))=TRUE,0,VLOOKUP(B157,'Regioturnier 2'!$V$3:$W$34,2,FALSE)), IF(ISNA(VLOOKUP(B157,'Regioturnier 2'!$Z$3:$AA$34,2,FALSE))=TRUE,0,VLOOKUP(B157,'Regioturnier 2'!$Z$3:$AA$34,2,FALSE)))</f>
        <v>0</v>
      </c>
      <c r="Q157" s="105">
        <f>MAX(IF(ISNA(VLOOKUP(B157,'Regioturnier 3'!$B$3:$C$34,2,FALSE))=TRUE,0,VLOOKUP(B157,'Regioturnier 3'!$B$3:$C$34,2,FALSE)),IF(ISNA(VLOOKUP(B157,'Regioturnier 3'!$F$3:$G$34,2,FALSE))=TRUE,0,VLOOKUP(B157,'Regioturnier 3'!$F$3:$G$34,2,FALSE)),IF(ISNA(VLOOKUP(B157,'Regioturnier 3'!$J$3:$K$34,2,FALSE))=TRUE,0,VLOOKUP(B157,'Regioturnier 3'!$J$3:$K$34,2,FALSE)),IF(ISNA(VLOOKUP(B157,'Regioturnier 3'!$N$3:$O$34,2,FALSE))=TRUE,0,VLOOKUP(B157,'Regioturnier 3'!$N$3:$O$34,2,FALSE)),IF(ISNA(VLOOKUP(B157,'Regioturnier 3'!$R$3:$S$34,2,FALSE))=TRUE,0,VLOOKUP(B157,'Regioturnier 3'!$R$3:$S$34,2,FALSE)), IF(ISNA(VLOOKUP(B157,'Regioturnier 3'!$V$3:$W$34,2,FALSE))=TRUE,0,VLOOKUP(B157,'Regioturnier 3'!$V$3:$W$34,2,FALSE)), IF(ISNA(VLOOKUP(B157,'Regioturnier 3'!$Z$3:$AA$34,2,FALSE))=TRUE,0,VLOOKUP(B157,'Regioturnier 3'!$Z$3:$AA$34,2,FALSE)))</f>
        <v>0</v>
      </c>
      <c r="R157" s="108">
        <f>0.5*INDEX($H157:$N157,MATCH(LARGE($H157:$N157,1),$H157:$N157,0))+0.3*INDEX($H157:$N157,MATCH(LARGE($H157:$N157,2),$H157:$N157,0))+0.2*INDEX($H157:$N157,MATCH(LARGE($H157:$N157,3),$H157:$N157,0))</f>
        <v>71</v>
      </c>
      <c r="S157" s="108">
        <f>0.6*INDEX(O157:Q157,MATCH(LARGE(O157:Q157,1),O157:Q157,0))+0.4*INDEX(O157:Q157,MATCH(LARGE(O157:Q157,2),O157:Q157,0))+0*INDEX(O157:Q157,MATCH(LARGE(O157:Q157,3),O157:Q157,0))</f>
        <v>0</v>
      </c>
      <c r="T157" s="105">
        <f>1*INDEX(R157:S157,MATCH(LARGE(R157:S157,1),R157:S157,0))+0*INDEX(R157:S157,MATCH(LARGE(R157:S157,2),R157:S157,0))</f>
        <v>71</v>
      </c>
      <c r="U157" s="21"/>
      <c r="V157" s="21"/>
      <c r="W157" s="21"/>
      <c r="X157" s="21"/>
      <c r="Y157" s="21"/>
      <c r="Z157" s="21"/>
    </row>
    <row r="158" spans="1:26" ht="12.75" customHeight="1" x14ac:dyDescent="0.3">
      <c r="A158" s="15">
        <v>157</v>
      </c>
      <c r="B158" s="106" t="s">
        <v>576</v>
      </c>
      <c r="C158" s="106" t="s">
        <v>54</v>
      </c>
      <c r="D158" s="106" t="s">
        <v>22</v>
      </c>
      <c r="E158" s="106" t="s">
        <v>23</v>
      </c>
      <c r="F158" s="106" t="s">
        <v>592</v>
      </c>
      <c r="G158" s="107">
        <v>2019</v>
      </c>
      <c r="H158" s="105">
        <f>MAX(IF(ISNA(VLOOKUP(B158,'WBV 1'!$B$3:$C$34,2,FALSE))=TRUE,0,VLOOKUP(B158,'WBV 1'!$B$3:$C$34,2,FALSE)),IF(ISNA(VLOOKUP(B158,'WBV 1'!$F$3:$G$34,2,FALSE))=TRUE,0,VLOOKUP(B158,'WBV 1'!$F$3:$G$34,2,FALSE)),IF(ISNA(VLOOKUP(B158,'WBV 1'!$J$3:$K$34,2,FALSE))=TRUE,0,VLOOKUP(B158,'WBV 1'!$J$3:$K$34,2,FALSE)),IF(ISNA(VLOOKUP(B158,'WBV 1'!$N$3:$O$34,2,FALSE))=TRUE,0,VLOOKUP(B158,'WBV 1'!$N$3:$O$34,2,FALSE)))</f>
        <v>0</v>
      </c>
      <c r="I158" s="105">
        <f>MAX(IF(ISNA(VLOOKUP(B158,'WBV 2'!$B$3:$C$34,2,FALSE))=TRUE,0,VLOOKUP(B158,'WBV 2'!$B$3:$C$34,2,FALSE)),IF(ISNA(VLOOKUP(B158,'WBV 2'!$F$3:$G$34,2,FALSE))=TRUE,0,VLOOKUP(B158,'WBV 2'!$F$3:$G$34,2,FALSE)),IF(ISNA(VLOOKUP(B158,'WBV 2'!$J$3:$K$34,2,FALSE))=TRUE,0,VLOOKUP(B158,'WBV 2'!$J$3:$K$34,2,FALSE)),IF(ISNA(VLOOKUP(B158,'WBV 2'!$N$3:$O$34,2,FALSE))=TRUE,0,VLOOKUP(B158,'WBV 2'!$N$3:$O$34,2,FALSE)))</f>
        <v>0</v>
      </c>
      <c r="J158" s="105">
        <f>MAX(IF(ISNA(VLOOKUP(B158,'WBV 3'!$B$3:$C$34,2,FALSE))=TRUE,0,VLOOKUP(B158,'WBV 3'!$B$3:$C$34,2,FALSE)),IF(ISNA(VLOOKUP(B158,'WBV 3'!$F$3:$G$34,2,FALSE))=TRUE,0,VLOOKUP(B158,'WBV 3'!$F$3:$G$34,2,FALSE)),IF(ISNA(VLOOKUP(B158,'WBV 3'!$J$3:$K$34,2,FALSE))=TRUE,0,VLOOKUP(B158,'WBV 3'!$J$3:$K$34,2,FALSE)),IF(ISNA(VLOOKUP(B158,'WBV 3'!$N$3:$O$34,2,FALSE))=TRUE,0,VLOOKUP(B158,'WBV 3'!$N$3:$O$34,2,FALSE)))</f>
        <v>0</v>
      </c>
      <c r="K158" s="105">
        <f>MAX(IF(ISNA(VLOOKUP(B158,'WBV 4'!$B$3:$C$34,2,FALSE))=TRUE,0,VLOOKUP(B158,'WBV 4'!$B$3:$C$34,2,FALSE)),IF(ISNA(VLOOKUP(B158,'WBV 4'!$F$3:$G$34,2,FALSE))=TRUE,0,VLOOKUP(B158,'WBV 4'!$F$3:$G$34,2,FALSE)),IF(ISNA(VLOOKUP(B158,'WBV 4'!$J$3:$K$34,2,FALSE))=TRUE,0,VLOOKUP(B158,'WBV 4'!$J$3:$K$34,2,FALSE)),IF(ISNA(VLOOKUP(B158,'WBV 4'!$N$3:$O$34,2,FALSE))=TRUE,0,VLOOKUP(B158,'WBV 4'!$N$3:$O$34,2,FALSE)))</f>
        <v>0</v>
      </c>
      <c r="L158" s="105">
        <f>MAX(IF(ISNA(VLOOKUP(B158,'NÖBV 1'!$B$3:$C$34,2,FALSE))=TRUE,0,VLOOKUP(B158,'NÖBV 1'!$B$3:$C$34,2,FALSE)),IF(ISNA(VLOOKUP(B158,'NÖBV 1'!$F$3:$G$34,2,FALSE))=TRUE,0,VLOOKUP(B158,'NÖBV 1'!$F$3:$G$34,2,FALSE)),IF(ISNA(VLOOKUP(B158,'NÖBV 1'!$J$3:$K$34,2,FALSE))=TRUE,0,VLOOKUP(B158,'NÖBV 1'!$J$3:$K$34,2,FALSE)),IF(ISNA(VLOOKUP(B158,'NÖBV 1'!$N$3:$O$34,2,FALSE))=TRUE,0,VLOOKUP(B158,'NÖBV 1'!$N$3:$O$34,2,FALSE)))</f>
        <v>0</v>
      </c>
      <c r="M158" s="105">
        <f>MAX(IF(ISNA(VLOOKUP(B158,'NÖBV 2'!$B$3:$C$34,2,FALSE))=TRUE,0,VLOOKUP(B158,'NÖBV 2'!$B$3:$C$34,2,FALSE)),IF(ISNA(VLOOKUP(B158,'NÖBV 2'!$F$3:$G$34,2,FALSE))=TRUE,0,VLOOKUP(B158,'NÖBV 2'!$F$3:$G$34,2,FALSE)),IF(ISNA(VLOOKUP(B158,'NÖBV 2'!$J$3:$K$34,2,FALSE))=TRUE,0,VLOOKUP(B158,'NÖBV 2'!$J$3:$K$34,2,FALSE)),IF(ISNA(VLOOKUP(B158,'NÖBV 2'!$N$3:$O$34,2,FALSE))=TRUE,0,VLOOKUP(B158,'NÖBV 2'!$N$3:$O$34,2,FALSE)))</f>
        <v>140</v>
      </c>
      <c r="N158" s="105">
        <f>MAX(IF(ISNA(VLOOKUP(B158,'NÖBV 3'!$B$3:$C$34,2,FALSE))=TRUE,0,VLOOKUP(B158,'NÖBV 3'!$B$3:$C$34,2,FALSE)),IF(ISNA(VLOOKUP(B158,'NÖBV 3'!$F$3:$G$34,2,FALSE))=TRUE,0,VLOOKUP(B158,'NÖBV 3'!$F$3:$G$34,2,FALSE)),IF(ISNA(VLOOKUP(B158,'NÖBV 3'!$J$3:$K$34,2,FALSE))=TRUE,0,VLOOKUP(B158,'NÖBV 3'!$J$3:$K$34,2,FALSE)),IF(ISNA(VLOOKUP(B158,'NÖBV 3'!$N$3:$O$34,2,FALSE))=TRUE,0,VLOOKUP(B158,'NÖBV 3'!$N$3:$O$34,2,FALSE)))</f>
        <v>0</v>
      </c>
      <c r="O158" s="105">
        <f>MAX(IF(ISNA(VLOOKUP(B158,'Regioturnier 1'!$B$3:$C$34,2,FALSE))=TRUE,0,VLOOKUP(B158,'Regioturnier 1'!$B$3:$C$34,2,FALSE)),IF(ISNA(VLOOKUP(B158,'Regioturnier 1'!$F$3:$G$34,2,FALSE))=TRUE,0,VLOOKUP(B158,'Regioturnier 1'!$F$3:$G$34,2,FALSE)),IF(ISNA(VLOOKUP(B158,'Regioturnier 1'!$J$3:$K$34,2,FALSE))=TRUE,0,VLOOKUP(B158,'Regioturnier 1'!$J$3:$K$34,2,FALSE)),IF(ISNA(VLOOKUP(B158,'Regioturnier 1'!$N$3:$O$34,2,FALSE))=TRUE,0,VLOOKUP(B158,'Regioturnier 1'!$N$3:$O$34,2,FALSE)),IF(ISNA(VLOOKUP(B158,'Regioturnier 1'!$R$3:$S$34,2,FALSE))=TRUE,0,VLOOKUP(B158,'Regioturnier 1'!$R$3:$S$34,2,FALSE)), IF(ISNA(VLOOKUP(B158,'Regioturnier 1'!$V$3:$W$34,2,FALSE))=TRUE,0,VLOOKUP(B158,'Regioturnier 1'!$V$3:$W$34,2,FALSE)), IF(ISNA(VLOOKUP(B158,'Regioturnier 1'!$Z$3:$AA$34,2,FALSE))=TRUE,0,VLOOKUP(B158,'Regioturnier 1'!$Z$3:$AA$34,2,FALSE)))</f>
        <v>0</v>
      </c>
      <c r="P158" s="105">
        <f>MAX(IF(ISNA(VLOOKUP(B158,'Regioturnier 2'!$B$3:$C$34,2,FALSE))=TRUE,0,VLOOKUP(B158,'Regioturnier 2'!$B$3:$C$34,2,FALSE)),IF(ISNA(VLOOKUP(B158,'Regioturnier 2'!$F$3:$G$34,2,FALSE))=TRUE,0,VLOOKUP(B158,'Regioturnier 2'!$F$3:$G$34,2,FALSE)),IF(ISNA(VLOOKUP(B158,'Regioturnier 2'!$J$3:$K$34,2,FALSE))=TRUE,0,VLOOKUP(B158,'Regioturnier 2'!$J$3:$K$34,2,FALSE)),IF(ISNA(VLOOKUP(B158,'Regioturnier 2'!$N$3:$O$34,2,FALSE))=TRUE,0,VLOOKUP(B158,'Regioturnier 2'!$N$3:$O$34,2,FALSE)),IF(ISNA(VLOOKUP(B158,'Regioturnier 2'!$R$3:$S$34,2,FALSE))=TRUE,0,VLOOKUP(B158,'Regioturnier 2'!$R$3:$S$34,2,FALSE)), IF(ISNA(VLOOKUP(B158,'Regioturnier 2'!$V$3:$W$34,2,FALSE))=TRUE,0,VLOOKUP(B158,'Regioturnier 2'!$V$3:$W$34,2,FALSE)), IF(ISNA(VLOOKUP(B158,'Regioturnier 2'!$Z$3:$AA$34,2,FALSE))=TRUE,0,VLOOKUP(B158,'Regioturnier 2'!$Z$3:$AA$34,2,FALSE)))</f>
        <v>0</v>
      </c>
      <c r="Q158" s="105">
        <f>MAX(IF(ISNA(VLOOKUP(B158,'Regioturnier 3'!$B$3:$C$34,2,FALSE))=TRUE,0,VLOOKUP(B158,'Regioturnier 3'!$B$3:$C$34,2,FALSE)),IF(ISNA(VLOOKUP(B158,'Regioturnier 3'!$F$3:$G$34,2,FALSE))=TRUE,0,VLOOKUP(B158,'Regioturnier 3'!$F$3:$G$34,2,FALSE)),IF(ISNA(VLOOKUP(B158,'Regioturnier 3'!$J$3:$K$34,2,FALSE))=TRUE,0,VLOOKUP(B158,'Regioturnier 3'!$J$3:$K$34,2,FALSE)),IF(ISNA(VLOOKUP(B158,'Regioturnier 3'!$N$3:$O$34,2,FALSE))=TRUE,0,VLOOKUP(B158,'Regioturnier 3'!$N$3:$O$34,2,FALSE)),IF(ISNA(VLOOKUP(B158,'Regioturnier 3'!$R$3:$S$34,2,FALSE))=TRUE,0,VLOOKUP(B158,'Regioturnier 3'!$R$3:$S$34,2,FALSE)), IF(ISNA(VLOOKUP(B158,'Regioturnier 3'!$V$3:$W$34,2,FALSE))=TRUE,0,VLOOKUP(B158,'Regioturnier 3'!$V$3:$W$34,2,FALSE)), IF(ISNA(VLOOKUP(B158,'Regioturnier 3'!$Z$3:$AA$34,2,FALSE))=TRUE,0,VLOOKUP(B158,'Regioturnier 3'!$Z$3:$AA$34,2,FALSE)))</f>
        <v>0</v>
      </c>
      <c r="R158" s="108">
        <f>0.5*INDEX($H158:$N158,MATCH(LARGE($H158:$N158,1),$H158:$N158,0))+0.3*INDEX($H158:$N158,MATCH(LARGE($H158:$N158,2),$H158:$N158,0))+0.2*INDEX($H158:$N158,MATCH(LARGE($H158:$N158,3),$H158:$N158,0))</f>
        <v>70</v>
      </c>
      <c r="S158" s="108">
        <f>0.6*INDEX(O158:Q158,MATCH(LARGE(O158:Q158,1),O158:Q158,0))+0.4*INDEX(O158:Q158,MATCH(LARGE(O158:Q158,2),O158:Q158,0))+0*INDEX(O158:Q158,MATCH(LARGE(O158:Q158,3),O158:Q158,0))</f>
        <v>0</v>
      </c>
      <c r="T158" s="105">
        <f>1*INDEX(R158:S158,MATCH(LARGE(R158:S158,1),R158:S158,0))+0*INDEX(R158:S158,MATCH(LARGE(R158:S158,2),R158:S158,0))</f>
        <v>70</v>
      </c>
      <c r="U158" s="21"/>
      <c r="V158" s="21"/>
      <c r="W158" s="21"/>
      <c r="X158" s="21"/>
      <c r="Y158" s="21"/>
      <c r="Z158" s="21"/>
    </row>
    <row r="159" spans="1:26" ht="12.75" customHeight="1" x14ac:dyDescent="0.3">
      <c r="A159" s="15">
        <v>158</v>
      </c>
      <c r="B159" s="21" t="s">
        <v>619</v>
      </c>
      <c r="C159" s="21" t="s">
        <v>25</v>
      </c>
      <c r="D159" s="15" t="s">
        <v>26</v>
      </c>
      <c r="E159" s="15" t="s">
        <v>23</v>
      </c>
      <c r="F159" s="15" t="s">
        <v>630</v>
      </c>
      <c r="G159" s="15">
        <v>2016</v>
      </c>
      <c r="H159" s="15">
        <f>MAX(IF(ISNA(VLOOKUP(B159,'WBV 1'!$B$3:$C$34,2,FALSE))=TRUE,0,VLOOKUP(B159,'WBV 1'!$B$3:$C$34,2,FALSE)),IF(ISNA(VLOOKUP(B159,'WBV 1'!$F$3:$G$34,2,FALSE))=TRUE,0,VLOOKUP(B159,'WBV 1'!$F$3:$G$34,2,FALSE)),IF(ISNA(VLOOKUP(B159,'WBV 1'!$J$3:$K$34,2,FALSE))=TRUE,0,VLOOKUP(B159,'WBV 1'!$J$3:$K$34,2,FALSE)),IF(ISNA(VLOOKUP(B159,'WBV 1'!$N$3:$O$34,2,FALSE))=TRUE,0,VLOOKUP(B159,'WBV 1'!$N$3:$O$34,2,FALSE)))</f>
        <v>0</v>
      </c>
      <c r="I159" s="15">
        <f>MAX(IF(ISNA(VLOOKUP(B159,'WBV 2'!$B$3:$C$34,2,FALSE))=TRUE,0,VLOOKUP(B159,'WBV 2'!$B$3:$C$34,2,FALSE)),IF(ISNA(VLOOKUP(B159,'WBV 2'!$F$3:$G$34,2,FALSE))=TRUE,0,VLOOKUP(B159,'WBV 2'!$F$3:$G$34,2,FALSE)),IF(ISNA(VLOOKUP(B159,'WBV 2'!$J$3:$K$34,2,FALSE))=TRUE,0,VLOOKUP(B159,'WBV 2'!$J$3:$K$34,2,FALSE)),IF(ISNA(VLOOKUP(B159,'WBV 2'!$N$3:$O$34,2,FALSE))=TRUE,0,VLOOKUP(B159,'WBV 2'!$N$3:$O$34,2,FALSE)))</f>
        <v>0</v>
      </c>
      <c r="J159" s="15">
        <f>MAX(IF(ISNA(VLOOKUP(B159,'WBV 3'!$B$3:$C$34,2,FALSE))=TRUE,0,VLOOKUP(B159,'WBV 3'!$B$3:$C$34,2,FALSE)),IF(ISNA(VLOOKUP(B159,'WBV 3'!$F$3:$G$34,2,FALSE))=TRUE,0,VLOOKUP(B159,'WBV 3'!$F$3:$G$34,2,FALSE)),IF(ISNA(VLOOKUP(B159,'WBV 3'!$J$3:$K$34,2,FALSE))=TRUE,0,VLOOKUP(B159,'WBV 3'!$J$3:$K$34,2,FALSE)),IF(ISNA(VLOOKUP(B159,'WBV 3'!$N$3:$O$34,2,FALSE))=TRUE,0,VLOOKUP(B159,'WBV 3'!$N$3:$O$34,2,FALSE)))</f>
        <v>139</v>
      </c>
      <c r="K159" s="15">
        <f>MAX(IF(ISNA(VLOOKUP(B159,'WBV 4'!$B$3:$C$34,2,FALSE))=TRUE,0,VLOOKUP(B159,'WBV 4'!$B$3:$C$34,2,FALSE)),IF(ISNA(VLOOKUP(B159,'WBV 4'!$F$3:$G$34,2,FALSE))=TRUE,0,VLOOKUP(B159,'WBV 4'!$F$3:$G$34,2,FALSE)),IF(ISNA(VLOOKUP(B159,'WBV 4'!$J$3:$K$34,2,FALSE))=TRUE,0,VLOOKUP(B159,'WBV 4'!$J$3:$K$34,2,FALSE)),IF(ISNA(VLOOKUP(B159,'WBV 4'!$N$3:$O$34,2,FALSE))=TRUE,0,VLOOKUP(B159,'WBV 4'!$N$3:$O$34,2,FALSE)))</f>
        <v>0</v>
      </c>
      <c r="L159" s="19">
        <f>MAX(IF(ISNA(VLOOKUP(B159,'NÖBV 1'!$B$3:$C$34,2,FALSE))=TRUE,0,VLOOKUP(B159,'NÖBV 1'!$B$3:$C$34,2,FALSE)),IF(ISNA(VLOOKUP(B159,'NÖBV 1'!$F$3:$G$34,2,FALSE))=TRUE,0,VLOOKUP(B159,'NÖBV 1'!$F$3:$G$34,2,FALSE)),IF(ISNA(VLOOKUP(B159,'NÖBV 1'!$J$3:$K$34,2,FALSE))=TRUE,0,VLOOKUP(B159,'NÖBV 1'!$J$3:$K$34,2,FALSE)),IF(ISNA(VLOOKUP(B159,'NÖBV 1'!$N$3:$O$34,2,FALSE))=TRUE,0,VLOOKUP(B159,'NÖBV 1'!$N$3:$O$34,2,FALSE)))</f>
        <v>0</v>
      </c>
      <c r="M159" s="19">
        <f>MAX(IF(ISNA(VLOOKUP(B159,'NÖBV 2'!$B$3:$C$34,2,FALSE))=TRUE,0,VLOOKUP(B159,'NÖBV 2'!$B$3:$C$34,2,FALSE)),IF(ISNA(VLOOKUP(B159,'NÖBV 2'!$F$3:$G$34,2,FALSE))=TRUE,0,VLOOKUP(B159,'NÖBV 2'!$F$3:$G$34,2,FALSE)),IF(ISNA(VLOOKUP(B159,'NÖBV 2'!$J$3:$K$34,2,FALSE))=TRUE,0,VLOOKUP(B159,'NÖBV 2'!$J$3:$K$34,2,FALSE)),IF(ISNA(VLOOKUP(B159,'NÖBV 2'!$N$3:$O$34,2,FALSE))=TRUE,0,VLOOKUP(B159,'NÖBV 2'!$N$3:$O$34,2,FALSE)))</f>
        <v>0</v>
      </c>
      <c r="N159" s="19">
        <f>MAX(IF(ISNA(VLOOKUP(B159,'NÖBV 3'!$B$3:$C$34,2,FALSE))=TRUE,0,VLOOKUP(B159,'NÖBV 3'!$B$3:$C$34,2,FALSE)),IF(ISNA(VLOOKUP(B159,'NÖBV 3'!$F$3:$G$34,2,FALSE))=TRUE,0,VLOOKUP(B159,'NÖBV 3'!$F$3:$G$34,2,FALSE)),IF(ISNA(VLOOKUP(B159,'NÖBV 3'!$J$3:$K$34,2,FALSE))=TRUE,0,VLOOKUP(B159,'NÖBV 3'!$J$3:$K$34,2,FALSE)),IF(ISNA(VLOOKUP(B159,'NÖBV 3'!$N$3:$O$34,2,FALSE))=TRUE,0,VLOOKUP(B159,'NÖBV 3'!$N$3:$O$34,2,FALSE)))</f>
        <v>0</v>
      </c>
      <c r="O159" s="15">
        <f>MAX(IF(ISNA(VLOOKUP(B159,'Regioturnier 1'!$B$3:$C$34,2,FALSE))=TRUE,0,VLOOKUP(B159,'Regioturnier 1'!$B$3:$C$34,2,FALSE)),IF(ISNA(VLOOKUP(B159,'Regioturnier 1'!$F$3:$G$34,2,FALSE))=TRUE,0,VLOOKUP(B159,'Regioturnier 1'!$F$3:$G$34,2,FALSE)),IF(ISNA(VLOOKUP(B159,'Regioturnier 1'!$J$3:$K$34,2,FALSE))=TRUE,0,VLOOKUP(B159,'Regioturnier 1'!$J$3:$K$34,2,FALSE)),IF(ISNA(VLOOKUP(B159,'Regioturnier 1'!$N$3:$O$34,2,FALSE))=TRUE,0,VLOOKUP(B159,'Regioturnier 1'!$N$3:$O$34,2,FALSE)),IF(ISNA(VLOOKUP(B159,'Regioturnier 1'!$R$3:$S$34,2,FALSE))=TRUE,0,VLOOKUP(B159,'Regioturnier 1'!$R$3:$S$34,2,FALSE)), IF(ISNA(VLOOKUP(B159,'Regioturnier 1'!$V$3:$W$34,2,FALSE))=TRUE,0,VLOOKUP(B159,'Regioturnier 1'!$V$3:$W$34,2,FALSE)), IF(ISNA(VLOOKUP(B159,'Regioturnier 1'!$Z$3:$AA$34,2,FALSE))=TRUE,0,VLOOKUP(B159,'Regioturnier 1'!$Z$3:$AA$34,2,FALSE)))</f>
        <v>0</v>
      </c>
      <c r="P159" s="15">
        <f>MAX(IF(ISNA(VLOOKUP(B159,'Regioturnier 2'!$B$3:$C$34,2,FALSE))=TRUE,0,VLOOKUP(B159,'Regioturnier 2'!$B$3:$C$34,2,FALSE)),IF(ISNA(VLOOKUP(B159,'Regioturnier 2'!$F$3:$G$34,2,FALSE))=TRUE,0,VLOOKUP(B159,'Regioturnier 2'!$F$3:$G$34,2,FALSE)),IF(ISNA(VLOOKUP(B159,'Regioturnier 2'!$J$3:$K$34,2,FALSE))=TRUE,0,VLOOKUP(B159,'Regioturnier 2'!$J$3:$K$34,2,FALSE)),IF(ISNA(VLOOKUP(B159,'Regioturnier 2'!$N$3:$O$34,2,FALSE))=TRUE,0,VLOOKUP(B159,'Regioturnier 2'!$N$3:$O$34,2,FALSE)),IF(ISNA(VLOOKUP(B159,'Regioturnier 2'!$R$3:$S$34,2,FALSE))=TRUE,0,VLOOKUP(B159,'Regioturnier 2'!$R$3:$S$34,2,FALSE)), IF(ISNA(VLOOKUP(B159,'Regioturnier 2'!$V$3:$W$34,2,FALSE))=TRUE,0,VLOOKUP(B159,'Regioturnier 2'!$V$3:$W$34,2,FALSE)), IF(ISNA(VLOOKUP(B159,'Regioturnier 2'!$Z$3:$AA$34,2,FALSE))=TRUE,0,VLOOKUP(B159,'Regioturnier 2'!$Z$3:$AA$34,2,FALSE)))</f>
        <v>0</v>
      </c>
      <c r="Q159" s="15">
        <f>MAX(IF(ISNA(VLOOKUP(B159,'Regioturnier 3'!$B$3:$C$34,2,FALSE))=TRUE,0,VLOOKUP(B159,'Regioturnier 3'!$B$3:$C$34,2,FALSE)),IF(ISNA(VLOOKUP(B159,'Regioturnier 3'!$F$3:$G$34,2,FALSE))=TRUE,0,VLOOKUP(B159,'Regioturnier 3'!$F$3:$G$34,2,FALSE)),IF(ISNA(VLOOKUP(B159,'Regioturnier 3'!$J$3:$K$34,2,FALSE))=TRUE,0,VLOOKUP(B159,'Regioturnier 3'!$J$3:$K$34,2,FALSE)),IF(ISNA(VLOOKUP(B159,'Regioturnier 3'!$N$3:$O$34,2,FALSE))=TRUE,0,VLOOKUP(B159,'Regioturnier 3'!$N$3:$O$34,2,FALSE)),IF(ISNA(VLOOKUP(B159,'Regioturnier 3'!$R$3:$S$34,2,FALSE))=TRUE,0,VLOOKUP(B159,'Regioturnier 3'!$R$3:$S$34,2,FALSE)), IF(ISNA(VLOOKUP(B159,'Regioturnier 3'!$V$3:$W$34,2,FALSE))=TRUE,0,VLOOKUP(B159,'Regioturnier 3'!$V$3:$W$34,2,FALSE)), IF(ISNA(VLOOKUP(B159,'Regioturnier 3'!$Z$3:$AA$34,2,FALSE))=TRUE,0,VLOOKUP(B159,'Regioturnier 3'!$Z$3:$AA$34,2,FALSE)))</f>
        <v>0</v>
      </c>
      <c r="R159" s="20">
        <f>0.5*INDEX($H159:$N159,MATCH(LARGE($H159:$N159,1),$H159:$N159,0))+0.3*INDEX($H159:$N159,MATCH(LARGE($H159:$N159,2),$H159:$N159,0))+0.2*INDEX($H159:$N159,MATCH(LARGE($H159:$N159,3),$H159:$N159,0))</f>
        <v>69.5</v>
      </c>
      <c r="S159" s="20">
        <f>0.6*INDEX(O159:Q159,MATCH(LARGE(O159:Q159,1),O159:Q159,0))+0.4*INDEX(O159:Q159,MATCH(LARGE(O159:Q159,2),O159:Q159,0))+0*INDEX(O159:Q159,MATCH(LARGE(O159:Q159,3),O159:Q159,0))</f>
        <v>0</v>
      </c>
      <c r="T159" s="15">
        <f>1*INDEX(R159:S159,MATCH(LARGE(R159:S159,1),R159:S159,0))+0*INDEX(R159:S159,MATCH(LARGE(R159:S159,2),R159:S159,0))</f>
        <v>69.5</v>
      </c>
      <c r="U159" s="21"/>
      <c r="V159" s="21"/>
      <c r="W159" s="21"/>
      <c r="X159" s="21"/>
      <c r="Y159" s="21"/>
      <c r="Z159" s="21"/>
    </row>
    <row r="160" spans="1:26" ht="12.75" customHeight="1" x14ac:dyDescent="0.3">
      <c r="A160" s="15">
        <v>159</v>
      </c>
      <c r="B160" s="21" t="s">
        <v>618</v>
      </c>
      <c r="C160" s="21" t="s">
        <v>31</v>
      </c>
      <c r="D160" s="15" t="s">
        <v>26</v>
      </c>
      <c r="E160" s="15" t="s">
        <v>23</v>
      </c>
      <c r="F160" s="15" t="s">
        <v>631</v>
      </c>
      <c r="G160" s="15">
        <v>2013</v>
      </c>
      <c r="H160" s="15">
        <f>MAX(IF(ISNA(VLOOKUP(B160,'WBV 1'!$B$3:$C$34,2,FALSE))=TRUE,0,VLOOKUP(B160,'WBV 1'!$B$3:$C$34,2,FALSE)),IF(ISNA(VLOOKUP(B160,'WBV 1'!$F$3:$G$34,2,FALSE))=TRUE,0,VLOOKUP(B160,'WBV 1'!$F$3:$G$34,2,FALSE)),IF(ISNA(VLOOKUP(B160,'WBV 1'!$J$3:$K$34,2,FALSE))=TRUE,0,VLOOKUP(B160,'WBV 1'!$J$3:$K$34,2,FALSE)),IF(ISNA(VLOOKUP(B160,'WBV 1'!$N$3:$O$34,2,FALSE))=TRUE,0,VLOOKUP(B160,'WBV 1'!$N$3:$O$34,2,FALSE)))</f>
        <v>0</v>
      </c>
      <c r="I160" s="15">
        <f>MAX(IF(ISNA(VLOOKUP(B160,'WBV 2'!$B$3:$C$34,2,FALSE))=TRUE,0,VLOOKUP(B160,'WBV 2'!$B$3:$C$34,2,FALSE)),IF(ISNA(VLOOKUP(B160,'WBV 2'!$F$3:$G$34,2,FALSE))=TRUE,0,VLOOKUP(B160,'WBV 2'!$F$3:$G$34,2,FALSE)),IF(ISNA(VLOOKUP(B160,'WBV 2'!$J$3:$K$34,2,FALSE))=TRUE,0,VLOOKUP(B160,'WBV 2'!$J$3:$K$34,2,FALSE)),IF(ISNA(VLOOKUP(B160,'WBV 2'!$N$3:$O$34,2,FALSE))=TRUE,0,VLOOKUP(B160,'WBV 2'!$N$3:$O$34,2,FALSE)))</f>
        <v>0</v>
      </c>
      <c r="J160" s="15">
        <f>MAX(IF(ISNA(VLOOKUP(B160,'WBV 3'!$B$3:$C$34,2,FALSE))=TRUE,0,VLOOKUP(B160,'WBV 3'!$B$3:$C$34,2,FALSE)),IF(ISNA(VLOOKUP(B160,'WBV 3'!$F$3:$G$34,2,FALSE))=TRUE,0,VLOOKUP(B160,'WBV 3'!$F$3:$G$34,2,FALSE)),IF(ISNA(VLOOKUP(B160,'WBV 3'!$J$3:$K$34,2,FALSE))=TRUE,0,VLOOKUP(B160,'WBV 3'!$J$3:$K$34,2,FALSE)),IF(ISNA(VLOOKUP(B160,'WBV 3'!$N$3:$O$34,2,FALSE))=TRUE,0,VLOOKUP(B160,'WBV 3'!$N$3:$O$34,2,FALSE)))</f>
        <v>138</v>
      </c>
      <c r="K160" s="15">
        <f>MAX(IF(ISNA(VLOOKUP(B160,'WBV 4'!$B$3:$C$34,2,FALSE))=TRUE,0,VLOOKUP(B160,'WBV 4'!$B$3:$C$34,2,FALSE)),IF(ISNA(VLOOKUP(B160,'WBV 4'!$F$3:$G$34,2,FALSE))=TRUE,0,VLOOKUP(B160,'WBV 4'!$F$3:$G$34,2,FALSE)),IF(ISNA(VLOOKUP(B160,'WBV 4'!$J$3:$K$34,2,FALSE))=TRUE,0,VLOOKUP(B160,'WBV 4'!$J$3:$K$34,2,FALSE)),IF(ISNA(VLOOKUP(B160,'WBV 4'!$N$3:$O$34,2,FALSE))=TRUE,0,VLOOKUP(B160,'WBV 4'!$N$3:$O$34,2,FALSE)))</f>
        <v>0</v>
      </c>
      <c r="L160" s="19">
        <f>MAX(IF(ISNA(VLOOKUP(B160,'NÖBV 1'!$B$3:$C$34,2,FALSE))=TRUE,0,VLOOKUP(B160,'NÖBV 1'!$B$3:$C$34,2,FALSE)),IF(ISNA(VLOOKUP(B160,'NÖBV 1'!$F$3:$G$34,2,FALSE))=TRUE,0,VLOOKUP(B160,'NÖBV 1'!$F$3:$G$34,2,FALSE)),IF(ISNA(VLOOKUP(B160,'NÖBV 1'!$J$3:$K$34,2,FALSE))=TRUE,0,VLOOKUP(B160,'NÖBV 1'!$J$3:$K$34,2,FALSE)),IF(ISNA(VLOOKUP(B160,'NÖBV 1'!$N$3:$O$34,2,FALSE))=TRUE,0,VLOOKUP(B160,'NÖBV 1'!$N$3:$O$34,2,FALSE)))</f>
        <v>0</v>
      </c>
      <c r="M160" s="19">
        <f>MAX(IF(ISNA(VLOOKUP(B160,'NÖBV 2'!$B$3:$C$34,2,FALSE))=TRUE,0,VLOOKUP(B160,'NÖBV 2'!$B$3:$C$34,2,FALSE)),IF(ISNA(VLOOKUP(B160,'NÖBV 2'!$F$3:$G$34,2,FALSE))=TRUE,0,VLOOKUP(B160,'NÖBV 2'!$F$3:$G$34,2,FALSE)),IF(ISNA(VLOOKUP(B160,'NÖBV 2'!$J$3:$K$34,2,FALSE))=TRUE,0,VLOOKUP(B160,'NÖBV 2'!$J$3:$K$34,2,FALSE)),IF(ISNA(VLOOKUP(B160,'NÖBV 2'!$N$3:$O$34,2,FALSE))=TRUE,0,VLOOKUP(B160,'NÖBV 2'!$N$3:$O$34,2,FALSE)))</f>
        <v>0</v>
      </c>
      <c r="N160" s="19">
        <f>MAX(IF(ISNA(VLOOKUP(B160,'NÖBV 3'!$B$3:$C$34,2,FALSE))=TRUE,0,VLOOKUP(B160,'NÖBV 3'!$B$3:$C$34,2,FALSE)),IF(ISNA(VLOOKUP(B160,'NÖBV 3'!$F$3:$G$34,2,FALSE))=TRUE,0,VLOOKUP(B160,'NÖBV 3'!$F$3:$G$34,2,FALSE)),IF(ISNA(VLOOKUP(B160,'NÖBV 3'!$J$3:$K$34,2,FALSE))=TRUE,0,VLOOKUP(B160,'NÖBV 3'!$J$3:$K$34,2,FALSE)),IF(ISNA(VLOOKUP(B160,'NÖBV 3'!$N$3:$O$34,2,FALSE))=TRUE,0,VLOOKUP(B160,'NÖBV 3'!$N$3:$O$34,2,FALSE)))</f>
        <v>0</v>
      </c>
      <c r="O160" s="15">
        <f>MAX(IF(ISNA(VLOOKUP(B160,'Regioturnier 1'!$B$3:$C$34,2,FALSE))=TRUE,0,VLOOKUP(B160,'Regioturnier 1'!$B$3:$C$34,2,FALSE)),IF(ISNA(VLOOKUP(B160,'Regioturnier 1'!$F$3:$G$34,2,FALSE))=TRUE,0,VLOOKUP(B160,'Regioturnier 1'!$F$3:$G$34,2,FALSE)),IF(ISNA(VLOOKUP(B160,'Regioturnier 1'!$J$3:$K$34,2,FALSE))=TRUE,0,VLOOKUP(B160,'Regioturnier 1'!$J$3:$K$34,2,FALSE)),IF(ISNA(VLOOKUP(B160,'Regioturnier 1'!$N$3:$O$34,2,FALSE))=TRUE,0,VLOOKUP(B160,'Regioturnier 1'!$N$3:$O$34,2,FALSE)),IF(ISNA(VLOOKUP(B160,'Regioturnier 1'!$R$3:$S$34,2,FALSE))=TRUE,0,VLOOKUP(B160,'Regioturnier 1'!$R$3:$S$34,2,FALSE)), IF(ISNA(VLOOKUP(B160,'Regioturnier 1'!$V$3:$W$34,2,FALSE))=TRUE,0,VLOOKUP(B160,'Regioturnier 1'!$V$3:$W$34,2,FALSE)), IF(ISNA(VLOOKUP(B160,'Regioturnier 1'!$Z$3:$AA$34,2,FALSE))=TRUE,0,VLOOKUP(B160,'Regioturnier 1'!$Z$3:$AA$34,2,FALSE)))</f>
        <v>0</v>
      </c>
      <c r="P160" s="15">
        <f>MAX(IF(ISNA(VLOOKUP(B160,'Regioturnier 2'!$B$3:$C$34,2,FALSE))=TRUE,0,VLOOKUP(B160,'Regioturnier 2'!$B$3:$C$34,2,FALSE)),IF(ISNA(VLOOKUP(B160,'Regioturnier 2'!$F$3:$G$34,2,FALSE))=TRUE,0,VLOOKUP(B160,'Regioturnier 2'!$F$3:$G$34,2,FALSE)),IF(ISNA(VLOOKUP(B160,'Regioturnier 2'!$J$3:$K$34,2,FALSE))=TRUE,0,VLOOKUP(B160,'Regioturnier 2'!$J$3:$K$34,2,FALSE)),IF(ISNA(VLOOKUP(B160,'Regioturnier 2'!$N$3:$O$34,2,FALSE))=TRUE,0,VLOOKUP(B160,'Regioturnier 2'!$N$3:$O$34,2,FALSE)),IF(ISNA(VLOOKUP(B160,'Regioturnier 2'!$R$3:$S$34,2,FALSE))=TRUE,0,VLOOKUP(B160,'Regioturnier 2'!$R$3:$S$34,2,FALSE)), IF(ISNA(VLOOKUP(B160,'Regioturnier 2'!$V$3:$W$34,2,FALSE))=TRUE,0,VLOOKUP(B160,'Regioturnier 2'!$V$3:$W$34,2,FALSE)), IF(ISNA(VLOOKUP(B160,'Regioturnier 2'!$Z$3:$AA$34,2,FALSE))=TRUE,0,VLOOKUP(B160,'Regioturnier 2'!$Z$3:$AA$34,2,FALSE)))</f>
        <v>0</v>
      </c>
      <c r="Q160" s="15">
        <f>MAX(IF(ISNA(VLOOKUP(B160,'Regioturnier 3'!$B$3:$C$34,2,FALSE))=TRUE,0,VLOOKUP(B160,'Regioturnier 3'!$B$3:$C$34,2,FALSE)),IF(ISNA(VLOOKUP(B160,'Regioturnier 3'!$F$3:$G$34,2,FALSE))=TRUE,0,VLOOKUP(B160,'Regioturnier 3'!$F$3:$G$34,2,FALSE)),IF(ISNA(VLOOKUP(B160,'Regioturnier 3'!$J$3:$K$34,2,FALSE))=TRUE,0,VLOOKUP(B160,'Regioturnier 3'!$J$3:$K$34,2,FALSE)),IF(ISNA(VLOOKUP(B160,'Regioturnier 3'!$N$3:$O$34,2,FALSE))=TRUE,0,VLOOKUP(B160,'Regioturnier 3'!$N$3:$O$34,2,FALSE)),IF(ISNA(VLOOKUP(B160,'Regioturnier 3'!$R$3:$S$34,2,FALSE))=TRUE,0,VLOOKUP(B160,'Regioturnier 3'!$R$3:$S$34,2,FALSE)), IF(ISNA(VLOOKUP(B160,'Regioturnier 3'!$V$3:$W$34,2,FALSE))=TRUE,0,VLOOKUP(B160,'Regioturnier 3'!$V$3:$W$34,2,FALSE)), IF(ISNA(VLOOKUP(B160,'Regioturnier 3'!$Z$3:$AA$34,2,FALSE))=TRUE,0,VLOOKUP(B160,'Regioturnier 3'!$Z$3:$AA$34,2,FALSE)))</f>
        <v>0</v>
      </c>
      <c r="R160" s="20">
        <f>0.5*INDEX($H160:$N160,MATCH(LARGE($H160:$N160,1),$H160:$N160,0))+0.3*INDEX($H160:$N160,MATCH(LARGE($H160:$N160,2),$H160:$N160,0))+0.2*INDEX($H160:$N160,MATCH(LARGE($H160:$N160,3),$H160:$N160,0))</f>
        <v>69</v>
      </c>
      <c r="S160" s="20">
        <f>0.6*INDEX(O160:Q160,MATCH(LARGE(O160:Q160,1),O160:Q160,0))+0.4*INDEX(O160:Q160,MATCH(LARGE(O160:Q160,2),O160:Q160,0))+0*INDEX(O160:Q160,MATCH(LARGE(O160:Q160,3),O160:Q160,0))</f>
        <v>0</v>
      </c>
      <c r="T160" s="15">
        <f>1*INDEX(R160:S160,MATCH(LARGE(R160:S160,1),R160:S160,0))+0*INDEX(R160:S160,MATCH(LARGE(R160:S160,2),R160:S160,0))</f>
        <v>69</v>
      </c>
      <c r="U160" s="21"/>
      <c r="V160" s="21"/>
      <c r="W160" s="21"/>
      <c r="X160" s="21"/>
      <c r="Y160" s="21"/>
      <c r="Z160" s="21"/>
    </row>
    <row r="161" spans="1:26" ht="12.75" customHeight="1" x14ac:dyDescent="0.3">
      <c r="A161" s="15">
        <v>160</v>
      </c>
      <c r="B161" s="16" t="s">
        <v>525</v>
      </c>
      <c r="C161" s="17" t="s">
        <v>25</v>
      </c>
      <c r="D161" s="15" t="s">
        <v>26</v>
      </c>
      <c r="E161" s="18" t="s">
        <v>23</v>
      </c>
      <c r="F161" s="15" t="s">
        <v>559</v>
      </c>
      <c r="G161" s="22">
        <v>2014</v>
      </c>
      <c r="H161" s="15">
        <f>MAX(IF(ISNA(VLOOKUP(B161,'WBV 1'!$B$3:$C$34,2,FALSE))=TRUE,0,VLOOKUP(B161,'WBV 1'!$B$3:$C$34,2,FALSE)),IF(ISNA(VLOOKUP(B161,'WBV 1'!$F$3:$G$34,2,FALSE))=TRUE,0,VLOOKUP(B161,'WBV 1'!$F$3:$G$34,2,FALSE)),IF(ISNA(VLOOKUP(B161,'WBV 1'!$J$3:$K$34,2,FALSE))=TRUE,0,VLOOKUP(B161,'WBV 1'!$J$3:$K$34,2,FALSE)),IF(ISNA(VLOOKUP(B161,'WBV 1'!$N$3:$O$34,2,FALSE))=TRUE,0,VLOOKUP(B161,'WBV 1'!$N$3:$O$34,2,FALSE)))</f>
        <v>0</v>
      </c>
      <c r="I161" s="15">
        <f>MAX(IF(ISNA(VLOOKUP(B161,'WBV 2'!$B$3:$C$34,2,FALSE))=TRUE,0,VLOOKUP(B161,'WBV 2'!$B$3:$C$34,2,FALSE)),IF(ISNA(VLOOKUP(B161,'WBV 2'!$F$3:$G$34,2,FALSE))=TRUE,0,VLOOKUP(B161,'WBV 2'!$F$3:$G$34,2,FALSE)),IF(ISNA(VLOOKUP(B161,'WBV 2'!$J$3:$K$34,2,FALSE))=TRUE,0,VLOOKUP(B161,'WBV 2'!$J$3:$K$34,2,FALSE)),IF(ISNA(VLOOKUP(B161,'WBV 2'!$N$3:$O$34,2,FALSE))=TRUE,0,VLOOKUP(B161,'WBV 2'!$N$3:$O$34,2,FALSE)))</f>
        <v>138</v>
      </c>
      <c r="J161" s="15">
        <f>MAX(IF(ISNA(VLOOKUP(B161,'WBV 3'!$B$3:$C$34,2,FALSE))=TRUE,0,VLOOKUP(B161,'WBV 3'!$B$3:$C$34,2,FALSE)),IF(ISNA(VLOOKUP(B161,'WBV 3'!$F$3:$G$34,2,FALSE))=TRUE,0,VLOOKUP(B161,'WBV 3'!$F$3:$G$34,2,FALSE)),IF(ISNA(VLOOKUP(B161,'WBV 3'!$J$3:$K$34,2,FALSE))=TRUE,0,VLOOKUP(B161,'WBV 3'!$J$3:$K$34,2,FALSE)),IF(ISNA(VLOOKUP(B161,'WBV 3'!$N$3:$O$34,2,FALSE))=TRUE,0,VLOOKUP(B161,'WBV 3'!$N$3:$O$34,2,FALSE)))</f>
        <v>0</v>
      </c>
      <c r="K161" s="15">
        <f>MAX(IF(ISNA(VLOOKUP(B161,'WBV 4'!$B$3:$C$34,2,FALSE))=TRUE,0,VLOOKUP(B161,'WBV 4'!$B$3:$C$34,2,FALSE)),IF(ISNA(VLOOKUP(B161,'WBV 4'!$F$3:$G$34,2,FALSE))=TRUE,0,VLOOKUP(B161,'WBV 4'!$F$3:$G$34,2,FALSE)),IF(ISNA(VLOOKUP(B161,'WBV 4'!$J$3:$K$34,2,FALSE))=TRUE,0,VLOOKUP(B161,'WBV 4'!$J$3:$K$34,2,FALSE)),IF(ISNA(VLOOKUP(B161,'WBV 4'!$N$3:$O$34,2,FALSE))=TRUE,0,VLOOKUP(B161,'WBV 4'!$N$3:$O$34,2,FALSE)))</f>
        <v>0</v>
      </c>
      <c r="L161" s="19">
        <f>MAX(IF(ISNA(VLOOKUP(B161,'NÖBV 1'!$B$3:$C$34,2,FALSE))=TRUE,0,VLOOKUP(B161,'NÖBV 1'!$B$3:$C$34,2,FALSE)),IF(ISNA(VLOOKUP(B161,'NÖBV 1'!$F$3:$G$34,2,FALSE))=TRUE,0,VLOOKUP(B161,'NÖBV 1'!$F$3:$G$34,2,FALSE)),IF(ISNA(VLOOKUP(B161,'NÖBV 1'!$J$3:$K$34,2,FALSE))=TRUE,0,VLOOKUP(B161,'NÖBV 1'!$J$3:$K$34,2,FALSE)),IF(ISNA(VLOOKUP(B161,'NÖBV 1'!$N$3:$O$34,2,FALSE))=TRUE,0,VLOOKUP(B161,'NÖBV 1'!$N$3:$O$34,2,FALSE)))</f>
        <v>0</v>
      </c>
      <c r="M161" s="19">
        <f>MAX(IF(ISNA(VLOOKUP(B161,'NÖBV 2'!$B$3:$C$34,2,FALSE))=TRUE,0,VLOOKUP(B161,'NÖBV 2'!$B$3:$C$34,2,FALSE)),IF(ISNA(VLOOKUP(B161,'NÖBV 2'!$F$3:$G$34,2,FALSE))=TRUE,0,VLOOKUP(B161,'NÖBV 2'!$F$3:$G$34,2,FALSE)),IF(ISNA(VLOOKUP(B161,'NÖBV 2'!$J$3:$K$34,2,FALSE))=TRUE,0,VLOOKUP(B161,'NÖBV 2'!$J$3:$K$34,2,FALSE)),IF(ISNA(VLOOKUP(B161,'NÖBV 2'!$N$3:$O$34,2,FALSE))=TRUE,0,VLOOKUP(B161,'NÖBV 2'!$N$3:$O$34,2,FALSE)))</f>
        <v>0</v>
      </c>
      <c r="N161" s="19">
        <f>MAX(IF(ISNA(VLOOKUP(B161,'NÖBV 3'!$B$3:$C$34,2,FALSE))=TRUE,0,VLOOKUP(B161,'NÖBV 3'!$B$3:$C$34,2,FALSE)),IF(ISNA(VLOOKUP(B161,'NÖBV 3'!$F$3:$G$34,2,FALSE))=TRUE,0,VLOOKUP(B161,'NÖBV 3'!$F$3:$G$34,2,FALSE)),IF(ISNA(VLOOKUP(B161,'NÖBV 3'!$J$3:$K$34,2,FALSE))=TRUE,0,VLOOKUP(B161,'NÖBV 3'!$J$3:$K$34,2,FALSE)),IF(ISNA(VLOOKUP(B161,'NÖBV 3'!$N$3:$O$34,2,FALSE))=TRUE,0,VLOOKUP(B161,'NÖBV 3'!$N$3:$O$34,2,FALSE)))</f>
        <v>0</v>
      </c>
      <c r="O161" s="15">
        <f>MAX(IF(ISNA(VLOOKUP(B161,'Regioturnier 1'!$B$3:$C$34,2,FALSE))=TRUE,0,VLOOKUP(B161,'Regioturnier 1'!$B$3:$C$34,2,FALSE)),IF(ISNA(VLOOKUP(B161,'Regioturnier 1'!$F$3:$G$34,2,FALSE))=TRUE,0,VLOOKUP(B161,'Regioturnier 1'!$F$3:$G$34,2,FALSE)),IF(ISNA(VLOOKUP(B161,'Regioturnier 1'!$J$3:$K$34,2,FALSE))=TRUE,0,VLOOKUP(B161,'Regioturnier 1'!$J$3:$K$34,2,FALSE)),IF(ISNA(VLOOKUP(B161,'Regioturnier 1'!$N$3:$O$34,2,FALSE))=TRUE,0,VLOOKUP(B161,'Regioturnier 1'!$N$3:$O$34,2,FALSE)),IF(ISNA(VLOOKUP(B161,'Regioturnier 1'!$R$3:$S$34,2,FALSE))=TRUE,0,VLOOKUP(B161,'Regioturnier 1'!$R$3:$S$34,2,FALSE)), IF(ISNA(VLOOKUP(B161,'Regioturnier 1'!$V$3:$W$34,2,FALSE))=TRUE,0,VLOOKUP(B161,'Regioturnier 1'!$V$3:$W$34,2,FALSE)), IF(ISNA(VLOOKUP(B161,'Regioturnier 1'!$Z$3:$AA$34,2,FALSE))=TRUE,0,VLOOKUP(B161,'Regioturnier 1'!$Z$3:$AA$34,2,FALSE)))</f>
        <v>0</v>
      </c>
      <c r="P161" s="15">
        <f>MAX(IF(ISNA(VLOOKUP(B161,'Regioturnier 2'!$B$3:$C$34,2,FALSE))=TRUE,0,VLOOKUP(B161,'Regioturnier 2'!$B$3:$C$34,2,FALSE)),IF(ISNA(VLOOKUP(B161,'Regioturnier 2'!$F$3:$G$34,2,FALSE))=TRUE,0,VLOOKUP(B161,'Regioturnier 2'!$F$3:$G$34,2,FALSE)),IF(ISNA(VLOOKUP(B161,'Regioturnier 2'!$J$3:$K$34,2,FALSE))=TRUE,0,VLOOKUP(B161,'Regioturnier 2'!$J$3:$K$34,2,FALSE)),IF(ISNA(VLOOKUP(B161,'Regioturnier 2'!$N$3:$O$34,2,FALSE))=TRUE,0,VLOOKUP(B161,'Regioturnier 2'!$N$3:$O$34,2,FALSE)),IF(ISNA(VLOOKUP(B161,'Regioturnier 2'!$R$3:$S$34,2,FALSE))=TRUE,0,VLOOKUP(B161,'Regioturnier 2'!$R$3:$S$34,2,FALSE)), IF(ISNA(VLOOKUP(B161,'Regioturnier 2'!$V$3:$W$34,2,FALSE))=TRUE,0,VLOOKUP(B161,'Regioturnier 2'!$V$3:$W$34,2,FALSE)), IF(ISNA(VLOOKUP(B161,'Regioturnier 2'!$Z$3:$AA$34,2,FALSE))=TRUE,0,VLOOKUP(B161,'Regioturnier 2'!$Z$3:$AA$34,2,FALSE)))</f>
        <v>0</v>
      </c>
      <c r="Q161" s="15">
        <f>MAX(IF(ISNA(VLOOKUP(B161,'Regioturnier 3'!$B$3:$C$34,2,FALSE))=TRUE,0,VLOOKUP(B161,'Regioturnier 3'!$B$3:$C$34,2,FALSE)),IF(ISNA(VLOOKUP(B161,'Regioturnier 3'!$F$3:$G$34,2,FALSE))=TRUE,0,VLOOKUP(B161,'Regioturnier 3'!$F$3:$G$34,2,FALSE)),IF(ISNA(VLOOKUP(B161,'Regioturnier 3'!$J$3:$K$34,2,FALSE))=TRUE,0,VLOOKUP(B161,'Regioturnier 3'!$J$3:$K$34,2,FALSE)),IF(ISNA(VLOOKUP(B161,'Regioturnier 3'!$N$3:$O$34,2,FALSE))=TRUE,0,VLOOKUP(B161,'Regioturnier 3'!$N$3:$O$34,2,FALSE)),IF(ISNA(VLOOKUP(B161,'Regioturnier 3'!$R$3:$S$34,2,FALSE))=TRUE,0,VLOOKUP(B161,'Regioturnier 3'!$R$3:$S$34,2,FALSE)), IF(ISNA(VLOOKUP(B161,'Regioturnier 3'!$V$3:$W$34,2,FALSE))=TRUE,0,VLOOKUP(B161,'Regioturnier 3'!$V$3:$W$34,2,FALSE)), IF(ISNA(VLOOKUP(B161,'Regioturnier 3'!$Z$3:$AA$34,2,FALSE))=TRUE,0,VLOOKUP(B161,'Regioturnier 3'!$Z$3:$AA$34,2,FALSE)))</f>
        <v>0</v>
      </c>
      <c r="R161" s="20">
        <f>0.5*INDEX($H161:$N161,MATCH(LARGE($H161:$N161,1),$H161:$N161,0))+0.3*INDEX($H161:$N161,MATCH(LARGE($H161:$N161,2),$H161:$N161,0))+0.2*INDEX($H161:$N161,MATCH(LARGE($H161:$N161,3),$H161:$N161,0))</f>
        <v>69</v>
      </c>
      <c r="S161" s="20">
        <f>0.6*INDEX(O161:Q161,MATCH(LARGE(O161:Q161,1),O161:Q161,0))+0.4*INDEX(O161:Q161,MATCH(LARGE(O161:Q161,2),O161:Q161,0))+0*INDEX(O161:Q161,MATCH(LARGE(O161:Q161,3),O161:Q161,0))</f>
        <v>0</v>
      </c>
      <c r="T161" s="15">
        <f>1*INDEX(R161:S161,MATCH(LARGE(R161:S161,1),R161:S161,0))+0*INDEX(R161:S161,MATCH(LARGE(R161:S161,2),R161:S161,0))</f>
        <v>69</v>
      </c>
      <c r="U161" s="21"/>
      <c r="V161" s="21"/>
      <c r="W161" s="21"/>
      <c r="X161" s="21"/>
      <c r="Y161" s="21"/>
      <c r="Z161" s="21"/>
    </row>
    <row r="162" spans="1:26" ht="12.75" customHeight="1" x14ac:dyDescent="0.3">
      <c r="A162" s="15">
        <v>161</v>
      </c>
      <c r="B162" s="21" t="s">
        <v>620</v>
      </c>
      <c r="C162" s="21" t="s">
        <v>46</v>
      </c>
      <c r="D162" s="15" t="s">
        <v>26</v>
      </c>
      <c r="E162" s="15" t="s">
        <v>23</v>
      </c>
      <c r="F162" s="15">
        <v>112668</v>
      </c>
      <c r="G162" s="15">
        <v>2012</v>
      </c>
      <c r="H162" s="15">
        <f>MAX(IF(ISNA(VLOOKUP(B162,'WBV 1'!$B$3:$C$34,2,FALSE))=TRUE,0,VLOOKUP(B162,'WBV 1'!$B$3:$C$34,2,FALSE)),IF(ISNA(VLOOKUP(B162,'WBV 1'!$F$3:$G$34,2,FALSE))=TRUE,0,VLOOKUP(B162,'WBV 1'!$F$3:$G$34,2,FALSE)),IF(ISNA(VLOOKUP(B162,'WBV 1'!$J$3:$K$34,2,FALSE))=TRUE,0,VLOOKUP(B162,'WBV 1'!$J$3:$K$34,2,FALSE)),IF(ISNA(VLOOKUP(B162,'WBV 1'!$N$3:$O$34,2,FALSE))=TRUE,0,VLOOKUP(B162,'WBV 1'!$N$3:$O$34,2,FALSE)))</f>
        <v>0</v>
      </c>
      <c r="I162" s="15">
        <f>MAX(IF(ISNA(VLOOKUP(B162,'WBV 2'!$B$3:$C$34,2,FALSE))=TRUE,0,VLOOKUP(B162,'WBV 2'!$B$3:$C$34,2,FALSE)),IF(ISNA(VLOOKUP(B162,'WBV 2'!$F$3:$G$34,2,FALSE))=TRUE,0,VLOOKUP(B162,'WBV 2'!$F$3:$G$34,2,FALSE)),IF(ISNA(VLOOKUP(B162,'WBV 2'!$J$3:$K$34,2,FALSE))=TRUE,0,VLOOKUP(B162,'WBV 2'!$J$3:$K$34,2,FALSE)),IF(ISNA(VLOOKUP(B162,'WBV 2'!$N$3:$O$34,2,FALSE))=TRUE,0,VLOOKUP(B162,'WBV 2'!$N$3:$O$34,2,FALSE)))</f>
        <v>0</v>
      </c>
      <c r="J162" s="15">
        <f>MAX(IF(ISNA(VLOOKUP(B162,'WBV 3'!$B$3:$C$34,2,FALSE))=TRUE,0,VLOOKUP(B162,'WBV 3'!$B$3:$C$34,2,FALSE)),IF(ISNA(VLOOKUP(B162,'WBV 3'!$F$3:$G$34,2,FALSE))=TRUE,0,VLOOKUP(B162,'WBV 3'!$F$3:$G$34,2,FALSE)),IF(ISNA(VLOOKUP(B162,'WBV 3'!$J$3:$K$34,2,FALSE))=TRUE,0,VLOOKUP(B162,'WBV 3'!$J$3:$K$34,2,FALSE)),IF(ISNA(VLOOKUP(B162,'WBV 3'!$N$3:$O$34,2,FALSE))=TRUE,0,VLOOKUP(B162,'WBV 3'!$N$3:$O$34,2,FALSE)))</f>
        <v>137</v>
      </c>
      <c r="K162" s="15">
        <f>MAX(IF(ISNA(VLOOKUP(B162,'WBV 4'!$B$3:$C$34,2,FALSE))=TRUE,0,VLOOKUP(B162,'WBV 4'!$B$3:$C$34,2,FALSE)),IF(ISNA(VLOOKUP(B162,'WBV 4'!$F$3:$G$34,2,FALSE))=TRUE,0,VLOOKUP(B162,'WBV 4'!$F$3:$G$34,2,FALSE)),IF(ISNA(VLOOKUP(B162,'WBV 4'!$J$3:$K$34,2,FALSE))=TRUE,0,VLOOKUP(B162,'WBV 4'!$J$3:$K$34,2,FALSE)),IF(ISNA(VLOOKUP(B162,'WBV 4'!$N$3:$O$34,2,FALSE))=TRUE,0,VLOOKUP(B162,'WBV 4'!$N$3:$O$34,2,FALSE)))</f>
        <v>0</v>
      </c>
      <c r="L162" s="19">
        <f>MAX(IF(ISNA(VLOOKUP(B162,'NÖBV 1'!$B$3:$C$34,2,FALSE))=TRUE,0,VLOOKUP(B162,'NÖBV 1'!$B$3:$C$34,2,FALSE)),IF(ISNA(VLOOKUP(B162,'NÖBV 1'!$F$3:$G$34,2,FALSE))=TRUE,0,VLOOKUP(B162,'NÖBV 1'!$F$3:$G$34,2,FALSE)),IF(ISNA(VLOOKUP(B162,'NÖBV 1'!$J$3:$K$34,2,FALSE))=TRUE,0,VLOOKUP(B162,'NÖBV 1'!$J$3:$K$34,2,FALSE)),IF(ISNA(VLOOKUP(B162,'NÖBV 1'!$N$3:$O$34,2,FALSE))=TRUE,0,VLOOKUP(B162,'NÖBV 1'!$N$3:$O$34,2,FALSE)))</f>
        <v>0</v>
      </c>
      <c r="M162" s="19">
        <f>MAX(IF(ISNA(VLOOKUP(B162,'NÖBV 2'!$B$3:$C$34,2,FALSE))=TRUE,0,VLOOKUP(B162,'NÖBV 2'!$B$3:$C$34,2,FALSE)),IF(ISNA(VLOOKUP(B162,'NÖBV 2'!$F$3:$G$34,2,FALSE))=TRUE,0,VLOOKUP(B162,'NÖBV 2'!$F$3:$G$34,2,FALSE)),IF(ISNA(VLOOKUP(B162,'NÖBV 2'!$J$3:$K$34,2,FALSE))=TRUE,0,VLOOKUP(B162,'NÖBV 2'!$J$3:$K$34,2,FALSE)),IF(ISNA(VLOOKUP(B162,'NÖBV 2'!$N$3:$O$34,2,FALSE))=TRUE,0,VLOOKUP(B162,'NÖBV 2'!$N$3:$O$34,2,FALSE)))</f>
        <v>0</v>
      </c>
      <c r="N162" s="19">
        <f>MAX(IF(ISNA(VLOOKUP(B162,'NÖBV 3'!$B$3:$C$34,2,FALSE))=TRUE,0,VLOOKUP(B162,'NÖBV 3'!$B$3:$C$34,2,FALSE)),IF(ISNA(VLOOKUP(B162,'NÖBV 3'!$F$3:$G$34,2,FALSE))=TRUE,0,VLOOKUP(B162,'NÖBV 3'!$F$3:$G$34,2,FALSE)),IF(ISNA(VLOOKUP(B162,'NÖBV 3'!$J$3:$K$34,2,FALSE))=TRUE,0,VLOOKUP(B162,'NÖBV 3'!$J$3:$K$34,2,FALSE)),IF(ISNA(VLOOKUP(B162,'NÖBV 3'!$N$3:$O$34,2,FALSE))=TRUE,0,VLOOKUP(B162,'NÖBV 3'!$N$3:$O$34,2,FALSE)))</f>
        <v>0</v>
      </c>
      <c r="O162" s="15">
        <f>MAX(IF(ISNA(VLOOKUP(B162,'Regioturnier 1'!$B$3:$C$34,2,FALSE))=TRUE,0,VLOOKUP(B162,'Regioturnier 1'!$B$3:$C$34,2,FALSE)),IF(ISNA(VLOOKUP(B162,'Regioturnier 1'!$F$3:$G$34,2,FALSE))=TRUE,0,VLOOKUP(B162,'Regioturnier 1'!$F$3:$G$34,2,FALSE)),IF(ISNA(VLOOKUP(B162,'Regioturnier 1'!$J$3:$K$34,2,FALSE))=TRUE,0,VLOOKUP(B162,'Regioturnier 1'!$J$3:$K$34,2,FALSE)),IF(ISNA(VLOOKUP(B162,'Regioturnier 1'!$N$3:$O$34,2,FALSE))=TRUE,0,VLOOKUP(B162,'Regioturnier 1'!$N$3:$O$34,2,FALSE)),IF(ISNA(VLOOKUP(B162,'Regioturnier 1'!$R$3:$S$34,2,FALSE))=TRUE,0,VLOOKUP(B162,'Regioturnier 1'!$R$3:$S$34,2,FALSE)), IF(ISNA(VLOOKUP(B162,'Regioturnier 1'!$V$3:$W$34,2,FALSE))=TRUE,0,VLOOKUP(B162,'Regioturnier 1'!$V$3:$W$34,2,FALSE)), IF(ISNA(VLOOKUP(B162,'Regioturnier 1'!$Z$3:$AA$34,2,FALSE))=TRUE,0,VLOOKUP(B162,'Regioturnier 1'!$Z$3:$AA$34,2,FALSE)))</f>
        <v>0</v>
      </c>
      <c r="P162" s="15">
        <f>MAX(IF(ISNA(VLOOKUP(B162,'Regioturnier 2'!$B$3:$C$34,2,FALSE))=TRUE,0,VLOOKUP(B162,'Regioturnier 2'!$B$3:$C$34,2,FALSE)),IF(ISNA(VLOOKUP(B162,'Regioturnier 2'!$F$3:$G$34,2,FALSE))=TRUE,0,VLOOKUP(B162,'Regioturnier 2'!$F$3:$G$34,2,FALSE)),IF(ISNA(VLOOKUP(B162,'Regioturnier 2'!$J$3:$K$34,2,FALSE))=TRUE,0,VLOOKUP(B162,'Regioturnier 2'!$J$3:$K$34,2,FALSE)),IF(ISNA(VLOOKUP(B162,'Regioturnier 2'!$N$3:$O$34,2,FALSE))=TRUE,0,VLOOKUP(B162,'Regioturnier 2'!$N$3:$O$34,2,FALSE)),IF(ISNA(VLOOKUP(B162,'Regioturnier 2'!$R$3:$S$34,2,FALSE))=TRUE,0,VLOOKUP(B162,'Regioturnier 2'!$R$3:$S$34,2,FALSE)), IF(ISNA(VLOOKUP(B162,'Regioturnier 2'!$V$3:$W$34,2,FALSE))=TRUE,0,VLOOKUP(B162,'Regioturnier 2'!$V$3:$W$34,2,FALSE)), IF(ISNA(VLOOKUP(B162,'Regioturnier 2'!$Z$3:$AA$34,2,FALSE))=TRUE,0,VLOOKUP(B162,'Regioturnier 2'!$Z$3:$AA$34,2,FALSE)))</f>
        <v>0</v>
      </c>
      <c r="Q162" s="15">
        <f>MAX(IF(ISNA(VLOOKUP(B162,'Regioturnier 3'!$B$3:$C$34,2,FALSE))=TRUE,0,VLOOKUP(B162,'Regioturnier 3'!$B$3:$C$34,2,FALSE)),IF(ISNA(VLOOKUP(B162,'Regioturnier 3'!$F$3:$G$34,2,FALSE))=TRUE,0,VLOOKUP(B162,'Regioturnier 3'!$F$3:$G$34,2,FALSE)),IF(ISNA(VLOOKUP(B162,'Regioturnier 3'!$J$3:$K$34,2,FALSE))=TRUE,0,VLOOKUP(B162,'Regioturnier 3'!$J$3:$K$34,2,FALSE)),IF(ISNA(VLOOKUP(B162,'Regioturnier 3'!$N$3:$O$34,2,FALSE))=TRUE,0,VLOOKUP(B162,'Regioturnier 3'!$N$3:$O$34,2,FALSE)),IF(ISNA(VLOOKUP(B162,'Regioturnier 3'!$R$3:$S$34,2,FALSE))=TRUE,0,VLOOKUP(B162,'Regioturnier 3'!$R$3:$S$34,2,FALSE)), IF(ISNA(VLOOKUP(B162,'Regioturnier 3'!$V$3:$W$34,2,FALSE))=TRUE,0,VLOOKUP(B162,'Regioturnier 3'!$V$3:$W$34,2,FALSE)), IF(ISNA(VLOOKUP(B162,'Regioturnier 3'!$Z$3:$AA$34,2,FALSE))=TRUE,0,VLOOKUP(B162,'Regioturnier 3'!$Z$3:$AA$34,2,FALSE)))</f>
        <v>0</v>
      </c>
      <c r="R162" s="20">
        <f>0.5*INDEX($H162:$N162,MATCH(LARGE($H162:$N162,1),$H162:$N162,0))+0.3*INDEX($H162:$N162,MATCH(LARGE($H162:$N162,2),$H162:$N162,0))+0.2*INDEX($H162:$N162,MATCH(LARGE($H162:$N162,3),$H162:$N162,0))</f>
        <v>68.5</v>
      </c>
      <c r="S162" s="20">
        <f>0.6*INDEX(O162:Q162,MATCH(LARGE(O162:Q162,1),O162:Q162,0))+0.4*INDEX(O162:Q162,MATCH(LARGE(O162:Q162,2),O162:Q162,0))+0*INDEX(O162:Q162,MATCH(LARGE(O162:Q162,3),O162:Q162,0))</f>
        <v>0</v>
      </c>
      <c r="T162" s="15">
        <f>1*INDEX(R162:S162,MATCH(LARGE(R162:S162,1),R162:S162,0))+0*INDEX(R162:S162,MATCH(LARGE(R162:S162,2),R162:S162,0))</f>
        <v>68.5</v>
      </c>
      <c r="U162" s="21"/>
      <c r="V162" s="21"/>
      <c r="W162" s="21"/>
      <c r="X162" s="21"/>
      <c r="Y162" s="21"/>
      <c r="Z162" s="21"/>
    </row>
    <row r="163" spans="1:26" ht="12.75" customHeight="1" x14ac:dyDescent="0.3">
      <c r="A163" s="15">
        <v>162</v>
      </c>
      <c r="B163" s="16" t="s">
        <v>167</v>
      </c>
      <c r="C163" s="17" t="s">
        <v>28</v>
      </c>
      <c r="D163" s="15" t="s">
        <v>22</v>
      </c>
      <c r="E163" s="18" t="s">
        <v>23</v>
      </c>
      <c r="F163" s="15">
        <v>207973</v>
      </c>
      <c r="G163" s="22">
        <v>2016</v>
      </c>
      <c r="H163" s="15">
        <f>MAX(IF(ISNA(VLOOKUP(B163,'WBV 1'!$B$3:$C$34,2,FALSE))=TRUE,0,VLOOKUP(B163,'WBV 1'!$B$3:$C$34,2,FALSE)),IF(ISNA(VLOOKUP(B163,'WBV 1'!$F$3:$G$34,2,FALSE))=TRUE,0,VLOOKUP(B163,'WBV 1'!$F$3:$G$34,2,FALSE)),IF(ISNA(VLOOKUP(B163,'WBV 1'!$J$3:$K$34,2,FALSE))=TRUE,0,VLOOKUP(B163,'WBV 1'!$J$3:$K$34,2,FALSE)),IF(ISNA(VLOOKUP(B163,'WBV 1'!$N$3:$O$34,2,FALSE))=TRUE,0,VLOOKUP(B163,'WBV 1'!$N$3:$O$34,2,FALSE)))</f>
        <v>0</v>
      </c>
      <c r="I163" s="15">
        <f>MAX(IF(ISNA(VLOOKUP(B163,'WBV 2'!$B$3:$C$34,2,FALSE))=TRUE,0,VLOOKUP(B163,'WBV 2'!$B$3:$C$34,2,FALSE)),IF(ISNA(VLOOKUP(B163,'WBV 2'!$F$3:$G$34,2,FALSE))=TRUE,0,VLOOKUP(B163,'WBV 2'!$F$3:$G$34,2,FALSE)),IF(ISNA(VLOOKUP(B163,'WBV 2'!$J$3:$K$34,2,FALSE))=TRUE,0,VLOOKUP(B163,'WBV 2'!$J$3:$K$34,2,FALSE)),IF(ISNA(VLOOKUP(B163,'WBV 2'!$N$3:$O$34,2,FALSE))=TRUE,0,VLOOKUP(B163,'WBV 2'!$N$3:$O$34,2,FALSE)))</f>
        <v>0</v>
      </c>
      <c r="J163" s="15">
        <f>MAX(IF(ISNA(VLOOKUP(B163,'WBV 3'!$B$3:$C$34,2,FALSE))=TRUE,0,VLOOKUP(B163,'WBV 3'!$B$3:$C$34,2,FALSE)),IF(ISNA(VLOOKUP(B163,'WBV 3'!$F$3:$G$34,2,FALSE))=TRUE,0,VLOOKUP(B163,'WBV 3'!$F$3:$G$34,2,FALSE)),IF(ISNA(VLOOKUP(B163,'WBV 3'!$J$3:$K$34,2,FALSE))=TRUE,0,VLOOKUP(B163,'WBV 3'!$J$3:$K$34,2,FALSE)),IF(ISNA(VLOOKUP(B163,'WBV 3'!$N$3:$O$34,2,FALSE))=TRUE,0,VLOOKUP(B163,'WBV 3'!$N$3:$O$34,2,FALSE)))</f>
        <v>0</v>
      </c>
      <c r="K163" s="15">
        <f>MAX(IF(ISNA(VLOOKUP(B163,'WBV 4'!$B$3:$C$34,2,FALSE))=TRUE,0,VLOOKUP(B163,'WBV 4'!$B$3:$C$34,2,FALSE)),IF(ISNA(VLOOKUP(B163,'WBV 4'!$F$3:$G$34,2,FALSE))=TRUE,0,VLOOKUP(B163,'WBV 4'!$F$3:$G$34,2,FALSE)),IF(ISNA(VLOOKUP(B163,'WBV 4'!$J$3:$K$34,2,FALSE))=TRUE,0,VLOOKUP(B163,'WBV 4'!$J$3:$K$34,2,FALSE)),IF(ISNA(VLOOKUP(B163,'WBV 4'!$N$3:$O$34,2,FALSE))=TRUE,0,VLOOKUP(B163,'WBV 4'!$N$3:$O$34,2,FALSE)))</f>
        <v>0</v>
      </c>
      <c r="L163" s="19">
        <f>MAX(IF(ISNA(VLOOKUP(B163,'NÖBV 1'!$B$3:$C$34,2,FALSE))=TRUE,0,VLOOKUP(B163,'NÖBV 1'!$B$3:$C$34,2,FALSE)),IF(ISNA(VLOOKUP(B163,'NÖBV 1'!$F$3:$G$34,2,FALSE))=TRUE,0,VLOOKUP(B163,'NÖBV 1'!$F$3:$G$34,2,FALSE)),IF(ISNA(VLOOKUP(B163,'NÖBV 1'!$J$3:$K$34,2,FALSE))=TRUE,0,VLOOKUP(B163,'NÖBV 1'!$J$3:$K$34,2,FALSE)),IF(ISNA(VLOOKUP(B163,'NÖBV 1'!$N$3:$O$34,2,FALSE))=TRUE,0,VLOOKUP(B163,'NÖBV 1'!$N$3:$O$34,2,FALSE)))</f>
        <v>0</v>
      </c>
      <c r="M163" s="19">
        <f>MAX(IF(ISNA(VLOOKUP(B163,'NÖBV 2'!$B$3:$C$34,2,FALSE))=TRUE,0,VLOOKUP(B163,'NÖBV 2'!$B$3:$C$34,2,FALSE)),IF(ISNA(VLOOKUP(B163,'NÖBV 2'!$F$3:$G$34,2,FALSE))=TRUE,0,VLOOKUP(B163,'NÖBV 2'!$F$3:$G$34,2,FALSE)),IF(ISNA(VLOOKUP(B163,'NÖBV 2'!$J$3:$K$34,2,FALSE))=TRUE,0,VLOOKUP(B163,'NÖBV 2'!$J$3:$K$34,2,FALSE)),IF(ISNA(VLOOKUP(B163,'NÖBV 2'!$N$3:$O$34,2,FALSE))=TRUE,0,VLOOKUP(B163,'NÖBV 2'!$N$3:$O$34,2,FALSE)))</f>
        <v>136</v>
      </c>
      <c r="N163" s="19">
        <f>MAX(IF(ISNA(VLOOKUP(B163,'NÖBV 3'!$B$3:$C$34,2,FALSE))=TRUE,0,VLOOKUP(B163,'NÖBV 3'!$B$3:$C$34,2,FALSE)),IF(ISNA(VLOOKUP(B163,'NÖBV 3'!$F$3:$G$34,2,FALSE))=TRUE,0,VLOOKUP(B163,'NÖBV 3'!$F$3:$G$34,2,FALSE)),IF(ISNA(VLOOKUP(B163,'NÖBV 3'!$J$3:$K$34,2,FALSE))=TRUE,0,VLOOKUP(B163,'NÖBV 3'!$J$3:$K$34,2,FALSE)),IF(ISNA(VLOOKUP(B163,'NÖBV 3'!$N$3:$O$34,2,FALSE))=TRUE,0,VLOOKUP(B163,'NÖBV 3'!$N$3:$O$34,2,FALSE)))</f>
        <v>0</v>
      </c>
      <c r="O163" s="15">
        <f>MAX(IF(ISNA(VLOOKUP(B163,'Regioturnier 1'!$B$3:$C$34,2,FALSE))=TRUE,0,VLOOKUP(B163,'Regioturnier 1'!$B$3:$C$34,2,FALSE)),IF(ISNA(VLOOKUP(B163,'Regioturnier 1'!$F$3:$G$34,2,FALSE))=TRUE,0,VLOOKUP(B163,'Regioturnier 1'!$F$3:$G$34,2,FALSE)),IF(ISNA(VLOOKUP(B163,'Regioturnier 1'!$J$3:$K$34,2,FALSE))=TRUE,0,VLOOKUP(B163,'Regioturnier 1'!$J$3:$K$34,2,FALSE)),IF(ISNA(VLOOKUP(B163,'Regioturnier 1'!$N$3:$O$34,2,FALSE))=TRUE,0,VLOOKUP(B163,'Regioturnier 1'!$N$3:$O$34,2,FALSE)),IF(ISNA(VLOOKUP(B163,'Regioturnier 1'!$R$3:$S$34,2,FALSE))=TRUE,0,VLOOKUP(B163,'Regioturnier 1'!$R$3:$S$34,2,FALSE)), IF(ISNA(VLOOKUP(B163,'Regioturnier 1'!$V$3:$W$34,2,FALSE))=TRUE,0,VLOOKUP(B163,'Regioturnier 1'!$V$3:$W$34,2,FALSE)), IF(ISNA(VLOOKUP(B163,'Regioturnier 1'!$Z$3:$AA$34,2,FALSE))=TRUE,0,VLOOKUP(B163,'Regioturnier 1'!$Z$3:$AA$34,2,FALSE)))</f>
        <v>0</v>
      </c>
      <c r="P163" s="15">
        <f>MAX(IF(ISNA(VLOOKUP(B163,'Regioturnier 2'!$B$3:$C$34,2,FALSE))=TRUE,0,VLOOKUP(B163,'Regioturnier 2'!$B$3:$C$34,2,FALSE)),IF(ISNA(VLOOKUP(B163,'Regioturnier 2'!$F$3:$G$34,2,FALSE))=TRUE,0,VLOOKUP(B163,'Regioturnier 2'!$F$3:$G$34,2,FALSE)),IF(ISNA(VLOOKUP(B163,'Regioturnier 2'!$J$3:$K$34,2,FALSE))=TRUE,0,VLOOKUP(B163,'Regioturnier 2'!$J$3:$K$34,2,FALSE)),IF(ISNA(VLOOKUP(B163,'Regioturnier 2'!$N$3:$O$34,2,FALSE))=TRUE,0,VLOOKUP(B163,'Regioturnier 2'!$N$3:$O$34,2,FALSE)),IF(ISNA(VLOOKUP(B163,'Regioturnier 2'!$R$3:$S$34,2,FALSE))=TRUE,0,VLOOKUP(B163,'Regioturnier 2'!$R$3:$S$34,2,FALSE)), IF(ISNA(VLOOKUP(B163,'Regioturnier 2'!$V$3:$W$34,2,FALSE))=TRUE,0,VLOOKUP(B163,'Regioturnier 2'!$V$3:$W$34,2,FALSE)), IF(ISNA(VLOOKUP(B163,'Regioturnier 2'!$Z$3:$AA$34,2,FALSE))=TRUE,0,VLOOKUP(B163,'Regioturnier 2'!$Z$3:$AA$34,2,FALSE)))</f>
        <v>0</v>
      </c>
      <c r="Q163" s="15">
        <f>MAX(IF(ISNA(VLOOKUP(B163,'Regioturnier 3'!$B$3:$C$34,2,FALSE))=TRUE,0,VLOOKUP(B163,'Regioturnier 3'!$B$3:$C$34,2,FALSE)),IF(ISNA(VLOOKUP(B163,'Regioturnier 3'!$F$3:$G$34,2,FALSE))=TRUE,0,VLOOKUP(B163,'Regioturnier 3'!$F$3:$G$34,2,FALSE)),IF(ISNA(VLOOKUP(B163,'Regioturnier 3'!$J$3:$K$34,2,FALSE))=TRUE,0,VLOOKUP(B163,'Regioturnier 3'!$J$3:$K$34,2,FALSE)),IF(ISNA(VLOOKUP(B163,'Regioturnier 3'!$N$3:$O$34,2,FALSE))=TRUE,0,VLOOKUP(B163,'Regioturnier 3'!$N$3:$O$34,2,FALSE)),IF(ISNA(VLOOKUP(B163,'Regioturnier 3'!$R$3:$S$34,2,FALSE))=TRUE,0,VLOOKUP(B163,'Regioturnier 3'!$R$3:$S$34,2,FALSE)), IF(ISNA(VLOOKUP(B163,'Regioturnier 3'!$V$3:$W$34,2,FALSE))=TRUE,0,VLOOKUP(B163,'Regioturnier 3'!$V$3:$W$34,2,FALSE)), IF(ISNA(VLOOKUP(B163,'Regioturnier 3'!$Z$3:$AA$34,2,FALSE))=TRUE,0,VLOOKUP(B163,'Regioturnier 3'!$Z$3:$AA$34,2,FALSE)))</f>
        <v>0</v>
      </c>
      <c r="R163" s="20">
        <f>0.5*INDEX($H163:$N163,MATCH(LARGE($H163:$N163,1),$H163:$N163,0))+0.3*INDEX($H163:$N163,MATCH(LARGE($H163:$N163,2),$H163:$N163,0))+0.2*INDEX($H163:$N163,MATCH(LARGE($H163:$N163,3),$H163:$N163,0))</f>
        <v>68</v>
      </c>
      <c r="S163" s="20">
        <f>0.6*INDEX(O163:Q163,MATCH(LARGE(O163:Q163,1),O163:Q163,0))+0.4*INDEX(O163:Q163,MATCH(LARGE(O163:Q163,2),O163:Q163,0))+0*INDEX(O163:Q163,MATCH(LARGE(O163:Q163,3),O163:Q163,0))</f>
        <v>0</v>
      </c>
      <c r="T163" s="15">
        <f>1*INDEX(R163:S163,MATCH(LARGE(R163:S163,1),R163:S163,0))+0*INDEX(R163:S163,MATCH(LARGE(R163:S163,2),R163:S163,0))</f>
        <v>68</v>
      </c>
      <c r="U163" s="21"/>
      <c r="V163" s="21"/>
      <c r="W163" s="21"/>
      <c r="X163" s="21"/>
      <c r="Y163" s="21"/>
      <c r="Z163" s="21"/>
    </row>
    <row r="164" spans="1:26" ht="12.75" customHeight="1" x14ac:dyDescent="0.3">
      <c r="A164" s="15">
        <v>163</v>
      </c>
      <c r="B164" s="106" t="s">
        <v>577</v>
      </c>
      <c r="C164" s="106" t="s">
        <v>54</v>
      </c>
      <c r="D164" s="106" t="s">
        <v>22</v>
      </c>
      <c r="E164" s="106" t="s">
        <v>23</v>
      </c>
      <c r="F164" s="106" t="s">
        <v>589</v>
      </c>
      <c r="G164" s="107">
        <v>2014</v>
      </c>
      <c r="H164" s="105">
        <f>MAX(IF(ISNA(VLOOKUP(B164,'WBV 1'!$B$3:$C$34,2,FALSE))=TRUE,0,VLOOKUP(B164,'WBV 1'!$B$3:$C$34,2,FALSE)),IF(ISNA(VLOOKUP(B164,'WBV 1'!$F$3:$G$34,2,FALSE))=TRUE,0,VLOOKUP(B164,'WBV 1'!$F$3:$G$34,2,FALSE)),IF(ISNA(VLOOKUP(B164,'WBV 1'!$J$3:$K$34,2,FALSE))=TRUE,0,VLOOKUP(B164,'WBV 1'!$J$3:$K$34,2,FALSE)),IF(ISNA(VLOOKUP(B164,'WBV 1'!$N$3:$O$34,2,FALSE))=TRUE,0,VLOOKUP(B164,'WBV 1'!$N$3:$O$34,2,FALSE)))</f>
        <v>0</v>
      </c>
      <c r="I164" s="105">
        <f>MAX(IF(ISNA(VLOOKUP(B164,'WBV 2'!$B$3:$C$34,2,FALSE))=TRUE,0,VLOOKUP(B164,'WBV 2'!$B$3:$C$34,2,FALSE)),IF(ISNA(VLOOKUP(B164,'WBV 2'!$F$3:$G$34,2,FALSE))=TRUE,0,VLOOKUP(B164,'WBV 2'!$F$3:$G$34,2,FALSE)),IF(ISNA(VLOOKUP(B164,'WBV 2'!$J$3:$K$34,2,FALSE))=TRUE,0,VLOOKUP(B164,'WBV 2'!$J$3:$K$34,2,FALSE)),IF(ISNA(VLOOKUP(B164,'WBV 2'!$N$3:$O$34,2,FALSE))=TRUE,0,VLOOKUP(B164,'WBV 2'!$N$3:$O$34,2,FALSE)))</f>
        <v>0</v>
      </c>
      <c r="J164" s="105">
        <f>MAX(IF(ISNA(VLOOKUP(B164,'WBV 3'!$B$3:$C$34,2,FALSE))=TRUE,0,VLOOKUP(B164,'WBV 3'!$B$3:$C$34,2,FALSE)),IF(ISNA(VLOOKUP(B164,'WBV 3'!$F$3:$G$34,2,FALSE))=TRUE,0,VLOOKUP(B164,'WBV 3'!$F$3:$G$34,2,FALSE)),IF(ISNA(VLOOKUP(B164,'WBV 3'!$J$3:$K$34,2,FALSE))=TRUE,0,VLOOKUP(B164,'WBV 3'!$J$3:$K$34,2,FALSE)),IF(ISNA(VLOOKUP(B164,'WBV 3'!$N$3:$O$34,2,FALSE))=TRUE,0,VLOOKUP(B164,'WBV 3'!$N$3:$O$34,2,FALSE)))</f>
        <v>0</v>
      </c>
      <c r="K164" s="105">
        <f>MAX(IF(ISNA(VLOOKUP(B164,'WBV 4'!$B$3:$C$34,2,FALSE))=TRUE,0,VLOOKUP(B164,'WBV 4'!$B$3:$C$34,2,FALSE)),IF(ISNA(VLOOKUP(B164,'WBV 4'!$F$3:$G$34,2,FALSE))=TRUE,0,VLOOKUP(B164,'WBV 4'!$F$3:$G$34,2,FALSE)),IF(ISNA(VLOOKUP(B164,'WBV 4'!$J$3:$K$34,2,FALSE))=TRUE,0,VLOOKUP(B164,'WBV 4'!$J$3:$K$34,2,FALSE)),IF(ISNA(VLOOKUP(B164,'WBV 4'!$N$3:$O$34,2,FALSE))=TRUE,0,VLOOKUP(B164,'WBV 4'!$N$3:$O$34,2,FALSE)))</f>
        <v>0</v>
      </c>
      <c r="L164" s="105">
        <f>MAX(IF(ISNA(VLOOKUP(B164,'NÖBV 1'!$B$3:$C$34,2,FALSE))=TRUE,0,VLOOKUP(B164,'NÖBV 1'!$B$3:$C$34,2,FALSE)),IF(ISNA(VLOOKUP(B164,'NÖBV 1'!$F$3:$G$34,2,FALSE))=TRUE,0,VLOOKUP(B164,'NÖBV 1'!$F$3:$G$34,2,FALSE)),IF(ISNA(VLOOKUP(B164,'NÖBV 1'!$J$3:$K$34,2,FALSE))=TRUE,0,VLOOKUP(B164,'NÖBV 1'!$J$3:$K$34,2,FALSE)),IF(ISNA(VLOOKUP(B164,'NÖBV 1'!$N$3:$O$34,2,FALSE))=TRUE,0,VLOOKUP(B164,'NÖBV 1'!$N$3:$O$34,2,FALSE)))</f>
        <v>0</v>
      </c>
      <c r="M164" s="105">
        <f>MAX(IF(ISNA(VLOOKUP(B164,'NÖBV 2'!$B$3:$C$34,2,FALSE))=TRUE,0,VLOOKUP(B164,'NÖBV 2'!$B$3:$C$34,2,FALSE)),IF(ISNA(VLOOKUP(B164,'NÖBV 2'!$F$3:$G$34,2,FALSE))=TRUE,0,VLOOKUP(B164,'NÖBV 2'!$F$3:$G$34,2,FALSE)),IF(ISNA(VLOOKUP(B164,'NÖBV 2'!$J$3:$K$34,2,FALSE))=TRUE,0,VLOOKUP(B164,'NÖBV 2'!$J$3:$K$34,2,FALSE)),IF(ISNA(VLOOKUP(B164,'NÖBV 2'!$N$3:$O$34,2,FALSE))=TRUE,0,VLOOKUP(B164,'NÖBV 2'!$N$3:$O$34,2,FALSE)))</f>
        <v>134</v>
      </c>
      <c r="N164" s="105">
        <f>MAX(IF(ISNA(VLOOKUP(B164,'NÖBV 3'!$B$3:$C$34,2,FALSE))=TRUE,0,VLOOKUP(B164,'NÖBV 3'!$B$3:$C$34,2,FALSE)),IF(ISNA(VLOOKUP(B164,'NÖBV 3'!$F$3:$G$34,2,FALSE))=TRUE,0,VLOOKUP(B164,'NÖBV 3'!$F$3:$G$34,2,FALSE)),IF(ISNA(VLOOKUP(B164,'NÖBV 3'!$J$3:$K$34,2,FALSE))=TRUE,0,VLOOKUP(B164,'NÖBV 3'!$J$3:$K$34,2,FALSE)),IF(ISNA(VLOOKUP(B164,'NÖBV 3'!$N$3:$O$34,2,FALSE))=TRUE,0,VLOOKUP(B164,'NÖBV 3'!$N$3:$O$34,2,FALSE)))</f>
        <v>0</v>
      </c>
      <c r="O164" s="105">
        <f>MAX(IF(ISNA(VLOOKUP(B164,'Regioturnier 1'!$B$3:$C$34,2,FALSE))=TRUE,0,VLOOKUP(B164,'Regioturnier 1'!$B$3:$C$34,2,FALSE)),IF(ISNA(VLOOKUP(B164,'Regioturnier 1'!$F$3:$G$34,2,FALSE))=TRUE,0,VLOOKUP(B164,'Regioturnier 1'!$F$3:$G$34,2,FALSE)),IF(ISNA(VLOOKUP(B164,'Regioturnier 1'!$J$3:$K$34,2,FALSE))=TRUE,0,VLOOKUP(B164,'Regioturnier 1'!$J$3:$K$34,2,FALSE)),IF(ISNA(VLOOKUP(B164,'Regioturnier 1'!$N$3:$O$34,2,FALSE))=TRUE,0,VLOOKUP(B164,'Regioturnier 1'!$N$3:$O$34,2,FALSE)),IF(ISNA(VLOOKUP(B164,'Regioturnier 1'!$R$3:$S$34,2,FALSE))=TRUE,0,VLOOKUP(B164,'Regioturnier 1'!$R$3:$S$34,2,FALSE)), IF(ISNA(VLOOKUP(B164,'Regioturnier 1'!$V$3:$W$34,2,FALSE))=TRUE,0,VLOOKUP(B164,'Regioturnier 1'!$V$3:$W$34,2,FALSE)), IF(ISNA(VLOOKUP(B164,'Regioturnier 1'!$Z$3:$AA$34,2,FALSE))=TRUE,0,VLOOKUP(B164,'Regioturnier 1'!$Z$3:$AA$34,2,FALSE)))</f>
        <v>0</v>
      </c>
      <c r="P164" s="105">
        <f>MAX(IF(ISNA(VLOOKUP(B164,'Regioturnier 2'!$B$3:$C$34,2,FALSE))=TRUE,0,VLOOKUP(B164,'Regioturnier 2'!$B$3:$C$34,2,FALSE)),IF(ISNA(VLOOKUP(B164,'Regioturnier 2'!$F$3:$G$34,2,FALSE))=TRUE,0,VLOOKUP(B164,'Regioturnier 2'!$F$3:$G$34,2,FALSE)),IF(ISNA(VLOOKUP(B164,'Regioturnier 2'!$J$3:$K$34,2,FALSE))=TRUE,0,VLOOKUP(B164,'Regioturnier 2'!$J$3:$K$34,2,FALSE)),IF(ISNA(VLOOKUP(B164,'Regioturnier 2'!$N$3:$O$34,2,FALSE))=TRUE,0,VLOOKUP(B164,'Regioturnier 2'!$N$3:$O$34,2,FALSE)),IF(ISNA(VLOOKUP(B164,'Regioturnier 2'!$R$3:$S$34,2,FALSE))=TRUE,0,VLOOKUP(B164,'Regioturnier 2'!$R$3:$S$34,2,FALSE)), IF(ISNA(VLOOKUP(B164,'Regioturnier 2'!$V$3:$W$34,2,FALSE))=TRUE,0,VLOOKUP(B164,'Regioturnier 2'!$V$3:$W$34,2,FALSE)), IF(ISNA(VLOOKUP(B164,'Regioturnier 2'!$Z$3:$AA$34,2,FALSE))=TRUE,0,VLOOKUP(B164,'Regioturnier 2'!$Z$3:$AA$34,2,FALSE)))</f>
        <v>0</v>
      </c>
      <c r="Q164" s="105">
        <f>MAX(IF(ISNA(VLOOKUP(B164,'Regioturnier 3'!$B$3:$C$34,2,FALSE))=TRUE,0,VLOOKUP(B164,'Regioturnier 3'!$B$3:$C$34,2,FALSE)),IF(ISNA(VLOOKUP(B164,'Regioturnier 3'!$F$3:$G$34,2,FALSE))=TRUE,0,VLOOKUP(B164,'Regioturnier 3'!$F$3:$G$34,2,FALSE)),IF(ISNA(VLOOKUP(B164,'Regioturnier 3'!$J$3:$K$34,2,FALSE))=TRUE,0,VLOOKUP(B164,'Regioturnier 3'!$J$3:$K$34,2,FALSE)),IF(ISNA(VLOOKUP(B164,'Regioturnier 3'!$N$3:$O$34,2,FALSE))=TRUE,0,VLOOKUP(B164,'Regioturnier 3'!$N$3:$O$34,2,FALSE)),IF(ISNA(VLOOKUP(B164,'Regioturnier 3'!$R$3:$S$34,2,FALSE))=TRUE,0,VLOOKUP(B164,'Regioturnier 3'!$R$3:$S$34,2,FALSE)), IF(ISNA(VLOOKUP(B164,'Regioturnier 3'!$V$3:$W$34,2,FALSE))=TRUE,0,VLOOKUP(B164,'Regioturnier 3'!$V$3:$W$34,2,FALSE)), IF(ISNA(VLOOKUP(B164,'Regioturnier 3'!$Z$3:$AA$34,2,FALSE))=TRUE,0,VLOOKUP(B164,'Regioturnier 3'!$Z$3:$AA$34,2,FALSE)))</f>
        <v>0</v>
      </c>
      <c r="R164" s="108">
        <f>0.5*INDEX($H164:$N164,MATCH(LARGE($H164:$N164,1),$H164:$N164,0))+0.3*INDEX($H164:$N164,MATCH(LARGE($H164:$N164,2),$H164:$N164,0))+0.2*INDEX($H164:$N164,MATCH(LARGE($H164:$N164,3),$H164:$N164,0))</f>
        <v>67</v>
      </c>
      <c r="S164" s="108">
        <f>0.6*INDEX(O164:Q164,MATCH(LARGE(O164:Q164,1),O164:Q164,0))+0.4*INDEX(O164:Q164,MATCH(LARGE(O164:Q164,2),O164:Q164,0))+0*INDEX(O164:Q164,MATCH(LARGE(O164:Q164,3),O164:Q164,0))</f>
        <v>0</v>
      </c>
      <c r="T164" s="105">
        <f>1*INDEX(R164:S164,MATCH(LARGE(R164:S164,1),R164:S164,0))+0*INDEX(R164:S164,MATCH(LARGE(R164:S164,2),R164:S164,0))</f>
        <v>67</v>
      </c>
      <c r="U164" s="21"/>
      <c r="V164" s="21"/>
      <c r="W164" s="21"/>
      <c r="X164" s="21"/>
      <c r="Y164" s="21"/>
      <c r="Z164" s="21"/>
    </row>
    <row r="165" spans="1:26" ht="12.75" customHeight="1" x14ac:dyDescent="0.3">
      <c r="A165" s="15">
        <v>164</v>
      </c>
      <c r="B165" s="16" t="s">
        <v>530</v>
      </c>
      <c r="C165" s="17" t="s">
        <v>25</v>
      </c>
      <c r="D165" s="15" t="s">
        <v>26</v>
      </c>
      <c r="E165" s="18"/>
      <c r="F165" s="15"/>
      <c r="G165" s="22">
        <v>2015</v>
      </c>
      <c r="H165" s="15">
        <f>MAX(IF(ISNA(VLOOKUP(B165,'WBV 1'!$B$3:$C$34,2,FALSE))=TRUE,0,VLOOKUP(B165,'WBV 1'!$B$3:$C$34,2,FALSE)),IF(ISNA(VLOOKUP(B165,'WBV 1'!$F$3:$G$34,2,FALSE))=TRUE,0,VLOOKUP(B165,'WBV 1'!$F$3:$G$34,2,FALSE)),IF(ISNA(VLOOKUP(B165,'WBV 1'!$J$3:$K$34,2,FALSE))=TRUE,0,VLOOKUP(B165,'WBV 1'!$J$3:$K$34,2,FALSE)),IF(ISNA(VLOOKUP(B165,'WBV 1'!$N$3:$O$34,2,FALSE))=TRUE,0,VLOOKUP(B165,'WBV 1'!$N$3:$O$34,2,FALSE)))</f>
        <v>0</v>
      </c>
      <c r="I165" s="15">
        <f>MAX(IF(ISNA(VLOOKUP(B165,'WBV 2'!$B$3:$C$34,2,FALSE))=TRUE,0,VLOOKUP(B165,'WBV 2'!$B$3:$C$34,2,FALSE)),IF(ISNA(VLOOKUP(B165,'WBV 2'!$F$3:$G$34,2,FALSE))=TRUE,0,VLOOKUP(B165,'WBV 2'!$F$3:$G$34,2,FALSE)),IF(ISNA(VLOOKUP(B165,'WBV 2'!$J$3:$K$34,2,FALSE))=TRUE,0,VLOOKUP(B165,'WBV 2'!$J$3:$K$34,2,FALSE)),IF(ISNA(VLOOKUP(B165,'WBV 2'!$N$3:$O$34,2,FALSE))=TRUE,0,VLOOKUP(B165,'WBV 2'!$N$3:$O$34,2,FALSE)))</f>
        <v>133</v>
      </c>
      <c r="J165" s="15">
        <f>MAX(IF(ISNA(VLOOKUP(B165,'WBV 3'!$B$3:$C$34,2,FALSE))=TRUE,0,VLOOKUP(B165,'WBV 3'!$B$3:$C$34,2,FALSE)),IF(ISNA(VLOOKUP(B165,'WBV 3'!$F$3:$G$34,2,FALSE))=TRUE,0,VLOOKUP(B165,'WBV 3'!$F$3:$G$34,2,FALSE)),IF(ISNA(VLOOKUP(B165,'WBV 3'!$J$3:$K$34,2,FALSE))=TRUE,0,VLOOKUP(B165,'WBV 3'!$J$3:$K$34,2,FALSE)),IF(ISNA(VLOOKUP(B165,'WBV 3'!$N$3:$O$34,2,FALSE))=TRUE,0,VLOOKUP(B165,'WBV 3'!$N$3:$O$34,2,FALSE)))</f>
        <v>0</v>
      </c>
      <c r="K165" s="15">
        <f>MAX(IF(ISNA(VLOOKUP(B165,'WBV 4'!$B$3:$C$34,2,FALSE))=TRUE,0,VLOOKUP(B165,'WBV 4'!$B$3:$C$34,2,FALSE)),IF(ISNA(VLOOKUP(B165,'WBV 4'!$F$3:$G$34,2,FALSE))=TRUE,0,VLOOKUP(B165,'WBV 4'!$F$3:$G$34,2,FALSE)),IF(ISNA(VLOOKUP(B165,'WBV 4'!$J$3:$K$34,2,FALSE))=TRUE,0,VLOOKUP(B165,'WBV 4'!$J$3:$K$34,2,FALSE)),IF(ISNA(VLOOKUP(B165,'WBV 4'!$N$3:$O$34,2,FALSE))=TRUE,0,VLOOKUP(B165,'WBV 4'!$N$3:$O$34,2,FALSE)))</f>
        <v>0</v>
      </c>
      <c r="L165" s="19">
        <f>MAX(IF(ISNA(VLOOKUP(B165,'NÖBV 1'!$B$3:$C$34,2,FALSE))=TRUE,0,VLOOKUP(B165,'NÖBV 1'!$B$3:$C$34,2,FALSE)),IF(ISNA(VLOOKUP(B165,'NÖBV 1'!$F$3:$G$34,2,FALSE))=TRUE,0,VLOOKUP(B165,'NÖBV 1'!$F$3:$G$34,2,FALSE)),IF(ISNA(VLOOKUP(B165,'NÖBV 1'!$J$3:$K$34,2,FALSE))=TRUE,0,VLOOKUP(B165,'NÖBV 1'!$J$3:$K$34,2,FALSE)),IF(ISNA(VLOOKUP(B165,'NÖBV 1'!$N$3:$O$34,2,FALSE))=TRUE,0,VLOOKUP(B165,'NÖBV 1'!$N$3:$O$34,2,FALSE)))</f>
        <v>0</v>
      </c>
      <c r="M165" s="19">
        <f>MAX(IF(ISNA(VLOOKUP(B165,'NÖBV 2'!$B$3:$C$34,2,FALSE))=TRUE,0,VLOOKUP(B165,'NÖBV 2'!$B$3:$C$34,2,FALSE)),IF(ISNA(VLOOKUP(B165,'NÖBV 2'!$F$3:$G$34,2,FALSE))=TRUE,0,VLOOKUP(B165,'NÖBV 2'!$F$3:$G$34,2,FALSE)),IF(ISNA(VLOOKUP(B165,'NÖBV 2'!$J$3:$K$34,2,FALSE))=TRUE,0,VLOOKUP(B165,'NÖBV 2'!$J$3:$K$34,2,FALSE)),IF(ISNA(VLOOKUP(B165,'NÖBV 2'!$N$3:$O$34,2,FALSE))=TRUE,0,VLOOKUP(B165,'NÖBV 2'!$N$3:$O$34,2,FALSE)))</f>
        <v>0</v>
      </c>
      <c r="N165" s="19">
        <f>MAX(IF(ISNA(VLOOKUP(B165,'NÖBV 3'!$B$3:$C$34,2,FALSE))=TRUE,0,VLOOKUP(B165,'NÖBV 3'!$B$3:$C$34,2,FALSE)),IF(ISNA(VLOOKUP(B165,'NÖBV 3'!$F$3:$G$34,2,FALSE))=TRUE,0,VLOOKUP(B165,'NÖBV 3'!$F$3:$G$34,2,FALSE)),IF(ISNA(VLOOKUP(B165,'NÖBV 3'!$J$3:$K$34,2,FALSE))=TRUE,0,VLOOKUP(B165,'NÖBV 3'!$J$3:$K$34,2,FALSE)),IF(ISNA(VLOOKUP(B165,'NÖBV 3'!$N$3:$O$34,2,FALSE))=TRUE,0,VLOOKUP(B165,'NÖBV 3'!$N$3:$O$34,2,FALSE)))</f>
        <v>0</v>
      </c>
      <c r="O165" s="15">
        <f>MAX(IF(ISNA(VLOOKUP(B165,'Regioturnier 1'!$B$3:$C$34,2,FALSE))=TRUE,0,VLOOKUP(B165,'Regioturnier 1'!$B$3:$C$34,2,FALSE)),IF(ISNA(VLOOKUP(B165,'Regioturnier 1'!$F$3:$G$34,2,FALSE))=TRUE,0,VLOOKUP(B165,'Regioturnier 1'!$F$3:$G$34,2,FALSE)),IF(ISNA(VLOOKUP(B165,'Regioturnier 1'!$J$3:$K$34,2,FALSE))=TRUE,0,VLOOKUP(B165,'Regioturnier 1'!$J$3:$K$34,2,FALSE)),IF(ISNA(VLOOKUP(B165,'Regioturnier 1'!$N$3:$O$34,2,FALSE))=TRUE,0,VLOOKUP(B165,'Regioturnier 1'!$N$3:$O$34,2,FALSE)),IF(ISNA(VLOOKUP(B165,'Regioturnier 1'!$R$3:$S$34,2,FALSE))=TRUE,0,VLOOKUP(B165,'Regioturnier 1'!$R$3:$S$34,2,FALSE)), IF(ISNA(VLOOKUP(B165,'Regioturnier 1'!$V$3:$W$34,2,FALSE))=TRUE,0,VLOOKUP(B165,'Regioturnier 1'!$V$3:$W$34,2,FALSE)), IF(ISNA(VLOOKUP(B165,'Regioturnier 1'!$Z$3:$AA$34,2,FALSE))=TRUE,0,VLOOKUP(B165,'Regioturnier 1'!$Z$3:$AA$34,2,FALSE)))</f>
        <v>0</v>
      </c>
      <c r="P165" s="15">
        <f>MAX(IF(ISNA(VLOOKUP(B165,'Regioturnier 2'!$B$3:$C$34,2,FALSE))=TRUE,0,VLOOKUP(B165,'Regioturnier 2'!$B$3:$C$34,2,FALSE)),IF(ISNA(VLOOKUP(B165,'Regioturnier 2'!$F$3:$G$34,2,FALSE))=TRUE,0,VLOOKUP(B165,'Regioturnier 2'!$F$3:$G$34,2,FALSE)),IF(ISNA(VLOOKUP(B165,'Regioturnier 2'!$J$3:$K$34,2,FALSE))=TRUE,0,VLOOKUP(B165,'Regioturnier 2'!$J$3:$K$34,2,FALSE)),IF(ISNA(VLOOKUP(B165,'Regioturnier 2'!$N$3:$O$34,2,FALSE))=TRUE,0,VLOOKUP(B165,'Regioturnier 2'!$N$3:$O$34,2,FALSE)),IF(ISNA(VLOOKUP(B165,'Regioturnier 2'!$R$3:$S$34,2,FALSE))=TRUE,0,VLOOKUP(B165,'Regioturnier 2'!$R$3:$S$34,2,FALSE)), IF(ISNA(VLOOKUP(B165,'Regioturnier 2'!$V$3:$W$34,2,FALSE))=TRUE,0,VLOOKUP(B165,'Regioturnier 2'!$V$3:$W$34,2,FALSE)), IF(ISNA(VLOOKUP(B165,'Regioturnier 2'!$Z$3:$AA$34,2,FALSE))=TRUE,0,VLOOKUP(B165,'Regioturnier 2'!$Z$3:$AA$34,2,FALSE)))</f>
        <v>0</v>
      </c>
      <c r="Q165" s="15">
        <f>MAX(IF(ISNA(VLOOKUP(B165,'Regioturnier 3'!$B$3:$C$34,2,FALSE))=TRUE,0,VLOOKUP(B165,'Regioturnier 3'!$B$3:$C$34,2,FALSE)),IF(ISNA(VLOOKUP(B165,'Regioturnier 3'!$F$3:$G$34,2,FALSE))=TRUE,0,VLOOKUP(B165,'Regioturnier 3'!$F$3:$G$34,2,FALSE)),IF(ISNA(VLOOKUP(B165,'Regioturnier 3'!$J$3:$K$34,2,FALSE))=TRUE,0,VLOOKUP(B165,'Regioturnier 3'!$J$3:$K$34,2,FALSE)),IF(ISNA(VLOOKUP(B165,'Regioturnier 3'!$N$3:$O$34,2,FALSE))=TRUE,0,VLOOKUP(B165,'Regioturnier 3'!$N$3:$O$34,2,FALSE)),IF(ISNA(VLOOKUP(B165,'Regioturnier 3'!$R$3:$S$34,2,FALSE))=TRUE,0,VLOOKUP(B165,'Regioturnier 3'!$R$3:$S$34,2,FALSE)), IF(ISNA(VLOOKUP(B165,'Regioturnier 3'!$V$3:$W$34,2,FALSE))=TRUE,0,VLOOKUP(B165,'Regioturnier 3'!$V$3:$W$34,2,FALSE)), IF(ISNA(VLOOKUP(B165,'Regioturnier 3'!$Z$3:$AA$34,2,FALSE))=TRUE,0,VLOOKUP(B165,'Regioturnier 3'!$Z$3:$AA$34,2,FALSE)))</f>
        <v>0</v>
      </c>
      <c r="R165" s="20">
        <f>0.5*INDEX($H165:$N165,MATCH(LARGE($H165:$N165,1),$H165:$N165,0))+0.3*INDEX($H165:$N165,MATCH(LARGE($H165:$N165,2),$H165:$N165,0))+0.2*INDEX($H165:$N165,MATCH(LARGE($H165:$N165,3),$H165:$N165,0))</f>
        <v>66.5</v>
      </c>
      <c r="S165" s="20">
        <f>0.6*INDEX(O165:Q165,MATCH(LARGE(O165:Q165,1),O165:Q165,0))+0.4*INDEX(O165:Q165,MATCH(LARGE(O165:Q165,2),O165:Q165,0))+0*INDEX(O165:Q165,MATCH(LARGE(O165:Q165,3),O165:Q165,0))</f>
        <v>0</v>
      </c>
      <c r="T165" s="15">
        <f>1*INDEX(R165:S165,MATCH(LARGE(R165:S165,1),R165:S165,0))+0*INDEX(R165:S165,MATCH(LARGE(R165:S165,2),R165:S165,0))</f>
        <v>66.5</v>
      </c>
      <c r="U165" s="21"/>
      <c r="V165" s="21"/>
      <c r="W165" s="21"/>
      <c r="X165" s="21"/>
      <c r="Y165" s="21"/>
      <c r="Z165" s="21"/>
    </row>
    <row r="166" spans="1:26" ht="12.75" customHeight="1" x14ac:dyDescent="0.3">
      <c r="A166" s="15">
        <v>165</v>
      </c>
      <c r="B166" s="16" t="s">
        <v>532</v>
      </c>
      <c r="C166" s="17" t="s">
        <v>25</v>
      </c>
      <c r="D166" s="15" t="s">
        <v>26</v>
      </c>
      <c r="E166" s="18" t="s">
        <v>40</v>
      </c>
      <c r="F166" s="15" t="s">
        <v>558</v>
      </c>
      <c r="G166" s="22">
        <v>2015</v>
      </c>
      <c r="H166" s="15">
        <f>MAX(IF(ISNA(VLOOKUP(B166,'WBV 1'!$B$3:$C$34,2,FALSE))=TRUE,0,VLOOKUP(B166,'WBV 1'!$B$3:$C$34,2,FALSE)),IF(ISNA(VLOOKUP(B166,'WBV 1'!$F$3:$G$34,2,FALSE))=TRUE,0,VLOOKUP(B166,'WBV 1'!$F$3:$G$34,2,FALSE)),IF(ISNA(VLOOKUP(B166,'WBV 1'!$J$3:$K$34,2,FALSE))=TRUE,0,VLOOKUP(B166,'WBV 1'!$J$3:$K$34,2,FALSE)),IF(ISNA(VLOOKUP(B166,'WBV 1'!$N$3:$O$34,2,FALSE))=TRUE,0,VLOOKUP(B166,'WBV 1'!$N$3:$O$34,2,FALSE)))</f>
        <v>0</v>
      </c>
      <c r="I166" s="15">
        <f>MAX(IF(ISNA(VLOOKUP(B166,'WBV 2'!$B$3:$C$34,2,FALSE))=TRUE,0,VLOOKUP(B166,'WBV 2'!$B$3:$C$34,2,FALSE)),IF(ISNA(VLOOKUP(B166,'WBV 2'!$F$3:$G$34,2,FALSE))=TRUE,0,VLOOKUP(B166,'WBV 2'!$F$3:$G$34,2,FALSE)),IF(ISNA(VLOOKUP(B166,'WBV 2'!$J$3:$K$34,2,FALSE))=TRUE,0,VLOOKUP(B166,'WBV 2'!$J$3:$K$34,2,FALSE)),IF(ISNA(VLOOKUP(B166,'WBV 2'!$N$3:$O$34,2,FALSE))=TRUE,0,VLOOKUP(B166,'WBV 2'!$N$3:$O$34,2,FALSE)))</f>
        <v>129</v>
      </c>
      <c r="J166" s="15">
        <f>MAX(IF(ISNA(VLOOKUP(B166,'WBV 3'!$B$3:$C$34,2,FALSE))=TRUE,0,VLOOKUP(B166,'WBV 3'!$B$3:$C$34,2,FALSE)),IF(ISNA(VLOOKUP(B166,'WBV 3'!$F$3:$G$34,2,FALSE))=TRUE,0,VLOOKUP(B166,'WBV 3'!$F$3:$G$34,2,FALSE)),IF(ISNA(VLOOKUP(B166,'WBV 3'!$J$3:$K$34,2,FALSE))=TRUE,0,VLOOKUP(B166,'WBV 3'!$J$3:$K$34,2,FALSE)),IF(ISNA(VLOOKUP(B166,'WBV 3'!$N$3:$O$34,2,FALSE))=TRUE,0,VLOOKUP(B166,'WBV 3'!$N$3:$O$34,2,FALSE)))</f>
        <v>0</v>
      </c>
      <c r="K166" s="15">
        <f>MAX(IF(ISNA(VLOOKUP(B166,'WBV 4'!$B$3:$C$34,2,FALSE))=TRUE,0,VLOOKUP(B166,'WBV 4'!$B$3:$C$34,2,FALSE)),IF(ISNA(VLOOKUP(B166,'WBV 4'!$F$3:$G$34,2,FALSE))=TRUE,0,VLOOKUP(B166,'WBV 4'!$F$3:$G$34,2,FALSE)),IF(ISNA(VLOOKUP(B166,'WBV 4'!$J$3:$K$34,2,FALSE))=TRUE,0,VLOOKUP(B166,'WBV 4'!$J$3:$K$34,2,FALSE)),IF(ISNA(VLOOKUP(B166,'WBV 4'!$N$3:$O$34,2,FALSE))=TRUE,0,VLOOKUP(B166,'WBV 4'!$N$3:$O$34,2,FALSE)))</f>
        <v>0</v>
      </c>
      <c r="L166" s="19">
        <f>MAX(IF(ISNA(VLOOKUP(B166,'NÖBV 1'!$B$3:$C$34,2,FALSE))=TRUE,0,VLOOKUP(B166,'NÖBV 1'!$B$3:$C$34,2,FALSE)),IF(ISNA(VLOOKUP(B166,'NÖBV 1'!$F$3:$G$34,2,FALSE))=TRUE,0,VLOOKUP(B166,'NÖBV 1'!$F$3:$G$34,2,FALSE)),IF(ISNA(VLOOKUP(B166,'NÖBV 1'!$J$3:$K$34,2,FALSE))=TRUE,0,VLOOKUP(B166,'NÖBV 1'!$J$3:$K$34,2,FALSE)),IF(ISNA(VLOOKUP(B166,'NÖBV 1'!$N$3:$O$34,2,FALSE))=TRUE,0,VLOOKUP(B166,'NÖBV 1'!$N$3:$O$34,2,FALSE)))</f>
        <v>0</v>
      </c>
      <c r="M166" s="19">
        <f>MAX(IF(ISNA(VLOOKUP(B166,'NÖBV 2'!$B$3:$C$34,2,FALSE))=TRUE,0,VLOOKUP(B166,'NÖBV 2'!$B$3:$C$34,2,FALSE)),IF(ISNA(VLOOKUP(B166,'NÖBV 2'!$F$3:$G$34,2,FALSE))=TRUE,0,VLOOKUP(B166,'NÖBV 2'!$F$3:$G$34,2,FALSE)),IF(ISNA(VLOOKUP(B166,'NÖBV 2'!$J$3:$K$34,2,FALSE))=TRUE,0,VLOOKUP(B166,'NÖBV 2'!$J$3:$K$34,2,FALSE)),IF(ISNA(VLOOKUP(B166,'NÖBV 2'!$N$3:$O$34,2,FALSE))=TRUE,0,VLOOKUP(B166,'NÖBV 2'!$N$3:$O$34,2,FALSE)))</f>
        <v>0</v>
      </c>
      <c r="N166" s="19">
        <f>MAX(IF(ISNA(VLOOKUP(B166,'NÖBV 3'!$B$3:$C$34,2,FALSE))=TRUE,0,VLOOKUP(B166,'NÖBV 3'!$B$3:$C$34,2,FALSE)),IF(ISNA(VLOOKUP(B166,'NÖBV 3'!$F$3:$G$34,2,FALSE))=TRUE,0,VLOOKUP(B166,'NÖBV 3'!$F$3:$G$34,2,FALSE)),IF(ISNA(VLOOKUP(B166,'NÖBV 3'!$J$3:$K$34,2,FALSE))=TRUE,0,VLOOKUP(B166,'NÖBV 3'!$J$3:$K$34,2,FALSE)),IF(ISNA(VLOOKUP(B166,'NÖBV 3'!$N$3:$O$34,2,FALSE))=TRUE,0,VLOOKUP(B166,'NÖBV 3'!$N$3:$O$34,2,FALSE)))</f>
        <v>0</v>
      </c>
      <c r="O166" s="15">
        <f>MAX(IF(ISNA(VLOOKUP(B166,'Regioturnier 1'!$B$3:$C$34,2,FALSE))=TRUE,0,VLOOKUP(B166,'Regioturnier 1'!$B$3:$C$34,2,FALSE)),IF(ISNA(VLOOKUP(B166,'Regioturnier 1'!$F$3:$G$34,2,FALSE))=TRUE,0,VLOOKUP(B166,'Regioturnier 1'!$F$3:$G$34,2,FALSE)),IF(ISNA(VLOOKUP(B166,'Regioturnier 1'!$J$3:$K$34,2,FALSE))=TRUE,0,VLOOKUP(B166,'Regioturnier 1'!$J$3:$K$34,2,FALSE)),IF(ISNA(VLOOKUP(B166,'Regioturnier 1'!$N$3:$O$34,2,FALSE))=TRUE,0,VLOOKUP(B166,'Regioturnier 1'!$N$3:$O$34,2,FALSE)),IF(ISNA(VLOOKUP(B166,'Regioturnier 1'!$R$3:$S$34,2,FALSE))=TRUE,0,VLOOKUP(B166,'Regioturnier 1'!$R$3:$S$34,2,FALSE)), IF(ISNA(VLOOKUP(B166,'Regioturnier 1'!$V$3:$W$34,2,FALSE))=TRUE,0,VLOOKUP(B166,'Regioturnier 1'!$V$3:$W$34,2,FALSE)), IF(ISNA(VLOOKUP(B166,'Regioturnier 1'!$Z$3:$AA$34,2,FALSE))=TRUE,0,VLOOKUP(B166,'Regioturnier 1'!$Z$3:$AA$34,2,FALSE)))</f>
        <v>0</v>
      </c>
      <c r="P166" s="15">
        <f>MAX(IF(ISNA(VLOOKUP(B166,'Regioturnier 2'!$B$3:$C$34,2,FALSE))=TRUE,0,VLOOKUP(B166,'Regioturnier 2'!$B$3:$C$34,2,FALSE)),IF(ISNA(VLOOKUP(B166,'Regioturnier 2'!$F$3:$G$34,2,FALSE))=TRUE,0,VLOOKUP(B166,'Regioturnier 2'!$F$3:$G$34,2,FALSE)),IF(ISNA(VLOOKUP(B166,'Regioturnier 2'!$J$3:$K$34,2,FALSE))=TRUE,0,VLOOKUP(B166,'Regioturnier 2'!$J$3:$K$34,2,FALSE)),IF(ISNA(VLOOKUP(B166,'Regioturnier 2'!$N$3:$O$34,2,FALSE))=TRUE,0,VLOOKUP(B166,'Regioturnier 2'!$N$3:$O$34,2,FALSE)),IF(ISNA(VLOOKUP(B166,'Regioturnier 2'!$R$3:$S$34,2,FALSE))=TRUE,0,VLOOKUP(B166,'Regioturnier 2'!$R$3:$S$34,2,FALSE)), IF(ISNA(VLOOKUP(B166,'Regioturnier 2'!$V$3:$W$34,2,FALSE))=TRUE,0,VLOOKUP(B166,'Regioturnier 2'!$V$3:$W$34,2,FALSE)), IF(ISNA(VLOOKUP(B166,'Regioturnier 2'!$Z$3:$AA$34,2,FALSE))=TRUE,0,VLOOKUP(B166,'Regioturnier 2'!$Z$3:$AA$34,2,FALSE)))</f>
        <v>0</v>
      </c>
      <c r="Q166" s="15">
        <f>MAX(IF(ISNA(VLOOKUP(B166,'Regioturnier 3'!$B$3:$C$34,2,FALSE))=TRUE,0,VLOOKUP(B166,'Regioturnier 3'!$B$3:$C$34,2,FALSE)),IF(ISNA(VLOOKUP(B166,'Regioturnier 3'!$F$3:$G$34,2,FALSE))=TRUE,0,VLOOKUP(B166,'Regioturnier 3'!$F$3:$G$34,2,FALSE)),IF(ISNA(VLOOKUP(B166,'Regioturnier 3'!$J$3:$K$34,2,FALSE))=TRUE,0,VLOOKUP(B166,'Regioturnier 3'!$J$3:$K$34,2,FALSE)),IF(ISNA(VLOOKUP(B166,'Regioturnier 3'!$N$3:$O$34,2,FALSE))=TRUE,0,VLOOKUP(B166,'Regioturnier 3'!$N$3:$O$34,2,FALSE)),IF(ISNA(VLOOKUP(B166,'Regioturnier 3'!$R$3:$S$34,2,FALSE))=TRUE,0,VLOOKUP(B166,'Regioturnier 3'!$R$3:$S$34,2,FALSE)), IF(ISNA(VLOOKUP(B166,'Regioturnier 3'!$V$3:$W$34,2,FALSE))=TRUE,0,VLOOKUP(B166,'Regioturnier 3'!$V$3:$W$34,2,FALSE)), IF(ISNA(VLOOKUP(B166,'Regioturnier 3'!$Z$3:$AA$34,2,FALSE))=TRUE,0,VLOOKUP(B166,'Regioturnier 3'!$Z$3:$AA$34,2,FALSE)))</f>
        <v>0</v>
      </c>
      <c r="R166" s="20">
        <f>0.5*INDEX($H166:$N166,MATCH(LARGE($H166:$N166,1),$H166:$N166,0))+0.3*INDEX($H166:$N166,MATCH(LARGE($H166:$N166,2),$H166:$N166,0))+0.2*INDEX($H166:$N166,MATCH(LARGE($H166:$N166,3),$H166:$N166,0))</f>
        <v>64.5</v>
      </c>
      <c r="S166" s="20">
        <f>0.6*INDEX(O166:Q166,MATCH(LARGE(O166:Q166,1),O166:Q166,0))+0.4*INDEX(O166:Q166,MATCH(LARGE(O166:Q166,2),O166:Q166,0))+0*INDEX(O166:Q166,MATCH(LARGE(O166:Q166,3),O166:Q166,0))</f>
        <v>0</v>
      </c>
      <c r="T166" s="15">
        <f>1*INDEX(R166:S166,MATCH(LARGE(R166:S166,1),R166:S166,0))+0*INDEX(R166:S166,MATCH(LARGE(R166:S166,2),R166:S166,0))</f>
        <v>64.5</v>
      </c>
      <c r="U166" s="21"/>
      <c r="V166" s="21"/>
      <c r="W166" s="21"/>
      <c r="X166" s="21"/>
      <c r="Y166" s="21"/>
      <c r="Z166" s="21"/>
    </row>
    <row r="167" spans="1:26" ht="12.75" customHeight="1" x14ac:dyDescent="0.3">
      <c r="A167" s="15">
        <v>166</v>
      </c>
      <c r="B167" s="21" t="s">
        <v>621</v>
      </c>
      <c r="C167" s="21" t="s">
        <v>31</v>
      </c>
      <c r="D167" s="15" t="s">
        <v>26</v>
      </c>
      <c r="E167" s="15" t="s">
        <v>40</v>
      </c>
      <c r="F167" s="15"/>
      <c r="G167" s="15"/>
      <c r="H167" s="15">
        <f>MAX(IF(ISNA(VLOOKUP(B167,'WBV 1'!$B$3:$C$34,2,FALSE))=TRUE,0,VLOOKUP(B167,'WBV 1'!$B$3:$C$34,2,FALSE)),IF(ISNA(VLOOKUP(B167,'WBV 1'!$F$3:$G$34,2,FALSE))=TRUE,0,VLOOKUP(B167,'WBV 1'!$F$3:$G$34,2,FALSE)),IF(ISNA(VLOOKUP(B167,'WBV 1'!$J$3:$K$34,2,FALSE))=TRUE,0,VLOOKUP(B167,'WBV 1'!$J$3:$K$34,2,FALSE)),IF(ISNA(VLOOKUP(B167,'WBV 1'!$N$3:$O$34,2,FALSE))=TRUE,0,VLOOKUP(B167,'WBV 1'!$N$3:$O$34,2,FALSE)))</f>
        <v>0</v>
      </c>
      <c r="I167" s="15">
        <f>MAX(IF(ISNA(VLOOKUP(B167,'WBV 2'!$B$3:$C$34,2,FALSE))=TRUE,0,VLOOKUP(B167,'WBV 2'!$B$3:$C$34,2,FALSE)),IF(ISNA(VLOOKUP(B167,'WBV 2'!$F$3:$G$34,2,FALSE))=TRUE,0,VLOOKUP(B167,'WBV 2'!$F$3:$G$34,2,FALSE)),IF(ISNA(VLOOKUP(B167,'WBV 2'!$J$3:$K$34,2,FALSE))=TRUE,0,VLOOKUP(B167,'WBV 2'!$J$3:$K$34,2,FALSE)),IF(ISNA(VLOOKUP(B167,'WBV 2'!$N$3:$O$34,2,FALSE))=TRUE,0,VLOOKUP(B167,'WBV 2'!$N$3:$O$34,2,FALSE)))</f>
        <v>0</v>
      </c>
      <c r="J167" s="15">
        <f>MAX(IF(ISNA(VLOOKUP(B167,'WBV 3'!$B$3:$C$34,2,FALSE))=TRUE,0,VLOOKUP(B167,'WBV 3'!$B$3:$C$34,2,FALSE)),IF(ISNA(VLOOKUP(B167,'WBV 3'!$F$3:$G$34,2,FALSE))=TRUE,0,VLOOKUP(B167,'WBV 3'!$F$3:$G$34,2,FALSE)),IF(ISNA(VLOOKUP(B167,'WBV 3'!$J$3:$K$34,2,FALSE))=TRUE,0,VLOOKUP(B167,'WBV 3'!$J$3:$K$34,2,FALSE)),IF(ISNA(VLOOKUP(B167,'WBV 3'!$N$3:$O$34,2,FALSE))=TRUE,0,VLOOKUP(B167,'WBV 3'!$N$3:$O$34,2,FALSE)))</f>
        <v>125</v>
      </c>
      <c r="K167" s="15">
        <f>MAX(IF(ISNA(VLOOKUP(B167,'WBV 4'!$B$3:$C$34,2,FALSE))=TRUE,0,VLOOKUP(B167,'WBV 4'!$B$3:$C$34,2,FALSE)),IF(ISNA(VLOOKUP(B167,'WBV 4'!$F$3:$G$34,2,FALSE))=TRUE,0,VLOOKUP(B167,'WBV 4'!$F$3:$G$34,2,FALSE)),IF(ISNA(VLOOKUP(B167,'WBV 4'!$J$3:$K$34,2,FALSE))=TRUE,0,VLOOKUP(B167,'WBV 4'!$J$3:$K$34,2,FALSE)),IF(ISNA(VLOOKUP(B167,'WBV 4'!$N$3:$O$34,2,FALSE))=TRUE,0,VLOOKUP(B167,'WBV 4'!$N$3:$O$34,2,FALSE)))</f>
        <v>0</v>
      </c>
      <c r="L167" s="19">
        <f>MAX(IF(ISNA(VLOOKUP(B167,'NÖBV 1'!$B$3:$C$34,2,FALSE))=TRUE,0,VLOOKUP(B167,'NÖBV 1'!$B$3:$C$34,2,FALSE)),IF(ISNA(VLOOKUP(B167,'NÖBV 1'!$F$3:$G$34,2,FALSE))=TRUE,0,VLOOKUP(B167,'NÖBV 1'!$F$3:$G$34,2,FALSE)),IF(ISNA(VLOOKUP(B167,'NÖBV 1'!$J$3:$K$34,2,FALSE))=TRUE,0,VLOOKUP(B167,'NÖBV 1'!$J$3:$K$34,2,FALSE)),IF(ISNA(VLOOKUP(B167,'NÖBV 1'!$N$3:$O$34,2,FALSE))=TRUE,0,VLOOKUP(B167,'NÖBV 1'!$N$3:$O$34,2,FALSE)))</f>
        <v>0</v>
      </c>
      <c r="M167" s="19">
        <f>MAX(IF(ISNA(VLOOKUP(B167,'NÖBV 2'!$B$3:$C$34,2,FALSE))=TRUE,0,VLOOKUP(B167,'NÖBV 2'!$B$3:$C$34,2,FALSE)),IF(ISNA(VLOOKUP(B167,'NÖBV 2'!$F$3:$G$34,2,FALSE))=TRUE,0,VLOOKUP(B167,'NÖBV 2'!$F$3:$G$34,2,FALSE)),IF(ISNA(VLOOKUP(B167,'NÖBV 2'!$J$3:$K$34,2,FALSE))=TRUE,0,VLOOKUP(B167,'NÖBV 2'!$J$3:$K$34,2,FALSE)),IF(ISNA(VLOOKUP(B167,'NÖBV 2'!$N$3:$O$34,2,FALSE))=TRUE,0,VLOOKUP(B167,'NÖBV 2'!$N$3:$O$34,2,FALSE)))</f>
        <v>0</v>
      </c>
      <c r="N167" s="19">
        <f>MAX(IF(ISNA(VLOOKUP(B167,'NÖBV 3'!$B$3:$C$34,2,FALSE))=TRUE,0,VLOOKUP(B167,'NÖBV 3'!$B$3:$C$34,2,FALSE)),IF(ISNA(VLOOKUP(B167,'NÖBV 3'!$F$3:$G$34,2,FALSE))=TRUE,0,VLOOKUP(B167,'NÖBV 3'!$F$3:$G$34,2,FALSE)),IF(ISNA(VLOOKUP(B167,'NÖBV 3'!$J$3:$K$34,2,FALSE))=TRUE,0,VLOOKUP(B167,'NÖBV 3'!$J$3:$K$34,2,FALSE)),IF(ISNA(VLOOKUP(B167,'NÖBV 3'!$N$3:$O$34,2,FALSE))=TRUE,0,VLOOKUP(B167,'NÖBV 3'!$N$3:$O$34,2,FALSE)))</f>
        <v>0</v>
      </c>
      <c r="O167" s="15">
        <f>MAX(IF(ISNA(VLOOKUP(B167,'Regioturnier 1'!$B$3:$C$34,2,FALSE))=TRUE,0,VLOOKUP(B167,'Regioturnier 1'!$B$3:$C$34,2,FALSE)),IF(ISNA(VLOOKUP(B167,'Regioturnier 1'!$F$3:$G$34,2,FALSE))=TRUE,0,VLOOKUP(B167,'Regioturnier 1'!$F$3:$G$34,2,FALSE)),IF(ISNA(VLOOKUP(B167,'Regioturnier 1'!$J$3:$K$34,2,FALSE))=TRUE,0,VLOOKUP(B167,'Regioturnier 1'!$J$3:$K$34,2,FALSE)),IF(ISNA(VLOOKUP(B167,'Regioturnier 1'!$N$3:$O$34,2,FALSE))=TRUE,0,VLOOKUP(B167,'Regioturnier 1'!$N$3:$O$34,2,FALSE)),IF(ISNA(VLOOKUP(B167,'Regioturnier 1'!$R$3:$S$34,2,FALSE))=TRUE,0,VLOOKUP(B167,'Regioturnier 1'!$R$3:$S$34,2,FALSE)), IF(ISNA(VLOOKUP(B167,'Regioturnier 1'!$V$3:$W$34,2,FALSE))=TRUE,0,VLOOKUP(B167,'Regioturnier 1'!$V$3:$W$34,2,FALSE)), IF(ISNA(VLOOKUP(B167,'Regioturnier 1'!$Z$3:$AA$34,2,FALSE))=TRUE,0,VLOOKUP(B167,'Regioturnier 1'!$Z$3:$AA$34,2,FALSE)))</f>
        <v>0</v>
      </c>
      <c r="P167" s="15">
        <f>MAX(IF(ISNA(VLOOKUP(B167,'Regioturnier 2'!$B$3:$C$34,2,FALSE))=TRUE,0,VLOOKUP(B167,'Regioturnier 2'!$B$3:$C$34,2,FALSE)),IF(ISNA(VLOOKUP(B167,'Regioturnier 2'!$F$3:$G$34,2,FALSE))=TRUE,0,VLOOKUP(B167,'Regioturnier 2'!$F$3:$G$34,2,FALSE)),IF(ISNA(VLOOKUP(B167,'Regioturnier 2'!$J$3:$K$34,2,FALSE))=TRUE,0,VLOOKUP(B167,'Regioturnier 2'!$J$3:$K$34,2,FALSE)),IF(ISNA(VLOOKUP(B167,'Regioturnier 2'!$N$3:$O$34,2,FALSE))=TRUE,0,VLOOKUP(B167,'Regioturnier 2'!$N$3:$O$34,2,FALSE)),IF(ISNA(VLOOKUP(B167,'Regioturnier 2'!$R$3:$S$34,2,FALSE))=TRUE,0,VLOOKUP(B167,'Regioturnier 2'!$R$3:$S$34,2,FALSE)), IF(ISNA(VLOOKUP(B167,'Regioturnier 2'!$V$3:$W$34,2,FALSE))=TRUE,0,VLOOKUP(B167,'Regioturnier 2'!$V$3:$W$34,2,FALSE)), IF(ISNA(VLOOKUP(B167,'Regioturnier 2'!$Z$3:$AA$34,2,FALSE))=TRUE,0,VLOOKUP(B167,'Regioturnier 2'!$Z$3:$AA$34,2,FALSE)))</f>
        <v>0</v>
      </c>
      <c r="Q167" s="15">
        <f>MAX(IF(ISNA(VLOOKUP(B167,'Regioturnier 3'!$B$3:$C$34,2,FALSE))=TRUE,0,VLOOKUP(B167,'Regioturnier 3'!$B$3:$C$34,2,FALSE)),IF(ISNA(VLOOKUP(B167,'Regioturnier 3'!$F$3:$G$34,2,FALSE))=TRUE,0,VLOOKUP(B167,'Regioturnier 3'!$F$3:$G$34,2,FALSE)),IF(ISNA(VLOOKUP(B167,'Regioturnier 3'!$J$3:$K$34,2,FALSE))=TRUE,0,VLOOKUP(B167,'Regioturnier 3'!$J$3:$K$34,2,FALSE)),IF(ISNA(VLOOKUP(B167,'Regioturnier 3'!$N$3:$O$34,2,FALSE))=TRUE,0,VLOOKUP(B167,'Regioturnier 3'!$N$3:$O$34,2,FALSE)),IF(ISNA(VLOOKUP(B167,'Regioturnier 3'!$R$3:$S$34,2,FALSE))=TRUE,0,VLOOKUP(B167,'Regioturnier 3'!$R$3:$S$34,2,FALSE)), IF(ISNA(VLOOKUP(B167,'Regioturnier 3'!$V$3:$W$34,2,FALSE))=TRUE,0,VLOOKUP(B167,'Regioturnier 3'!$V$3:$W$34,2,FALSE)), IF(ISNA(VLOOKUP(B167,'Regioturnier 3'!$Z$3:$AA$34,2,FALSE))=TRUE,0,VLOOKUP(B167,'Regioturnier 3'!$Z$3:$AA$34,2,FALSE)))</f>
        <v>0</v>
      </c>
      <c r="R167" s="20">
        <f>0.5*INDEX($H167:$N167,MATCH(LARGE($H167:$N167,1),$H167:$N167,0))+0.3*INDEX($H167:$N167,MATCH(LARGE($H167:$N167,2),$H167:$N167,0))+0.2*INDEX($H167:$N167,MATCH(LARGE($H167:$N167,3),$H167:$N167,0))</f>
        <v>62.5</v>
      </c>
      <c r="S167" s="20">
        <f>0.6*INDEX(O167:Q167,MATCH(LARGE(O167:Q167,1),O167:Q167,0))+0.4*INDEX(O167:Q167,MATCH(LARGE(O167:Q167,2),O167:Q167,0))+0*INDEX(O167:Q167,MATCH(LARGE(O167:Q167,3),O167:Q167,0))</f>
        <v>0</v>
      </c>
      <c r="T167" s="15">
        <f>1*INDEX(R167:S167,MATCH(LARGE(R167:S167,1),R167:S167,0))+0*INDEX(R167:S167,MATCH(LARGE(R167:S167,2),R167:S167,0))</f>
        <v>62.5</v>
      </c>
      <c r="U167" s="21"/>
      <c r="V167" s="21"/>
      <c r="W167" s="21"/>
      <c r="X167" s="21"/>
      <c r="Y167" s="21"/>
      <c r="Z167" s="21"/>
    </row>
    <row r="168" spans="1:26" ht="12.75" customHeight="1" x14ac:dyDescent="0.3">
      <c r="A168" s="15">
        <v>167</v>
      </c>
      <c r="B168" s="16" t="s">
        <v>535</v>
      </c>
      <c r="C168" s="17"/>
      <c r="D168" s="15"/>
      <c r="E168" s="18" t="s">
        <v>23</v>
      </c>
      <c r="F168" s="15" t="s">
        <v>548</v>
      </c>
      <c r="G168" s="22">
        <v>2014</v>
      </c>
      <c r="H168" s="15">
        <f>MAX(IF(ISNA(VLOOKUP(B168,'WBV 1'!$B$3:$C$34,2,FALSE))=TRUE,0,VLOOKUP(B168,'WBV 1'!$B$3:$C$34,2,FALSE)),IF(ISNA(VLOOKUP(B168,'WBV 1'!$F$3:$G$34,2,FALSE))=TRUE,0,VLOOKUP(B168,'WBV 1'!$F$3:$G$34,2,FALSE)),IF(ISNA(VLOOKUP(B168,'WBV 1'!$J$3:$K$34,2,FALSE))=TRUE,0,VLOOKUP(B168,'WBV 1'!$J$3:$K$34,2,FALSE)),IF(ISNA(VLOOKUP(B168,'WBV 1'!$N$3:$O$34,2,FALSE))=TRUE,0,VLOOKUP(B168,'WBV 1'!$N$3:$O$34,2,FALSE)))</f>
        <v>0</v>
      </c>
      <c r="I168" s="15">
        <f>MAX(IF(ISNA(VLOOKUP(B168,'WBV 2'!$B$3:$C$34,2,FALSE))=TRUE,0,VLOOKUP(B168,'WBV 2'!$B$3:$C$34,2,FALSE)),IF(ISNA(VLOOKUP(B168,'WBV 2'!$F$3:$G$34,2,FALSE))=TRUE,0,VLOOKUP(B168,'WBV 2'!$F$3:$G$34,2,FALSE)),IF(ISNA(VLOOKUP(B168,'WBV 2'!$J$3:$K$34,2,FALSE))=TRUE,0,VLOOKUP(B168,'WBV 2'!$J$3:$K$34,2,FALSE)),IF(ISNA(VLOOKUP(B168,'WBV 2'!$N$3:$O$34,2,FALSE))=TRUE,0,VLOOKUP(B168,'WBV 2'!$N$3:$O$34,2,FALSE)))</f>
        <v>123</v>
      </c>
      <c r="J168" s="15">
        <f>MAX(IF(ISNA(VLOOKUP(B168,'WBV 3'!$B$3:$C$34,2,FALSE))=TRUE,0,VLOOKUP(B168,'WBV 3'!$B$3:$C$34,2,FALSE)),IF(ISNA(VLOOKUP(B168,'WBV 3'!$F$3:$G$34,2,FALSE))=TRUE,0,VLOOKUP(B168,'WBV 3'!$F$3:$G$34,2,FALSE)),IF(ISNA(VLOOKUP(B168,'WBV 3'!$J$3:$K$34,2,FALSE))=TRUE,0,VLOOKUP(B168,'WBV 3'!$J$3:$K$34,2,FALSE)),IF(ISNA(VLOOKUP(B168,'WBV 3'!$N$3:$O$34,2,FALSE))=TRUE,0,VLOOKUP(B168,'WBV 3'!$N$3:$O$34,2,FALSE)))</f>
        <v>0</v>
      </c>
      <c r="K168" s="15">
        <f>MAX(IF(ISNA(VLOOKUP(B168,'WBV 4'!$B$3:$C$34,2,FALSE))=TRUE,0,VLOOKUP(B168,'WBV 4'!$B$3:$C$34,2,FALSE)),IF(ISNA(VLOOKUP(B168,'WBV 4'!$F$3:$G$34,2,FALSE))=TRUE,0,VLOOKUP(B168,'WBV 4'!$F$3:$G$34,2,FALSE)),IF(ISNA(VLOOKUP(B168,'WBV 4'!$J$3:$K$34,2,FALSE))=TRUE,0,VLOOKUP(B168,'WBV 4'!$J$3:$K$34,2,FALSE)),IF(ISNA(VLOOKUP(B168,'WBV 4'!$N$3:$O$34,2,FALSE))=TRUE,0,VLOOKUP(B168,'WBV 4'!$N$3:$O$34,2,FALSE)))</f>
        <v>0</v>
      </c>
      <c r="L168" s="19">
        <f>MAX(IF(ISNA(VLOOKUP(B168,'NÖBV 1'!$B$3:$C$34,2,FALSE))=TRUE,0,VLOOKUP(B168,'NÖBV 1'!$B$3:$C$34,2,FALSE)),IF(ISNA(VLOOKUP(B168,'NÖBV 1'!$F$3:$G$34,2,FALSE))=TRUE,0,VLOOKUP(B168,'NÖBV 1'!$F$3:$G$34,2,FALSE)),IF(ISNA(VLOOKUP(B168,'NÖBV 1'!$J$3:$K$34,2,FALSE))=TRUE,0,VLOOKUP(B168,'NÖBV 1'!$J$3:$K$34,2,FALSE)),IF(ISNA(VLOOKUP(B168,'NÖBV 1'!$N$3:$O$34,2,FALSE))=TRUE,0,VLOOKUP(B168,'NÖBV 1'!$N$3:$O$34,2,FALSE)))</f>
        <v>0</v>
      </c>
      <c r="M168" s="19">
        <f>MAX(IF(ISNA(VLOOKUP(B168,'NÖBV 2'!$B$3:$C$34,2,FALSE))=TRUE,0,VLOOKUP(B168,'NÖBV 2'!$B$3:$C$34,2,FALSE)),IF(ISNA(VLOOKUP(B168,'NÖBV 2'!$F$3:$G$34,2,FALSE))=TRUE,0,VLOOKUP(B168,'NÖBV 2'!$F$3:$G$34,2,FALSE)),IF(ISNA(VLOOKUP(B168,'NÖBV 2'!$J$3:$K$34,2,FALSE))=TRUE,0,VLOOKUP(B168,'NÖBV 2'!$J$3:$K$34,2,FALSE)),IF(ISNA(VLOOKUP(B168,'NÖBV 2'!$N$3:$O$34,2,FALSE))=TRUE,0,VLOOKUP(B168,'NÖBV 2'!$N$3:$O$34,2,FALSE)))</f>
        <v>0</v>
      </c>
      <c r="N168" s="19">
        <f>MAX(IF(ISNA(VLOOKUP(B168,'NÖBV 3'!$B$3:$C$34,2,FALSE))=TRUE,0,VLOOKUP(B168,'NÖBV 3'!$B$3:$C$34,2,FALSE)),IF(ISNA(VLOOKUP(B168,'NÖBV 3'!$F$3:$G$34,2,FALSE))=TRUE,0,VLOOKUP(B168,'NÖBV 3'!$F$3:$G$34,2,FALSE)),IF(ISNA(VLOOKUP(B168,'NÖBV 3'!$J$3:$K$34,2,FALSE))=TRUE,0,VLOOKUP(B168,'NÖBV 3'!$J$3:$K$34,2,FALSE)),IF(ISNA(VLOOKUP(B168,'NÖBV 3'!$N$3:$O$34,2,FALSE))=TRUE,0,VLOOKUP(B168,'NÖBV 3'!$N$3:$O$34,2,FALSE)))</f>
        <v>0</v>
      </c>
      <c r="O168" s="15">
        <f>MAX(IF(ISNA(VLOOKUP(B168,'Regioturnier 1'!$B$3:$C$34,2,FALSE))=TRUE,0,VLOOKUP(B168,'Regioturnier 1'!$B$3:$C$34,2,FALSE)),IF(ISNA(VLOOKUP(B168,'Regioturnier 1'!$F$3:$G$34,2,FALSE))=TRUE,0,VLOOKUP(B168,'Regioturnier 1'!$F$3:$G$34,2,FALSE)),IF(ISNA(VLOOKUP(B168,'Regioturnier 1'!$J$3:$K$34,2,FALSE))=TRUE,0,VLOOKUP(B168,'Regioturnier 1'!$J$3:$K$34,2,FALSE)),IF(ISNA(VLOOKUP(B168,'Regioturnier 1'!$N$3:$O$34,2,FALSE))=TRUE,0,VLOOKUP(B168,'Regioturnier 1'!$N$3:$O$34,2,FALSE)),IF(ISNA(VLOOKUP(B168,'Regioturnier 1'!$R$3:$S$34,2,FALSE))=TRUE,0,VLOOKUP(B168,'Regioturnier 1'!$R$3:$S$34,2,FALSE)), IF(ISNA(VLOOKUP(B168,'Regioturnier 1'!$V$3:$W$34,2,FALSE))=TRUE,0,VLOOKUP(B168,'Regioturnier 1'!$V$3:$W$34,2,FALSE)), IF(ISNA(VLOOKUP(B168,'Regioturnier 1'!$Z$3:$AA$34,2,FALSE))=TRUE,0,VLOOKUP(B168,'Regioturnier 1'!$Z$3:$AA$34,2,FALSE)))</f>
        <v>0</v>
      </c>
      <c r="P168" s="15">
        <f>MAX(IF(ISNA(VLOOKUP(B168,'Regioturnier 2'!$B$3:$C$34,2,FALSE))=TRUE,0,VLOOKUP(B168,'Regioturnier 2'!$B$3:$C$34,2,FALSE)),IF(ISNA(VLOOKUP(B168,'Regioturnier 2'!$F$3:$G$34,2,FALSE))=TRUE,0,VLOOKUP(B168,'Regioturnier 2'!$F$3:$G$34,2,FALSE)),IF(ISNA(VLOOKUP(B168,'Regioturnier 2'!$J$3:$K$34,2,FALSE))=TRUE,0,VLOOKUP(B168,'Regioturnier 2'!$J$3:$K$34,2,FALSE)),IF(ISNA(VLOOKUP(B168,'Regioturnier 2'!$N$3:$O$34,2,FALSE))=TRUE,0,VLOOKUP(B168,'Regioturnier 2'!$N$3:$O$34,2,FALSE)),IF(ISNA(VLOOKUP(B168,'Regioturnier 2'!$R$3:$S$34,2,FALSE))=TRUE,0,VLOOKUP(B168,'Regioturnier 2'!$R$3:$S$34,2,FALSE)), IF(ISNA(VLOOKUP(B168,'Regioturnier 2'!$V$3:$W$34,2,FALSE))=TRUE,0,VLOOKUP(B168,'Regioturnier 2'!$V$3:$W$34,2,FALSE)), IF(ISNA(VLOOKUP(B168,'Regioturnier 2'!$Z$3:$AA$34,2,FALSE))=TRUE,0,VLOOKUP(B168,'Regioturnier 2'!$Z$3:$AA$34,2,FALSE)))</f>
        <v>0</v>
      </c>
      <c r="Q168" s="15">
        <f>MAX(IF(ISNA(VLOOKUP(B168,'Regioturnier 3'!$B$3:$C$34,2,FALSE))=TRUE,0,VLOOKUP(B168,'Regioturnier 3'!$B$3:$C$34,2,FALSE)),IF(ISNA(VLOOKUP(B168,'Regioturnier 3'!$F$3:$G$34,2,FALSE))=TRUE,0,VLOOKUP(B168,'Regioturnier 3'!$F$3:$G$34,2,FALSE)),IF(ISNA(VLOOKUP(B168,'Regioturnier 3'!$J$3:$K$34,2,FALSE))=TRUE,0,VLOOKUP(B168,'Regioturnier 3'!$J$3:$K$34,2,FALSE)),IF(ISNA(VLOOKUP(B168,'Regioturnier 3'!$N$3:$O$34,2,FALSE))=TRUE,0,VLOOKUP(B168,'Regioturnier 3'!$N$3:$O$34,2,FALSE)),IF(ISNA(VLOOKUP(B168,'Regioturnier 3'!$R$3:$S$34,2,FALSE))=TRUE,0,VLOOKUP(B168,'Regioturnier 3'!$R$3:$S$34,2,FALSE)), IF(ISNA(VLOOKUP(B168,'Regioturnier 3'!$V$3:$W$34,2,FALSE))=TRUE,0,VLOOKUP(B168,'Regioturnier 3'!$V$3:$W$34,2,FALSE)), IF(ISNA(VLOOKUP(B168,'Regioturnier 3'!$Z$3:$AA$34,2,FALSE))=TRUE,0,VLOOKUP(B168,'Regioturnier 3'!$Z$3:$AA$34,2,FALSE)))</f>
        <v>0</v>
      </c>
      <c r="R168" s="20">
        <f>0.5*INDEX($H168:$N168,MATCH(LARGE($H168:$N168,1),$H168:$N168,0))+0.3*INDEX($H168:$N168,MATCH(LARGE($H168:$N168,2),$H168:$N168,0))+0.2*INDEX($H168:$N168,MATCH(LARGE($H168:$N168,3),$H168:$N168,0))</f>
        <v>61.5</v>
      </c>
      <c r="S168" s="20">
        <f>0.6*INDEX(O168:Q168,MATCH(LARGE(O168:Q168,1),O168:Q168,0))+0.4*INDEX(O168:Q168,MATCH(LARGE(O168:Q168,2),O168:Q168,0))+0*INDEX(O168:Q168,MATCH(LARGE(O168:Q168,3),O168:Q168,0))</f>
        <v>0</v>
      </c>
      <c r="T168" s="15">
        <f>1*INDEX(R168:S168,MATCH(LARGE(R168:S168,1),R168:S168,0))+0*INDEX(R168:S168,MATCH(LARGE(R168:S168,2),R168:S168,0))</f>
        <v>61.5</v>
      </c>
      <c r="U168" s="21"/>
      <c r="V168" s="21"/>
      <c r="W168" s="21"/>
      <c r="X168" s="21"/>
      <c r="Y168" s="21"/>
      <c r="Z168" s="21"/>
    </row>
    <row r="169" spans="1:26" ht="12.75" customHeight="1" x14ac:dyDescent="0.3">
      <c r="A169" s="15">
        <v>168</v>
      </c>
      <c r="B169" s="21" t="s">
        <v>622</v>
      </c>
      <c r="C169" s="21" t="s">
        <v>25</v>
      </c>
      <c r="D169" s="15" t="s">
        <v>26</v>
      </c>
      <c r="E169" s="15" t="s">
        <v>23</v>
      </c>
      <c r="F169" s="15"/>
      <c r="G169" s="15"/>
      <c r="H169" s="15">
        <f>MAX(IF(ISNA(VLOOKUP(B169,'WBV 1'!$B$3:$C$34,2,FALSE))=TRUE,0,VLOOKUP(B169,'WBV 1'!$B$3:$C$34,2,FALSE)),IF(ISNA(VLOOKUP(B169,'WBV 1'!$F$3:$G$34,2,FALSE))=TRUE,0,VLOOKUP(B169,'WBV 1'!$F$3:$G$34,2,FALSE)),IF(ISNA(VLOOKUP(B169,'WBV 1'!$J$3:$K$34,2,FALSE))=TRUE,0,VLOOKUP(B169,'WBV 1'!$J$3:$K$34,2,FALSE)),IF(ISNA(VLOOKUP(B169,'WBV 1'!$N$3:$O$34,2,FALSE))=TRUE,0,VLOOKUP(B169,'WBV 1'!$N$3:$O$34,2,FALSE)))</f>
        <v>0</v>
      </c>
      <c r="I169" s="15">
        <f>MAX(IF(ISNA(VLOOKUP(B169,'WBV 2'!$B$3:$C$34,2,FALSE))=TRUE,0,VLOOKUP(B169,'WBV 2'!$B$3:$C$34,2,FALSE)),IF(ISNA(VLOOKUP(B169,'WBV 2'!$F$3:$G$34,2,FALSE))=TRUE,0,VLOOKUP(B169,'WBV 2'!$F$3:$G$34,2,FALSE)),IF(ISNA(VLOOKUP(B169,'WBV 2'!$J$3:$K$34,2,FALSE))=TRUE,0,VLOOKUP(B169,'WBV 2'!$J$3:$K$34,2,FALSE)),IF(ISNA(VLOOKUP(B169,'WBV 2'!$N$3:$O$34,2,FALSE))=TRUE,0,VLOOKUP(B169,'WBV 2'!$N$3:$O$34,2,FALSE)))</f>
        <v>0</v>
      </c>
      <c r="J169" s="15">
        <f>MAX(IF(ISNA(VLOOKUP(B169,'WBV 3'!$B$3:$C$34,2,FALSE))=TRUE,0,VLOOKUP(B169,'WBV 3'!$B$3:$C$34,2,FALSE)),IF(ISNA(VLOOKUP(B169,'WBV 3'!$F$3:$G$34,2,FALSE))=TRUE,0,VLOOKUP(B169,'WBV 3'!$F$3:$G$34,2,FALSE)),IF(ISNA(VLOOKUP(B169,'WBV 3'!$J$3:$K$34,2,FALSE))=TRUE,0,VLOOKUP(B169,'WBV 3'!$J$3:$K$34,2,FALSE)),IF(ISNA(VLOOKUP(B169,'WBV 3'!$N$3:$O$34,2,FALSE))=TRUE,0,VLOOKUP(B169,'WBV 3'!$N$3:$O$34,2,FALSE)))</f>
        <v>121</v>
      </c>
      <c r="K169" s="15">
        <f>MAX(IF(ISNA(VLOOKUP(B169,'WBV 4'!$B$3:$C$34,2,FALSE))=TRUE,0,VLOOKUP(B169,'WBV 4'!$B$3:$C$34,2,FALSE)),IF(ISNA(VLOOKUP(B169,'WBV 4'!$F$3:$G$34,2,FALSE))=TRUE,0,VLOOKUP(B169,'WBV 4'!$F$3:$G$34,2,FALSE)),IF(ISNA(VLOOKUP(B169,'WBV 4'!$J$3:$K$34,2,FALSE))=TRUE,0,VLOOKUP(B169,'WBV 4'!$J$3:$K$34,2,FALSE)),IF(ISNA(VLOOKUP(B169,'WBV 4'!$N$3:$O$34,2,FALSE))=TRUE,0,VLOOKUP(B169,'WBV 4'!$N$3:$O$34,2,FALSE)))</f>
        <v>0</v>
      </c>
      <c r="L169" s="19">
        <f>MAX(IF(ISNA(VLOOKUP(B169,'NÖBV 1'!$B$3:$C$34,2,FALSE))=TRUE,0,VLOOKUP(B169,'NÖBV 1'!$B$3:$C$34,2,FALSE)),IF(ISNA(VLOOKUP(B169,'NÖBV 1'!$F$3:$G$34,2,FALSE))=TRUE,0,VLOOKUP(B169,'NÖBV 1'!$F$3:$G$34,2,FALSE)),IF(ISNA(VLOOKUP(B169,'NÖBV 1'!$J$3:$K$34,2,FALSE))=TRUE,0,VLOOKUP(B169,'NÖBV 1'!$J$3:$K$34,2,FALSE)),IF(ISNA(VLOOKUP(B169,'NÖBV 1'!$N$3:$O$34,2,FALSE))=TRUE,0,VLOOKUP(B169,'NÖBV 1'!$N$3:$O$34,2,FALSE)))</f>
        <v>0</v>
      </c>
      <c r="M169" s="19">
        <f>MAX(IF(ISNA(VLOOKUP(B169,'NÖBV 2'!$B$3:$C$34,2,FALSE))=TRUE,0,VLOOKUP(B169,'NÖBV 2'!$B$3:$C$34,2,FALSE)),IF(ISNA(VLOOKUP(B169,'NÖBV 2'!$F$3:$G$34,2,FALSE))=TRUE,0,VLOOKUP(B169,'NÖBV 2'!$F$3:$G$34,2,FALSE)),IF(ISNA(VLOOKUP(B169,'NÖBV 2'!$J$3:$K$34,2,FALSE))=TRUE,0,VLOOKUP(B169,'NÖBV 2'!$J$3:$K$34,2,FALSE)),IF(ISNA(VLOOKUP(B169,'NÖBV 2'!$N$3:$O$34,2,FALSE))=TRUE,0,VLOOKUP(B169,'NÖBV 2'!$N$3:$O$34,2,FALSE)))</f>
        <v>0</v>
      </c>
      <c r="N169" s="19">
        <f>MAX(IF(ISNA(VLOOKUP(B169,'NÖBV 3'!$B$3:$C$34,2,FALSE))=TRUE,0,VLOOKUP(B169,'NÖBV 3'!$B$3:$C$34,2,FALSE)),IF(ISNA(VLOOKUP(B169,'NÖBV 3'!$F$3:$G$34,2,FALSE))=TRUE,0,VLOOKUP(B169,'NÖBV 3'!$F$3:$G$34,2,FALSE)),IF(ISNA(VLOOKUP(B169,'NÖBV 3'!$J$3:$K$34,2,FALSE))=TRUE,0,VLOOKUP(B169,'NÖBV 3'!$J$3:$K$34,2,FALSE)),IF(ISNA(VLOOKUP(B169,'NÖBV 3'!$N$3:$O$34,2,FALSE))=TRUE,0,VLOOKUP(B169,'NÖBV 3'!$N$3:$O$34,2,FALSE)))</f>
        <v>0</v>
      </c>
      <c r="O169" s="15">
        <f>MAX(IF(ISNA(VLOOKUP(B169,'Regioturnier 1'!$B$3:$C$34,2,FALSE))=TRUE,0,VLOOKUP(B169,'Regioturnier 1'!$B$3:$C$34,2,FALSE)),IF(ISNA(VLOOKUP(B169,'Regioturnier 1'!$F$3:$G$34,2,FALSE))=TRUE,0,VLOOKUP(B169,'Regioturnier 1'!$F$3:$G$34,2,FALSE)),IF(ISNA(VLOOKUP(B169,'Regioturnier 1'!$J$3:$K$34,2,FALSE))=TRUE,0,VLOOKUP(B169,'Regioturnier 1'!$J$3:$K$34,2,FALSE)),IF(ISNA(VLOOKUP(B169,'Regioturnier 1'!$N$3:$O$34,2,FALSE))=TRUE,0,VLOOKUP(B169,'Regioturnier 1'!$N$3:$O$34,2,FALSE)),IF(ISNA(VLOOKUP(B169,'Regioturnier 1'!$R$3:$S$34,2,FALSE))=TRUE,0,VLOOKUP(B169,'Regioturnier 1'!$R$3:$S$34,2,FALSE)), IF(ISNA(VLOOKUP(B169,'Regioturnier 1'!$V$3:$W$34,2,FALSE))=TRUE,0,VLOOKUP(B169,'Regioturnier 1'!$V$3:$W$34,2,FALSE)), IF(ISNA(VLOOKUP(B169,'Regioturnier 1'!$Z$3:$AA$34,2,FALSE))=TRUE,0,VLOOKUP(B169,'Regioturnier 1'!$Z$3:$AA$34,2,FALSE)))</f>
        <v>0</v>
      </c>
      <c r="P169" s="15">
        <f>MAX(IF(ISNA(VLOOKUP(B169,'Regioturnier 2'!$B$3:$C$34,2,FALSE))=TRUE,0,VLOOKUP(B169,'Regioturnier 2'!$B$3:$C$34,2,FALSE)),IF(ISNA(VLOOKUP(B169,'Regioturnier 2'!$F$3:$G$34,2,FALSE))=TRUE,0,VLOOKUP(B169,'Regioturnier 2'!$F$3:$G$34,2,FALSE)),IF(ISNA(VLOOKUP(B169,'Regioturnier 2'!$J$3:$K$34,2,FALSE))=TRUE,0,VLOOKUP(B169,'Regioturnier 2'!$J$3:$K$34,2,FALSE)),IF(ISNA(VLOOKUP(B169,'Regioturnier 2'!$N$3:$O$34,2,FALSE))=TRUE,0,VLOOKUP(B169,'Regioturnier 2'!$N$3:$O$34,2,FALSE)),IF(ISNA(VLOOKUP(B169,'Regioturnier 2'!$R$3:$S$34,2,FALSE))=TRUE,0,VLOOKUP(B169,'Regioturnier 2'!$R$3:$S$34,2,FALSE)), IF(ISNA(VLOOKUP(B169,'Regioturnier 2'!$V$3:$W$34,2,FALSE))=TRUE,0,VLOOKUP(B169,'Regioturnier 2'!$V$3:$W$34,2,FALSE)), IF(ISNA(VLOOKUP(B169,'Regioturnier 2'!$Z$3:$AA$34,2,FALSE))=TRUE,0,VLOOKUP(B169,'Regioturnier 2'!$Z$3:$AA$34,2,FALSE)))</f>
        <v>0</v>
      </c>
      <c r="Q169" s="15">
        <f>MAX(IF(ISNA(VLOOKUP(B169,'Regioturnier 3'!$B$3:$C$34,2,FALSE))=TRUE,0,VLOOKUP(B169,'Regioturnier 3'!$B$3:$C$34,2,FALSE)),IF(ISNA(VLOOKUP(B169,'Regioturnier 3'!$F$3:$G$34,2,FALSE))=TRUE,0,VLOOKUP(B169,'Regioturnier 3'!$F$3:$G$34,2,FALSE)),IF(ISNA(VLOOKUP(B169,'Regioturnier 3'!$J$3:$K$34,2,FALSE))=TRUE,0,VLOOKUP(B169,'Regioturnier 3'!$J$3:$K$34,2,FALSE)),IF(ISNA(VLOOKUP(B169,'Regioturnier 3'!$N$3:$O$34,2,FALSE))=TRUE,0,VLOOKUP(B169,'Regioturnier 3'!$N$3:$O$34,2,FALSE)),IF(ISNA(VLOOKUP(B169,'Regioturnier 3'!$R$3:$S$34,2,FALSE))=TRUE,0,VLOOKUP(B169,'Regioturnier 3'!$R$3:$S$34,2,FALSE)), IF(ISNA(VLOOKUP(B169,'Regioturnier 3'!$V$3:$W$34,2,FALSE))=TRUE,0,VLOOKUP(B169,'Regioturnier 3'!$V$3:$W$34,2,FALSE)), IF(ISNA(VLOOKUP(B169,'Regioturnier 3'!$Z$3:$AA$34,2,FALSE))=TRUE,0,VLOOKUP(B169,'Regioturnier 3'!$Z$3:$AA$34,2,FALSE)))</f>
        <v>0</v>
      </c>
      <c r="R169" s="20">
        <f>0.5*INDEX($H169:$N169,MATCH(LARGE($H169:$N169,1),$H169:$N169,0))+0.3*INDEX($H169:$N169,MATCH(LARGE($H169:$N169,2),$H169:$N169,0))+0.2*INDEX($H169:$N169,MATCH(LARGE($H169:$N169,3),$H169:$N169,0))</f>
        <v>60.5</v>
      </c>
      <c r="S169" s="20">
        <f>0.6*INDEX(O169:Q169,MATCH(LARGE(O169:Q169,1),O169:Q169,0))+0.4*INDEX(O169:Q169,MATCH(LARGE(O169:Q169,2),O169:Q169,0))+0*INDEX(O169:Q169,MATCH(LARGE(O169:Q169,3),O169:Q169,0))</f>
        <v>0</v>
      </c>
      <c r="T169" s="15">
        <f>1*INDEX(R169:S169,MATCH(LARGE(R169:S169,1),R169:S169,0))+0*INDEX(R169:S169,MATCH(LARGE(R169:S169,2),R169:S169,0))</f>
        <v>60.5</v>
      </c>
      <c r="U169" s="21"/>
      <c r="V169" s="21"/>
      <c r="W169" s="21"/>
      <c r="X169" s="21"/>
      <c r="Y169" s="21"/>
      <c r="Z169" s="21"/>
    </row>
    <row r="170" spans="1:26" ht="12.75" customHeight="1" x14ac:dyDescent="0.3">
      <c r="A170" s="15">
        <v>169</v>
      </c>
      <c r="B170" s="16" t="s">
        <v>536</v>
      </c>
      <c r="C170" s="17" t="s">
        <v>31</v>
      </c>
      <c r="D170" s="15" t="s">
        <v>26</v>
      </c>
      <c r="E170" s="18" t="s">
        <v>23</v>
      </c>
      <c r="F170" s="15" t="s">
        <v>545</v>
      </c>
      <c r="G170" s="22">
        <v>2017</v>
      </c>
      <c r="H170" s="15">
        <f>MAX(IF(ISNA(VLOOKUP(B170,'WBV 1'!$B$3:$C$34,2,FALSE))=TRUE,0,VLOOKUP(B170,'WBV 1'!$B$3:$C$34,2,FALSE)),IF(ISNA(VLOOKUP(B170,'WBV 1'!$F$3:$G$34,2,FALSE))=TRUE,0,VLOOKUP(B170,'WBV 1'!$F$3:$G$34,2,FALSE)),IF(ISNA(VLOOKUP(B170,'WBV 1'!$J$3:$K$34,2,FALSE))=TRUE,0,VLOOKUP(B170,'WBV 1'!$J$3:$K$34,2,FALSE)),IF(ISNA(VLOOKUP(B170,'WBV 1'!$N$3:$O$34,2,FALSE))=TRUE,0,VLOOKUP(B170,'WBV 1'!$N$3:$O$34,2,FALSE)))</f>
        <v>0</v>
      </c>
      <c r="I170" s="15">
        <f>MAX(IF(ISNA(VLOOKUP(B170,'WBV 2'!$B$3:$C$34,2,FALSE))=TRUE,0,VLOOKUP(B170,'WBV 2'!$B$3:$C$34,2,FALSE)),IF(ISNA(VLOOKUP(B170,'WBV 2'!$F$3:$G$34,2,FALSE))=TRUE,0,VLOOKUP(B170,'WBV 2'!$F$3:$G$34,2,FALSE)),IF(ISNA(VLOOKUP(B170,'WBV 2'!$J$3:$K$34,2,FALSE))=TRUE,0,VLOOKUP(B170,'WBV 2'!$J$3:$K$34,2,FALSE)),IF(ISNA(VLOOKUP(B170,'WBV 2'!$N$3:$O$34,2,FALSE))=TRUE,0,VLOOKUP(B170,'WBV 2'!$N$3:$O$34,2,FALSE)))</f>
        <v>119</v>
      </c>
      <c r="J170" s="15">
        <f>MAX(IF(ISNA(VLOOKUP(B170,'WBV 3'!$B$3:$C$34,2,FALSE))=TRUE,0,VLOOKUP(B170,'WBV 3'!$B$3:$C$34,2,FALSE)),IF(ISNA(VLOOKUP(B170,'WBV 3'!$F$3:$G$34,2,FALSE))=TRUE,0,VLOOKUP(B170,'WBV 3'!$F$3:$G$34,2,FALSE)),IF(ISNA(VLOOKUP(B170,'WBV 3'!$J$3:$K$34,2,FALSE))=TRUE,0,VLOOKUP(B170,'WBV 3'!$J$3:$K$34,2,FALSE)),IF(ISNA(VLOOKUP(B170,'WBV 3'!$N$3:$O$34,2,FALSE))=TRUE,0,VLOOKUP(B170,'WBV 3'!$N$3:$O$34,2,FALSE)))</f>
        <v>0</v>
      </c>
      <c r="K170" s="15">
        <f>MAX(IF(ISNA(VLOOKUP(B170,'WBV 4'!$B$3:$C$34,2,FALSE))=TRUE,0,VLOOKUP(B170,'WBV 4'!$B$3:$C$34,2,FALSE)),IF(ISNA(VLOOKUP(B170,'WBV 4'!$F$3:$G$34,2,FALSE))=TRUE,0,VLOOKUP(B170,'WBV 4'!$F$3:$G$34,2,FALSE)),IF(ISNA(VLOOKUP(B170,'WBV 4'!$J$3:$K$34,2,FALSE))=TRUE,0,VLOOKUP(B170,'WBV 4'!$J$3:$K$34,2,FALSE)),IF(ISNA(VLOOKUP(B170,'WBV 4'!$N$3:$O$34,2,FALSE))=TRUE,0,VLOOKUP(B170,'WBV 4'!$N$3:$O$34,2,FALSE)))</f>
        <v>0</v>
      </c>
      <c r="L170" s="19">
        <f>MAX(IF(ISNA(VLOOKUP(B170,'NÖBV 1'!$B$3:$C$34,2,FALSE))=TRUE,0,VLOOKUP(B170,'NÖBV 1'!$B$3:$C$34,2,FALSE)),IF(ISNA(VLOOKUP(B170,'NÖBV 1'!$F$3:$G$34,2,FALSE))=TRUE,0,VLOOKUP(B170,'NÖBV 1'!$F$3:$G$34,2,FALSE)),IF(ISNA(VLOOKUP(B170,'NÖBV 1'!$J$3:$K$34,2,FALSE))=TRUE,0,VLOOKUP(B170,'NÖBV 1'!$J$3:$K$34,2,FALSE)),IF(ISNA(VLOOKUP(B170,'NÖBV 1'!$N$3:$O$34,2,FALSE))=TRUE,0,VLOOKUP(B170,'NÖBV 1'!$N$3:$O$34,2,FALSE)))</f>
        <v>0</v>
      </c>
      <c r="M170" s="19">
        <f>MAX(IF(ISNA(VLOOKUP(B170,'NÖBV 2'!$B$3:$C$34,2,FALSE))=TRUE,0,VLOOKUP(B170,'NÖBV 2'!$B$3:$C$34,2,FALSE)),IF(ISNA(VLOOKUP(B170,'NÖBV 2'!$F$3:$G$34,2,FALSE))=TRUE,0,VLOOKUP(B170,'NÖBV 2'!$F$3:$G$34,2,FALSE)),IF(ISNA(VLOOKUP(B170,'NÖBV 2'!$J$3:$K$34,2,FALSE))=TRUE,0,VLOOKUP(B170,'NÖBV 2'!$J$3:$K$34,2,FALSE)),IF(ISNA(VLOOKUP(B170,'NÖBV 2'!$N$3:$O$34,2,FALSE))=TRUE,0,VLOOKUP(B170,'NÖBV 2'!$N$3:$O$34,2,FALSE)))</f>
        <v>0</v>
      </c>
      <c r="N170" s="19">
        <f>MAX(IF(ISNA(VLOOKUP(B170,'NÖBV 3'!$B$3:$C$34,2,FALSE))=TRUE,0,VLOOKUP(B170,'NÖBV 3'!$B$3:$C$34,2,FALSE)),IF(ISNA(VLOOKUP(B170,'NÖBV 3'!$F$3:$G$34,2,FALSE))=TRUE,0,VLOOKUP(B170,'NÖBV 3'!$F$3:$G$34,2,FALSE)),IF(ISNA(VLOOKUP(B170,'NÖBV 3'!$J$3:$K$34,2,FALSE))=TRUE,0,VLOOKUP(B170,'NÖBV 3'!$J$3:$K$34,2,FALSE)),IF(ISNA(VLOOKUP(B170,'NÖBV 3'!$N$3:$O$34,2,FALSE))=TRUE,0,VLOOKUP(B170,'NÖBV 3'!$N$3:$O$34,2,FALSE)))</f>
        <v>0</v>
      </c>
      <c r="O170" s="15">
        <f>MAX(IF(ISNA(VLOOKUP(B170,'Regioturnier 1'!$B$3:$C$34,2,FALSE))=TRUE,0,VLOOKUP(B170,'Regioturnier 1'!$B$3:$C$34,2,FALSE)),IF(ISNA(VLOOKUP(B170,'Regioturnier 1'!$F$3:$G$34,2,FALSE))=TRUE,0,VLOOKUP(B170,'Regioturnier 1'!$F$3:$G$34,2,FALSE)),IF(ISNA(VLOOKUP(B170,'Regioturnier 1'!$J$3:$K$34,2,FALSE))=TRUE,0,VLOOKUP(B170,'Regioturnier 1'!$J$3:$K$34,2,FALSE)),IF(ISNA(VLOOKUP(B170,'Regioturnier 1'!$N$3:$O$34,2,FALSE))=TRUE,0,VLOOKUP(B170,'Regioturnier 1'!$N$3:$O$34,2,FALSE)),IF(ISNA(VLOOKUP(B170,'Regioturnier 1'!$R$3:$S$34,2,FALSE))=TRUE,0,VLOOKUP(B170,'Regioturnier 1'!$R$3:$S$34,2,FALSE)), IF(ISNA(VLOOKUP(B170,'Regioturnier 1'!$V$3:$W$34,2,FALSE))=TRUE,0,VLOOKUP(B170,'Regioturnier 1'!$V$3:$W$34,2,FALSE)), IF(ISNA(VLOOKUP(B170,'Regioturnier 1'!$Z$3:$AA$34,2,FALSE))=TRUE,0,VLOOKUP(B170,'Regioturnier 1'!$Z$3:$AA$34,2,FALSE)))</f>
        <v>0</v>
      </c>
      <c r="P170" s="15">
        <f>MAX(IF(ISNA(VLOOKUP(B170,'Regioturnier 2'!$B$3:$C$34,2,FALSE))=TRUE,0,VLOOKUP(B170,'Regioturnier 2'!$B$3:$C$34,2,FALSE)),IF(ISNA(VLOOKUP(B170,'Regioturnier 2'!$F$3:$G$34,2,FALSE))=TRUE,0,VLOOKUP(B170,'Regioturnier 2'!$F$3:$G$34,2,FALSE)),IF(ISNA(VLOOKUP(B170,'Regioturnier 2'!$J$3:$K$34,2,FALSE))=TRUE,0,VLOOKUP(B170,'Regioturnier 2'!$J$3:$K$34,2,FALSE)),IF(ISNA(VLOOKUP(B170,'Regioturnier 2'!$N$3:$O$34,2,FALSE))=TRUE,0,VLOOKUP(B170,'Regioturnier 2'!$N$3:$O$34,2,FALSE)),IF(ISNA(VLOOKUP(B170,'Regioturnier 2'!$R$3:$S$34,2,FALSE))=TRUE,0,VLOOKUP(B170,'Regioturnier 2'!$R$3:$S$34,2,FALSE)), IF(ISNA(VLOOKUP(B170,'Regioturnier 2'!$V$3:$W$34,2,FALSE))=TRUE,0,VLOOKUP(B170,'Regioturnier 2'!$V$3:$W$34,2,FALSE)), IF(ISNA(VLOOKUP(B170,'Regioturnier 2'!$Z$3:$AA$34,2,FALSE))=TRUE,0,VLOOKUP(B170,'Regioturnier 2'!$Z$3:$AA$34,2,FALSE)))</f>
        <v>0</v>
      </c>
      <c r="Q170" s="15">
        <f>MAX(IF(ISNA(VLOOKUP(B170,'Regioturnier 3'!$B$3:$C$34,2,FALSE))=TRUE,0,VLOOKUP(B170,'Regioturnier 3'!$B$3:$C$34,2,FALSE)),IF(ISNA(VLOOKUP(B170,'Regioturnier 3'!$F$3:$G$34,2,FALSE))=TRUE,0,VLOOKUP(B170,'Regioturnier 3'!$F$3:$G$34,2,FALSE)),IF(ISNA(VLOOKUP(B170,'Regioturnier 3'!$J$3:$K$34,2,FALSE))=TRUE,0,VLOOKUP(B170,'Regioturnier 3'!$J$3:$K$34,2,FALSE)),IF(ISNA(VLOOKUP(B170,'Regioturnier 3'!$N$3:$O$34,2,FALSE))=TRUE,0,VLOOKUP(B170,'Regioturnier 3'!$N$3:$O$34,2,FALSE)),IF(ISNA(VLOOKUP(B170,'Regioturnier 3'!$R$3:$S$34,2,FALSE))=TRUE,0,VLOOKUP(B170,'Regioturnier 3'!$R$3:$S$34,2,FALSE)), IF(ISNA(VLOOKUP(B170,'Regioturnier 3'!$V$3:$W$34,2,FALSE))=TRUE,0,VLOOKUP(B170,'Regioturnier 3'!$V$3:$W$34,2,FALSE)), IF(ISNA(VLOOKUP(B170,'Regioturnier 3'!$Z$3:$AA$34,2,FALSE))=TRUE,0,VLOOKUP(B170,'Regioturnier 3'!$Z$3:$AA$34,2,FALSE)))</f>
        <v>0</v>
      </c>
      <c r="R170" s="20">
        <f>0.5*INDEX($H170:$N170,MATCH(LARGE($H170:$N170,1),$H170:$N170,0))+0.3*INDEX($H170:$N170,MATCH(LARGE($H170:$N170,2),$H170:$N170,0))+0.2*INDEX($H170:$N170,MATCH(LARGE($H170:$N170,3),$H170:$N170,0))</f>
        <v>59.5</v>
      </c>
      <c r="S170" s="20">
        <f>0.6*INDEX(O170:Q170,MATCH(LARGE(O170:Q170,1),O170:Q170,0))+0.4*INDEX(O170:Q170,MATCH(LARGE(O170:Q170,2),O170:Q170,0))+0*INDEX(O170:Q170,MATCH(LARGE(O170:Q170,3),O170:Q170,0))</f>
        <v>0</v>
      </c>
      <c r="T170" s="15">
        <f>1*INDEX(R170:S170,MATCH(LARGE(R170:S170,1),R170:S170,0))+0*INDEX(R170:S170,MATCH(LARGE(R170:S170,2),R170:S170,0))</f>
        <v>59.5</v>
      </c>
      <c r="U170" s="21"/>
      <c r="V170" s="21"/>
      <c r="W170" s="21"/>
      <c r="X170" s="21"/>
      <c r="Y170" s="21"/>
      <c r="Z170" s="21"/>
    </row>
    <row r="171" spans="1:26" ht="12.75" customHeight="1" x14ac:dyDescent="0.3">
      <c r="A171" s="15">
        <v>170</v>
      </c>
      <c r="B171" s="21" t="s">
        <v>624</v>
      </c>
      <c r="C171" s="21" t="s">
        <v>39</v>
      </c>
      <c r="D171" s="15" t="s">
        <v>26</v>
      </c>
      <c r="E171" s="15" t="s">
        <v>23</v>
      </c>
      <c r="F171" s="15" t="s">
        <v>626</v>
      </c>
      <c r="G171" s="15">
        <v>2018</v>
      </c>
      <c r="H171" s="15">
        <f>MAX(IF(ISNA(VLOOKUP(B171,'WBV 1'!$B$3:$C$34,2,FALSE))=TRUE,0,VLOOKUP(B171,'WBV 1'!$B$3:$C$34,2,FALSE)),IF(ISNA(VLOOKUP(B171,'WBV 1'!$F$3:$G$34,2,FALSE))=TRUE,0,VLOOKUP(B171,'WBV 1'!$F$3:$G$34,2,FALSE)),IF(ISNA(VLOOKUP(B171,'WBV 1'!$J$3:$K$34,2,FALSE))=TRUE,0,VLOOKUP(B171,'WBV 1'!$J$3:$K$34,2,FALSE)),IF(ISNA(VLOOKUP(B171,'WBV 1'!$N$3:$O$34,2,FALSE))=TRUE,0,VLOOKUP(B171,'WBV 1'!$N$3:$O$34,2,FALSE)))</f>
        <v>0</v>
      </c>
      <c r="I171" s="15">
        <f>MAX(IF(ISNA(VLOOKUP(B171,'WBV 2'!$B$3:$C$34,2,FALSE))=TRUE,0,VLOOKUP(B171,'WBV 2'!$B$3:$C$34,2,FALSE)),IF(ISNA(VLOOKUP(B171,'WBV 2'!$F$3:$G$34,2,FALSE))=TRUE,0,VLOOKUP(B171,'WBV 2'!$F$3:$G$34,2,FALSE)),IF(ISNA(VLOOKUP(B171,'WBV 2'!$J$3:$K$34,2,FALSE))=TRUE,0,VLOOKUP(B171,'WBV 2'!$J$3:$K$34,2,FALSE)),IF(ISNA(VLOOKUP(B171,'WBV 2'!$N$3:$O$34,2,FALSE))=TRUE,0,VLOOKUP(B171,'WBV 2'!$N$3:$O$34,2,FALSE)))</f>
        <v>0</v>
      </c>
      <c r="J171" s="15">
        <f>MAX(IF(ISNA(VLOOKUP(B171,'WBV 3'!$B$3:$C$34,2,FALSE))=TRUE,0,VLOOKUP(B171,'WBV 3'!$B$3:$C$34,2,FALSE)),IF(ISNA(VLOOKUP(B171,'WBV 3'!$F$3:$G$34,2,FALSE))=TRUE,0,VLOOKUP(B171,'WBV 3'!$F$3:$G$34,2,FALSE)),IF(ISNA(VLOOKUP(B171,'WBV 3'!$J$3:$K$34,2,FALSE))=TRUE,0,VLOOKUP(B171,'WBV 3'!$J$3:$K$34,2,FALSE)),IF(ISNA(VLOOKUP(B171,'WBV 3'!$N$3:$O$34,2,FALSE))=TRUE,0,VLOOKUP(B171,'WBV 3'!$N$3:$O$34,2,FALSE)))</f>
        <v>117</v>
      </c>
      <c r="K171" s="15">
        <f>MAX(IF(ISNA(VLOOKUP(B171,'WBV 4'!$B$3:$C$34,2,FALSE))=TRUE,0,VLOOKUP(B171,'WBV 4'!$B$3:$C$34,2,FALSE)),IF(ISNA(VLOOKUP(B171,'WBV 4'!$F$3:$G$34,2,FALSE))=TRUE,0,VLOOKUP(B171,'WBV 4'!$F$3:$G$34,2,FALSE)),IF(ISNA(VLOOKUP(B171,'WBV 4'!$J$3:$K$34,2,FALSE))=TRUE,0,VLOOKUP(B171,'WBV 4'!$J$3:$K$34,2,FALSE)),IF(ISNA(VLOOKUP(B171,'WBV 4'!$N$3:$O$34,2,FALSE))=TRUE,0,VLOOKUP(B171,'WBV 4'!$N$3:$O$34,2,FALSE)))</f>
        <v>0</v>
      </c>
      <c r="L171" s="19">
        <f>MAX(IF(ISNA(VLOOKUP(B171,'NÖBV 1'!$B$3:$C$34,2,FALSE))=TRUE,0,VLOOKUP(B171,'NÖBV 1'!$B$3:$C$34,2,FALSE)),IF(ISNA(VLOOKUP(B171,'NÖBV 1'!$F$3:$G$34,2,FALSE))=TRUE,0,VLOOKUP(B171,'NÖBV 1'!$F$3:$G$34,2,FALSE)),IF(ISNA(VLOOKUP(B171,'NÖBV 1'!$J$3:$K$34,2,FALSE))=TRUE,0,VLOOKUP(B171,'NÖBV 1'!$J$3:$K$34,2,FALSE)),IF(ISNA(VLOOKUP(B171,'NÖBV 1'!$N$3:$O$34,2,FALSE))=TRUE,0,VLOOKUP(B171,'NÖBV 1'!$N$3:$O$34,2,FALSE)))</f>
        <v>0</v>
      </c>
      <c r="M171" s="19">
        <f>MAX(IF(ISNA(VLOOKUP(B171,'NÖBV 2'!$B$3:$C$34,2,FALSE))=TRUE,0,VLOOKUP(B171,'NÖBV 2'!$B$3:$C$34,2,FALSE)),IF(ISNA(VLOOKUP(B171,'NÖBV 2'!$F$3:$G$34,2,FALSE))=TRUE,0,VLOOKUP(B171,'NÖBV 2'!$F$3:$G$34,2,FALSE)),IF(ISNA(VLOOKUP(B171,'NÖBV 2'!$J$3:$K$34,2,FALSE))=TRUE,0,VLOOKUP(B171,'NÖBV 2'!$J$3:$K$34,2,FALSE)),IF(ISNA(VLOOKUP(B171,'NÖBV 2'!$N$3:$O$34,2,FALSE))=TRUE,0,VLOOKUP(B171,'NÖBV 2'!$N$3:$O$34,2,FALSE)))</f>
        <v>0</v>
      </c>
      <c r="N171" s="19">
        <f>MAX(IF(ISNA(VLOOKUP(B171,'NÖBV 3'!$B$3:$C$34,2,FALSE))=TRUE,0,VLOOKUP(B171,'NÖBV 3'!$B$3:$C$34,2,FALSE)),IF(ISNA(VLOOKUP(B171,'NÖBV 3'!$F$3:$G$34,2,FALSE))=TRUE,0,VLOOKUP(B171,'NÖBV 3'!$F$3:$G$34,2,FALSE)),IF(ISNA(VLOOKUP(B171,'NÖBV 3'!$J$3:$K$34,2,FALSE))=TRUE,0,VLOOKUP(B171,'NÖBV 3'!$J$3:$K$34,2,FALSE)),IF(ISNA(VLOOKUP(B171,'NÖBV 3'!$N$3:$O$34,2,FALSE))=TRUE,0,VLOOKUP(B171,'NÖBV 3'!$N$3:$O$34,2,FALSE)))</f>
        <v>0</v>
      </c>
      <c r="O171" s="15">
        <f>MAX(IF(ISNA(VLOOKUP(B171,'Regioturnier 1'!$B$3:$C$34,2,FALSE))=TRUE,0,VLOOKUP(B171,'Regioturnier 1'!$B$3:$C$34,2,FALSE)),IF(ISNA(VLOOKUP(B171,'Regioturnier 1'!$F$3:$G$34,2,FALSE))=TRUE,0,VLOOKUP(B171,'Regioturnier 1'!$F$3:$G$34,2,FALSE)),IF(ISNA(VLOOKUP(B171,'Regioturnier 1'!$J$3:$K$34,2,FALSE))=TRUE,0,VLOOKUP(B171,'Regioturnier 1'!$J$3:$K$34,2,FALSE)),IF(ISNA(VLOOKUP(B171,'Regioturnier 1'!$N$3:$O$34,2,FALSE))=TRUE,0,VLOOKUP(B171,'Regioturnier 1'!$N$3:$O$34,2,FALSE)),IF(ISNA(VLOOKUP(B171,'Regioturnier 1'!$R$3:$S$34,2,FALSE))=TRUE,0,VLOOKUP(B171,'Regioturnier 1'!$R$3:$S$34,2,FALSE)), IF(ISNA(VLOOKUP(B171,'Regioturnier 1'!$V$3:$W$34,2,FALSE))=TRUE,0,VLOOKUP(B171,'Regioturnier 1'!$V$3:$W$34,2,FALSE)), IF(ISNA(VLOOKUP(B171,'Regioturnier 1'!$Z$3:$AA$34,2,FALSE))=TRUE,0,VLOOKUP(B171,'Regioturnier 1'!$Z$3:$AA$34,2,FALSE)))</f>
        <v>0</v>
      </c>
      <c r="P171" s="15">
        <f>MAX(IF(ISNA(VLOOKUP(B171,'Regioturnier 2'!$B$3:$C$34,2,FALSE))=TRUE,0,VLOOKUP(B171,'Regioturnier 2'!$B$3:$C$34,2,FALSE)),IF(ISNA(VLOOKUP(B171,'Regioturnier 2'!$F$3:$G$34,2,FALSE))=TRUE,0,VLOOKUP(B171,'Regioturnier 2'!$F$3:$G$34,2,FALSE)),IF(ISNA(VLOOKUP(B171,'Regioturnier 2'!$J$3:$K$34,2,FALSE))=TRUE,0,VLOOKUP(B171,'Regioturnier 2'!$J$3:$K$34,2,FALSE)),IF(ISNA(VLOOKUP(B171,'Regioturnier 2'!$N$3:$O$34,2,FALSE))=TRUE,0,VLOOKUP(B171,'Regioturnier 2'!$N$3:$O$34,2,FALSE)),IF(ISNA(VLOOKUP(B171,'Regioturnier 2'!$R$3:$S$34,2,FALSE))=TRUE,0,VLOOKUP(B171,'Regioturnier 2'!$R$3:$S$34,2,FALSE)), IF(ISNA(VLOOKUP(B171,'Regioturnier 2'!$V$3:$W$34,2,FALSE))=TRUE,0,VLOOKUP(B171,'Regioturnier 2'!$V$3:$W$34,2,FALSE)), IF(ISNA(VLOOKUP(B171,'Regioturnier 2'!$Z$3:$AA$34,2,FALSE))=TRUE,0,VLOOKUP(B171,'Regioturnier 2'!$Z$3:$AA$34,2,FALSE)))</f>
        <v>0</v>
      </c>
      <c r="Q171" s="15">
        <f>MAX(IF(ISNA(VLOOKUP(B171,'Regioturnier 3'!$B$3:$C$34,2,FALSE))=TRUE,0,VLOOKUP(B171,'Regioturnier 3'!$B$3:$C$34,2,FALSE)),IF(ISNA(VLOOKUP(B171,'Regioturnier 3'!$F$3:$G$34,2,FALSE))=TRUE,0,VLOOKUP(B171,'Regioturnier 3'!$F$3:$G$34,2,FALSE)),IF(ISNA(VLOOKUP(B171,'Regioturnier 3'!$J$3:$K$34,2,FALSE))=TRUE,0,VLOOKUP(B171,'Regioturnier 3'!$J$3:$K$34,2,FALSE)),IF(ISNA(VLOOKUP(B171,'Regioturnier 3'!$N$3:$O$34,2,FALSE))=TRUE,0,VLOOKUP(B171,'Regioturnier 3'!$N$3:$O$34,2,FALSE)),IF(ISNA(VLOOKUP(B171,'Regioturnier 3'!$R$3:$S$34,2,FALSE))=TRUE,0,VLOOKUP(B171,'Regioturnier 3'!$R$3:$S$34,2,FALSE)), IF(ISNA(VLOOKUP(B171,'Regioturnier 3'!$V$3:$W$34,2,FALSE))=TRUE,0,VLOOKUP(B171,'Regioturnier 3'!$V$3:$W$34,2,FALSE)), IF(ISNA(VLOOKUP(B171,'Regioturnier 3'!$Z$3:$AA$34,2,FALSE))=TRUE,0,VLOOKUP(B171,'Regioturnier 3'!$Z$3:$AA$34,2,FALSE)))</f>
        <v>0</v>
      </c>
      <c r="R171" s="20">
        <f>0.5*INDEX($H171:$N171,MATCH(LARGE($H171:$N171,1),$H171:$N171,0))+0.3*INDEX($H171:$N171,MATCH(LARGE($H171:$N171,2),$H171:$N171,0))+0.2*INDEX($H171:$N171,MATCH(LARGE($H171:$N171,3),$H171:$N171,0))</f>
        <v>58.5</v>
      </c>
      <c r="S171" s="20">
        <f>0.6*INDEX(O171:Q171,MATCH(LARGE(O171:Q171,1),O171:Q171,0))+0.4*INDEX(O171:Q171,MATCH(LARGE(O171:Q171,2),O171:Q171,0))+0*INDEX(O171:Q171,MATCH(LARGE(O171:Q171,3),O171:Q171,0))</f>
        <v>0</v>
      </c>
      <c r="T171" s="15">
        <f>1*INDEX(R171:S171,MATCH(LARGE(R171:S171,1),R171:S171,0))+0*INDEX(R171:S171,MATCH(LARGE(R171:S171,2),R171:S171,0))</f>
        <v>58.5</v>
      </c>
      <c r="U171" s="21"/>
      <c r="V171" s="21"/>
      <c r="W171" s="21"/>
      <c r="X171" s="21"/>
      <c r="Y171" s="21"/>
      <c r="Z171" s="21"/>
    </row>
    <row r="172" spans="1:26" ht="12.75" customHeight="1" x14ac:dyDescent="0.3">
      <c r="A172" s="15">
        <v>171</v>
      </c>
      <c r="B172" s="16" t="s">
        <v>538</v>
      </c>
      <c r="C172" s="17" t="s">
        <v>31</v>
      </c>
      <c r="D172" s="15" t="s">
        <v>26</v>
      </c>
      <c r="E172" s="18" t="s">
        <v>23</v>
      </c>
      <c r="F172" s="15" t="s">
        <v>545</v>
      </c>
      <c r="G172" s="22"/>
      <c r="H172" s="15">
        <f>MAX(IF(ISNA(VLOOKUP(B172,'WBV 1'!$B$3:$C$34,2,FALSE))=TRUE,0,VLOOKUP(B172,'WBV 1'!$B$3:$C$34,2,FALSE)),IF(ISNA(VLOOKUP(B172,'WBV 1'!$F$3:$G$34,2,FALSE))=TRUE,0,VLOOKUP(B172,'WBV 1'!$F$3:$G$34,2,FALSE)),IF(ISNA(VLOOKUP(B172,'WBV 1'!$J$3:$K$34,2,FALSE))=TRUE,0,VLOOKUP(B172,'WBV 1'!$J$3:$K$34,2,FALSE)),IF(ISNA(VLOOKUP(B172,'WBV 1'!$N$3:$O$34,2,FALSE))=TRUE,0,VLOOKUP(B172,'WBV 1'!$N$3:$O$34,2,FALSE)))</f>
        <v>0</v>
      </c>
      <c r="I172" s="15">
        <f>MAX(IF(ISNA(VLOOKUP(B172,'WBV 2'!$B$3:$C$34,2,FALSE))=TRUE,0,VLOOKUP(B172,'WBV 2'!$B$3:$C$34,2,FALSE)),IF(ISNA(VLOOKUP(B172,'WBV 2'!$F$3:$G$34,2,FALSE))=TRUE,0,VLOOKUP(B172,'WBV 2'!$F$3:$G$34,2,FALSE)),IF(ISNA(VLOOKUP(B172,'WBV 2'!$J$3:$K$34,2,FALSE))=TRUE,0,VLOOKUP(B172,'WBV 2'!$J$3:$K$34,2,FALSE)),IF(ISNA(VLOOKUP(B172,'WBV 2'!$N$3:$O$34,2,FALSE))=TRUE,0,VLOOKUP(B172,'WBV 2'!$N$3:$O$34,2,FALSE)))</f>
        <v>113</v>
      </c>
      <c r="J172" s="15">
        <f>MAX(IF(ISNA(VLOOKUP(B172,'WBV 3'!$B$3:$C$34,2,FALSE))=TRUE,0,VLOOKUP(B172,'WBV 3'!$B$3:$C$34,2,FALSE)),IF(ISNA(VLOOKUP(B172,'WBV 3'!$F$3:$G$34,2,FALSE))=TRUE,0,VLOOKUP(B172,'WBV 3'!$F$3:$G$34,2,FALSE)),IF(ISNA(VLOOKUP(B172,'WBV 3'!$J$3:$K$34,2,FALSE))=TRUE,0,VLOOKUP(B172,'WBV 3'!$J$3:$K$34,2,FALSE)),IF(ISNA(VLOOKUP(B172,'WBV 3'!$N$3:$O$34,2,FALSE))=TRUE,0,VLOOKUP(B172,'WBV 3'!$N$3:$O$34,2,FALSE)))</f>
        <v>0</v>
      </c>
      <c r="K172" s="15">
        <f>MAX(IF(ISNA(VLOOKUP(B172,'WBV 4'!$B$3:$C$34,2,FALSE))=TRUE,0,VLOOKUP(B172,'WBV 4'!$B$3:$C$34,2,FALSE)),IF(ISNA(VLOOKUP(B172,'WBV 4'!$F$3:$G$34,2,FALSE))=TRUE,0,VLOOKUP(B172,'WBV 4'!$F$3:$G$34,2,FALSE)),IF(ISNA(VLOOKUP(B172,'WBV 4'!$J$3:$K$34,2,FALSE))=TRUE,0,VLOOKUP(B172,'WBV 4'!$J$3:$K$34,2,FALSE)),IF(ISNA(VLOOKUP(B172,'WBV 4'!$N$3:$O$34,2,FALSE))=TRUE,0,VLOOKUP(B172,'WBV 4'!$N$3:$O$34,2,FALSE)))</f>
        <v>0</v>
      </c>
      <c r="L172" s="19">
        <f>MAX(IF(ISNA(VLOOKUP(B172,'NÖBV 1'!$B$3:$C$34,2,FALSE))=TRUE,0,VLOOKUP(B172,'NÖBV 1'!$B$3:$C$34,2,FALSE)),IF(ISNA(VLOOKUP(B172,'NÖBV 1'!$F$3:$G$34,2,FALSE))=TRUE,0,VLOOKUP(B172,'NÖBV 1'!$F$3:$G$34,2,FALSE)),IF(ISNA(VLOOKUP(B172,'NÖBV 1'!$J$3:$K$34,2,FALSE))=TRUE,0,VLOOKUP(B172,'NÖBV 1'!$J$3:$K$34,2,FALSE)),IF(ISNA(VLOOKUP(B172,'NÖBV 1'!$N$3:$O$34,2,FALSE))=TRUE,0,VLOOKUP(B172,'NÖBV 1'!$N$3:$O$34,2,FALSE)))</f>
        <v>0</v>
      </c>
      <c r="M172" s="19">
        <f>MAX(IF(ISNA(VLOOKUP(B172,'NÖBV 2'!$B$3:$C$34,2,FALSE))=TRUE,0,VLOOKUP(B172,'NÖBV 2'!$B$3:$C$34,2,FALSE)),IF(ISNA(VLOOKUP(B172,'NÖBV 2'!$F$3:$G$34,2,FALSE))=TRUE,0,VLOOKUP(B172,'NÖBV 2'!$F$3:$G$34,2,FALSE)),IF(ISNA(VLOOKUP(B172,'NÖBV 2'!$J$3:$K$34,2,FALSE))=TRUE,0,VLOOKUP(B172,'NÖBV 2'!$J$3:$K$34,2,FALSE)),IF(ISNA(VLOOKUP(B172,'NÖBV 2'!$N$3:$O$34,2,FALSE))=TRUE,0,VLOOKUP(B172,'NÖBV 2'!$N$3:$O$34,2,FALSE)))</f>
        <v>0</v>
      </c>
      <c r="N172" s="19">
        <f>MAX(IF(ISNA(VLOOKUP(B172,'NÖBV 3'!$B$3:$C$34,2,FALSE))=TRUE,0,VLOOKUP(B172,'NÖBV 3'!$B$3:$C$34,2,FALSE)),IF(ISNA(VLOOKUP(B172,'NÖBV 3'!$F$3:$G$34,2,FALSE))=TRUE,0,VLOOKUP(B172,'NÖBV 3'!$F$3:$G$34,2,FALSE)),IF(ISNA(VLOOKUP(B172,'NÖBV 3'!$J$3:$K$34,2,FALSE))=TRUE,0,VLOOKUP(B172,'NÖBV 3'!$J$3:$K$34,2,FALSE)),IF(ISNA(VLOOKUP(B172,'NÖBV 3'!$N$3:$O$34,2,FALSE))=TRUE,0,VLOOKUP(B172,'NÖBV 3'!$N$3:$O$34,2,FALSE)))</f>
        <v>0</v>
      </c>
      <c r="O172" s="15">
        <f>MAX(IF(ISNA(VLOOKUP(B172,'Regioturnier 1'!$B$3:$C$34,2,FALSE))=TRUE,0,VLOOKUP(B172,'Regioturnier 1'!$B$3:$C$34,2,FALSE)),IF(ISNA(VLOOKUP(B172,'Regioturnier 1'!$F$3:$G$34,2,FALSE))=TRUE,0,VLOOKUP(B172,'Regioturnier 1'!$F$3:$G$34,2,FALSE)),IF(ISNA(VLOOKUP(B172,'Regioturnier 1'!$J$3:$K$34,2,FALSE))=TRUE,0,VLOOKUP(B172,'Regioturnier 1'!$J$3:$K$34,2,FALSE)),IF(ISNA(VLOOKUP(B172,'Regioturnier 1'!$N$3:$O$34,2,FALSE))=TRUE,0,VLOOKUP(B172,'Regioturnier 1'!$N$3:$O$34,2,FALSE)),IF(ISNA(VLOOKUP(B172,'Regioturnier 1'!$R$3:$S$34,2,FALSE))=TRUE,0,VLOOKUP(B172,'Regioturnier 1'!$R$3:$S$34,2,FALSE)), IF(ISNA(VLOOKUP(B172,'Regioturnier 1'!$V$3:$W$34,2,FALSE))=TRUE,0,VLOOKUP(B172,'Regioturnier 1'!$V$3:$W$34,2,FALSE)), IF(ISNA(VLOOKUP(B172,'Regioturnier 1'!$Z$3:$AA$34,2,FALSE))=TRUE,0,VLOOKUP(B172,'Regioturnier 1'!$Z$3:$AA$34,2,FALSE)))</f>
        <v>0</v>
      </c>
      <c r="P172" s="15">
        <f>MAX(IF(ISNA(VLOOKUP(B172,'Regioturnier 2'!$B$3:$C$34,2,FALSE))=TRUE,0,VLOOKUP(B172,'Regioturnier 2'!$B$3:$C$34,2,FALSE)),IF(ISNA(VLOOKUP(B172,'Regioturnier 2'!$F$3:$G$34,2,FALSE))=TRUE,0,VLOOKUP(B172,'Regioturnier 2'!$F$3:$G$34,2,FALSE)),IF(ISNA(VLOOKUP(B172,'Regioturnier 2'!$J$3:$K$34,2,FALSE))=TRUE,0,VLOOKUP(B172,'Regioturnier 2'!$J$3:$K$34,2,FALSE)),IF(ISNA(VLOOKUP(B172,'Regioturnier 2'!$N$3:$O$34,2,FALSE))=TRUE,0,VLOOKUP(B172,'Regioturnier 2'!$N$3:$O$34,2,FALSE)),IF(ISNA(VLOOKUP(B172,'Regioturnier 2'!$R$3:$S$34,2,FALSE))=TRUE,0,VLOOKUP(B172,'Regioturnier 2'!$R$3:$S$34,2,FALSE)), IF(ISNA(VLOOKUP(B172,'Regioturnier 2'!$V$3:$W$34,2,FALSE))=TRUE,0,VLOOKUP(B172,'Regioturnier 2'!$V$3:$W$34,2,FALSE)), IF(ISNA(VLOOKUP(B172,'Regioturnier 2'!$Z$3:$AA$34,2,FALSE))=TRUE,0,VLOOKUP(B172,'Regioturnier 2'!$Z$3:$AA$34,2,FALSE)))</f>
        <v>0</v>
      </c>
      <c r="Q172" s="15">
        <f>MAX(IF(ISNA(VLOOKUP(B172,'Regioturnier 3'!$B$3:$C$34,2,FALSE))=TRUE,0,VLOOKUP(B172,'Regioturnier 3'!$B$3:$C$34,2,FALSE)),IF(ISNA(VLOOKUP(B172,'Regioturnier 3'!$F$3:$G$34,2,FALSE))=TRUE,0,VLOOKUP(B172,'Regioturnier 3'!$F$3:$G$34,2,FALSE)),IF(ISNA(VLOOKUP(B172,'Regioturnier 3'!$J$3:$K$34,2,FALSE))=TRUE,0,VLOOKUP(B172,'Regioturnier 3'!$J$3:$K$34,2,FALSE)),IF(ISNA(VLOOKUP(B172,'Regioturnier 3'!$N$3:$O$34,2,FALSE))=TRUE,0,VLOOKUP(B172,'Regioturnier 3'!$N$3:$O$34,2,FALSE)),IF(ISNA(VLOOKUP(B172,'Regioturnier 3'!$R$3:$S$34,2,FALSE))=TRUE,0,VLOOKUP(B172,'Regioturnier 3'!$R$3:$S$34,2,FALSE)), IF(ISNA(VLOOKUP(B172,'Regioturnier 3'!$V$3:$W$34,2,FALSE))=TRUE,0,VLOOKUP(B172,'Regioturnier 3'!$V$3:$W$34,2,FALSE)), IF(ISNA(VLOOKUP(B172,'Regioturnier 3'!$Z$3:$AA$34,2,FALSE))=TRUE,0,VLOOKUP(B172,'Regioturnier 3'!$Z$3:$AA$34,2,FALSE)))</f>
        <v>0</v>
      </c>
      <c r="R172" s="20">
        <f>0.5*INDEX($H172:$N172,MATCH(LARGE($H172:$N172,1),$H172:$N172,0))+0.3*INDEX($H172:$N172,MATCH(LARGE($H172:$N172,2),$H172:$N172,0))+0.2*INDEX($H172:$N172,MATCH(LARGE($H172:$N172,3),$H172:$N172,0))</f>
        <v>56.5</v>
      </c>
      <c r="S172" s="20">
        <f>0.6*INDEX(O172:Q172,MATCH(LARGE(O172:Q172,1),O172:Q172,0))+0.4*INDEX(O172:Q172,MATCH(LARGE(O172:Q172,2),O172:Q172,0))+0*INDEX(O172:Q172,MATCH(LARGE(O172:Q172,3),O172:Q172,0))</f>
        <v>0</v>
      </c>
      <c r="T172" s="15">
        <f>1*INDEX(R172:S172,MATCH(LARGE(R172:S172,1),R172:S172,0))+0*INDEX(R172:S172,MATCH(LARGE(R172:S172,2),R172:S172,0))</f>
        <v>56.5</v>
      </c>
      <c r="U172" s="21"/>
      <c r="V172" s="21"/>
      <c r="W172" s="21"/>
      <c r="X172" s="21"/>
      <c r="Y172" s="21"/>
      <c r="Z172" s="21"/>
    </row>
    <row r="173" spans="1:26" ht="12.75" customHeight="1" x14ac:dyDescent="0.3">
      <c r="A173" s="15">
        <v>172</v>
      </c>
      <c r="B173" s="16" t="s">
        <v>540</v>
      </c>
      <c r="C173" s="17" t="s">
        <v>31</v>
      </c>
      <c r="D173" s="15" t="s">
        <v>26</v>
      </c>
      <c r="E173" s="18" t="s">
        <v>40</v>
      </c>
      <c r="F173" s="15" t="s">
        <v>552</v>
      </c>
      <c r="G173" s="22">
        <v>2016</v>
      </c>
      <c r="H173" s="15">
        <f>MAX(IF(ISNA(VLOOKUP(B173,'WBV 1'!$B$3:$C$34,2,FALSE))=TRUE,0,VLOOKUP(B173,'WBV 1'!$B$3:$C$34,2,FALSE)),IF(ISNA(VLOOKUP(B173,'WBV 1'!$F$3:$G$34,2,FALSE))=TRUE,0,VLOOKUP(B173,'WBV 1'!$F$3:$G$34,2,FALSE)),IF(ISNA(VLOOKUP(B173,'WBV 1'!$J$3:$K$34,2,FALSE))=TRUE,0,VLOOKUP(B173,'WBV 1'!$J$3:$K$34,2,FALSE)),IF(ISNA(VLOOKUP(B173,'WBV 1'!$N$3:$O$34,2,FALSE))=TRUE,0,VLOOKUP(B173,'WBV 1'!$N$3:$O$34,2,FALSE)))</f>
        <v>0</v>
      </c>
      <c r="I173" s="15">
        <f>MAX(IF(ISNA(VLOOKUP(B173,'WBV 2'!$B$3:$C$34,2,FALSE))=TRUE,0,VLOOKUP(B173,'WBV 2'!$B$3:$C$34,2,FALSE)),IF(ISNA(VLOOKUP(B173,'WBV 2'!$F$3:$G$34,2,FALSE))=TRUE,0,VLOOKUP(B173,'WBV 2'!$F$3:$G$34,2,FALSE)),IF(ISNA(VLOOKUP(B173,'WBV 2'!$J$3:$K$34,2,FALSE))=TRUE,0,VLOOKUP(B173,'WBV 2'!$J$3:$K$34,2,FALSE)),IF(ISNA(VLOOKUP(B173,'WBV 2'!$N$3:$O$34,2,FALSE))=TRUE,0,VLOOKUP(B173,'WBV 2'!$N$3:$O$34,2,FALSE)))</f>
        <v>109</v>
      </c>
      <c r="J173" s="15">
        <f>MAX(IF(ISNA(VLOOKUP(B173,'WBV 3'!$B$3:$C$34,2,FALSE))=TRUE,0,VLOOKUP(B173,'WBV 3'!$B$3:$C$34,2,FALSE)),IF(ISNA(VLOOKUP(B173,'WBV 3'!$F$3:$G$34,2,FALSE))=TRUE,0,VLOOKUP(B173,'WBV 3'!$F$3:$G$34,2,FALSE)),IF(ISNA(VLOOKUP(B173,'WBV 3'!$J$3:$K$34,2,FALSE))=TRUE,0,VLOOKUP(B173,'WBV 3'!$J$3:$K$34,2,FALSE)),IF(ISNA(VLOOKUP(B173,'WBV 3'!$N$3:$O$34,2,FALSE))=TRUE,0,VLOOKUP(B173,'WBV 3'!$N$3:$O$34,2,FALSE)))</f>
        <v>0</v>
      </c>
      <c r="K173" s="15">
        <f>MAX(IF(ISNA(VLOOKUP(B173,'WBV 4'!$B$3:$C$34,2,FALSE))=TRUE,0,VLOOKUP(B173,'WBV 4'!$B$3:$C$34,2,FALSE)),IF(ISNA(VLOOKUP(B173,'WBV 4'!$F$3:$G$34,2,FALSE))=TRUE,0,VLOOKUP(B173,'WBV 4'!$F$3:$G$34,2,FALSE)),IF(ISNA(VLOOKUP(B173,'WBV 4'!$J$3:$K$34,2,FALSE))=TRUE,0,VLOOKUP(B173,'WBV 4'!$J$3:$K$34,2,FALSE)),IF(ISNA(VLOOKUP(B173,'WBV 4'!$N$3:$O$34,2,FALSE))=TRUE,0,VLOOKUP(B173,'WBV 4'!$N$3:$O$34,2,FALSE)))</f>
        <v>0</v>
      </c>
      <c r="L173" s="19">
        <f>MAX(IF(ISNA(VLOOKUP(B173,'NÖBV 1'!$B$3:$C$34,2,FALSE))=TRUE,0,VLOOKUP(B173,'NÖBV 1'!$B$3:$C$34,2,FALSE)),IF(ISNA(VLOOKUP(B173,'NÖBV 1'!$F$3:$G$34,2,FALSE))=TRUE,0,VLOOKUP(B173,'NÖBV 1'!$F$3:$G$34,2,FALSE)),IF(ISNA(VLOOKUP(B173,'NÖBV 1'!$J$3:$K$34,2,FALSE))=TRUE,0,VLOOKUP(B173,'NÖBV 1'!$J$3:$K$34,2,FALSE)),IF(ISNA(VLOOKUP(B173,'NÖBV 1'!$N$3:$O$34,2,FALSE))=TRUE,0,VLOOKUP(B173,'NÖBV 1'!$N$3:$O$34,2,FALSE)))</f>
        <v>0</v>
      </c>
      <c r="M173" s="19">
        <f>MAX(IF(ISNA(VLOOKUP(B173,'NÖBV 2'!$B$3:$C$34,2,FALSE))=TRUE,0,VLOOKUP(B173,'NÖBV 2'!$B$3:$C$34,2,FALSE)),IF(ISNA(VLOOKUP(B173,'NÖBV 2'!$F$3:$G$34,2,FALSE))=TRUE,0,VLOOKUP(B173,'NÖBV 2'!$F$3:$G$34,2,FALSE)),IF(ISNA(VLOOKUP(B173,'NÖBV 2'!$J$3:$K$34,2,FALSE))=TRUE,0,VLOOKUP(B173,'NÖBV 2'!$J$3:$K$34,2,FALSE)),IF(ISNA(VLOOKUP(B173,'NÖBV 2'!$N$3:$O$34,2,FALSE))=TRUE,0,VLOOKUP(B173,'NÖBV 2'!$N$3:$O$34,2,FALSE)))</f>
        <v>0</v>
      </c>
      <c r="N173" s="19">
        <f>MAX(IF(ISNA(VLOOKUP(B173,'NÖBV 3'!$B$3:$C$34,2,FALSE))=TRUE,0,VLOOKUP(B173,'NÖBV 3'!$B$3:$C$34,2,FALSE)),IF(ISNA(VLOOKUP(B173,'NÖBV 3'!$F$3:$G$34,2,FALSE))=TRUE,0,VLOOKUP(B173,'NÖBV 3'!$F$3:$G$34,2,FALSE)),IF(ISNA(VLOOKUP(B173,'NÖBV 3'!$J$3:$K$34,2,FALSE))=TRUE,0,VLOOKUP(B173,'NÖBV 3'!$J$3:$K$34,2,FALSE)),IF(ISNA(VLOOKUP(B173,'NÖBV 3'!$N$3:$O$34,2,FALSE))=TRUE,0,VLOOKUP(B173,'NÖBV 3'!$N$3:$O$34,2,FALSE)))</f>
        <v>0</v>
      </c>
      <c r="O173" s="15">
        <f>MAX(IF(ISNA(VLOOKUP(B173,'Regioturnier 1'!$B$3:$C$34,2,FALSE))=TRUE,0,VLOOKUP(B173,'Regioturnier 1'!$B$3:$C$34,2,FALSE)),IF(ISNA(VLOOKUP(B173,'Regioturnier 1'!$F$3:$G$34,2,FALSE))=TRUE,0,VLOOKUP(B173,'Regioturnier 1'!$F$3:$G$34,2,FALSE)),IF(ISNA(VLOOKUP(B173,'Regioturnier 1'!$J$3:$K$34,2,FALSE))=TRUE,0,VLOOKUP(B173,'Regioturnier 1'!$J$3:$K$34,2,FALSE)),IF(ISNA(VLOOKUP(B173,'Regioturnier 1'!$N$3:$O$34,2,FALSE))=TRUE,0,VLOOKUP(B173,'Regioturnier 1'!$N$3:$O$34,2,FALSE)),IF(ISNA(VLOOKUP(B173,'Regioturnier 1'!$R$3:$S$34,2,FALSE))=TRUE,0,VLOOKUP(B173,'Regioturnier 1'!$R$3:$S$34,2,FALSE)), IF(ISNA(VLOOKUP(B173,'Regioturnier 1'!$V$3:$W$34,2,FALSE))=TRUE,0,VLOOKUP(B173,'Regioturnier 1'!$V$3:$W$34,2,FALSE)), IF(ISNA(VLOOKUP(B173,'Regioturnier 1'!$Z$3:$AA$34,2,FALSE))=TRUE,0,VLOOKUP(B173,'Regioturnier 1'!$Z$3:$AA$34,2,FALSE)))</f>
        <v>0</v>
      </c>
      <c r="P173" s="15">
        <f>MAX(IF(ISNA(VLOOKUP(B173,'Regioturnier 2'!$B$3:$C$34,2,FALSE))=TRUE,0,VLOOKUP(B173,'Regioturnier 2'!$B$3:$C$34,2,FALSE)),IF(ISNA(VLOOKUP(B173,'Regioturnier 2'!$F$3:$G$34,2,FALSE))=TRUE,0,VLOOKUP(B173,'Regioturnier 2'!$F$3:$G$34,2,FALSE)),IF(ISNA(VLOOKUP(B173,'Regioturnier 2'!$J$3:$K$34,2,FALSE))=TRUE,0,VLOOKUP(B173,'Regioturnier 2'!$J$3:$K$34,2,FALSE)),IF(ISNA(VLOOKUP(B173,'Regioturnier 2'!$N$3:$O$34,2,FALSE))=TRUE,0,VLOOKUP(B173,'Regioturnier 2'!$N$3:$O$34,2,FALSE)),IF(ISNA(VLOOKUP(B173,'Regioturnier 2'!$R$3:$S$34,2,FALSE))=TRUE,0,VLOOKUP(B173,'Regioturnier 2'!$R$3:$S$34,2,FALSE)), IF(ISNA(VLOOKUP(B173,'Regioturnier 2'!$V$3:$W$34,2,FALSE))=TRUE,0,VLOOKUP(B173,'Regioturnier 2'!$V$3:$W$34,2,FALSE)), IF(ISNA(VLOOKUP(B173,'Regioturnier 2'!$Z$3:$AA$34,2,FALSE))=TRUE,0,VLOOKUP(B173,'Regioturnier 2'!$Z$3:$AA$34,2,FALSE)))</f>
        <v>0</v>
      </c>
      <c r="Q173" s="15">
        <f>MAX(IF(ISNA(VLOOKUP(B173,'Regioturnier 3'!$B$3:$C$34,2,FALSE))=TRUE,0,VLOOKUP(B173,'Regioturnier 3'!$B$3:$C$34,2,FALSE)),IF(ISNA(VLOOKUP(B173,'Regioturnier 3'!$F$3:$G$34,2,FALSE))=TRUE,0,VLOOKUP(B173,'Regioturnier 3'!$F$3:$G$34,2,FALSE)),IF(ISNA(VLOOKUP(B173,'Regioturnier 3'!$J$3:$K$34,2,FALSE))=TRUE,0,VLOOKUP(B173,'Regioturnier 3'!$J$3:$K$34,2,FALSE)),IF(ISNA(VLOOKUP(B173,'Regioturnier 3'!$N$3:$O$34,2,FALSE))=TRUE,0,VLOOKUP(B173,'Regioturnier 3'!$N$3:$O$34,2,FALSE)),IF(ISNA(VLOOKUP(B173,'Regioturnier 3'!$R$3:$S$34,2,FALSE))=TRUE,0,VLOOKUP(B173,'Regioturnier 3'!$R$3:$S$34,2,FALSE)), IF(ISNA(VLOOKUP(B173,'Regioturnier 3'!$V$3:$W$34,2,FALSE))=TRUE,0,VLOOKUP(B173,'Regioturnier 3'!$V$3:$W$34,2,FALSE)), IF(ISNA(VLOOKUP(B173,'Regioturnier 3'!$Z$3:$AA$34,2,FALSE))=TRUE,0,VLOOKUP(B173,'Regioturnier 3'!$Z$3:$AA$34,2,FALSE)))</f>
        <v>0</v>
      </c>
      <c r="R173" s="20">
        <f>0.5*INDEX($H173:$N173,MATCH(LARGE($H173:$N173,1),$H173:$N173,0))+0.3*INDEX($H173:$N173,MATCH(LARGE($H173:$N173,2),$H173:$N173,0))+0.2*INDEX($H173:$N173,MATCH(LARGE($H173:$N173,3),$H173:$N173,0))</f>
        <v>54.5</v>
      </c>
      <c r="S173" s="20">
        <f>0.6*INDEX(O173:Q173,MATCH(LARGE(O173:Q173,1),O173:Q173,0))+0.4*INDEX(O173:Q173,MATCH(LARGE(O173:Q173,2),O173:Q173,0))+0*INDEX(O173:Q173,MATCH(LARGE(O173:Q173,3),O173:Q173,0))</f>
        <v>0</v>
      </c>
      <c r="T173" s="15">
        <f>1*INDEX(R173:S173,MATCH(LARGE(R173:S173,1),R173:S173,0))+0*INDEX(R173:S173,MATCH(LARGE(R173:S173,2),R173:S173,0))</f>
        <v>54.5</v>
      </c>
      <c r="U173" s="21"/>
      <c r="V173" s="21"/>
      <c r="W173" s="21"/>
      <c r="X173" s="21"/>
      <c r="Y173" s="21"/>
      <c r="Z173" s="21"/>
    </row>
    <row r="174" spans="1:26" ht="12.75" customHeight="1" x14ac:dyDescent="0.3">
      <c r="A174" s="15">
        <v>173</v>
      </c>
      <c r="B174" s="16" t="s">
        <v>541</v>
      </c>
      <c r="C174" s="17" t="s">
        <v>25</v>
      </c>
      <c r="D174" s="15" t="s">
        <v>26</v>
      </c>
      <c r="E174" s="18" t="s">
        <v>23</v>
      </c>
      <c r="F174" s="15" t="s">
        <v>546</v>
      </c>
      <c r="G174" s="22">
        <v>2016</v>
      </c>
      <c r="H174" s="15">
        <f>MAX(IF(ISNA(VLOOKUP(B174,'WBV 1'!$B$3:$C$34,2,FALSE))=TRUE,0,VLOOKUP(B174,'WBV 1'!$B$3:$C$34,2,FALSE)),IF(ISNA(VLOOKUP(B174,'WBV 1'!$F$3:$G$34,2,FALSE))=TRUE,0,VLOOKUP(B174,'WBV 1'!$F$3:$G$34,2,FALSE)),IF(ISNA(VLOOKUP(B174,'WBV 1'!$J$3:$K$34,2,FALSE))=TRUE,0,VLOOKUP(B174,'WBV 1'!$J$3:$K$34,2,FALSE)),IF(ISNA(VLOOKUP(B174,'WBV 1'!$N$3:$O$34,2,FALSE))=TRUE,0,VLOOKUP(B174,'WBV 1'!$N$3:$O$34,2,FALSE)))</f>
        <v>0</v>
      </c>
      <c r="I174" s="15">
        <f>MAX(IF(ISNA(VLOOKUP(B174,'WBV 2'!$B$3:$C$34,2,FALSE))=TRUE,0,VLOOKUP(B174,'WBV 2'!$B$3:$C$34,2,FALSE)),IF(ISNA(VLOOKUP(B174,'WBV 2'!$F$3:$G$34,2,FALSE))=TRUE,0,VLOOKUP(B174,'WBV 2'!$F$3:$G$34,2,FALSE)),IF(ISNA(VLOOKUP(B174,'WBV 2'!$J$3:$K$34,2,FALSE))=TRUE,0,VLOOKUP(B174,'WBV 2'!$J$3:$K$34,2,FALSE)),IF(ISNA(VLOOKUP(B174,'WBV 2'!$N$3:$O$34,2,FALSE))=TRUE,0,VLOOKUP(B174,'WBV 2'!$N$3:$O$34,2,FALSE)))</f>
        <v>107</v>
      </c>
      <c r="J174" s="15">
        <f>MAX(IF(ISNA(VLOOKUP(B174,'WBV 3'!$B$3:$C$34,2,FALSE))=TRUE,0,VLOOKUP(B174,'WBV 3'!$B$3:$C$34,2,FALSE)),IF(ISNA(VLOOKUP(B174,'WBV 3'!$F$3:$G$34,2,FALSE))=TRUE,0,VLOOKUP(B174,'WBV 3'!$F$3:$G$34,2,FALSE)),IF(ISNA(VLOOKUP(B174,'WBV 3'!$J$3:$K$34,2,FALSE))=TRUE,0,VLOOKUP(B174,'WBV 3'!$J$3:$K$34,2,FALSE)),IF(ISNA(VLOOKUP(B174,'WBV 3'!$N$3:$O$34,2,FALSE))=TRUE,0,VLOOKUP(B174,'WBV 3'!$N$3:$O$34,2,FALSE)))</f>
        <v>0</v>
      </c>
      <c r="K174" s="15">
        <f>MAX(IF(ISNA(VLOOKUP(B174,'WBV 4'!$B$3:$C$34,2,FALSE))=TRUE,0,VLOOKUP(B174,'WBV 4'!$B$3:$C$34,2,FALSE)),IF(ISNA(VLOOKUP(B174,'WBV 4'!$F$3:$G$34,2,FALSE))=TRUE,0,VLOOKUP(B174,'WBV 4'!$F$3:$G$34,2,FALSE)),IF(ISNA(VLOOKUP(B174,'WBV 4'!$J$3:$K$34,2,FALSE))=TRUE,0,VLOOKUP(B174,'WBV 4'!$J$3:$K$34,2,FALSE)),IF(ISNA(VLOOKUP(B174,'WBV 4'!$N$3:$O$34,2,FALSE))=TRUE,0,VLOOKUP(B174,'WBV 4'!$N$3:$O$34,2,FALSE)))</f>
        <v>0</v>
      </c>
      <c r="L174" s="19">
        <f>MAX(IF(ISNA(VLOOKUP(B174,'NÖBV 1'!$B$3:$C$34,2,FALSE))=TRUE,0,VLOOKUP(B174,'NÖBV 1'!$B$3:$C$34,2,FALSE)),IF(ISNA(VLOOKUP(B174,'NÖBV 1'!$F$3:$G$34,2,FALSE))=TRUE,0,VLOOKUP(B174,'NÖBV 1'!$F$3:$G$34,2,FALSE)),IF(ISNA(VLOOKUP(B174,'NÖBV 1'!$J$3:$K$34,2,FALSE))=TRUE,0,VLOOKUP(B174,'NÖBV 1'!$J$3:$K$34,2,FALSE)),IF(ISNA(VLOOKUP(B174,'NÖBV 1'!$N$3:$O$34,2,FALSE))=TRUE,0,VLOOKUP(B174,'NÖBV 1'!$N$3:$O$34,2,FALSE)))</f>
        <v>0</v>
      </c>
      <c r="M174" s="19">
        <f>MAX(IF(ISNA(VLOOKUP(B174,'NÖBV 2'!$B$3:$C$34,2,FALSE))=TRUE,0,VLOOKUP(B174,'NÖBV 2'!$B$3:$C$34,2,FALSE)),IF(ISNA(VLOOKUP(B174,'NÖBV 2'!$F$3:$G$34,2,FALSE))=TRUE,0,VLOOKUP(B174,'NÖBV 2'!$F$3:$G$34,2,FALSE)),IF(ISNA(VLOOKUP(B174,'NÖBV 2'!$J$3:$K$34,2,FALSE))=TRUE,0,VLOOKUP(B174,'NÖBV 2'!$J$3:$K$34,2,FALSE)),IF(ISNA(VLOOKUP(B174,'NÖBV 2'!$N$3:$O$34,2,FALSE))=TRUE,0,VLOOKUP(B174,'NÖBV 2'!$N$3:$O$34,2,FALSE)))</f>
        <v>0</v>
      </c>
      <c r="N174" s="19">
        <f>MAX(IF(ISNA(VLOOKUP(B174,'NÖBV 3'!$B$3:$C$34,2,FALSE))=TRUE,0,VLOOKUP(B174,'NÖBV 3'!$B$3:$C$34,2,FALSE)),IF(ISNA(VLOOKUP(B174,'NÖBV 3'!$F$3:$G$34,2,FALSE))=TRUE,0,VLOOKUP(B174,'NÖBV 3'!$F$3:$G$34,2,FALSE)),IF(ISNA(VLOOKUP(B174,'NÖBV 3'!$J$3:$K$34,2,FALSE))=TRUE,0,VLOOKUP(B174,'NÖBV 3'!$J$3:$K$34,2,FALSE)),IF(ISNA(VLOOKUP(B174,'NÖBV 3'!$N$3:$O$34,2,FALSE))=TRUE,0,VLOOKUP(B174,'NÖBV 3'!$N$3:$O$34,2,FALSE)))</f>
        <v>0</v>
      </c>
      <c r="O174" s="15">
        <f>MAX(IF(ISNA(VLOOKUP(B174,'Regioturnier 1'!$B$3:$C$34,2,FALSE))=TRUE,0,VLOOKUP(B174,'Regioturnier 1'!$B$3:$C$34,2,FALSE)),IF(ISNA(VLOOKUP(B174,'Regioturnier 1'!$F$3:$G$34,2,FALSE))=TRUE,0,VLOOKUP(B174,'Regioturnier 1'!$F$3:$G$34,2,FALSE)),IF(ISNA(VLOOKUP(B174,'Regioturnier 1'!$J$3:$K$34,2,FALSE))=TRUE,0,VLOOKUP(B174,'Regioturnier 1'!$J$3:$K$34,2,FALSE)),IF(ISNA(VLOOKUP(B174,'Regioturnier 1'!$N$3:$O$34,2,FALSE))=TRUE,0,VLOOKUP(B174,'Regioturnier 1'!$N$3:$O$34,2,FALSE)),IF(ISNA(VLOOKUP(B174,'Regioturnier 1'!$R$3:$S$34,2,FALSE))=TRUE,0,VLOOKUP(B174,'Regioturnier 1'!$R$3:$S$34,2,FALSE)), IF(ISNA(VLOOKUP(B174,'Regioturnier 1'!$V$3:$W$34,2,FALSE))=TRUE,0,VLOOKUP(B174,'Regioturnier 1'!$V$3:$W$34,2,FALSE)), IF(ISNA(VLOOKUP(B174,'Regioturnier 1'!$Z$3:$AA$34,2,FALSE))=TRUE,0,VLOOKUP(B174,'Regioturnier 1'!$Z$3:$AA$34,2,FALSE)))</f>
        <v>0</v>
      </c>
      <c r="P174" s="15">
        <f>MAX(IF(ISNA(VLOOKUP(B174,'Regioturnier 2'!$B$3:$C$34,2,FALSE))=TRUE,0,VLOOKUP(B174,'Regioturnier 2'!$B$3:$C$34,2,FALSE)),IF(ISNA(VLOOKUP(B174,'Regioturnier 2'!$F$3:$G$34,2,FALSE))=TRUE,0,VLOOKUP(B174,'Regioturnier 2'!$F$3:$G$34,2,FALSE)),IF(ISNA(VLOOKUP(B174,'Regioturnier 2'!$J$3:$K$34,2,FALSE))=TRUE,0,VLOOKUP(B174,'Regioturnier 2'!$J$3:$K$34,2,FALSE)),IF(ISNA(VLOOKUP(B174,'Regioturnier 2'!$N$3:$O$34,2,FALSE))=TRUE,0,VLOOKUP(B174,'Regioturnier 2'!$N$3:$O$34,2,FALSE)),IF(ISNA(VLOOKUP(B174,'Regioturnier 2'!$R$3:$S$34,2,FALSE))=TRUE,0,VLOOKUP(B174,'Regioturnier 2'!$R$3:$S$34,2,FALSE)), IF(ISNA(VLOOKUP(B174,'Regioturnier 2'!$V$3:$W$34,2,FALSE))=TRUE,0,VLOOKUP(B174,'Regioturnier 2'!$V$3:$W$34,2,FALSE)), IF(ISNA(VLOOKUP(B174,'Regioturnier 2'!$Z$3:$AA$34,2,FALSE))=TRUE,0,VLOOKUP(B174,'Regioturnier 2'!$Z$3:$AA$34,2,FALSE)))</f>
        <v>0</v>
      </c>
      <c r="Q174" s="15">
        <f>MAX(IF(ISNA(VLOOKUP(B174,'Regioturnier 3'!$B$3:$C$34,2,FALSE))=TRUE,0,VLOOKUP(B174,'Regioturnier 3'!$B$3:$C$34,2,FALSE)),IF(ISNA(VLOOKUP(B174,'Regioturnier 3'!$F$3:$G$34,2,FALSE))=TRUE,0,VLOOKUP(B174,'Regioturnier 3'!$F$3:$G$34,2,FALSE)),IF(ISNA(VLOOKUP(B174,'Regioturnier 3'!$J$3:$K$34,2,FALSE))=TRUE,0,VLOOKUP(B174,'Regioturnier 3'!$J$3:$K$34,2,FALSE)),IF(ISNA(VLOOKUP(B174,'Regioturnier 3'!$N$3:$O$34,2,FALSE))=TRUE,0,VLOOKUP(B174,'Regioturnier 3'!$N$3:$O$34,2,FALSE)),IF(ISNA(VLOOKUP(B174,'Regioturnier 3'!$R$3:$S$34,2,FALSE))=TRUE,0,VLOOKUP(B174,'Regioturnier 3'!$R$3:$S$34,2,FALSE)), IF(ISNA(VLOOKUP(B174,'Regioturnier 3'!$V$3:$W$34,2,FALSE))=TRUE,0,VLOOKUP(B174,'Regioturnier 3'!$V$3:$W$34,2,FALSE)), IF(ISNA(VLOOKUP(B174,'Regioturnier 3'!$Z$3:$AA$34,2,FALSE))=TRUE,0,VLOOKUP(B174,'Regioturnier 3'!$Z$3:$AA$34,2,FALSE)))</f>
        <v>0</v>
      </c>
      <c r="R174" s="20">
        <f>0.5*INDEX($H174:$N174,MATCH(LARGE($H174:$N174,1),$H174:$N174,0))+0.3*INDEX($H174:$N174,MATCH(LARGE($H174:$N174,2),$H174:$N174,0))+0.2*INDEX($H174:$N174,MATCH(LARGE($H174:$N174,3),$H174:$N174,0))</f>
        <v>53.5</v>
      </c>
      <c r="S174" s="20">
        <f>0.6*INDEX(O174:Q174,MATCH(LARGE(O174:Q174,1),O174:Q174,0))+0.4*INDEX(O174:Q174,MATCH(LARGE(O174:Q174,2),O174:Q174,0))+0*INDEX(O174:Q174,MATCH(LARGE(O174:Q174,3),O174:Q174,0))</f>
        <v>0</v>
      </c>
      <c r="T174" s="15">
        <f>1*INDEX(R174:S174,MATCH(LARGE(R174:S174,1),R174:S174,0))+0*INDEX(R174:S174,MATCH(LARGE(R174:S174,2),R174:S174,0))</f>
        <v>53.5</v>
      </c>
      <c r="U174" s="21"/>
      <c r="V174" s="21"/>
      <c r="W174" s="21"/>
      <c r="X174" s="21"/>
      <c r="Y174" s="21"/>
      <c r="Z174" s="21"/>
    </row>
    <row r="175" spans="1:26" ht="12.75" customHeight="1" x14ac:dyDescent="0.3">
      <c r="A175" s="15">
        <v>174</v>
      </c>
      <c r="B175" s="16" t="s">
        <v>37</v>
      </c>
      <c r="C175" s="17" t="s">
        <v>28</v>
      </c>
      <c r="D175" s="15" t="s">
        <v>22</v>
      </c>
      <c r="E175" s="18" t="s">
        <v>23</v>
      </c>
      <c r="F175" s="15">
        <v>207933</v>
      </c>
      <c r="G175" s="22">
        <v>2009</v>
      </c>
      <c r="H175" s="15">
        <f>MAX(IF(ISNA(VLOOKUP(B175,'WBV 1'!$B$3:$C$34,2,FALSE))=TRUE,0,VLOOKUP(B175,'WBV 1'!$B$3:$C$34,2,FALSE)),IF(ISNA(VLOOKUP(B175,'WBV 1'!$F$3:$G$34,2,FALSE))=TRUE,0,VLOOKUP(B175,'WBV 1'!$F$3:$G$34,2,FALSE)),IF(ISNA(VLOOKUP(B175,'WBV 1'!$J$3:$K$34,2,FALSE))=TRUE,0,VLOOKUP(B175,'WBV 1'!$J$3:$K$34,2,FALSE)),IF(ISNA(VLOOKUP(B175,'WBV 1'!$N$3:$O$34,2,FALSE))=TRUE,0,VLOOKUP(B175,'WBV 1'!$N$3:$O$34,2,FALSE)))</f>
        <v>0</v>
      </c>
      <c r="I175" s="15">
        <f>MAX(IF(ISNA(VLOOKUP(B175,'WBV 2'!$B$3:$C$34,2,FALSE))=TRUE,0,VLOOKUP(B175,'WBV 2'!$B$3:$C$34,2,FALSE)),IF(ISNA(VLOOKUP(B175,'WBV 2'!$F$3:$G$34,2,FALSE))=TRUE,0,VLOOKUP(B175,'WBV 2'!$F$3:$G$34,2,FALSE)),IF(ISNA(VLOOKUP(B175,'WBV 2'!$J$3:$K$34,2,FALSE))=TRUE,0,VLOOKUP(B175,'WBV 2'!$J$3:$K$34,2,FALSE)),IF(ISNA(VLOOKUP(B175,'WBV 2'!$N$3:$O$34,2,FALSE))=TRUE,0,VLOOKUP(B175,'WBV 2'!$N$3:$O$34,2,FALSE)))</f>
        <v>0</v>
      </c>
      <c r="J175" s="15">
        <f>MAX(IF(ISNA(VLOOKUP(B175,'WBV 3'!$B$3:$C$34,2,FALSE))=TRUE,0,VLOOKUP(B175,'WBV 3'!$B$3:$C$34,2,FALSE)),IF(ISNA(VLOOKUP(B175,'WBV 3'!$F$3:$G$34,2,FALSE))=TRUE,0,VLOOKUP(B175,'WBV 3'!$F$3:$G$34,2,FALSE)),IF(ISNA(VLOOKUP(B175,'WBV 3'!$J$3:$K$34,2,FALSE))=TRUE,0,VLOOKUP(B175,'WBV 3'!$J$3:$K$34,2,FALSE)),IF(ISNA(VLOOKUP(B175,'WBV 3'!$N$3:$O$34,2,FALSE))=TRUE,0,VLOOKUP(B175,'WBV 3'!$N$3:$O$34,2,FALSE)))</f>
        <v>0</v>
      </c>
      <c r="K175" s="15">
        <f>MAX(IF(ISNA(VLOOKUP(B175,'WBV 4'!$B$3:$C$34,2,FALSE))=TRUE,0,VLOOKUP(B175,'WBV 4'!$B$3:$C$34,2,FALSE)),IF(ISNA(VLOOKUP(B175,'WBV 4'!$F$3:$G$34,2,FALSE))=TRUE,0,VLOOKUP(B175,'WBV 4'!$F$3:$G$34,2,FALSE)),IF(ISNA(VLOOKUP(B175,'WBV 4'!$J$3:$K$34,2,FALSE))=TRUE,0,VLOOKUP(B175,'WBV 4'!$J$3:$K$34,2,FALSE)),IF(ISNA(VLOOKUP(B175,'WBV 4'!$N$3:$O$34,2,FALSE))=TRUE,0,VLOOKUP(B175,'WBV 4'!$N$3:$O$34,2,FALSE)))</f>
        <v>0</v>
      </c>
      <c r="L175" s="19">
        <f>MAX(IF(ISNA(VLOOKUP(B175,'NÖBV 1'!$B$3:$C$34,2,FALSE))=TRUE,0,VLOOKUP(B175,'NÖBV 1'!$B$3:$C$34,2,FALSE)),IF(ISNA(VLOOKUP(B175,'NÖBV 1'!$F$3:$G$34,2,FALSE))=TRUE,0,VLOOKUP(B175,'NÖBV 1'!$F$3:$G$34,2,FALSE)),IF(ISNA(VLOOKUP(B175,'NÖBV 1'!$J$3:$K$34,2,FALSE))=TRUE,0,VLOOKUP(B175,'NÖBV 1'!$J$3:$K$34,2,FALSE)),IF(ISNA(VLOOKUP(B175,'NÖBV 1'!$N$3:$O$34,2,FALSE))=TRUE,0,VLOOKUP(B175,'NÖBV 1'!$N$3:$O$34,2,FALSE)))</f>
        <v>0</v>
      </c>
      <c r="M175" s="19">
        <f>MAX(IF(ISNA(VLOOKUP(B175,'NÖBV 2'!$B$3:$C$34,2,FALSE))=TRUE,0,VLOOKUP(B175,'NÖBV 2'!$B$3:$C$34,2,FALSE)),IF(ISNA(VLOOKUP(B175,'NÖBV 2'!$F$3:$G$34,2,FALSE))=TRUE,0,VLOOKUP(B175,'NÖBV 2'!$F$3:$G$34,2,FALSE)),IF(ISNA(VLOOKUP(B175,'NÖBV 2'!$J$3:$K$34,2,FALSE))=TRUE,0,VLOOKUP(B175,'NÖBV 2'!$J$3:$K$34,2,FALSE)),IF(ISNA(VLOOKUP(B175,'NÖBV 2'!$N$3:$O$34,2,FALSE))=TRUE,0,VLOOKUP(B175,'NÖBV 2'!$N$3:$O$34,2,FALSE)))</f>
        <v>0</v>
      </c>
      <c r="N175" s="19">
        <f>MAX(IF(ISNA(VLOOKUP(B175,'NÖBV 3'!$B$3:$C$34,2,FALSE))=TRUE,0,VLOOKUP(B175,'NÖBV 3'!$B$3:$C$34,2,FALSE)),IF(ISNA(VLOOKUP(B175,'NÖBV 3'!$F$3:$G$34,2,FALSE))=TRUE,0,VLOOKUP(B175,'NÖBV 3'!$F$3:$G$34,2,FALSE)),IF(ISNA(VLOOKUP(B175,'NÖBV 3'!$J$3:$K$34,2,FALSE))=TRUE,0,VLOOKUP(B175,'NÖBV 3'!$J$3:$K$34,2,FALSE)),IF(ISNA(VLOOKUP(B175,'NÖBV 3'!$N$3:$O$34,2,FALSE))=TRUE,0,VLOOKUP(B175,'NÖBV 3'!$N$3:$O$34,2,FALSE)))</f>
        <v>0</v>
      </c>
      <c r="O175" s="15">
        <f>MAX(IF(ISNA(VLOOKUP(B175,'Regioturnier 1'!$B$3:$C$34,2,FALSE))=TRUE,0,VLOOKUP(B175,'Regioturnier 1'!$B$3:$C$34,2,FALSE)),IF(ISNA(VLOOKUP(B175,'Regioturnier 1'!$F$3:$G$34,2,FALSE))=TRUE,0,VLOOKUP(B175,'Regioturnier 1'!$F$3:$G$34,2,FALSE)),IF(ISNA(VLOOKUP(B175,'Regioturnier 1'!$J$3:$K$34,2,FALSE))=TRUE,0,VLOOKUP(B175,'Regioturnier 1'!$J$3:$K$34,2,FALSE)),IF(ISNA(VLOOKUP(B175,'Regioturnier 1'!$N$3:$O$34,2,FALSE))=TRUE,0,VLOOKUP(B175,'Regioturnier 1'!$N$3:$O$34,2,FALSE)),IF(ISNA(VLOOKUP(B175,'Regioturnier 1'!$R$3:$S$34,2,FALSE))=TRUE,0,VLOOKUP(B175,'Regioturnier 1'!$R$3:$S$34,2,FALSE)), IF(ISNA(VLOOKUP(B175,'Regioturnier 1'!$V$3:$W$34,2,FALSE))=TRUE,0,VLOOKUP(B175,'Regioturnier 1'!$V$3:$W$34,2,FALSE)), IF(ISNA(VLOOKUP(B175,'Regioturnier 1'!$Z$3:$AA$34,2,FALSE))=TRUE,0,VLOOKUP(B175,'Regioturnier 1'!$Z$3:$AA$34,2,FALSE)))</f>
        <v>0</v>
      </c>
      <c r="P175" s="15">
        <f>MAX(IF(ISNA(VLOOKUP(B175,'Regioturnier 2'!$B$3:$C$34,2,FALSE))=TRUE,0,VLOOKUP(B175,'Regioturnier 2'!$B$3:$C$34,2,FALSE)),IF(ISNA(VLOOKUP(B175,'Regioturnier 2'!$F$3:$G$34,2,FALSE))=TRUE,0,VLOOKUP(B175,'Regioturnier 2'!$F$3:$G$34,2,FALSE)),IF(ISNA(VLOOKUP(B175,'Regioturnier 2'!$J$3:$K$34,2,FALSE))=TRUE,0,VLOOKUP(B175,'Regioturnier 2'!$J$3:$K$34,2,FALSE)),IF(ISNA(VLOOKUP(B175,'Regioturnier 2'!$N$3:$O$34,2,FALSE))=TRUE,0,VLOOKUP(B175,'Regioturnier 2'!$N$3:$O$34,2,FALSE)),IF(ISNA(VLOOKUP(B175,'Regioturnier 2'!$R$3:$S$34,2,FALSE))=TRUE,0,VLOOKUP(B175,'Regioturnier 2'!$R$3:$S$34,2,FALSE)), IF(ISNA(VLOOKUP(B175,'Regioturnier 2'!$V$3:$W$34,2,FALSE))=TRUE,0,VLOOKUP(B175,'Regioturnier 2'!$V$3:$W$34,2,FALSE)), IF(ISNA(VLOOKUP(B175,'Regioturnier 2'!$Z$3:$AA$34,2,FALSE))=TRUE,0,VLOOKUP(B175,'Regioturnier 2'!$Z$3:$AA$34,2,FALSE)))</f>
        <v>0</v>
      </c>
      <c r="Q175" s="15">
        <f>MAX(IF(ISNA(VLOOKUP(B175,'Regioturnier 3'!$B$3:$C$34,2,FALSE))=TRUE,0,VLOOKUP(B175,'Regioturnier 3'!$B$3:$C$34,2,FALSE)),IF(ISNA(VLOOKUP(B175,'Regioturnier 3'!$F$3:$G$34,2,FALSE))=TRUE,0,VLOOKUP(B175,'Regioturnier 3'!$F$3:$G$34,2,FALSE)),IF(ISNA(VLOOKUP(B175,'Regioturnier 3'!$J$3:$K$34,2,FALSE))=TRUE,0,VLOOKUP(B175,'Regioturnier 3'!$J$3:$K$34,2,FALSE)),IF(ISNA(VLOOKUP(B175,'Regioturnier 3'!$N$3:$O$34,2,FALSE))=TRUE,0,VLOOKUP(B175,'Regioturnier 3'!$N$3:$O$34,2,FALSE)),IF(ISNA(VLOOKUP(B175,'Regioturnier 3'!$R$3:$S$34,2,FALSE))=TRUE,0,VLOOKUP(B175,'Regioturnier 3'!$R$3:$S$34,2,FALSE)), IF(ISNA(VLOOKUP(B175,'Regioturnier 3'!$V$3:$W$34,2,FALSE))=TRUE,0,VLOOKUP(B175,'Regioturnier 3'!$V$3:$W$34,2,FALSE)), IF(ISNA(VLOOKUP(B175,'Regioturnier 3'!$Z$3:$AA$34,2,FALSE))=TRUE,0,VLOOKUP(B175,'Regioturnier 3'!$Z$3:$AA$34,2,FALSE)))</f>
        <v>0</v>
      </c>
      <c r="R175" s="20">
        <f>0.5*INDEX($H175:$N175,MATCH(LARGE($H175:$N175,1),$H175:$N175,0))+0.3*INDEX($H175:$N175,MATCH(LARGE($H175:$N175,2),$H175:$N175,0))+0.2*INDEX($H175:$N175,MATCH(LARGE($H175:$N175,3),$H175:$N175,0))</f>
        <v>0</v>
      </c>
      <c r="S175" s="20">
        <f>0.6*INDEX(O175:Q175,MATCH(LARGE(O175:Q175,1),O175:Q175,0))+0.4*INDEX(O175:Q175,MATCH(LARGE(O175:Q175,2),O175:Q175,0))+0*INDEX(O175:Q175,MATCH(LARGE(O175:Q175,3),O175:Q175,0))</f>
        <v>0</v>
      </c>
      <c r="T175" s="15">
        <f>1*INDEX(R175:S175,MATCH(LARGE(R175:S175,1),R175:S175,0))+0*INDEX(R175:S175,MATCH(LARGE(R175:S175,2),R175:S175,0))</f>
        <v>0</v>
      </c>
      <c r="U175" s="21"/>
      <c r="V175" s="21"/>
      <c r="W175" s="21"/>
      <c r="X175" s="21"/>
      <c r="Y175" s="21"/>
      <c r="Z175" s="21"/>
    </row>
    <row r="176" spans="1:26" ht="12.75" customHeight="1" x14ac:dyDescent="0.3">
      <c r="A176" s="15">
        <v>175</v>
      </c>
      <c r="B176" s="16" t="s">
        <v>52</v>
      </c>
      <c r="C176" s="17" t="s">
        <v>21</v>
      </c>
      <c r="D176" s="15" t="s">
        <v>22</v>
      </c>
      <c r="E176" s="18" t="s">
        <v>23</v>
      </c>
      <c r="F176" s="15">
        <v>206736</v>
      </c>
      <c r="G176" s="22">
        <v>2012</v>
      </c>
      <c r="H176" s="15">
        <f>MAX(IF(ISNA(VLOOKUP(B176,'WBV 1'!$B$3:$C$34,2,FALSE))=TRUE,0,VLOOKUP(B176,'WBV 1'!$B$3:$C$34,2,FALSE)),IF(ISNA(VLOOKUP(B176,'WBV 1'!$F$3:$G$34,2,FALSE))=TRUE,0,VLOOKUP(B176,'WBV 1'!$F$3:$G$34,2,FALSE)),IF(ISNA(VLOOKUP(B176,'WBV 1'!$J$3:$K$34,2,FALSE))=TRUE,0,VLOOKUP(B176,'WBV 1'!$J$3:$K$34,2,FALSE)),IF(ISNA(VLOOKUP(B176,'WBV 1'!$N$3:$O$34,2,FALSE))=TRUE,0,VLOOKUP(B176,'WBV 1'!$N$3:$O$34,2,FALSE)))</f>
        <v>0</v>
      </c>
      <c r="I176" s="15">
        <f>MAX(IF(ISNA(VLOOKUP(B176,'WBV 2'!$B$3:$C$34,2,FALSE))=TRUE,0,VLOOKUP(B176,'WBV 2'!$B$3:$C$34,2,FALSE)),IF(ISNA(VLOOKUP(B176,'WBV 2'!$F$3:$G$34,2,FALSE))=TRUE,0,VLOOKUP(B176,'WBV 2'!$F$3:$G$34,2,FALSE)),IF(ISNA(VLOOKUP(B176,'WBV 2'!$J$3:$K$34,2,FALSE))=TRUE,0,VLOOKUP(B176,'WBV 2'!$J$3:$K$34,2,FALSE)),IF(ISNA(VLOOKUP(B176,'WBV 2'!$N$3:$O$34,2,FALSE))=TRUE,0,VLOOKUP(B176,'WBV 2'!$N$3:$O$34,2,FALSE)))</f>
        <v>0</v>
      </c>
      <c r="J176" s="15">
        <f>MAX(IF(ISNA(VLOOKUP(B176,'WBV 3'!$B$3:$C$34,2,FALSE))=TRUE,0,VLOOKUP(B176,'WBV 3'!$B$3:$C$34,2,FALSE)),IF(ISNA(VLOOKUP(B176,'WBV 3'!$F$3:$G$34,2,FALSE))=TRUE,0,VLOOKUP(B176,'WBV 3'!$F$3:$G$34,2,FALSE)),IF(ISNA(VLOOKUP(B176,'WBV 3'!$J$3:$K$34,2,FALSE))=TRUE,0,VLOOKUP(B176,'WBV 3'!$J$3:$K$34,2,FALSE)),IF(ISNA(VLOOKUP(B176,'WBV 3'!$N$3:$O$34,2,FALSE))=TRUE,0,VLOOKUP(B176,'WBV 3'!$N$3:$O$34,2,FALSE)))</f>
        <v>0</v>
      </c>
      <c r="K176" s="15">
        <f>MAX(IF(ISNA(VLOOKUP(B176,'WBV 4'!$B$3:$C$34,2,FALSE))=TRUE,0,VLOOKUP(B176,'WBV 4'!$B$3:$C$34,2,FALSE)),IF(ISNA(VLOOKUP(B176,'WBV 4'!$F$3:$G$34,2,FALSE))=TRUE,0,VLOOKUP(B176,'WBV 4'!$F$3:$G$34,2,FALSE)),IF(ISNA(VLOOKUP(B176,'WBV 4'!$J$3:$K$34,2,FALSE))=TRUE,0,VLOOKUP(B176,'WBV 4'!$J$3:$K$34,2,FALSE)),IF(ISNA(VLOOKUP(B176,'WBV 4'!$N$3:$O$34,2,FALSE))=TRUE,0,VLOOKUP(B176,'WBV 4'!$N$3:$O$34,2,FALSE)))</f>
        <v>0</v>
      </c>
      <c r="L176" s="19">
        <f>MAX(IF(ISNA(VLOOKUP(B176,'NÖBV 1'!$B$3:$C$34,2,FALSE))=TRUE,0,VLOOKUP(B176,'NÖBV 1'!$B$3:$C$34,2,FALSE)),IF(ISNA(VLOOKUP(B176,'NÖBV 1'!$F$3:$G$34,2,FALSE))=TRUE,0,VLOOKUP(B176,'NÖBV 1'!$F$3:$G$34,2,FALSE)),IF(ISNA(VLOOKUP(B176,'NÖBV 1'!$J$3:$K$34,2,FALSE))=TRUE,0,VLOOKUP(B176,'NÖBV 1'!$J$3:$K$34,2,FALSE)),IF(ISNA(VLOOKUP(B176,'NÖBV 1'!$N$3:$O$34,2,FALSE))=TRUE,0,VLOOKUP(B176,'NÖBV 1'!$N$3:$O$34,2,FALSE)))</f>
        <v>0</v>
      </c>
      <c r="M176" s="19">
        <f>MAX(IF(ISNA(VLOOKUP(B176,'NÖBV 2'!$B$3:$C$34,2,FALSE))=TRUE,0,VLOOKUP(B176,'NÖBV 2'!$B$3:$C$34,2,FALSE)),IF(ISNA(VLOOKUP(B176,'NÖBV 2'!$F$3:$G$34,2,FALSE))=TRUE,0,VLOOKUP(B176,'NÖBV 2'!$F$3:$G$34,2,FALSE)),IF(ISNA(VLOOKUP(B176,'NÖBV 2'!$J$3:$K$34,2,FALSE))=TRUE,0,VLOOKUP(B176,'NÖBV 2'!$J$3:$K$34,2,FALSE)),IF(ISNA(VLOOKUP(B176,'NÖBV 2'!$N$3:$O$34,2,FALSE))=TRUE,0,VLOOKUP(B176,'NÖBV 2'!$N$3:$O$34,2,FALSE)))</f>
        <v>0</v>
      </c>
      <c r="N176" s="19">
        <f>MAX(IF(ISNA(VLOOKUP(B176,'NÖBV 3'!$B$3:$C$34,2,FALSE))=TRUE,0,VLOOKUP(B176,'NÖBV 3'!$B$3:$C$34,2,FALSE)),IF(ISNA(VLOOKUP(B176,'NÖBV 3'!$F$3:$G$34,2,FALSE))=TRUE,0,VLOOKUP(B176,'NÖBV 3'!$F$3:$G$34,2,FALSE)),IF(ISNA(VLOOKUP(B176,'NÖBV 3'!$J$3:$K$34,2,FALSE))=TRUE,0,VLOOKUP(B176,'NÖBV 3'!$J$3:$K$34,2,FALSE)),IF(ISNA(VLOOKUP(B176,'NÖBV 3'!$N$3:$O$34,2,FALSE))=TRUE,0,VLOOKUP(B176,'NÖBV 3'!$N$3:$O$34,2,FALSE)))</f>
        <v>0</v>
      </c>
      <c r="O176" s="15">
        <f>MAX(IF(ISNA(VLOOKUP(B176,'Regioturnier 1'!$B$3:$C$34,2,FALSE))=TRUE,0,VLOOKUP(B176,'Regioturnier 1'!$B$3:$C$34,2,FALSE)),IF(ISNA(VLOOKUP(B176,'Regioturnier 1'!$F$3:$G$34,2,FALSE))=TRUE,0,VLOOKUP(B176,'Regioturnier 1'!$F$3:$G$34,2,FALSE)),IF(ISNA(VLOOKUP(B176,'Regioturnier 1'!$J$3:$K$34,2,FALSE))=TRUE,0,VLOOKUP(B176,'Regioturnier 1'!$J$3:$K$34,2,FALSE)),IF(ISNA(VLOOKUP(B176,'Regioturnier 1'!$N$3:$O$34,2,FALSE))=TRUE,0,VLOOKUP(B176,'Regioturnier 1'!$N$3:$O$34,2,FALSE)),IF(ISNA(VLOOKUP(B176,'Regioturnier 1'!$R$3:$S$34,2,FALSE))=TRUE,0,VLOOKUP(B176,'Regioturnier 1'!$R$3:$S$34,2,FALSE)), IF(ISNA(VLOOKUP(B176,'Regioturnier 1'!$V$3:$W$34,2,FALSE))=TRUE,0,VLOOKUP(B176,'Regioturnier 1'!$V$3:$W$34,2,FALSE)), IF(ISNA(VLOOKUP(B176,'Regioturnier 1'!$Z$3:$AA$34,2,FALSE))=TRUE,0,VLOOKUP(B176,'Regioturnier 1'!$Z$3:$AA$34,2,FALSE)))</f>
        <v>0</v>
      </c>
      <c r="P176" s="15">
        <f>MAX(IF(ISNA(VLOOKUP(B176,'Regioturnier 2'!$B$3:$C$34,2,FALSE))=TRUE,0,VLOOKUP(B176,'Regioturnier 2'!$B$3:$C$34,2,FALSE)),IF(ISNA(VLOOKUP(B176,'Regioturnier 2'!$F$3:$G$34,2,FALSE))=TRUE,0,VLOOKUP(B176,'Regioturnier 2'!$F$3:$G$34,2,FALSE)),IF(ISNA(VLOOKUP(B176,'Regioturnier 2'!$J$3:$K$34,2,FALSE))=TRUE,0,VLOOKUP(B176,'Regioturnier 2'!$J$3:$K$34,2,FALSE)),IF(ISNA(VLOOKUP(B176,'Regioturnier 2'!$N$3:$O$34,2,FALSE))=TRUE,0,VLOOKUP(B176,'Regioturnier 2'!$N$3:$O$34,2,FALSE)),IF(ISNA(VLOOKUP(B176,'Regioturnier 2'!$R$3:$S$34,2,FALSE))=TRUE,0,VLOOKUP(B176,'Regioturnier 2'!$R$3:$S$34,2,FALSE)), IF(ISNA(VLOOKUP(B176,'Regioturnier 2'!$V$3:$W$34,2,FALSE))=TRUE,0,VLOOKUP(B176,'Regioturnier 2'!$V$3:$W$34,2,FALSE)), IF(ISNA(VLOOKUP(B176,'Regioturnier 2'!$Z$3:$AA$34,2,FALSE))=TRUE,0,VLOOKUP(B176,'Regioturnier 2'!$Z$3:$AA$34,2,FALSE)))</f>
        <v>0</v>
      </c>
      <c r="Q176" s="15">
        <f>MAX(IF(ISNA(VLOOKUP(B176,'Regioturnier 3'!$B$3:$C$34,2,FALSE))=TRUE,0,VLOOKUP(B176,'Regioturnier 3'!$B$3:$C$34,2,FALSE)),IF(ISNA(VLOOKUP(B176,'Regioturnier 3'!$F$3:$G$34,2,FALSE))=TRUE,0,VLOOKUP(B176,'Regioturnier 3'!$F$3:$G$34,2,FALSE)),IF(ISNA(VLOOKUP(B176,'Regioturnier 3'!$J$3:$K$34,2,FALSE))=TRUE,0,VLOOKUP(B176,'Regioturnier 3'!$J$3:$K$34,2,FALSE)),IF(ISNA(VLOOKUP(B176,'Regioturnier 3'!$N$3:$O$34,2,FALSE))=TRUE,0,VLOOKUP(B176,'Regioturnier 3'!$N$3:$O$34,2,FALSE)),IF(ISNA(VLOOKUP(B176,'Regioturnier 3'!$R$3:$S$34,2,FALSE))=TRUE,0,VLOOKUP(B176,'Regioturnier 3'!$R$3:$S$34,2,FALSE)), IF(ISNA(VLOOKUP(B176,'Regioturnier 3'!$V$3:$W$34,2,FALSE))=TRUE,0,VLOOKUP(B176,'Regioturnier 3'!$V$3:$W$34,2,FALSE)), IF(ISNA(VLOOKUP(B176,'Regioturnier 3'!$Z$3:$AA$34,2,FALSE))=TRUE,0,VLOOKUP(B176,'Regioturnier 3'!$Z$3:$AA$34,2,FALSE)))</f>
        <v>0</v>
      </c>
      <c r="R176" s="20">
        <f>0.5*INDEX($H176:$N176,MATCH(LARGE($H176:$N176,1),$H176:$N176,0))+0.3*INDEX($H176:$N176,MATCH(LARGE($H176:$N176,2),$H176:$N176,0))+0.2*INDEX($H176:$N176,MATCH(LARGE($H176:$N176,3),$H176:$N176,0))</f>
        <v>0</v>
      </c>
      <c r="S176" s="20">
        <f>0.6*INDEX(O176:Q176,MATCH(LARGE(O176:Q176,1),O176:Q176,0))+0.4*INDEX(O176:Q176,MATCH(LARGE(O176:Q176,2),O176:Q176,0))+0*INDEX(O176:Q176,MATCH(LARGE(O176:Q176,3),O176:Q176,0))</f>
        <v>0</v>
      </c>
      <c r="T176" s="15">
        <f>1*INDEX(R176:S176,MATCH(LARGE(R176:S176,1),R176:S176,0))+0*INDEX(R176:S176,MATCH(LARGE(R176:S176,2),R176:S176,0))</f>
        <v>0</v>
      </c>
      <c r="U176" s="21"/>
      <c r="V176" s="21"/>
      <c r="W176" s="21"/>
      <c r="X176" s="21"/>
      <c r="Y176" s="21"/>
      <c r="Z176" s="21"/>
    </row>
    <row r="177" spans="1:26" ht="12.75" customHeight="1" x14ac:dyDescent="0.3">
      <c r="A177" s="15">
        <v>176</v>
      </c>
      <c r="B177" s="16" t="s">
        <v>194</v>
      </c>
      <c r="C177" s="17" t="s">
        <v>54</v>
      </c>
      <c r="D177" s="15" t="s">
        <v>22</v>
      </c>
      <c r="E177" s="18" t="s">
        <v>23</v>
      </c>
      <c r="F177" s="15" t="s">
        <v>195</v>
      </c>
      <c r="G177" s="22">
        <v>2010</v>
      </c>
      <c r="H177" s="15">
        <f>MAX(IF(ISNA(VLOOKUP(B177,'WBV 1'!$B$3:$C$34,2,FALSE))=TRUE,0,VLOOKUP(B177,'WBV 1'!$B$3:$C$34,2,FALSE)),IF(ISNA(VLOOKUP(B177,'WBV 1'!$F$3:$G$34,2,FALSE))=TRUE,0,VLOOKUP(B177,'WBV 1'!$F$3:$G$34,2,FALSE)),IF(ISNA(VLOOKUP(B177,'WBV 1'!$J$3:$K$34,2,FALSE))=TRUE,0,VLOOKUP(B177,'WBV 1'!$J$3:$K$34,2,FALSE)),IF(ISNA(VLOOKUP(B177,'WBV 1'!$N$3:$O$34,2,FALSE))=TRUE,0,VLOOKUP(B177,'WBV 1'!$N$3:$O$34,2,FALSE)))</f>
        <v>0</v>
      </c>
      <c r="I177" s="15">
        <f>MAX(IF(ISNA(VLOOKUP(B177,'WBV 2'!$B$3:$C$34,2,FALSE))=TRUE,0,VLOOKUP(B177,'WBV 2'!$B$3:$C$34,2,FALSE)),IF(ISNA(VLOOKUP(B177,'WBV 2'!$F$3:$G$34,2,FALSE))=TRUE,0,VLOOKUP(B177,'WBV 2'!$F$3:$G$34,2,FALSE)),IF(ISNA(VLOOKUP(B177,'WBV 2'!$J$3:$K$34,2,FALSE))=TRUE,0,VLOOKUP(B177,'WBV 2'!$J$3:$K$34,2,FALSE)),IF(ISNA(VLOOKUP(B177,'WBV 2'!$N$3:$O$34,2,FALSE))=TRUE,0,VLOOKUP(B177,'WBV 2'!$N$3:$O$34,2,FALSE)))</f>
        <v>0</v>
      </c>
      <c r="J177" s="15">
        <f>MAX(IF(ISNA(VLOOKUP(B177,'WBV 3'!$B$3:$C$34,2,FALSE))=TRUE,0,VLOOKUP(B177,'WBV 3'!$B$3:$C$34,2,FALSE)),IF(ISNA(VLOOKUP(B177,'WBV 3'!$F$3:$G$34,2,FALSE))=TRUE,0,VLOOKUP(B177,'WBV 3'!$F$3:$G$34,2,FALSE)),IF(ISNA(VLOOKUP(B177,'WBV 3'!$J$3:$K$34,2,FALSE))=TRUE,0,VLOOKUP(B177,'WBV 3'!$J$3:$K$34,2,FALSE)),IF(ISNA(VLOOKUP(B177,'WBV 3'!$N$3:$O$34,2,FALSE))=TRUE,0,VLOOKUP(B177,'WBV 3'!$N$3:$O$34,2,FALSE)))</f>
        <v>0</v>
      </c>
      <c r="K177" s="15">
        <f>MAX(IF(ISNA(VLOOKUP(B177,'WBV 4'!$B$3:$C$34,2,FALSE))=TRUE,0,VLOOKUP(B177,'WBV 4'!$B$3:$C$34,2,FALSE)),IF(ISNA(VLOOKUP(B177,'WBV 4'!$F$3:$G$34,2,FALSE))=TRUE,0,VLOOKUP(B177,'WBV 4'!$F$3:$G$34,2,FALSE)),IF(ISNA(VLOOKUP(B177,'WBV 4'!$J$3:$K$34,2,FALSE))=TRUE,0,VLOOKUP(B177,'WBV 4'!$J$3:$K$34,2,FALSE)),IF(ISNA(VLOOKUP(B177,'WBV 4'!$N$3:$O$34,2,FALSE))=TRUE,0,VLOOKUP(B177,'WBV 4'!$N$3:$O$34,2,FALSE)))</f>
        <v>0</v>
      </c>
      <c r="L177" s="19">
        <f>MAX(IF(ISNA(VLOOKUP(B177,'NÖBV 1'!$B$3:$C$34,2,FALSE))=TRUE,0,VLOOKUP(B177,'NÖBV 1'!$B$3:$C$34,2,FALSE)),IF(ISNA(VLOOKUP(B177,'NÖBV 1'!$F$3:$G$34,2,FALSE))=TRUE,0,VLOOKUP(B177,'NÖBV 1'!$F$3:$G$34,2,FALSE)),IF(ISNA(VLOOKUP(B177,'NÖBV 1'!$J$3:$K$34,2,FALSE))=TRUE,0,VLOOKUP(B177,'NÖBV 1'!$J$3:$K$34,2,FALSE)),IF(ISNA(VLOOKUP(B177,'NÖBV 1'!$N$3:$O$34,2,FALSE))=TRUE,0,VLOOKUP(B177,'NÖBV 1'!$N$3:$O$34,2,FALSE)))</f>
        <v>0</v>
      </c>
      <c r="M177" s="19">
        <f>MAX(IF(ISNA(VLOOKUP(B177,'NÖBV 2'!$B$3:$C$34,2,FALSE))=TRUE,0,VLOOKUP(B177,'NÖBV 2'!$B$3:$C$34,2,FALSE)),IF(ISNA(VLOOKUP(B177,'NÖBV 2'!$F$3:$G$34,2,FALSE))=TRUE,0,VLOOKUP(B177,'NÖBV 2'!$F$3:$G$34,2,FALSE)),IF(ISNA(VLOOKUP(B177,'NÖBV 2'!$J$3:$K$34,2,FALSE))=TRUE,0,VLOOKUP(B177,'NÖBV 2'!$J$3:$K$34,2,FALSE)),IF(ISNA(VLOOKUP(B177,'NÖBV 2'!$N$3:$O$34,2,FALSE))=TRUE,0,VLOOKUP(B177,'NÖBV 2'!$N$3:$O$34,2,FALSE)))</f>
        <v>0</v>
      </c>
      <c r="N177" s="19">
        <f>MAX(IF(ISNA(VLOOKUP(B177,'NÖBV 3'!$B$3:$C$34,2,FALSE))=TRUE,0,VLOOKUP(B177,'NÖBV 3'!$B$3:$C$34,2,FALSE)),IF(ISNA(VLOOKUP(B177,'NÖBV 3'!$F$3:$G$34,2,FALSE))=TRUE,0,VLOOKUP(B177,'NÖBV 3'!$F$3:$G$34,2,FALSE)),IF(ISNA(VLOOKUP(B177,'NÖBV 3'!$J$3:$K$34,2,FALSE))=TRUE,0,VLOOKUP(B177,'NÖBV 3'!$J$3:$K$34,2,FALSE)),IF(ISNA(VLOOKUP(B177,'NÖBV 3'!$N$3:$O$34,2,FALSE))=TRUE,0,VLOOKUP(B177,'NÖBV 3'!$N$3:$O$34,2,FALSE)))</f>
        <v>0</v>
      </c>
      <c r="O177" s="15">
        <f>MAX(IF(ISNA(VLOOKUP(B177,'Regioturnier 1'!$B$3:$C$34,2,FALSE))=TRUE,0,VLOOKUP(B177,'Regioturnier 1'!$B$3:$C$34,2,FALSE)),IF(ISNA(VLOOKUP(B177,'Regioturnier 1'!$F$3:$G$34,2,FALSE))=TRUE,0,VLOOKUP(B177,'Regioturnier 1'!$F$3:$G$34,2,FALSE)),IF(ISNA(VLOOKUP(B177,'Regioturnier 1'!$J$3:$K$34,2,FALSE))=TRUE,0,VLOOKUP(B177,'Regioturnier 1'!$J$3:$K$34,2,FALSE)),IF(ISNA(VLOOKUP(B177,'Regioturnier 1'!$N$3:$O$34,2,FALSE))=TRUE,0,VLOOKUP(B177,'Regioturnier 1'!$N$3:$O$34,2,FALSE)),IF(ISNA(VLOOKUP(B177,'Regioturnier 1'!$R$3:$S$34,2,FALSE))=TRUE,0,VLOOKUP(B177,'Regioturnier 1'!$R$3:$S$34,2,FALSE)), IF(ISNA(VLOOKUP(B177,'Regioturnier 1'!$V$3:$W$34,2,FALSE))=TRUE,0,VLOOKUP(B177,'Regioturnier 1'!$V$3:$W$34,2,FALSE)), IF(ISNA(VLOOKUP(B177,'Regioturnier 1'!$Z$3:$AA$34,2,FALSE))=TRUE,0,VLOOKUP(B177,'Regioturnier 1'!$Z$3:$AA$34,2,FALSE)))</f>
        <v>0</v>
      </c>
      <c r="P177" s="15">
        <f>MAX(IF(ISNA(VLOOKUP(B177,'Regioturnier 2'!$B$3:$C$34,2,FALSE))=TRUE,0,VLOOKUP(B177,'Regioturnier 2'!$B$3:$C$34,2,FALSE)),IF(ISNA(VLOOKUP(B177,'Regioturnier 2'!$F$3:$G$34,2,FALSE))=TRUE,0,VLOOKUP(B177,'Regioturnier 2'!$F$3:$G$34,2,FALSE)),IF(ISNA(VLOOKUP(B177,'Regioturnier 2'!$J$3:$K$34,2,FALSE))=TRUE,0,VLOOKUP(B177,'Regioturnier 2'!$J$3:$K$34,2,FALSE)),IF(ISNA(VLOOKUP(B177,'Regioturnier 2'!$N$3:$O$34,2,FALSE))=TRUE,0,VLOOKUP(B177,'Regioturnier 2'!$N$3:$O$34,2,FALSE)),IF(ISNA(VLOOKUP(B177,'Regioturnier 2'!$R$3:$S$34,2,FALSE))=TRUE,0,VLOOKUP(B177,'Regioturnier 2'!$R$3:$S$34,2,FALSE)), IF(ISNA(VLOOKUP(B177,'Regioturnier 2'!$V$3:$W$34,2,FALSE))=TRUE,0,VLOOKUP(B177,'Regioturnier 2'!$V$3:$W$34,2,FALSE)), IF(ISNA(VLOOKUP(B177,'Regioturnier 2'!$Z$3:$AA$34,2,FALSE))=TRUE,0,VLOOKUP(B177,'Regioturnier 2'!$Z$3:$AA$34,2,FALSE)))</f>
        <v>0</v>
      </c>
      <c r="Q177" s="15">
        <f>MAX(IF(ISNA(VLOOKUP(B177,'Regioturnier 3'!$B$3:$C$34,2,FALSE))=TRUE,0,VLOOKUP(B177,'Regioturnier 3'!$B$3:$C$34,2,FALSE)),IF(ISNA(VLOOKUP(B177,'Regioturnier 3'!$F$3:$G$34,2,FALSE))=TRUE,0,VLOOKUP(B177,'Regioturnier 3'!$F$3:$G$34,2,FALSE)),IF(ISNA(VLOOKUP(B177,'Regioturnier 3'!$J$3:$K$34,2,FALSE))=TRUE,0,VLOOKUP(B177,'Regioturnier 3'!$J$3:$K$34,2,FALSE)),IF(ISNA(VLOOKUP(B177,'Regioturnier 3'!$N$3:$O$34,2,FALSE))=TRUE,0,VLOOKUP(B177,'Regioturnier 3'!$N$3:$O$34,2,FALSE)),IF(ISNA(VLOOKUP(B177,'Regioturnier 3'!$R$3:$S$34,2,FALSE))=TRUE,0,VLOOKUP(B177,'Regioturnier 3'!$R$3:$S$34,2,FALSE)), IF(ISNA(VLOOKUP(B177,'Regioturnier 3'!$V$3:$W$34,2,FALSE))=TRUE,0,VLOOKUP(B177,'Regioturnier 3'!$V$3:$W$34,2,FALSE)), IF(ISNA(VLOOKUP(B177,'Regioturnier 3'!$Z$3:$AA$34,2,FALSE))=TRUE,0,VLOOKUP(B177,'Regioturnier 3'!$Z$3:$AA$34,2,FALSE)))</f>
        <v>0</v>
      </c>
      <c r="R177" s="20">
        <f>0.5*INDEX($H177:$N177,MATCH(LARGE($H177:$N177,1),$H177:$N177,0))+0.3*INDEX($H177:$N177,MATCH(LARGE($H177:$N177,2),$H177:$N177,0))+0.2*INDEX($H177:$N177,MATCH(LARGE($H177:$N177,3),$H177:$N177,0))</f>
        <v>0</v>
      </c>
      <c r="S177" s="20">
        <f>0.6*INDEX(O177:Q177,MATCH(LARGE(O177:Q177,1),O177:Q177,0))+0.4*INDEX(O177:Q177,MATCH(LARGE(O177:Q177,2),O177:Q177,0))+0*INDEX(O177:Q177,MATCH(LARGE(O177:Q177,3),O177:Q177,0))</f>
        <v>0</v>
      </c>
      <c r="T177" s="15">
        <f>1*INDEX(R177:S177,MATCH(LARGE(R177:S177,1),R177:S177,0))+0*INDEX(R177:S177,MATCH(LARGE(R177:S177,2),R177:S177,0))</f>
        <v>0</v>
      </c>
      <c r="U177" s="21"/>
      <c r="V177" s="21"/>
      <c r="W177" s="21"/>
      <c r="X177" s="21"/>
      <c r="Y177" s="21"/>
      <c r="Z177" s="21"/>
    </row>
    <row r="178" spans="1:26" ht="12.75" customHeight="1" x14ac:dyDescent="0.3">
      <c r="A178" s="15">
        <v>177</v>
      </c>
      <c r="B178" s="16" t="s">
        <v>196</v>
      </c>
      <c r="C178" s="17" t="s">
        <v>181</v>
      </c>
      <c r="D178" s="15" t="s">
        <v>22</v>
      </c>
      <c r="E178" s="18" t="s">
        <v>23</v>
      </c>
      <c r="F178" s="15">
        <v>209255</v>
      </c>
      <c r="G178" s="22">
        <v>2009</v>
      </c>
      <c r="H178" s="15">
        <f>MAX(IF(ISNA(VLOOKUP(B178,'WBV 1'!$B$3:$C$34,2,FALSE))=TRUE,0,VLOOKUP(B178,'WBV 1'!$B$3:$C$34,2,FALSE)),IF(ISNA(VLOOKUP(B178,'WBV 1'!$F$3:$G$34,2,FALSE))=TRUE,0,VLOOKUP(B178,'WBV 1'!$F$3:$G$34,2,FALSE)),IF(ISNA(VLOOKUP(B178,'WBV 1'!$J$3:$K$34,2,FALSE))=TRUE,0,VLOOKUP(B178,'WBV 1'!$J$3:$K$34,2,FALSE)),IF(ISNA(VLOOKUP(B178,'WBV 1'!$N$3:$O$34,2,FALSE))=TRUE,0,VLOOKUP(B178,'WBV 1'!$N$3:$O$34,2,FALSE)))</f>
        <v>0</v>
      </c>
      <c r="I178" s="15">
        <f>MAX(IF(ISNA(VLOOKUP(B178,'WBV 2'!$B$3:$C$34,2,FALSE))=TRUE,0,VLOOKUP(B178,'WBV 2'!$B$3:$C$34,2,FALSE)),IF(ISNA(VLOOKUP(B178,'WBV 2'!$F$3:$G$34,2,FALSE))=TRUE,0,VLOOKUP(B178,'WBV 2'!$F$3:$G$34,2,FALSE)),IF(ISNA(VLOOKUP(B178,'WBV 2'!$J$3:$K$34,2,FALSE))=TRUE,0,VLOOKUP(B178,'WBV 2'!$J$3:$K$34,2,FALSE)),IF(ISNA(VLOOKUP(B178,'WBV 2'!$N$3:$O$34,2,FALSE))=TRUE,0,VLOOKUP(B178,'WBV 2'!$N$3:$O$34,2,FALSE)))</f>
        <v>0</v>
      </c>
      <c r="J178" s="15">
        <f>MAX(IF(ISNA(VLOOKUP(B178,'WBV 3'!$B$3:$C$34,2,FALSE))=TRUE,0,VLOOKUP(B178,'WBV 3'!$B$3:$C$34,2,FALSE)),IF(ISNA(VLOOKUP(B178,'WBV 3'!$F$3:$G$34,2,FALSE))=TRUE,0,VLOOKUP(B178,'WBV 3'!$F$3:$G$34,2,FALSE)),IF(ISNA(VLOOKUP(B178,'WBV 3'!$J$3:$K$34,2,FALSE))=TRUE,0,VLOOKUP(B178,'WBV 3'!$J$3:$K$34,2,FALSE)),IF(ISNA(VLOOKUP(B178,'WBV 3'!$N$3:$O$34,2,FALSE))=TRUE,0,VLOOKUP(B178,'WBV 3'!$N$3:$O$34,2,FALSE)))</f>
        <v>0</v>
      </c>
      <c r="K178" s="15">
        <f>MAX(IF(ISNA(VLOOKUP(B178,'WBV 4'!$B$3:$C$34,2,FALSE))=TRUE,0,VLOOKUP(B178,'WBV 4'!$B$3:$C$34,2,FALSE)),IF(ISNA(VLOOKUP(B178,'WBV 4'!$F$3:$G$34,2,FALSE))=TRUE,0,VLOOKUP(B178,'WBV 4'!$F$3:$G$34,2,FALSE)),IF(ISNA(VLOOKUP(B178,'WBV 4'!$J$3:$K$34,2,FALSE))=TRUE,0,VLOOKUP(B178,'WBV 4'!$J$3:$K$34,2,FALSE)),IF(ISNA(VLOOKUP(B178,'WBV 4'!$N$3:$O$34,2,FALSE))=TRUE,0,VLOOKUP(B178,'WBV 4'!$N$3:$O$34,2,FALSE)))</f>
        <v>0</v>
      </c>
      <c r="L178" s="19">
        <f>MAX(IF(ISNA(VLOOKUP(B178,'NÖBV 1'!$B$3:$C$34,2,FALSE))=TRUE,0,VLOOKUP(B178,'NÖBV 1'!$B$3:$C$34,2,FALSE)),IF(ISNA(VLOOKUP(B178,'NÖBV 1'!$F$3:$G$34,2,FALSE))=TRUE,0,VLOOKUP(B178,'NÖBV 1'!$F$3:$G$34,2,FALSE)),IF(ISNA(VLOOKUP(B178,'NÖBV 1'!$J$3:$K$34,2,FALSE))=TRUE,0,VLOOKUP(B178,'NÖBV 1'!$J$3:$K$34,2,FALSE)),IF(ISNA(VLOOKUP(B178,'NÖBV 1'!$N$3:$O$34,2,FALSE))=TRUE,0,VLOOKUP(B178,'NÖBV 1'!$N$3:$O$34,2,FALSE)))</f>
        <v>0</v>
      </c>
      <c r="M178" s="19">
        <f>MAX(IF(ISNA(VLOOKUP(B178,'NÖBV 2'!$B$3:$C$34,2,FALSE))=TRUE,0,VLOOKUP(B178,'NÖBV 2'!$B$3:$C$34,2,FALSE)),IF(ISNA(VLOOKUP(B178,'NÖBV 2'!$F$3:$G$34,2,FALSE))=TRUE,0,VLOOKUP(B178,'NÖBV 2'!$F$3:$G$34,2,FALSE)),IF(ISNA(VLOOKUP(B178,'NÖBV 2'!$J$3:$K$34,2,FALSE))=TRUE,0,VLOOKUP(B178,'NÖBV 2'!$J$3:$K$34,2,FALSE)),IF(ISNA(VLOOKUP(B178,'NÖBV 2'!$N$3:$O$34,2,FALSE))=TRUE,0,VLOOKUP(B178,'NÖBV 2'!$N$3:$O$34,2,FALSE)))</f>
        <v>0</v>
      </c>
      <c r="N178" s="19">
        <f>MAX(IF(ISNA(VLOOKUP(B178,'NÖBV 3'!$B$3:$C$34,2,FALSE))=TRUE,0,VLOOKUP(B178,'NÖBV 3'!$B$3:$C$34,2,FALSE)),IF(ISNA(VLOOKUP(B178,'NÖBV 3'!$F$3:$G$34,2,FALSE))=TRUE,0,VLOOKUP(B178,'NÖBV 3'!$F$3:$G$34,2,FALSE)),IF(ISNA(VLOOKUP(B178,'NÖBV 3'!$J$3:$K$34,2,FALSE))=TRUE,0,VLOOKUP(B178,'NÖBV 3'!$J$3:$K$34,2,FALSE)),IF(ISNA(VLOOKUP(B178,'NÖBV 3'!$N$3:$O$34,2,FALSE))=TRUE,0,VLOOKUP(B178,'NÖBV 3'!$N$3:$O$34,2,FALSE)))</f>
        <v>0</v>
      </c>
      <c r="O178" s="15">
        <f>MAX(IF(ISNA(VLOOKUP(B178,'Regioturnier 1'!$B$3:$C$34,2,FALSE))=TRUE,0,VLOOKUP(B178,'Regioturnier 1'!$B$3:$C$34,2,FALSE)),IF(ISNA(VLOOKUP(B178,'Regioturnier 1'!$F$3:$G$34,2,FALSE))=TRUE,0,VLOOKUP(B178,'Regioturnier 1'!$F$3:$G$34,2,FALSE)),IF(ISNA(VLOOKUP(B178,'Regioturnier 1'!$J$3:$K$34,2,FALSE))=TRUE,0,VLOOKUP(B178,'Regioturnier 1'!$J$3:$K$34,2,FALSE)),IF(ISNA(VLOOKUP(B178,'Regioturnier 1'!$N$3:$O$34,2,FALSE))=TRUE,0,VLOOKUP(B178,'Regioturnier 1'!$N$3:$O$34,2,FALSE)),IF(ISNA(VLOOKUP(B178,'Regioturnier 1'!$R$3:$S$34,2,FALSE))=TRUE,0,VLOOKUP(B178,'Regioturnier 1'!$R$3:$S$34,2,FALSE)), IF(ISNA(VLOOKUP(B178,'Regioturnier 1'!$V$3:$W$34,2,FALSE))=TRUE,0,VLOOKUP(B178,'Regioturnier 1'!$V$3:$W$34,2,FALSE)), IF(ISNA(VLOOKUP(B178,'Regioturnier 1'!$Z$3:$AA$34,2,FALSE))=TRUE,0,VLOOKUP(B178,'Regioturnier 1'!$Z$3:$AA$34,2,FALSE)))</f>
        <v>0</v>
      </c>
      <c r="P178" s="15">
        <f>MAX(IF(ISNA(VLOOKUP(B178,'Regioturnier 2'!$B$3:$C$34,2,FALSE))=TRUE,0,VLOOKUP(B178,'Regioturnier 2'!$B$3:$C$34,2,FALSE)),IF(ISNA(VLOOKUP(B178,'Regioturnier 2'!$F$3:$G$34,2,FALSE))=TRUE,0,VLOOKUP(B178,'Regioturnier 2'!$F$3:$G$34,2,FALSE)),IF(ISNA(VLOOKUP(B178,'Regioturnier 2'!$J$3:$K$34,2,FALSE))=TRUE,0,VLOOKUP(B178,'Regioturnier 2'!$J$3:$K$34,2,FALSE)),IF(ISNA(VLOOKUP(B178,'Regioturnier 2'!$N$3:$O$34,2,FALSE))=TRUE,0,VLOOKUP(B178,'Regioturnier 2'!$N$3:$O$34,2,FALSE)),IF(ISNA(VLOOKUP(B178,'Regioturnier 2'!$R$3:$S$34,2,FALSE))=TRUE,0,VLOOKUP(B178,'Regioturnier 2'!$R$3:$S$34,2,FALSE)), IF(ISNA(VLOOKUP(B178,'Regioturnier 2'!$V$3:$W$34,2,FALSE))=TRUE,0,VLOOKUP(B178,'Regioturnier 2'!$V$3:$W$34,2,FALSE)), IF(ISNA(VLOOKUP(B178,'Regioturnier 2'!$Z$3:$AA$34,2,FALSE))=TRUE,0,VLOOKUP(B178,'Regioturnier 2'!$Z$3:$AA$34,2,FALSE)))</f>
        <v>0</v>
      </c>
      <c r="Q178" s="15">
        <f>MAX(IF(ISNA(VLOOKUP(B178,'Regioturnier 3'!$B$3:$C$34,2,FALSE))=TRUE,0,VLOOKUP(B178,'Regioturnier 3'!$B$3:$C$34,2,FALSE)),IF(ISNA(VLOOKUP(B178,'Regioturnier 3'!$F$3:$G$34,2,FALSE))=TRUE,0,VLOOKUP(B178,'Regioturnier 3'!$F$3:$G$34,2,FALSE)),IF(ISNA(VLOOKUP(B178,'Regioturnier 3'!$J$3:$K$34,2,FALSE))=TRUE,0,VLOOKUP(B178,'Regioturnier 3'!$J$3:$K$34,2,FALSE)),IF(ISNA(VLOOKUP(B178,'Regioturnier 3'!$N$3:$O$34,2,FALSE))=TRUE,0,VLOOKUP(B178,'Regioturnier 3'!$N$3:$O$34,2,FALSE)),IF(ISNA(VLOOKUP(B178,'Regioturnier 3'!$R$3:$S$34,2,FALSE))=TRUE,0,VLOOKUP(B178,'Regioturnier 3'!$R$3:$S$34,2,FALSE)), IF(ISNA(VLOOKUP(B178,'Regioturnier 3'!$V$3:$W$34,2,FALSE))=TRUE,0,VLOOKUP(B178,'Regioturnier 3'!$V$3:$W$34,2,FALSE)), IF(ISNA(VLOOKUP(B178,'Regioturnier 3'!$Z$3:$AA$34,2,FALSE))=TRUE,0,VLOOKUP(B178,'Regioturnier 3'!$Z$3:$AA$34,2,FALSE)))</f>
        <v>0</v>
      </c>
      <c r="R178" s="20">
        <f>0.5*INDEX($H178:$N178,MATCH(LARGE($H178:$N178,1),$H178:$N178,0))+0.3*INDEX($H178:$N178,MATCH(LARGE($H178:$N178,2),$H178:$N178,0))+0.2*INDEX($H178:$N178,MATCH(LARGE($H178:$N178,3),$H178:$N178,0))</f>
        <v>0</v>
      </c>
      <c r="S178" s="20">
        <f>0.6*INDEX(O178:Q178,MATCH(LARGE(O178:Q178,1),O178:Q178,0))+0.4*INDEX(O178:Q178,MATCH(LARGE(O178:Q178,2),O178:Q178,0))+0*INDEX(O178:Q178,MATCH(LARGE(O178:Q178,3),O178:Q178,0))</f>
        <v>0</v>
      </c>
      <c r="T178" s="15">
        <f>1*INDEX(R178:S178,MATCH(LARGE(R178:S178,1),R178:S178,0))+0*INDEX(R178:S178,MATCH(LARGE(R178:S178,2),R178:S178,0))</f>
        <v>0</v>
      </c>
      <c r="U178" s="21"/>
      <c r="V178" s="21"/>
      <c r="W178" s="21"/>
      <c r="X178" s="21"/>
      <c r="Y178" s="21"/>
      <c r="Z178" s="21"/>
    </row>
    <row r="179" spans="1:26" ht="12.75" customHeight="1" x14ac:dyDescent="0.3">
      <c r="A179" s="15">
        <v>178</v>
      </c>
      <c r="B179" s="16" t="s">
        <v>68</v>
      </c>
      <c r="C179" s="17" t="s">
        <v>54</v>
      </c>
      <c r="D179" s="15" t="s">
        <v>22</v>
      </c>
      <c r="E179" s="18" t="s">
        <v>23</v>
      </c>
      <c r="F179" s="15" t="s">
        <v>69</v>
      </c>
      <c r="G179" s="22">
        <v>2013</v>
      </c>
      <c r="H179" s="15">
        <f>MAX(IF(ISNA(VLOOKUP(B179,'WBV 1'!$B$3:$C$34,2,FALSE))=TRUE,0,VLOOKUP(B179,'WBV 1'!$B$3:$C$34,2,FALSE)),IF(ISNA(VLOOKUP(B179,'WBV 1'!$F$3:$G$34,2,FALSE))=TRUE,0,VLOOKUP(B179,'WBV 1'!$F$3:$G$34,2,FALSE)),IF(ISNA(VLOOKUP(B179,'WBV 1'!$J$3:$K$34,2,FALSE))=TRUE,0,VLOOKUP(B179,'WBV 1'!$J$3:$K$34,2,FALSE)),IF(ISNA(VLOOKUP(B179,'WBV 1'!$N$3:$O$34,2,FALSE))=TRUE,0,VLOOKUP(B179,'WBV 1'!$N$3:$O$34,2,FALSE)))</f>
        <v>0</v>
      </c>
      <c r="I179" s="15">
        <f>MAX(IF(ISNA(VLOOKUP(B179,'WBV 2'!$B$3:$C$34,2,FALSE))=TRUE,0,VLOOKUP(B179,'WBV 2'!$B$3:$C$34,2,FALSE)),IF(ISNA(VLOOKUP(B179,'WBV 2'!$F$3:$G$34,2,FALSE))=TRUE,0,VLOOKUP(B179,'WBV 2'!$F$3:$G$34,2,FALSE)),IF(ISNA(VLOOKUP(B179,'WBV 2'!$J$3:$K$34,2,FALSE))=TRUE,0,VLOOKUP(B179,'WBV 2'!$J$3:$K$34,2,FALSE)),IF(ISNA(VLOOKUP(B179,'WBV 2'!$N$3:$O$34,2,FALSE))=TRUE,0,VLOOKUP(B179,'WBV 2'!$N$3:$O$34,2,FALSE)))</f>
        <v>0</v>
      </c>
      <c r="J179" s="15">
        <f>MAX(IF(ISNA(VLOOKUP(B179,'WBV 3'!$B$3:$C$34,2,FALSE))=TRUE,0,VLOOKUP(B179,'WBV 3'!$B$3:$C$34,2,FALSE)),IF(ISNA(VLOOKUP(B179,'WBV 3'!$F$3:$G$34,2,FALSE))=TRUE,0,VLOOKUP(B179,'WBV 3'!$F$3:$G$34,2,FALSE)),IF(ISNA(VLOOKUP(B179,'WBV 3'!$J$3:$K$34,2,FALSE))=TRUE,0,VLOOKUP(B179,'WBV 3'!$J$3:$K$34,2,FALSE)),IF(ISNA(VLOOKUP(B179,'WBV 3'!$N$3:$O$34,2,FALSE))=TRUE,0,VLOOKUP(B179,'WBV 3'!$N$3:$O$34,2,FALSE)))</f>
        <v>0</v>
      </c>
      <c r="K179" s="15">
        <f>MAX(IF(ISNA(VLOOKUP(B179,'WBV 4'!$B$3:$C$34,2,FALSE))=TRUE,0,VLOOKUP(B179,'WBV 4'!$B$3:$C$34,2,FALSE)),IF(ISNA(VLOOKUP(B179,'WBV 4'!$F$3:$G$34,2,FALSE))=TRUE,0,VLOOKUP(B179,'WBV 4'!$F$3:$G$34,2,FALSE)),IF(ISNA(VLOOKUP(B179,'WBV 4'!$J$3:$K$34,2,FALSE))=TRUE,0,VLOOKUP(B179,'WBV 4'!$J$3:$K$34,2,FALSE)),IF(ISNA(VLOOKUP(B179,'WBV 4'!$N$3:$O$34,2,FALSE))=TRUE,0,VLOOKUP(B179,'WBV 4'!$N$3:$O$34,2,FALSE)))</f>
        <v>0</v>
      </c>
      <c r="L179" s="19">
        <f>MAX(IF(ISNA(VLOOKUP(B179,'NÖBV 1'!$B$3:$C$34,2,FALSE))=TRUE,0,VLOOKUP(B179,'NÖBV 1'!$B$3:$C$34,2,FALSE)),IF(ISNA(VLOOKUP(B179,'NÖBV 1'!$F$3:$G$34,2,FALSE))=TRUE,0,VLOOKUP(B179,'NÖBV 1'!$F$3:$G$34,2,FALSE)),IF(ISNA(VLOOKUP(B179,'NÖBV 1'!$J$3:$K$34,2,FALSE))=TRUE,0,VLOOKUP(B179,'NÖBV 1'!$J$3:$K$34,2,FALSE)),IF(ISNA(VLOOKUP(B179,'NÖBV 1'!$N$3:$O$34,2,FALSE))=TRUE,0,VLOOKUP(B179,'NÖBV 1'!$N$3:$O$34,2,FALSE)))</f>
        <v>0</v>
      </c>
      <c r="M179" s="19">
        <f>MAX(IF(ISNA(VLOOKUP(B179,'NÖBV 2'!$B$3:$C$34,2,FALSE))=TRUE,0,VLOOKUP(B179,'NÖBV 2'!$B$3:$C$34,2,FALSE)),IF(ISNA(VLOOKUP(B179,'NÖBV 2'!$F$3:$G$34,2,FALSE))=TRUE,0,VLOOKUP(B179,'NÖBV 2'!$F$3:$G$34,2,FALSE)),IF(ISNA(VLOOKUP(B179,'NÖBV 2'!$J$3:$K$34,2,FALSE))=TRUE,0,VLOOKUP(B179,'NÖBV 2'!$J$3:$K$34,2,FALSE)),IF(ISNA(VLOOKUP(B179,'NÖBV 2'!$N$3:$O$34,2,FALSE))=TRUE,0,VLOOKUP(B179,'NÖBV 2'!$N$3:$O$34,2,FALSE)))</f>
        <v>0</v>
      </c>
      <c r="N179" s="19">
        <f>MAX(IF(ISNA(VLOOKUP(B179,'NÖBV 3'!$B$3:$C$34,2,FALSE))=TRUE,0,VLOOKUP(B179,'NÖBV 3'!$B$3:$C$34,2,FALSE)),IF(ISNA(VLOOKUP(B179,'NÖBV 3'!$F$3:$G$34,2,FALSE))=TRUE,0,VLOOKUP(B179,'NÖBV 3'!$F$3:$G$34,2,FALSE)),IF(ISNA(VLOOKUP(B179,'NÖBV 3'!$J$3:$K$34,2,FALSE))=TRUE,0,VLOOKUP(B179,'NÖBV 3'!$J$3:$K$34,2,FALSE)),IF(ISNA(VLOOKUP(B179,'NÖBV 3'!$N$3:$O$34,2,FALSE))=TRUE,0,VLOOKUP(B179,'NÖBV 3'!$N$3:$O$34,2,FALSE)))</f>
        <v>0</v>
      </c>
      <c r="O179" s="15">
        <f>MAX(IF(ISNA(VLOOKUP(B179,'Regioturnier 1'!$B$3:$C$34,2,FALSE))=TRUE,0,VLOOKUP(B179,'Regioturnier 1'!$B$3:$C$34,2,FALSE)),IF(ISNA(VLOOKUP(B179,'Regioturnier 1'!$F$3:$G$34,2,FALSE))=TRUE,0,VLOOKUP(B179,'Regioturnier 1'!$F$3:$G$34,2,FALSE)),IF(ISNA(VLOOKUP(B179,'Regioturnier 1'!$J$3:$K$34,2,FALSE))=TRUE,0,VLOOKUP(B179,'Regioturnier 1'!$J$3:$K$34,2,FALSE)),IF(ISNA(VLOOKUP(B179,'Regioturnier 1'!$N$3:$O$34,2,FALSE))=TRUE,0,VLOOKUP(B179,'Regioturnier 1'!$N$3:$O$34,2,FALSE)),IF(ISNA(VLOOKUP(B179,'Regioturnier 1'!$R$3:$S$34,2,FALSE))=TRUE,0,VLOOKUP(B179,'Regioturnier 1'!$R$3:$S$34,2,FALSE)), IF(ISNA(VLOOKUP(B179,'Regioturnier 1'!$V$3:$W$34,2,FALSE))=TRUE,0,VLOOKUP(B179,'Regioturnier 1'!$V$3:$W$34,2,FALSE)), IF(ISNA(VLOOKUP(B179,'Regioturnier 1'!$Z$3:$AA$34,2,FALSE))=TRUE,0,VLOOKUP(B179,'Regioturnier 1'!$Z$3:$AA$34,2,FALSE)))</f>
        <v>0</v>
      </c>
      <c r="P179" s="15">
        <f>MAX(IF(ISNA(VLOOKUP(B179,'Regioturnier 2'!$B$3:$C$34,2,FALSE))=TRUE,0,VLOOKUP(B179,'Regioturnier 2'!$B$3:$C$34,2,FALSE)),IF(ISNA(VLOOKUP(B179,'Regioturnier 2'!$F$3:$G$34,2,FALSE))=TRUE,0,VLOOKUP(B179,'Regioturnier 2'!$F$3:$G$34,2,FALSE)),IF(ISNA(VLOOKUP(B179,'Regioturnier 2'!$J$3:$K$34,2,FALSE))=TRUE,0,VLOOKUP(B179,'Regioturnier 2'!$J$3:$K$34,2,FALSE)),IF(ISNA(VLOOKUP(B179,'Regioturnier 2'!$N$3:$O$34,2,FALSE))=TRUE,0,VLOOKUP(B179,'Regioturnier 2'!$N$3:$O$34,2,FALSE)),IF(ISNA(VLOOKUP(B179,'Regioturnier 2'!$R$3:$S$34,2,FALSE))=TRUE,0,VLOOKUP(B179,'Regioturnier 2'!$R$3:$S$34,2,FALSE)), IF(ISNA(VLOOKUP(B179,'Regioturnier 2'!$V$3:$W$34,2,FALSE))=TRUE,0,VLOOKUP(B179,'Regioturnier 2'!$V$3:$W$34,2,FALSE)), IF(ISNA(VLOOKUP(B179,'Regioturnier 2'!$Z$3:$AA$34,2,FALSE))=TRUE,0,VLOOKUP(B179,'Regioturnier 2'!$Z$3:$AA$34,2,FALSE)))</f>
        <v>0</v>
      </c>
      <c r="Q179" s="15">
        <f>MAX(IF(ISNA(VLOOKUP(B179,'Regioturnier 3'!$B$3:$C$34,2,FALSE))=TRUE,0,VLOOKUP(B179,'Regioturnier 3'!$B$3:$C$34,2,FALSE)),IF(ISNA(VLOOKUP(B179,'Regioturnier 3'!$F$3:$G$34,2,FALSE))=TRUE,0,VLOOKUP(B179,'Regioturnier 3'!$F$3:$G$34,2,FALSE)),IF(ISNA(VLOOKUP(B179,'Regioturnier 3'!$J$3:$K$34,2,FALSE))=TRUE,0,VLOOKUP(B179,'Regioturnier 3'!$J$3:$K$34,2,FALSE)),IF(ISNA(VLOOKUP(B179,'Regioturnier 3'!$N$3:$O$34,2,FALSE))=TRUE,0,VLOOKUP(B179,'Regioturnier 3'!$N$3:$O$34,2,FALSE)),IF(ISNA(VLOOKUP(B179,'Regioturnier 3'!$R$3:$S$34,2,FALSE))=TRUE,0,VLOOKUP(B179,'Regioturnier 3'!$R$3:$S$34,2,FALSE)), IF(ISNA(VLOOKUP(B179,'Regioturnier 3'!$V$3:$W$34,2,FALSE))=TRUE,0,VLOOKUP(B179,'Regioturnier 3'!$V$3:$W$34,2,FALSE)), IF(ISNA(VLOOKUP(B179,'Regioturnier 3'!$Z$3:$AA$34,2,FALSE))=TRUE,0,VLOOKUP(B179,'Regioturnier 3'!$Z$3:$AA$34,2,FALSE)))</f>
        <v>0</v>
      </c>
      <c r="R179" s="20">
        <f>0.5*INDEX($H179:$N179,MATCH(LARGE($H179:$N179,1),$H179:$N179,0))+0.3*INDEX($H179:$N179,MATCH(LARGE($H179:$N179,2),$H179:$N179,0))+0.2*INDEX($H179:$N179,MATCH(LARGE($H179:$N179,3),$H179:$N179,0))</f>
        <v>0</v>
      </c>
      <c r="S179" s="20">
        <f>0.6*INDEX(O179:Q179,MATCH(LARGE(O179:Q179,1),O179:Q179,0))+0.4*INDEX(O179:Q179,MATCH(LARGE(O179:Q179,2),O179:Q179,0))+0*INDEX(O179:Q179,MATCH(LARGE(O179:Q179,3),O179:Q179,0))</f>
        <v>0</v>
      </c>
      <c r="T179" s="15">
        <f>1*INDEX(R179:S179,MATCH(LARGE(R179:S179,1),R179:S179,0))+0*INDEX(R179:S179,MATCH(LARGE(R179:S179,2),R179:S179,0))</f>
        <v>0</v>
      </c>
      <c r="U179" s="21"/>
      <c r="V179" s="21"/>
      <c r="W179" s="21"/>
      <c r="X179" s="21"/>
      <c r="Y179" s="21"/>
      <c r="Z179" s="21"/>
    </row>
    <row r="180" spans="1:26" ht="12.75" customHeight="1" x14ac:dyDescent="0.3">
      <c r="A180" s="15">
        <v>179</v>
      </c>
      <c r="B180" s="16" t="s">
        <v>212</v>
      </c>
      <c r="C180" s="17" t="s">
        <v>93</v>
      </c>
      <c r="D180" s="15" t="s">
        <v>22</v>
      </c>
      <c r="E180" s="18" t="s">
        <v>23</v>
      </c>
      <c r="F180" s="15" t="s">
        <v>213</v>
      </c>
      <c r="G180" s="22">
        <v>2010</v>
      </c>
      <c r="H180" s="15">
        <f>MAX(IF(ISNA(VLOOKUP(B180,'WBV 1'!$B$3:$C$34,2,FALSE))=TRUE,0,VLOOKUP(B180,'WBV 1'!$B$3:$C$34,2,FALSE)),IF(ISNA(VLOOKUP(B180,'WBV 1'!$F$3:$G$34,2,FALSE))=TRUE,0,VLOOKUP(B180,'WBV 1'!$F$3:$G$34,2,FALSE)),IF(ISNA(VLOOKUP(B180,'WBV 1'!$J$3:$K$34,2,FALSE))=TRUE,0,VLOOKUP(B180,'WBV 1'!$J$3:$K$34,2,FALSE)),IF(ISNA(VLOOKUP(B180,'WBV 1'!$N$3:$O$34,2,FALSE))=TRUE,0,VLOOKUP(B180,'WBV 1'!$N$3:$O$34,2,FALSE)))</f>
        <v>0</v>
      </c>
      <c r="I180" s="15">
        <f>MAX(IF(ISNA(VLOOKUP(B180,'WBV 2'!$B$3:$C$34,2,FALSE))=TRUE,0,VLOOKUP(B180,'WBV 2'!$B$3:$C$34,2,FALSE)),IF(ISNA(VLOOKUP(B180,'WBV 2'!$F$3:$G$34,2,FALSE))=TRUE,0,VLOOKUP(B180,'WBV 2'!$F$3:$G$34,2,FALSE)),IF(ISNA(VLOOKUP(B180,'WBV 2'!$J$3:$K$34,2,FALSE))=TRUE,0,VLOOKUP(B180,'WBV 2'!$J$3:$K$34,2,FALSE)),IF(ISNA(VLOOKUP(B180,'WBV 2'!$N$3:$O$34,2,FALSE))=TRUE,0,VLOOKUP(B180,'WBV 2'!$N$3:$O$34,2,FALSE)))</f>
        <v>0</v>
      </c>
      <c r="J180" s="15">
        <f>MAX(IF(ISNA(VLOOKUP(B180,'WBV 3'!$B$3:$C$34,2,FALSE))=TRUE,0,VLOOKUP(B180,'WBV 3'!$B$3:$C$34,2,FALSE)),IF(ISNA(VLOOKUP(B180,'WBV 3'!$F$3:$G$34,2,FALSE))=TRUE,0,VLOOKUP(B180,'WBV 3'!$F$3:$G$34,2,FALSE)),IF(ISNA(VLOOKUP(B180,'WBV 3'!$J$3:$K$34,2,FALSE))=TRUE,0,VLOOKUP(B180,'WBV 3'!$J$3:$K$34,2,FALSE)),IF(ISNA(VLOOKUP(B180,'WBV 3'!$N$3:$O$34,2,FALSE))=TRUE,0,VLOOKUP(B180,'WBV 3'!$N$3:$O$34,2,FALSE)))</f>
        <v>0</v>
      </c>
      <c r="K180" s="15">
        <f>MAX(IF(ISNA(VLOOKUP(B180,'WBV 4'!$B$3:$C$34,2,FALSE))=TRUE,0,VLOOKUP(B180,'WBV 4'!$B$3:$C$34,2,FALSE)),IF(ISNA(VLOOKUP(B180,'WBV 4'!$F$3:$G$34,2,FALSE))=TRUE,0,VLOOKUP(B180,'WBV 4'!$F$3:$G$34,2,FALSE)),IF(ISNA(VLOOKUP(B180,'WBV 4'!$J$3:$K$34,2,FALSE))=TRUE,0,VLOOKUP(B180,'WBV 4'!$J$3:$K$34,2,FALSE)),IF(ISNA(VLOOKUP(B180,'WBV 4'!$N$3:$O$34,2,FALSE))=TRUE,0,VLOOKUP(B180,'WBV 4'!$N$3:$O$34,2,FALSE)))</f>
        <v>0</v>
      </c>
      <c r="L180" s="19">
        <f>MAX(IF(ISNA(VLOOKUP(B180,'NÖBV 1'!$B$3:$C$34,2,FALSE))=TRUE,0,VLOOKUP(B180,'NÖBV 1'!$B$3:$C$34,2,FALSE)),IF(ISNA(VLOOKUP(B180,'NÖBV 1'!$F$3:$G$34,2,FALSE))=TRUE,0,VLOOKUP(B180,'NÖBV 1'!$F$3:$G$34,2,FALSE)),IF(ISNA(VLOOKUP(B180,'NÖBV 1'!$J$3:$K$34,2,FALSE))=TRUE,0,VLOOKUP(B180,'NÖBV 1'!$J$3:$K$34,2,FALSE)),IF(ISNA(VLOOKUP(B180,'NÖBV 1'!$N$3:$O$34,2,FALSE))=TRUE,0,VLOOKUP(B180,'NÖBV 1'!$N$3:$O$34,2,FALSE)))</f>
        <v>0</v>
      </c>
      <c r="M180" s="19">
        <f>MAX(IF(ISNA(VLOOKUP(B180,'NÖBV 2'!$B$3:$C$34,2,FALSE))=TRUE,0,VLOOKUP(B180,'NÖBV 2'!$B$3:$C$34,2,FALSE)),IF(ISNA(VLOOKUP(B180,'NÖBV 2'!$F$3:$G$34,2,FALSE))=TRUE,0,VLOOKUP(B180,'NÖBV 2'!$F$3:$G$34,2,FALSE)),IF(ISNA(VLOOKUP(B180,'NÖBV 2'!$J$3:$K$34,2,FALSE))=TRUE,0,VLOOKUP(B180,'NÖBV 2'!$J$3:$K$34,2,FALSE)),IF(ISNA(VLOOKUP(B180,'NÖBV 2'!$N$3:$O$34,2,FALSE))=TRUE,0,VLOOKUP(B180,'NÖBV 2'!$N$3:$O$34,2,FALSE)))</f>
        <v>0</v>
      </c>
      <c r="N180" s="19">
        <f>MAX(IF(ISNA(VLOOKUP(B180,'NÖBV 3'!$B$3:$C$34,2,FALSE))=TRUE,0,VLOOKUP(B180,'NÖBV 3'!$B$3:$C$34,2,FALSE)),IF(ISNA(VLOOKUP(B180,'NÖBV 3'!$F$3:$G$34,2,FALSE))=TRUE,0,VLOOKUP(B180,'NÖBV 3'!$F$3:$G$34,2,FALSE)),IF(ISNA(VLOOKUP(B180,'NÖBV 3'!$J$3:$K$34,2,FALSE))=TRUE,0,VLOOKUP(B180,'NÖBV 3'!$J$3:$K$34,2,FALSE)),IF(ISNA(VLOOKUP(B180,'NÖBV 3'!$N$3:$O$34,2,FALSE))=TRUE,0,VLOOKUP(B180,'NÖBV 3'!$N$3:$O$34,2,FALSE)))</f>
        <v>0</v>
      </c>
      <c r="O180" s="15">
        <f>MAX(IF(ISNA(VLOOKUP(B180,'Regioturnier 1'!$B$3:$C$34,2,FALSE))=TRUE,0,VLOOKUP(B180,'Regioturnier 1'!$B$3:$C$34,2,FALSE)),IF(ISNA(VLOOKUP(B180,'Regioturnier 1'!$F$3:$G$34,2,FALSE))=TRUE,0,VLOOKUP(B180,'Regioturnier 1'!$F$3:$G$34,2,FALSE)),IF(ISNA(VLOOKUP(B180,'Regioturnier 1'!$J$3:$K$34,2,FALSE))=TRUE,0,VLOOKUP(B180,'Regioturnier 1'!$J$3:$K$34,2,FALSE)),IF(ISNA(VLOOKUP(B180,'Regioturnier 1'!$N$3:$O$34,2,FALSE))=TRUE,0,VLOOKUP(B180,'Regioturnier 1'!$N$3:$O$34,2,FALSE)),IF(ISNA(VLOOKUP(B180,'Regioturnier 1'!$R$3:$S$34,2,FALSE))=TRUE,0,VLOOKUP(B180,'Regioturnier 1'!$R$3:$S$34,2,FALSE)), IF(ISNA(VLOOKUP(B180,'Regioturnier 1'!$V$3:$W$34,2,FALSE))=TRUE,0,VLOOKUP(B180,'Regioturnier 1'!$V$3:$W$34,2,FALSE)), IF(ISNA(VLOOKUP(B180,'Regioturnier 1'!$Z$3:$AA$34,2,FALSE))=TRUE,0,VLOOKUP(B180,'Regioturnier 1'!$Z$3:$AA$34,2,FALSE)))</f>
        <v>0</v>
      </c>
      <c r="P180" s="15">
        <f>MAX(IF(ISNA(VLOOKUP(B180,'Regioturnier 2'!$B$3:$C$34,2,FALSE))=TRUE,0,VLOOKUP(B180,'Regioturnier 2'!$B$3:$C$34,2,FALSE)),IF(ISNA(VLOOKUP(B180,'Regioturnier 2'!$F$3:$G$34,2,FALSE))=TRUE,0,VLOOKUP(B180,'Regioturnier 2'!$F$3:$G$34,2,FALSE)),IF(ISNA(VLOOKUP(B180,'Regioturnier 2'!$J$3:$K$34,2,FALSE))=TRUE,0,VLOOKUP(B180,'Regioturnier 2'!$J$3:$K$34,2,FALSE)),IF(ISNA(VLOOKUP(B180,'Regioturnier 2'!$N$3:$O$34,2,FALSE))=TRUE,0,VLOOKUP(B180,'Regioturnier 2'!$N$3:$O$34,2,FALSE)),IF(ISNA(VLOOKUP(B180,'Regioturnier 2'!$R$3:$S$34,2,FALSE))=TRUE,0,VLOOKUP(B180,'Regioturnier 2'!$R$3:$S$34,2,FALSE)), IF(ISNA(VLOOKUP(B180,'Regioturnier 2'!$V$3:$W$34,2,FALSE))=TRUE,0,VLOOKUP(B180,'Regioturnier 2'!$V$3:$W$34,2,FALSE)), IF(ISNA(VLOOKUP(B180,'Regioturnier 2'!$Z$3:$AA$34,2,FALSE))=TRUE,0,VLOOKUP(B180,'Regioturnier 2'!$Z$3:$AA$34,2,FALSE)))</f>
        <v>0</v>
      </c>
      <c r="Q180" s="15">
        <f>MAX(IF(ISNA(VLOOKUP(B180,'Regioturnier 3'!$B$3:$C$34,2,FALSE))=TRUE,0,VLOOKUP(B180,'Regioturnier 3'!$B$3:$C$34,2,FALSE)),IF(ISNA(VLOOKUP(B180,'Regioturnier 3'!$F$3:$G$34,2,FALSE))=TRUE,0,VLOOKUP(B180,'Regioturnier 3'!$F$3:$G$34,2,FALSE)),IF(ISNA(VLOOKUP(B180,'Regioturnier 3'!$J$3:$K$34,2,FALSE))=TRUE,0,VLOOKUP(B180,'Regioturnier 3'!$J$3:$K$34,2,FALSE)),IF(ISNA(VLOOKUP(B180,'Regioturnier 3'!$N$3:$O$34,2,FALSE))=TRUE,0,VLOOKUP(B180,'Regioturnier 3'!$N$3:$O$34,2,FALSE)),IF(ISNA(VLOOKUP(B180,'Regioturnier 3'!$R$3:$S$34,2,FALSE))=TRUE,0,VLOOKUP(B180,'Regioturnier 3'!$R$3:$S$34,2,FALSE)), IF(ISNA(VLOOKUP(B180,'Regioturnier 3'!$V$3:$W$34,2,FALSE))=TRUE,0,VLOOKUP(B180,'Regioturnier 3'!$V$3:$W$34,2,FALSE)), IF(ISNA(VLOOKUP(B180,'Regioturnier 3'!$Z$3:$AA$34,2,FALSE))=TRUE,0,VLOOKUP(B180,'Regioturnier 3'!$Z$3:$AA$34,2,FALSE)))</f>
        <v>0</v>
      </c>
      <c r="R180" s="20">
        <f>0.5*INDEX($H180:$N180,MATCH(LARGE($H180:$N180,1),$H180:$N180,0))+0.3*INDEX($H180:$N180,MATCH(LARGE($H180:$N180,2),$H180:$N180,0))+0.2*INDEX($H180:$N180,MATCH(LARGE($H180:$N180,3),$H180:$N180,0))</f>
        <v>0</v>
      </c>
      <c r="S180" s="20">
        <f>0.6*INDEX(O180:Q180,MATCH(LARGE(O180:Q180,1),O180:Q180,0))+0.4*INDEX(O180:Q180,MATCH(LARGE(O180:Q180,2),O180:Q180,0))+0*INDEX(O180:Q180,MATCH(LARGE(O180:Q180,3),O180:Q180,0))</f>
        <v>0</v>
      </c>
      <c r="T180" s="15">
        <f>1*INDEX(R180:S180,MATCH(LARGE(R180:S180,1),R180:S180,0))+0*INDEX(R180:S180,MATCH(LARGE(R180:S180,2),R180:S180,0))</f>
        <v>0</v>
      </c>
      <c r="U180" s="21"/>
      <c r="V180" s="21"/>
      <c r="W180" s="21"/>
      <c r="X180" s="21"/>
      <c r="Y180" s="21"/>
      <c r="Z180" s="21"/>
    </row>
    <row r="181" spans="1:26" ht="12.75" customHeight="1" x14ac:dyDescent="0.3">
      <c r="A181" s="15">
        <v>180</v>
      </c>
      <c r="B181" s="16" t="s">
        <v>114</v>
      </c>
      <c r="C181" s="17" t="s">
        <v>93</v>
      </c>
      <c r="D181" s="15" t="s">
        <v>22</v>
      </c>
      <c r="E181" s="18" t="s">
        <v>40</v>
      </c>
      <c r="F181" s="15" t="s">
        <v>115</v>
      </c>
      <c r="G181" s="22">
        <v>2010</v>
      </c>
      <c r="H181" s="15">
        <f>MAX(IF(ISNA(VLOOKUP(B181,'WBV 1'!$B$3:$C$34,2,FALSE))=TRUE,0,VLOOKUP(B181,'WBV 1'!$B$3:$C$34,2,FALSE)),IF(ISNA(VLOOKUP(B181,'WBV 1'!$F$3:$G$34,2,FALSE))=TRUE,0,VLOOKUP(B181,'WBV 1'!$F$3:$G$34,2,FALSE)),IF(ISNA(VLOOKUP(B181,'WBV 1'!$J$3:$K$34,2,FALSE))=TRUE,0,VLOOKUP(B181,'WBV 1'!$J$3:$K$34,2,FALSE)),IF(ISNA(VLOOKUP(B181,'WBV 1'!$N$3:$O$34,2,FALSE))=TRUE,0,VLOOKUP(B181,'WBV 1'!$N$3:$O$34,2,FALSE)))</f>
        <v>0</v>
      </c>
      <c r="I181" s="15">
        <f>MAX(IF(ISNA(VLOOKUP(B181,'WBV 2'!$B$3:$C$34,2,FALSE))=TRUE,0,VLOOKUP(B181,'WBV 2'!$B$3:$C$34,2,FALSE)),IF(ISNA(VLOOKUP(B181,'WBV 2'!$F$3:$G$34,2,FALSE))=TRUE,0,VLOOKUP(B181,'WBV 2'!$F$3:$G$34,2,FALSE)),IF(ISNA(VLOOKUP(B181,'WBV 2'!$J$3:$K$34,2,FALSE))=TRUE,0,VLOOKUP(B181,'WBV 2'!$J$3:$K$34,2,FALSE)),IF(ISNA(VLOOKUP(B181,'WBV 2'!$N$3:$O$34,2,FALSE))=TRUE,0,VLOOKUP(B181,'WBV 2'!$N$3:$O$34,2,FALSE)))</f>
        <v>0</v>
      </c>
      <c r="J181" s="15">
        <f>MAX(IF(ISNA(VLOOKUP(B181,'WBV 3'!$B$3:$C$34,2,FALSE))=TRUE,0,VLOOKUP(B181,'WBV 3'!$B$3:$C$34,2,FALSE)),IF(ISNA(VLOOKUP(B181,'WBV 3'!$F$3:$G$34,2,FALSE))=TRUE,0,VLOOKUP(B181,'WBV 3'!$F$3:$G$34,2,FALSE)),IF(ISNA(VLOOKUP(B181,'WBV 3'!$J$3:$K$34,2,FALSE))=TRUE,0,VLOOKUP(B181,'WBV 3'!$J$3:$K$34,2,FALSE)),IF(ISNA(VLOOKUP(B181,'WBV 3'!$N$3:$O$34,2,FALSE))=TRUE,0,VLOOKUP(B181,'WBV 3'!$N$3:$O$34,2,FALSE)))</f>
        <v>0</v>
      </c>
      <c r="K181" s="15">
        <f>MAX(IF(ISNA(VLOOKUP(B181,'WBV 4'!$B$3:$C$34,2,FALSE))=TRUE,0,VLOOKUP(B181,'WBV 4'!$B$3:$C$34,2,FALSE)),IF(ISNA(VLOOKUP(B181,'WBV 4'!$F$3:$G$34,2,FALSE))=TRUE,0,VLOOKUP(B181,'WBV 4'!$F$3:$G$34,2,FALSE)),IF(ISNA(VLOOKUP(B181,'WBV 4'!$J$3:$K$34,2,FALSE))=TRUE,0,VLOOKUP(B181,'WBV 4'!$J$3:$K$34,2,FALSE)),IF(ISNA(VLOOKUP(B181,'WBV 4'!$N$3:$O$34,2,FALSE))=TRUE,0,VLOOKUP(B181,'WBV 4'!$N$3:$O$34,2,FALSE)))</f>
        <v>0</v>
      </c>
      <c r="L181" s="19">
        <f>MAX(IF(ISNA(VLOOKUP(B181,'NÖBV 1'!$B$3:$C$34,2,FALSE))=TRUE,0,VLOOKUP(B181,'NÖBV 1'!$B$3:$C$34,2,FALSE)),IF(ISNA(VLOOKUP(B181,'NÖBV 1'!$F$3:$G$34,2,FALSE))=TRUE,0,VLOOKUP(B181,'NÖBV 1'!$F$3:$G$34,2,FALSE)),IF(ISNA(VLOOKUP(B181,'NÖBV 1'!$J$3:$K$34,2,FALSE))=TRUE,0,VLOOKUP(B181,'NÖBV 1'!$J$3:$K$34,2,FALSE)),IF(ISNA(VLOOKUP(B181,'NÖBV 1'!$N$3:$O$34,2,FALSE))=TRUE,0,VLOOKUP(B181,'NÖBV 1'!$N$3:$O$34,2,FALSE)))</f>
        <v>0</v>
      </c>
      <c r="M181" s="19">
        <f>MAX(IF(ISNA(VLOOKUP(B181,'NÖBV 2'!$B$3:$C$34,2,FALSE))=TRUE,0,VLOOKUP(B181,'NÖBV 2'!$B$3:$C$34,2,FALSE)),IF(ISNA(VLOOKUP(B181,'NÖBV 2'!$F$3:$G$34,2,FALSE))=TRUE,0,VLOOKUP(B181,'NÖBV 2'!$F$3:$G$34,2,FALSE)),IF(ISNA(VLOOKUP(B181,'NÖBV 2'!$J$3:$K$34,2,FALSE))=TRUE,0,VLOOKUP(B181,'NÖBV 2'!$J$3:$K$34,2,FALSE)),IF(ISNA(VLOOKUP(B181,'NÖBV 2'!$N$3:$O$34,2,FALSE))=TRUE,0,VLOOKUP(B181,'NÖBV 2'!$N$3:$O$34,2,FALSE)))</f>
        <v>0</v>
      </c>
      <c r="N181" s="19">
        <f>MAX(IF(ISNA(VLOOKUP(B181,'NÖBV 3'!$B$3:$C$34,2,FALSE))=TRUE,0,VLOOKUP(B181,'NÖBV 3'!$B$3:$C$34,2,FALSE)),IF(ISNA(VLOOKUP(B181,'NÖBV 3'!$F$3:$G$34,2,FALSE))=TRUE,0,VLOOKUP(B181,'NÖBV 3'!$F$3:$G$34,2,FALSE)),IF(ISNA(VLOOKUP(B181,'NÖBV 3'!$J$3:$K$34,2,FALSE))=TRUE,0,VLOOKUP(B181,'NÖBV 3'!$J$3:$K$34,2,FALSE)),IF(ISNA(VLOOKUP(B181,'NÖBV 3'!$N$3:$O$34,2,FALSE))=TRUE,0,VLOOKUP(B181,'NÖBV 3'!$N$3:$O$34,2,FALSE)))</f>
        <v>0</v>
      </c>
      <c r="O181" s="15">
        <f>MAX(IF(ISNA(VLOOKUP(B181,'Regioturnier 1'!$B$3:$C$34,2,FALSE))=TRUE,0,VLOOKUP(B181,'Regioturnier 1'!$B$3:$C$34,2,FALSE)),IF(ISNA(VLOOKUP(B181,'Regioturnier 1'!$F$3:$G$34,2,FALSE))=TRUE,0,VLOOKUP(B181,'Regioturnier 1'!$F$3:$G$34,2,FALSE)),IF(ISNA(VLOOKUP(B181,'Regioturnier 1'!$J$3:$K$34,2,FALSE))=TRUE,0,VLOOKUP(B181,'Regioturnier 1'!$J$3:$K$34,2,FALSE)),IF(ISNA(VLOOKUP(B181,'Regioturnier 1'!$N$3:$O$34,2,FALSE))=TRUE,0,VLOOKUP(B181,'Regioturnier 1'!$N$3:$O$34,2,FALSE)),IF(ISNA(VLOOKUP(B181,'Regioturnier 1'!$R$3:$S$34,2,FALSE))=TRUE,0,VLOOKUP(B181,'Regioturnier 1'!$R$3:$S$34,2,FALSE)), IF(ISNA(VLOOKUP(B181,'Regioturnier 1'!$V$3:$W$34,2,FALSE))=TRUE,0,VLOOKUP(B181,'Regioturnier 1'!$V$3:$W$34,2,FALSE)), IF(ISNA(VLOOKUP(B181,'Regioturnier 1'!$Z$3:$AA$34,2,FALSE))=TRUE,0,VLOOKUP(B181,'Regioturnier 1'!$Z$3:$AA$34,2,FALSE)))</f>
        <v>0</v>
      </c>
      <c r="P181" s="15">
        <f>MAX(IF(ISNA(VLOOKUP(B181,'Regioturnier 2'!$B$3:$C$34,2,FALSE))=TRUE,0,VLOOKUP(B181,'Regioturnier 2'!$B$3:$C$34,2,FALSE)),IF(ISNA(VLOOKUP(B181,'Regioturnier 2'!$F$3:$G$34,2,FALSE))=TRUE,0,VLOOKUP(B181,'Regioturnier 2'!$F$3:$G$34,2,FALSE)),IF(ISNA(VLOOKUP(B181,'Regioturnier 2'!$J$3:$K$34,2,FALSE))=TRUE,0,VLOOKUP(B181,'Regioturnier 2'!$J$3:$K$34,2,FALSE)),IF(ISNA(VLOOKUP(B181,'Regioturnier 2'!$N$3:$O$34,2,FALSE))=TRUE,0,VLOOKUP(B181,'Regioturnier 2'!$N$3:$O$34,2,FALSE)),IF(ISNA(VLOOKUP(B181,'Regioturnier 2'!$R$3:$S$34,2,FALSE))=TRUE,0,VLOOKUP(B181,'Regioturnier 2'!$R$3:$S$34,2,FALSE)), IF(ISNA(VLOOKUP(B181,'Regioturnier 2'!$V$3:$W$34,2,FALSE))=TRUE,0,VLOOKUP(B181,'Regioturnier 2'!$V$3:$W$34,2,FALSE)), IF(ISNA(VLOOKUP(B181,'Regioturnier 2'!$Z$3:$AA$34,2,FALSE))=TRUE,0,VLOOKUP(B181,'Regioturnier 2'!$Z$3:$AA$34,2,FALSE)))</f>
        <v>0</v>
      </c>
      <c r="Q181" s="15">
        <f>MAX(IF(ISNA(VLOOKUP(B181,'Regioturnier 3'!$B$3:$C$34,2,FALSE))=TRUE,0,VLOOKUP(B181,'Regioturnier 3'!$B$3:$C$34,2,FALSE)),IF(ISNA(VLOOKUP(B181,'Regioturnier 3'!$F$3:$G$34,2,FALSE))=TRUE,0,VLOOKUP(B181,'Regioturnier 3'!$F$3:$G$34,2,FALSE)),IF(ISNA(VLOOKUP(B181,'Regioturnier 3'!$J$3:$K$34,2,FALSE))=TRUE,0,VLOOKUP(B181,'Regioturnier 3'!$J$3:$K$34,2,FALSE)),IF(ISNA(VLOOKUP(B181,'Regioturnier 3'!$N$3:$O$34,2,FALSE))=TRUE,0,VLOOKUP(B181,'Regioturnier 3'!$N$3:$O$34,2,FALSE)),IF(ISNA(VLOOKUP(B181,'Regioturnier 3'!$R$3:$S$34,2,FALSE))=TRUE,0,VLOOKUP(B181,'Regioturnier 3'!$R$3:$S$34,2,FALSE)), IF(ISNA(VLOOKUP(B181,'Regioturnier 3'!$V$3:$W$34,2,FALSE))=TRUE,0,VLOOKUP(B181,'Regioturnier 3'!$V$3:$W$34,2,FALSE)), IF(ISNA(VLOOKUP(B181,'Regioturnier 3'!$Z$3:$AA$34,2,FALSE))=TRUE,0,VLOOKUP(B181,'Regioturnier 3'!$Z$3:$AA$34,2,FALSE)))</f>
        <v>0</v>
      </c>
      <c r="R181" s="20">
        <f>0.5*INDEX($H181:$N181,MATCH(LARGE($H181:$N181,1),$H181:$N181,0))+0.3*INDEX($H181:$N181,MATCH(LARGE($H181:$N181,2),$H181:$N181,0))+0.2*INDEX($H181:$N181,MATCH(LARGE($H181:$N181,3),$H181:$N181,0))</f>
        <v>0</v>
      </c>
      <c r="S181" s="20">
        <f>0.6*INDEX(O181:Q181,MATCH(LARGE(O181:Q181,1),O181:Q181,0))+0.4*INDEX(O181:Q181,MATCH(LARGE(O181:Q181,2),O181:Q181,0))+0*INDEX(O181:Q181,MATCH(LARGE(O181:Q181,3),O181:Q181,0))</f>
        <v>0</v>
      </c>
      <c r="T181" s="15">
        <f>1*INDEX(R181:S181,MATCH(LARGE(R181:S181,1),R181:S181,0))+0*INDEX(R181:S181,MATCH(LARGE(R181:S181,2),R181:S181,0))</f>
        <v>0</v>
      </c>
      <c r="U181" s="21"/>
      <c r="V181" s="21"/>
      <c r="W181" s="21"/>
      <c r="X181" s="21"/>
      <c r="Y181" s="21"/>
      <c r="Z181" s="21"/>
    </row>
    <row r="182" spans="1:26" ht="12.75" customHeight="1" x14ac:dyDescent="0.3">
      <c r="A182" s="15">
        <v>181</v>
      </c>
      <c r="B182" s="16" t="s">
        <v>217</v>
      </c>
      <c r="C182" s="17" t="s">
        <v>21</v>
      </c>
      <c r="D182" s="15" t="s">
        <v>22</v>
      </c>
      <c r="E182" s="18" t="s">
        <v>23</v>
      </c>
      <c r="F182" s="15" t="s">
        <v>218</v>
      </c>
      <c r="G182" s="22">
        <v>2015</v>
      </c>
      <c r="H182" s="15">
        <f>MAX(IF(ISNA(VLOOKUP(B182,'WBV 1'!$B$3:$C$34,2,FALSE))=TRUE,0,VLOOKUP(B182,'WBV 1'!$B$3:$C$34,2,FALSE)),IF(ISNA(VLOOKUP(B182,'WBV 1'!$F$3:$G$34,2,FALSE))=TRUE,0,VLOOKUP(B182,'WBV 1'!$F$3:$G$34,2,FALSE)),IF(ISNA(VLOOKUP(B182,'WBV 1'!$J$3:$K$34,2,FALSE))=TRUE,0,VLOOKUP(B182,'WBV 1'!$J$3:$K$34,2,FALSE)),IF(ISNA(VLOOKUP(B182,'WBV 1'!$N$3:$O$34,2,FALSE))=TRUE,0,VLOOKUP(B182,'WBV 1'!$N$3:$O$34,2,FALSE)))</f>
        <v>0</v>
      </c>
      <c r="I182" s="15">
        <f>MAX(IF(ISNA(VLOOKUP(B182,'WBV 2'!$B$3:$C$34,2,FALSE))=TRUE,0,VLOOKUP(B182,'WBV 2'!$B$3:$C$34,2,FALSE)),IF(ISNA(VLOOKUP(B182,'WBV 2'!$F$3:$G$34,2,FALSE))=TRUE,0,VLOOKUP(B182,'WBV 2'!$F$3:$G$34,2,FALSE)),IF(ISNA(VLOOKUP(B182,'WBV 2'!$J$3:$K$34,2,FALSE))=TRUE,0,VLOOKUP(B182,'WBV 2'!$J$3:$K$34,2,FALSE)),IF(ISNA(VLOOKUP(B182,'WBV 2'!$N$3:$O$34,2,FALSE))=TRUE,0,VLOOKUP(B182,'WBV 2'!$N$3:$O$34,2,FALSE)))</f>
        <v>0</v>
      </c>
      <c r="J182" s="15">
        <f>MAX(IF(ISNA(VLOOKUP(B182,'WBV 3'!$B$3:$C$34,2,FALSE))=TRUE,0,VLOOKUP(B182,'WBV 3'!$B$3:$C$34,2,FALSE)),IF(ISNA(VLOOKUP(B182,'WBV 3'!$F$3:$G$34,2,FALSE))=TRUE,0,VLOOKUP(B182,'WBV 3'!$F$3:$G$34,2,FALSE)),IF(ISNA(VLOOKUP(B182,'WBV 3'!$J$3:$K$34,2,FALSE))=TRUE,0,VLOOKUP(B182,'WBV 3'!$J$3:$K$34,2,FALSE)),IF(ISNA(VLOOKUP(B182,'WBV 3'!$N$3:$O$34,2,FALSE))=TRUE,0,VLOOKUP(B182,'WBV 3'!$N$3:$O$34,2,FALSE)))</f>
        <v>0</v>
      </c>
      <c r="K182" s="15">
        <f>MAX(IF(ISNA(VLOOKUP(B182,'WBV 4'!$B$3:$C$34,2,FALSE))=TRUE,0,VLOOKUP(B182,'WBV 4'!$B$3:$C$34,2,FALSE)),IF(ISNA(VLOOKUP(B182,'WBV 4'!$F$3:$G$34,2,FALSE))=TRUE,0,VLOOKUP(B182,'WBV 4'!$F$3:$G$34,2,FALSE)),IF(ISNA(VLOOKUP(B182,'WBV 4'!$J$3:$K$34,2,FALSE))=TRUE,0,VLOOKUP(B182,'WBV 4'!$J$3:$K$34,2,FALSE)),IF(ISNA(VLOOKUP(B182,'WBV 4'!$N$3:$O$34,2,FALSE))=TRUE,0,VLOOKUP(B182,'WBV 4'!$N$3:$O$34,2,FALSE)))</f>
        <v>0</v>
      </c>
      <c r="L182" s="19">
        <f>MAX(IF(ISNA(VLOOKUP(B182,'NÖBV 1'!$B$3:$C$34,2,FALSE))=TRUE,0,VLOOKUP(B182,'NÖBV 1'!$B$3:$C$34,2,FALSE)),IF(ISNA(VLOOKUP(B182,'NÖBV 1'!$F$3:$G$34,2,FALSE))=TRUE,0,VLOOKUP(B182,'NÖBV 1'!$F$3:$G$34,2,FALSE)),IF(ISNA(VLOOKUP(B182,'NÖBV 1'!$J$3:$K$34,2,FALSE))=TRUE,0,VLOOKUP(B182,'NÖBV 1'!$J$3:$K$34,2,FALSE)),IF(ISNA(VLOOKUP(B182,'NÖBV 1'!$N$3:$O$34,2,FALSE))=TRUE,0,VLOOKUP(B182,'NÖBV 1'!$N$3:$O$34,2,FALSE)))</f>
        <v>0</v>
      </c>
      <c r="M182" s="19">
        <f>MAX(IF(ISNA(VLOOKUP(B182,'NÖBV 2'!$B$3:$C$34,2,FALSE))=TRUE,0,VLOOKUP(B182,'NÖBV 2'!$B$3:$C$34,2,FALSE)),IF(ISNA(VLOOKUP(B182,'NÖBV 2'!$F$3:$G$34,2,FALSE))=TRUE,0,VLOOKUP(B182,'NÖBV 2'!$F$3:$G$34,2,FALSE)),IF(ISNA(VLOOKUP(B182,'NÖBV 2'!$J$3:$K$34,2,FALSE))=TRUE,0,VLOOKUP(B182,'NÖBV 2'!$J$3:$K$34,2,FALSE)),IF(ISNA(VLOOKUP(B182,'NÖBV 2'!$N$3:$O$34,2,FALSE))=TRUE,0,VLOOKUP(B182,'NÖBV 2'!$N$3:$O$34,2,FALSE)))</f>
        <v>0</v>
      </c>
      <c r="N182" s="19">
        <f>MAX(IF(ISNA(VLOOKUP(B182,'NÖBV 3'!$B$3:$C$34,2,FALSE))=TRUE,0,VLOOKUP(B182,'NÖBV 3'!$B$3:$C$34,2,FALSE)),IF(ISNA(VLOOKUP(B182,'NÖBV 3'!$F$3:$G$34,2,FALSE))=TRUE,0,VLOOKUP(B182,'NÖBV 3'!$F$3:$G$34,2,FALSE)),IF(ISNA(VLOOKUP(B182,'NÖBV 3'!$J$3:$K$34,2,FALSE))=TRUE,0,VLOOKUP(B182,'NÖBV 3'!$J$3:$K$34,2,FALSE)),IF(ISNA(VLOOKUP(B182,'NÖBV 3'!$N$3:$O$34,2,FALSE))=TRUE,0,VLOOKUP(B182,'NÖBV 3'!$N$3:$O$34,2,FALSE)))</f>
        <v>0</v>
      </c>
      <c r="O182" s="15">
        <f>MAX(IF(ISNA(VLOOKUP(B182,'Regioturnier 1'!$B$3:$C$34,2,FALSE))=TRUE,0,VLOOKUP(B182,'Regioturnier 1'!$B$3:$C$34,2,FALSE)),IF(ISNA(VLOOKUP(B182,'Regioturnier 1'!$F$3:$G$34,2,FALSE))=TRUE,0,VLOOKUP(B182,'Regioturnier 1'!$F$3:$G$34,2,FALSE)),IF(ISNA(VLOOKUP(B182,'Regioturnier 1'!$J$3:$K$34,2,FALSE))=TRUE,0,VLOOKUP(B182,'Regioturnier 1'!$J$3:$K$34,2,FALSE)),IF(ISNA(VLOOKUP(B182,'Regioturnier 1'!$N$3:$O$34,2,FALSE))=TRUE,0,VLOOKUP(B182,'Regioturnier 1'!$N$3:$O$34,2,FALSE)),IF(ISNA(VLOOKUP(B182,'Regioturnier 1'!$R$3:$S$34,2,FALSE))=TRUE,0,VLOOKUP(B182,'Regioturnier 1'!$R$3:$S$34,2,FALSE)), IF(ISNA(VLOOKUP(B182,'Regioturnier 1'!$V$3:$W$34,2,FALSE))=TRUE,0,VLOOKUP(B182,'Regioturnier 1'!$V$3:$W$34,2,FALSE)), IF(ISNA(VLOOKUP(B182,'Regioturnier 1'!$Z$3:$AA$34,2,FALSE))=TRUE,0,VLOOKUP(B182,'Regioturnier 1'!$Z$3:$AA$34,2,FALSE)))</f>
        <v>0</v>
      </c>
      <c r="P182" s="15">
        <f>MAX(IF(ISNA(VLOOKUP(B182,'Regioturnier 2'!$B$3:$C$34,2,FALSE))=TRUE,0,VLOOKUP(B182,'Regioturnier 2'!$B$3:$C$34,2,FALSE)),IF(ISNA(VLOOKUP(B182,'Regioturnier 2'!$F$3:$G$34,2,FALSE))=TRUE,0,VLOOKUP(B182,'Regioturnier 2'!$F$3:$G$34,2,FALSE)),IF(ISNA(VLOOKUP(B182,'Regioturnier 2'!$J$3:$K$34,2,FALSE))=TRUE,0,VLOOKUP(B182,'Regioturnier 2'!$J$3:$K$34,2,FALSE)),IF(ISNA(VLOOKUP(B182,'Regioturnier 2'!$N$3:$O$34,2,FALSE))=TRUE,0,VLOOKUP(B182,'Regioturnier 2'!$N$3:$O$34,2,FALSE)),IF(ISNA(VLOOKUP(B182,'Regioturnier 2'!$R$3:$S$34,2,FALSE))=TRUE,0,VLOOKUP(B182,'Regioturnier 2'!$R$3:$S$34,2,FALSE)), IF(ISNA(VLOOKUP(B182,'Regioturnier 2'!$V$3:$W$34,2,FALSE))=TRUE,0,VLOOKUP(B182,'Regioturnier 2'!$V$3:$W$34,2,FALSE)), IF(ISNA(VLOOKUP(B182,'Regioturnier 2'!$Z$3:$AA$34,2,FALSE))=TRUE,0,VLOOKUP(B182,'Regioturnier 2'!$Z$3:$AA$34,2,FALSE)))</f>
        <v>0</v>
      </c>
      <c r="Q182" s="15">
        <f>MAX(IF(ISNA(VLOOKUP(B182,'Regioturnier 3'!$B$3:$C$34,2,FALSE))=TRUE,0,VLOOKUP(B182,'Regioturnier 3'!$B$3:$C$34,2,FALSE)),IF(ISNA(VLOOKUP(B182,'Regioturnier 3'!$F$3:$G$34,2,FALSE))=TRUE,0,VLOOKUP(B182,'Regioturnier 3'!$F$3:$G$34,2,FALSE)),IF(ISNA(VLOOKUP(B182,'Regioturnier 3'!$J$3:$K$34,2,FALSE))=TRUE,0,VLOOKUP(B182,'Regioturnier 3'!$J$3:$K$34,2,FALSE)),IF(ISNA(VLOOKUP(B182,'Regioturnier 3'!$N$3:$O$34,2,FALSE))=TRUE,0,VLOOKUP(B182,'Regioturnier 3'!$N$3:$O$34,2,FALSE)),IF(ISNA(VLOOKUP(B182,'Regioturnier 3'!$R$3:$S$34,2,FALSE))=TRUE,0,VLOOKUP(B182,'Regioturnier 3'!$R$3:$S$34,2,FALSE)), IF(ISNA(VLOOKUP(B182,'Regioturnier 3'!$V$3:$W$34,2,FALSE))=TRUE,0,VLOOKUP(B182,'Regioturnier 3'!$V$3:$W$34,2,FALSE)), IF(ISNA(VLOOKUP(B182,'Regioturnier 3'!$Z$3:$AA$34,2,FALSE))=TRUE,0,VLOOKUP(B182,'Regioturnier 3'!$Z$3:$AA$34,2,FALSE)))</f>
        <v>0</v>
      </c>
      <c r="R182" s="20">
        <f>0.5*INDEX($H182:$N182,MATCH(LARGE($H182:$N182,1),$H182:$N182,0))+0.3*INDEX($H182:$N182,MATCH(LARGE($H182:$N182,2),$H182:$N182,0))+0.2*INDEX($H182:$N182,MATCH(LARGE($H182:$N182,3),$H182:$N182,0))</f>
        <v>0</v>
      </c>
      <c r="S182" s="20">
        <f>0.6*INDEX(O182:Q182,MATCH(LARGE(O182:Q182,1),O182:Q182,0))+0.4*INDEX(O182:Q182,MATCH(LARGE(O182:Q182,2),O182:Q182,0))+0*INDEX(O182:Q182,MATCH(LARGE(O182:Q182,3),O182:Q182,0))</f>
        <v>0</v>
      </c>
      <c r="T182" s="15">
        <f>1*INDEX(R182:S182,MATCH(LARGE(R182:S182,1),R182:S182,0))+0*INDEX(R182:S182,MATCH(LARGE(R182:S182,2),R182:S182,0))</f>
        <v>0</v>
      </c>
      <c r="U182" s="21"/>
      <c r="V182" s="21"/>
      <c r="W182" s="21"/>
      <c r="X182" s="21"/>
      <c r="Y182" s="21"/>
      <c r="Z182" s="21"/>
    </row>
    <row r="183" spans="1:26" ht="12.75" customHeight="1" x14ac:dyDescent="0.3">
      <c r="A183" s="15">
        <v>182</v>
      </c>
      <c r="B183" s="16" t="s">
        <v>89</v>
      </c>
      <c r="C183" s="17" t="s">
        <v>54</v>
      </c>
      <c r="D183" s="15" t="s">
        <v>22</v>
      </c>
      <c r="E183" s="18" t="s">
        <v>40</v>
      </c>
      <c r="F183" s="15" t="s">
        <v>90</v>
      </c>
      <c r="G183" s="22">
        <v>2016</v>
      </c>
      <c r="H183" s="15">
        <f>MAX(IF(ISNA(VLOOKUP(B183,'WBV 1'!$B$3:$C$34,2,FALSE))=TRUE,0,VLOOKUP(B183,'WBV 1'!$B$3:$C$34,2,FALSE)),IF(ISNA(VLOOKUP(B183,'WBV 1'!$F$3:$G$34,2,FALSE))=TRUE,0,VLOOKUP(B183,'WBV 1'!$F$3:$G$34,2,FALSE)),IF(ISNA(VLOOKUP(B183,'WBV 1'!$J$3:$K$34,2,FALSE))=TRUE,0,VLOOKUP(B183,'WBV 1'!$J$3:$K$34,2,FALSE)),IF(ISNA(VLOOKUP(B183,'WBV 1'!$N$3:$O$34,2,FALSE))=TRUE,0,VLOOKUP(B183,'WBV 1'!$N$3:$O$34,2,FALSE)))</f>
        <v>0</v>
      </c>
      <c r="I183" s="15">
        <f>MAX(IF(ISNA(VLOOKUP(B183,'WBV 2'!$B$3:$C$34,2,FALSE))=TRUE,0,VLOOKUP(B183,'WBV 2'!$B$3:$C$34,2,FALSE)),IF(ISNA(VLOOKUP(B183,'WBV 2'!$F$3:$G$34,2,FALSE))=TRUE,0,VLOOKUP(B183,'WBV 2'!$F$3:$G$34,2,FALSE)),IF(ISNA(VLOOKUP(B183,'WBV 2'!$J$3:$K$34,2,FALSE))=TRUE,0,VLOOKUP(B183,'WBV 2'!$J$3:$K$34,2,FALSE)),IF(ISNA(VLOOKUP(B183,'WBV 2'!$N$3:$O$34,2,FALSE))=TRUE,0,VLOOKUP(B183,'WBV 2'!$N$3:$O$34,2,FALSE)))</f>
        <v>0</v>
      </c>
      <c r="J183" s="15">
        <f>MAX(IF(ISNA(VLOOKUP(B183,'WBV 3'!$B$3:$C$34,2,FALSE))=TRUE,0,VLOOKUP(B183,'WBV 3'!$B$3:$C$34,2,FALSE)),IF(ISNA(VLOOKUP(B183,'WBV 3'!$F$3:$G$34,2,FALSE))=TRUE,0,VLOOKUP(B183,'WBV 3'!$F$3:$G$34,2,FALSE)),IF(ISNA(VLOOKUP(B183,'WBV 3'!$J$3:$K$34,2,FALSE))=TRUE,0,VLOOKUP(B183,'WBV 3'!$J$3:$K$34,2,FALSE)),IF(ISNA(VLOOKUP(B183,'WBV 3'!$N$3:$O$34,2,FALSE))=TRUE,0,VLOOKUP(B183,'WBV 3'!$N$3:$O$34,2,FALSE)))</f>
        <v>0</v>
      </c>
      <c r="K183" s="15">
        <f>MAX(IF(ISNA(VLOOKUP(B183,'WBV 4'!$B$3:$C$34,2,FALSE))=TRUE,0,VLOOKUP(B183,'WBV 4'!$B$3:$C$34,2,FALSE)),IF(ISNA(VLOOKUP(B183,'WBV 4'!$F$3:$G$34,2,FALSE))=TRUE,0,VLOOKUP(B183,'WBV 4'!$F$3:$G$34,2,FALSE)),IF(ISNA(VLOOKUP(B183,'WBV 4'!$J$3:$K$34,2,FALSE))=TRUE,0,VLOOKUP(B183,'WBV 4'!$J$3:$K$34,2,FALSE)),IF(ISNA(VLOOKUP(B183,'WBV 4'!$N$3:$O$34,2,FALSE))=TRUE,0,VLOOKUP(B183,'WBV 4'!$N$3:$O$34,2,FALSE)))</f>
        <v>0</v>
      </c>
      <c r="L183" s="19">
        <f>MAX(IF(ISNA(VLOOKUP(B183,'NÖBV 1'!$B$3:$C$34,2,FALSE))=TRUE,0,VLOOKUP(B183,'NÖBV 1'!$B$3:$C$34,2,FALSE)),IF(ISNA(VLOOKUP(B183,'NÖBV 1'!$F$3:$G$34,2,FALSE))=TRUE,0,VLOOKUP(B183,'NÖBV 1'!$F$3:$G$34,2,FALSE)),IF(ISNA(VLOOKUP(B183,'NÖBV 1'!$J$3:$K$34,2,FALSE))=TRUE,0,VLOOKUP(B183,'NÖBV 1'!$J$3:$K$34,2,FALSE)),IF(ISNA(VLOOKUP(B183,'NÖBV 1'!$N$3:$O$34,2,FALSE))=TRUE,0,VLOOKUP(B183,'NÖBV 1'!$N$3:$O$34,2,FALSE)))</f>
        <v>0</v>
      </c>
      <c r="M183" s="19">
        <f>MAX(IF(ISNA(VLOOKUP(B183,'NÖBV 2'!$B$3:$C$34,2,FALSE))=TRUE,0,VLOOKUP(B183,'NÖBV 2'!$B$3:$C$34,2,FALSE)),IF(ISNA(VLOOKUP(B183,'NÖBV 2'!$F$3:$G$34,2,FALSE))=TRUE,0,VLOOKUP(B183,'NÖBV 2'!$F$3:$G$34,2,FALSE)),IF(ISNA(VLOOKUP(B183,'NÖBV 2'!$J$3:$K$34,2,FALSE))=TRUE,0,VLOOKUP(B183,'NÖBV 2'!$J$3:$K$34,2,FALSE)),IF(ISNA(VLOOKUP(B183,'NÖBV 2'!$N$3:$O$34,2,FALSE))=TRUE,0,VLOOKUP(B183,'NÖBV 2'!$N$3:$O$34,2,FALSE)))</f>
        <v>0</v>
      </c>
      <c r="N183" s="19">
        <f>MAX(IF(ISNA(VLOOKUP(B183,'NÖBV 3'!$B$3:$C$34,2,FALSE))=TRUE,0,VLOOKUP(B183,'NÖBV 3'!$B$3:$C$34,2,FALSE)),IF(ISNA(VLOOKUP(B183,'NÖBV 3'!$F$3:$G$34,2,FALSE))=TRUE,0,VLOOKUP(B183,'NÖBV 3'!$F$3:$G$34,2,FALSE)),IF(ISNA(VLOOKUP(B183,'NÖBV 3'!$J$3:$K$34,2,FALSE))=TRUE,0,VLOOKUP(B183,'NÖBV 3'!$J$3:$K$34,2,FALSE)),IF(ISNA(VLOOKUP(B183,'NÖBV 3'!$N$3:$O$34,2,FALSE))=TRUE,0,VLOOKUP(B183,'NÖBV 3'!$N$3:$O$34,2,FALSE)))</f>
        <v>0</v>
      </c>
      <c r="O183" s="15">
        <f>MAX(IF(ISNA(VLOOKUP(B183,'Regioturnier 1'!$B$3:$C$34,2,FALSE))=TRUE,0,VLOOKUP(B183,'Regioturnier 1'!$B$3:$C$34,2,FALSE)),IF(ISNA(VLOOKUP(B183,'Regioturnier 1'!$F$3:$G$34,2,FALSE))=TRUE,0,VLOOKUP(B183,'Regioturnier 1'!$F$3:$G$34,2,FALSE)),IF(ISNA(VLOOKUP(B183,'Regioturnier 1'!$J$3:$K$34,2,FALSE))=TRUE,0,VLOOKUP(B183,'Regioturnier 1'!$J$3:$K$34,2,FALSE)),IF(ISNA(VLOOKUP(B183,'Regioturnier 1'!$N$3:$O$34,2,FALSE))=TRUE,0,VLOOKUP(B183,'Regioturnier 1'!$N$3:$O$34,2,FALSE)),IF(ISNA(VLOOKUP(B183,'Regioturnier 1'!$R$3:$S$34,2,FALSE))=TRUE,0,VLOOKUP(B183,'Regioturnier 1'!$R$3:$S$34,2,FALSE)), IF(ISNA(VLOOKUP(B183,'Regioturnier 1'!$V$3:$W$34,2,FALSE))=TRUE,0,VLOOKUP(B183,'Regioturnier 1'!$V$3:$W$34,2,FALSE)), IF(ISNA(VLOOKUP(B183,'Regioturnier 1'!$Z$3:$AA$34,2,FALSE))=TRUE,0,VLOOKUP(B183,'Regioturnier 1'!$Z$3:$AA$34,2,FALSE)))</f>
        <v>0</v>
      </c>
      <c r="P183" s="15">
        <f>MAX(IF(ISNA(VLOOKUP(B183,'Regioturnier 2'!$B$3:$C$34,2,FALSE))=TRUE,0,VLOOKUP(B183,'Regioturnier 2'!$B$3:$C$34,2,FALSE)),IF(ISNA(VLOOKUP(B183,'Regioturnier 2'!$F$3:$G$34,2,FALSE))=TRUE,0,VLOOKUP(B183,'Regioturnier 2'!$F$3:$G$34,2,FALSE)),IF(ISNA(VLOOKUP(B183,'Regioturnier 2'!$J$3:$K$34,2,FALSE))=TRUE,0,VLOOKUP(B183,'Regioturnier 2'!$J$3:$K$34,2,FALSE)),IF(ISNA(VLOOKUP(B183,'Regioturnier 2'!$N$3:$O$34,2,FALSE))=TRUE,0,VLOOKUP(B183,'Regioturnier 2'!$N$3:$O$34,2,FALSE)),IF(ISNA(VLOOKUP(B183,'Regioturnier 2'!$R$3:$S$34,2,FALSE))=TRUE,0,VLOOKUP(B183,'Regioturnier 2'!$R$3:$S$34,2,FALSE)), IF(ISNA(VLOOKUP(B183,'Regioturnier 2'!$V$3:$W$34,2,FALSE))=TRUE,0,VLOOKUP(B183,'Regioturnier 2'!$V$3:$W$34,2,FALSE)), IF(ISNA(VLOOKUP(B183,'Regioturnier 2'!$Z$3:$AA$34,2,FALSE))=TRUE,0,VLOOKUP(B183,'Regioturnier 2'!$Z$3:$AA$34,2,FALSE)))</f>
        <v>0</v>
      </c>
      <c r="Q183" s="15">
        <f>MAX(IF(ISNA(VLOOKUP(B183,'Regioturnier 3'!$B$3:$C$34,2,FALSE))=TRUE,0,VLOOKUP(B183,'Regioturnier 3'!$B$3:$C$34,2,FALSE)),IF(ISNA(VLOOKUP(B183,'Regioturnier 3'!$F$3:$G$34,2,FALSE))=TRUE,0,VLOOKUP(B183,'Regioturnier 3'!$F$3:$G$34,2,FALSE)),IF(ISNA(VLOOKUP(B183,'Regioturnier 3'!$J$3:$K$34,2,FALSE))=TRUE,0,VLOOKUP(B183,'Regioturnier 3'!$J$3:$K$34,2,FALSE)),IF(ISNA(VLOOKUP(B183,'Regioturnier 3'!$N$3:$O$34,2,FALSE))=TRUE,0,VLOOKUP(B183,'Regioturnier 3'!$N$3:$O$34,2,FALSE)),IF(ISNA(VLOOKUP(B183,'Regioturnier 3'!$R$3:$S$34,2,FALSE))=TRUE,0,VLOOKUP(B183,'Regioturnier 3'!$R$3:$S$34,2,FALSE)), IF(ISNA(VLOOKUP(B183,'Regioturnier 3'!$V$3:$W$34,2,FALSE))=TRUE,0,VLOOKUP(B183,'Regioturnier 3'!$V$3:$W$34,2,FALSE)), IF(ISNA(VLOOKUP(B183,'Regioturnier 3'!$Z$3:$AA$34,2,FALSE))=TRUE,0,VLOOKUP(B183,'Regioturnier 3'!$Z$3:$AA$34,2,FALSE)))</f>
        <v>0</v>
      </c>
      <c r="R183" s="20">
        <f>0.5*INDEX($H183:$N183,MATCH(LARGE($H183:$N183,1),$H183:$N183,0))+0.3*INDEX($H183:$N183,MATCH(LARGE($H183:$N183,2),$H183:$N183,0))+0.2*INDEX($H183:$N183,MATCH(LARGE($H183:$N183,3),$H183:$N183,0))</f>
        <v>0</v>
      </c>
      <c r="S183" s="20">
        <f>0.6*INDEX(O183:Q183,MATCH(LARGE(O183:Q183,1),O183:Q183,0))+0.4*INDEX(O183:Q183,MATCH(LARGE(O183:Q183,2),O183:Q183,0))+0*INDEX(O183:Q183,MATCH(LARGE(O183:Q183,3),O183:Q183,0))</f>
        <v>0</v>
      </c>
      <c r="T183" s="15">
        <f>1*INDEX(R183:S183,MATCH(LARGE(R183:S183,1),R183:S183,0))+0*INDEX(R183:S183,MATCH(LARGE(R183:S183,2),R183:S183,0))</f>
        <v>0</v>
      </c>
      <c r="U183" s="21"/>
      <c r="V183" s="21"/>
      <c r="W183" s="21"/>
      <c r="X183" s="21"/>
      <c r="Y183" s="21"/>
      <c r="Z183" s="21"/>
    </row>
    <row r="184" spans="1:26" ht="12.75" customHeight="1" x14ac:dyDescent="0.3">
      <c r="A184" s="15">
        <v>183</v>
      </c>
      <c r="B184" s="16" t="s">
        <v>225</v>
      </c>
      <c r="C184" s="17" t="s">
        <v>21</v>
      </c>
      <c r="D184" s="15" t="s">
        <v>22</v>
      </c>
      <c r="E184" s="18" t="s">
        <v>40</v>
      </c>
      <c r="F184" s="15" t="s">
        <v>226</v>
      </c>
      <c r="G184" s="22">
        <v>2013</v>
      </c>
      <c r="H184" s="15">
        <f>MAX(IF(ISNA(VLOOKUP(B184,'WBV 1'!$B$3:$C$34,2,FALSE))=TRUE,0,VLOOKUP(B184,'WBV 1'!$B$3:$C$34,2,FALSE)),IF(ISNA(VLOOKUP(B184,'WBV 1'!$F$3:$G$34,2,FALSE))=TRUE,0,VLOOKUP(B184,'WBV 1'!$F$3:$G$34,2,FALSE)),IF(ISNA(VLOOKUP(B184,'WBV 1'!$J$3:$K$34,2,FALSE))=TRUE,0,VLOOKUP(B184,'WBV 1'!$J$3:$K$34,2,FALSE)),IF(ISNA(VLOOKUP(B184,'WBV 1'!$N$3:$O$34,2,FALSE))=TRUE,0,VLOOKUP(B184,'WBV 1'!$N$3:$O$34,2,FALSE)))</f>
        <v>0</v>
      </c>
      <c r="I184" s="15">
        <f>MAX(IF(ISNA(VLOOKUP(B184,'WBV 2'!$B$3:$C$34,2,FALSE))=TRUE,0,VLOOKUP(B184,'WBV 2'!$B$3:$C$34,2,FALSE)),IF(ISNA(VLOOKUP(B184,'WBV 2'!$F$3:$G$34,2,FALSE))=TRUE,0,VLOOKUP(B184,'WBV 2'!$F$3:$G$34,2,FALSE)),IF(ISNA(VLOOKUP(B184,'WBV 2'!$J$3:$K$34,2,FALSE))=TRUE,0,VLOOKUP(B184,'WBV 2'!$J$3:$K$34,2,FALSE)),IF(ISNA(VLOOKUP(B184,'WBV 2'!$N$3:$O$34,2,FALSE))=TRUE,0,VLOOKUP(B184,'WBV 2'!$N$3:$O$34,2,FALSE)))</f>
        <v>0</v>
      </c>
      <c r="J184" s="15">
        <f>MAX(IF(ISNA(VLOOKUP(B184,'WBV 3'!$B$3:$C$34,2,FALSE))=TRUE,0,VLOOKUP(B184,'WBV 3'!$B$3:$C$34,2,FALSE)),IF(ISNA(VLOOKUP(B184,'WBV 3'!$F$3:$G$34,2,FALSE))=TRUE,0,VLOOKUP(B184,'WBV 3'!$F$3:$G$34,2,FALSE)),IF(ISNA(VLOOKUP(B184,'WBV 3'!$J$3:$K$34,2,FALSE))=TRUE,0,VLOOKUP(B184,'WBV 3'!$J$3:$K$34,2,FALSE)),IF(ISNA(VLOOKUP(B184,'WBV 3'!$N$3:$O$34,2,FALSE))=TRUE,0,VLOOKUP(B184,'WBV 3'!$N$3:$O$34,2,FALSE)))</f>
        <v>0</v>
      </c>
      <c r="K184" s="15">
        <f>MAX(IF(ISNA(VLOOKUP(B184,'WBV 4'!$B$3:$C$34,2,FALSE))=TRUE,0,VLOOKUP(B184,'WBV 4'!$B$3:$C$34,2,FALSE)),IF(ISNA(VLOOKUP(B184,'WBV 4'!$F$3:$G$34,2,FALSE))=TRUE,0,VLOOKUP(B184,'WBV 4'!$F$3:$G$34,2,FALSE)),IF(ISNA(VLOOKUP(B184,'WBV 4'!$J$3:$K$34,2,FALSE))=TRUE,0,VLOOKUP(B184,'WBV 4'!$J$3:$K$34,2,FALSE)),IF(ISNA(VLOOKUP(B184,'WBV 4'!$N$3:$O$34,2,FALSE))=TRUE,0,VLOOKUP(B184,'WBV 4'!$N$3:$O$34,2,FALSE)))</f>
        <v>0</v>
      </c>
      <c r="L184" s="19">
        <f>MAX(IF(ISNA(VLOOKUP(B184,'NÖBV 1'!$B$3:$C$34,2,FALSE))=TRUE,0,VLOOKUP(B184,'NÖBV 1'!$B$3:$C$34,2,FALSE)),IF(ISNA(VLOOKUP(B184,'NÖBV 1'!$F$3:$G$34,2,FALSE))=TRUE,0,VLOOKUP(B184,'NÖBV 1'!$F$3:$G$34,2,FALSE)),IF(ISNA(VLOOKUP(B184,'NÖBV 1'!$J$3:$K$34,2,FALSE))=TRUE,0,VLOOKUP(B184,'NÖBV 1'!$J$3:$K$34,2,FALSE)),IF(ISNA(VLOOKUP(B184,'NÖBV 1'!$N$3:$O$34,2,FALSE))=TRUE,0,VLOOKUP(B184,'NÖBV 1'!$N$3:$O$34,2,FALSE)))</f>
        <v>0</v>
      </c>
      <c r="M184" s="19">
        <f>MAX(IF(ISNA(VLOOKUP(B184,'NÖBV 2'!$B$3:$C$34,2,FALSE))=TRUE,0,VLOOKUP(B184,'NÖBV 2'!$B$3:$C$34,2,FALSE)),IF(ISNA(VLOOKUP(B184,'NÖBV 2'!$F$3:$G$34,2,FALSE))=TRUE,0,VLOOKUP(B184,'NÖBV 2'!$F$3:$G$34,2,FALSE)),IF(ISNA(VLOOKUP(B184,'NÖBV 2'!$J$3:$K$34,2,FALSE))=TRUE,0,VLOOKUP(B184,'NÖBV 2'!$J$3:$K$34,2,FALSE)),IF(ISNA(VLOOKUP(B184,'NÖBV 2'!$N$3:$O$34,2,FALSE))=TRUE,0,VLOOKUP(B184,'NÖBV 2'!$N$3:$O$34,2,FALSE)))</f>
        <v>0</v>
      </c>
      <c r="N184" s="19">
        <f>MAX(IF(ISNA(VLOOKUP(B184,'NÖBV 3'!$B$3:$C$34,2,FALSE))=TRUE,0,VLOOKUP(B184,'NÖBV 3'!$B$3:$C$34,2,FALSE)),IF(ISNA(VLOOKUP(B184,'NÖBV 3'!$F$3:$G$34,2,FALSE))=TRUE,0,VLOOKUP(B184,'NÖBV 3'!$F$3:$G$34,2,FALSE)),IF(ISNA(VLOOKUP(B184,'NÖBV 3'!$J$3:$K$34,2,FALSE))=TRUE,0,VLOOKUP(B184,'NÖBV 3'!$J$3:$K$34,2,FALSE)),IF(ISNA(VLOOKUP(B184,'NÖBV 3'!$N$3:$O$34,2,FALSE))=TRUE,0,VLOOKUP(B184,'NÖBV 3'!$N$3:$O$34,2,FALSE)))</f>
        <v>0</v>
      </c>
      <c r="O184" s="15">
        <f>MAX(IF(ISNA(VLOOKUP(B184,'Regioturnier 1'!$B$3:$C$34,2,FALSE))=TRUE,0,VLOOKUP(B184,'Regioturnier 1'!$B$3:$C$34,2,FALSE)),IF(ISNA(VLOOKUP(B184,'Regioturnier 1'!$F$3:$G$34,2,FALSE))=TRUE,0,VLOOKUP(B184,'Regioturnier 1'!$F$3:$G$34,2,FALSE)),IF(ISNA(VLOOKUP(B184,'Regioturnier 1'!$J$3:$K$34,2,FALSE))=TRUE,0,VLOOKUP(B184,'Regioturnier 1'!$J$3:$K$34,2,FALSE)),IF(ISNA(VLOOKUP(B184,'Regioturnier 1'!$N$3:$O$34,2,FALSE))=TRUE,0,VLOOKUP(B184,'Regioturnier 1'!$N$3:$O$34,2,FALSE)),IF(ISNA(VLOOKUP(B184,'Regioturnier 1'!$R$3:$S$34,2,FALSE))=TRUE,0,VLOOKUP(B184,'Regioturnier 1'!$R$3:$S$34,2,FALSE)), IF(ISNA(VLOOKUP(B184,'Regioturnier 1'!$V$3:$W$34,2,FALSE))=TRUE,0,VLOOKUP(B184,'Regioturnier 1'!$V$3:$W$34,2,FALSE)), IF(ISNA(VLOOKUP(B184,'Regioturnier 1'!$Z$3:$AA$34,2,FALSE))=TRUE,0,VLOOKUP(B184,'Regioturnier 1'!$Z$3:$AA$34,2,FALSE)))</f>
        <v>0</v>
      </c>
      <c r="P184" s="15">
        <f>MAX(IF(ISNA(VLOOKUP(B184,'Regioturnier 2'!$B$3:$C$34,2,FALSE))=TRUE,0,VLOOKUP(B184,'Regioturnier 2'!$B$3:$C$34,2,FALSE)),IF(ISNA(VLOOKUP(B184,'Regioturnier 2'!$F$3:$G$34,2,FALSE))=TRUE,0,VLOOKUP(B184,'Regioturnier 2'!$F$3:$G$34,2,FALSE)),IF(ISNA(VLOOKUP(B184,'Regioturnier 2'!$J$3:$K$34,2,FALSE))=TRUE,0,VLOOKUP(B184,'Regioturnier 2'!$J$3:$K$34,2,FALSE)),IF(ISNA(VLOOKUP(B184,'Regioturnier 2'!$N$3:$O$34,2,FALSE))=TRUE,0,VLOOKUP(B184,'Regioturnier 2'!$N$3:$O$34,2,FALSE)),IF(ISNA(VLOOKUP(B184,'Regioturnier 2'!$R$3:$S$34,2,FALSE))=TRUE,0,VLOOKUP(B184,'Regioturnier 2'!$R$3:$S$34,2,FALSE)), IF(ISNA(VLOOKUP(B184,'Regioturnier 2'!$V$3:$W$34,2,FALSE))=TRUE,0,VLOOKUP(B184,'Regioturnier 2'!$V$3:$W$34,2,FALSE)), IF(ISNA(VLOOKUP(B184,'Regioturnier 2'!$Z$3:$AA$34,2,FALSE))=TRUE,0,VLOOKUP(B184,'Regioturnier 2'!$Z$3:$AA$34,2,FALSE)))</f>
        <v>0</v>
      </c>
      <c r="Q184" s="15">
        <f>MAX(IF(ISNA(VLOOKUP(B184,'Regioturnier 3'!$B$3:$C$34,2,FALSE))=TRUE,0,VLOOKUP(B184,'Regioturnier 3'!$B$3:$C$34,2,FALSE)),IF(ISNA(VLOOKUP(B184,'Regioturnier 3'!$F$3:$G$34,2,FALSE))=TRUE,0,VLOOKUP(B184,'Regioturnier 3'!$F$3:$G$34,2,FALSE)),IF(ISNA(VLOOKUP(B184,'Regioturnier 3'!$J$3:$K$34,2,FALSE))=TRUE,0,VLOOKUP(B184,'Regioturnier 3'!$J$3:$K$34,2,FALSE)),IF(ISNA(VLOOKUP(B184,'Regioturnier 3'!$N$3:$O$34,2,FALSE))=TRUE,0,VLOOKUP(B184,'Regioturnier 3'!$N$3:$O$34,2,FALSE)),IF(ISNA(VLOOKUP(B184,'Regioturnier 3'!$R$3:$S$34,2,FALSE))=TRUE,0,VLOOKUP(B184,'Regioturnier 3'!$R$3:$S$34,2,FALSE)), IF(ISNA(VLOOKUP(B184,'Regioturnier 3'!$V$3:$W$34,2,FALSE))=TRUE,0,VLOOKUP(B184,'Regioturnier 3'!$V$3:$W$34,2,FALSE)), IF(ISNA(VLOOKUP(B184,'Regioturnier 3'!$Z$3:$AA$34,2,FALSE))=TRUE,0,VLOOKUP(B184,'Regioturnier 3'!$Z$3:$AA$34,2,FALSE)))</f>
        <v>0</v>
      </c>
      <c r="R184" s="20">
        <f>0.5*INDEX($H184:$N184,MATCH(LARGE($H184:$N184,1),$H184:$N184,0))+0.3*INDEX($H184:$N184,MATCH(LARGE($H184:$N184,2),$H184:$N184,0))+0.2*INDEX($H184:$N184,MATCH(LARGE($H184:$N184,3),$H184:$N184,0))</f>
        <v>0</v>
      </c>
      <c r="S184" s="20">
        <f>0.6*INDEX(O184:Q184,MATCH(LARGE(O184:Q184,1),O184:Q184,0))+0.4*INDEX(O184:Q184,MATCH(LARGE(O184:Q184,2),O184:Q184,0))+0*INDEX(O184:Q184,MATCH(LARGE(O184:Q184,3),O184:Q184,0))</f>
        <v>0</v>
      </c>
      <c r="T184" s="15">
        <f>1*INDEX(R184:S184,MATCH(LARGE(R184:S184,1),R184:S184,0))+0*INDEX(R184:S184,MATCH(LARGE(R184:S184,2),R184:S184,0))</f>
        <v>0</v>
      </c>
      <c r="U184" s="21"/>
      <c r="V184" s="21"/>
      <c r="W184" s="21"/>
      <c r="X184" s="21"/>
      <c r="Y184" s="21"/>
      <c r="Z184" s="21"/>
    </row>
    <row r="185" spans="1:26" ht="12.75" customHeight="1" x14ac:dyDescent="0.3">
      <c r="A185" s="15">
        <v>184</v>
      </c>
      <c r="B185" s="16" t="s">
        <v>227</v>
      </c>
      <c r="C185" s="17" t="s">
        <v>181</v>
      </c>
      <c r="D185" s="15" t="s">
        <v>22</v>
      </c>
      <c r="E185" s="18" t="s">
        <v>40</v>
      </c>
      <c r="F185" s="15">
        <v>29253</v>
      </c>
      <c r="G185" s="22">
        <v>2010</v>
      </c>
      <c r="H185" s="15">
        <f>MAX(IF(ISNA(VLOOKUP(B185,'WBV 1'!$B$3:$C$34,2,FALSE))=TRUE,0,VLOOKUP(B185,'WBV 1'!$B$3:$C$34,2,FALSE)),IF(ISNA(VLOOKUP(B185,'WBV 1'!$F$3:$G$34,2,FALSE))=TRUE,0,VLOOKUP(B185,'WBV 1'!$F$3:$G$34,2,FALSE)),IF(ISNA(VLOOKUP(B185,'WBV 1'!$J$3:$K$34,2,FALSE))=TRUE,0,VLOOKUP(B185,'WBV 1'!$J$3:$K$34,2,FALSE)),IF(ISNA(VLOOKUP(B185,'WBV 1'!$N$3:$O$34,2,FALSE))=TRUE,0,VLOOKUP(B185,'WBV 1'!$N$3:$O$34,2,FALSE)))</f>
        <v>0</v>
      </c>
      <c r="I185" s="15">
        <f>MAX(IF(ISNA(VLOOKUP(B185,'WBV 2'!$B$3:$C$34,2,FALSE))=TRUE,0,VLOOKUP(B185,'WBV 2'!$B$3:$C$34,2,FALSE)),IF(ISNA(VLOOKUP(B185,'WBV 2'!$F$3:$G$34,2,FALSE))=TRUE,0,VLOOKUP(B185,'WBV 2'!$F$3:$G$34,2,FALSE)),IF(ISNA(VLOOKUP(B185,'WBV 2'!$J$3:$K$34,2,FALSE))=TRUE,0,VLOOKUP(B185,'WBV 2'!$J$3:$K$34,2,FALSE)),IF(ISNA(VLOOKUP(B185,'WBV 2'!$N$3:$O$34,2,FALSE))=TRUE,0,VLOOKUP(B185,'WBV 2'!$N$3:$O$34,2,FALSE)))</f>
        <v>0</v>
      </c>
      <c r="J185" s="15">
        <f>MAX(IF(ISNA(VLOOKUP(B185,'WBV 3'!$B$3:$C$34,2,FALSE))=TRUE,0,VLOOKUP(B185,'WBV 3'!$B$3:$C$34,2,FALSE)),IF(ISNA(VLOOKUP(B185,'WBV 3'!$F$3:$G$34,2,FALSE))=TRUE,0,VLOOKUP(B185,'WBV 3'!$F$3:$G$34,2,FALSE)),IF(ISNA(VLOOKUP(B185,'WBV 3'!$J$3:$K$34,2,FALSE))=TRUE,0,VLOOKUP(B185,'WBV 3'!$J$3:$K$34,2,FALSE)),IF(ISNA(VLOOKUP(B185,'WBV 3'!$N$3:$O$34,2,FALSE))=TRUE,0,VLOOKUP(B185,'WBV 3'!$N$3:$O$34,2,FALSE)))</f>
        <v>0</v>
      </c>
      <c r="K185" s="15">
        <f>MAX(IF(ISNA(VLOOKUP(B185,'WBV 4'!$B$3:$C$34,2,FALSE))=TRUE,0,VLOOKUP(B185,'WBV 4'!$B$3:$C$34,2,FALSE)),IF(ISNA(VLOOKUP(B185,'WBV 4'!$F$3:$G$34,2,FALSE))=TRUE,0,VLOOKUP(B185,'WBV 4'!$F$3:$G$34,2,FALSE)),IF(ISNA(VLOOKUP(B185,'WBV 4'!$J$3:$K$34,2,FALSE))=TRUE,0,VLOOKUP(B185,'WBV 4'!$J$3:$K$34,2,FALSE)),IF(ISNA(VLOOKUP(B185,'WBV 4'!$N$3:$O$34,2,FALSE))=TRUE,0,VLOOKUP(B185,'WBV 4'!$N$3:$O$34,2,FALSE)))</f>
        <v>0</v>
      </c>
      <c r="L185" s="19">
        <f>MAX(IF(ISNA(VLOOKUP(B185,'NÖBV 1'!$B$3:$C$34,2,FALSE))=TRUE,0,VLOOKUP(B185,'NÖBV 1'!$B$3:$C$34,2,FALSE)),IF(ISNA(VLOOKUP(B185,'NÖBV 1'!$F$3:$G$34,2,FALSE))=TRUE,0,VLOOKUP(B185,'NÖBV 1'!$F$3:$G$34,2,FALSE)),IF(ISNA(VLOOKUP(B185,'NÖBV 1'!$J$3:$K$34,2,FALSE))=TRUE,0,VLOOKUP(B185,'NÖBV 1'!$J$3:$K$34,2,FALSE)),IF(ISNA(VLOOKUP(B185,'NÖBV 1'!$N$3:$O$34,2,FALSE))=TRUE,0,VLOOKUP(B185,'NÖBV 1'!$N$3:$O$34,2,FALSE)))</f>
        <v>0</v>
      </c>
      <c r="M185" s="19">
        <f>MAX(IF(ISNA(VLOOKUP(B185,'NÖBV 2'!$B$3:$C$34,2,FALSE))=TRUE,0,VLOOKUP(B185,'NÖBV 2'!$B$3:$C$34,2,FALSE)),IF(ISNA(VLOOKUP(B185,'NÖBV 2'!$F$3:$G$34,2,FALSE))=TRUE,0,VLOOKUP(B185,'NÖBV 2'!$F$3:$G$34,2,FALSE)),IF(ISNA(VLOOKUP(B185,'NÖBV 2'!$J$3:$K$34,2,FALSE))=TRUE,0,VLOOKUP(B185,'NÖBV 2'!$J$3:$K$34,2,FALSE)),IF(ISNA(VLOOKUP(B185,'NÖBV 2'!$N$3:$O$34,2,FALSE))=TRUE,0,VLOOKUP(B185,'NÖBV 2'!$N$3:$O$34,2,FALSE)))</f>
        <v>0</v>
      </c>
      <c r="N185" s="19">
        <f>MAX(IF(ISNA(VLOOKUP(B185,'NÖBV 3'!$B$3:$C$34,2,FALSE))=TRUE,0,VLOOKUP(B185,'NÖBV 3'!$B$3:$C$34,2,FALSE)),IF(ISNA(VLOOKUP(B185,'NÖBV 3'!$F$3:$G$34,2,FALSE))=TRUE,0,VLOOKUP(B185,'NÖBV 3'!$F$3:$G$34,2,FALSE)),IF(ISNA(VLOOKUP(B185,'NÖBV 3'!$J$3:$K$34,2,FALSE))=TRUE,0,VLOOKUP(B185,'NÖBV 3'!$J$3:$K$34,2,FALSE)),IF(ISNA(VLOOKUP(B185,'NÖBV 3'!$N$3:$O$34,2,FALSE))=TRUE,0,VLOOKUP(B185,'NÖBV 3'!$N$3:$O$34,2,FALSE)))</f>
        <v>0</v>
      </c>
      <c r="O185" s="15">
        <f>MAX(IF(ISNA(VLOOKUP(B185,'Regioturnier 1'!$B$3:$C$34,2,FALSE))=TRUE,0,VLOOKUP(B185,'Regioturnier 1'!$B$3:$C$34,2,FALSE)),IF(ISNA(VLOOKUP(B185,'Regioturnier 1'!$F$3:$G$34,2,FALSE))=TRUE,0,VLOOKUP(B185,'Regioturnier 1'!$F$3:$G$34,2,FALSE)),IF(ISNA(VLOOKUP(B185,'Regioturnier 1'!$J$3:$K$34,2,FALSE))=TRUE,0,VLOOKUP(B185,'Regioturnier 1'!$J$3:$K$34,2,FALSE)),IF(ISNA(VLOOKUP(B185,'Regioturnier 1'!$N$3:$O$34,2,FALSE))=TRUE,0,VLOOKUP(B185,'Regioturnier 1'!$N$3:$O$34,2,FALSE)),IF(ISNA(VLOOKUP(B185,'Regioturnier 1'!$R$3:$S$34,2,FALSE))=TRUE,0,VLOOKUP(B185,'Regioturnier 1'!$R$3:$S$34,2,FALSE)), IF(ISNA(VLOOKUP(B185,'Regioturnier 1'!$V$3:$W$34,2,FALSE))=TRUE,0,VLOOKUP(B185,'Regioturnier 1'!$V$3:$W$34,2,FALSE)), IF(ISNA(VLOOKUP(B185,'Regioturnier 1'!$Z$3:$AA$34,2,FALSE))=TRUE,0,VLOOKUP(B185,'Regioturnier 1'!$Z$3:$AA$34,2,FALSE)))</f>
        <v>0</v>
      </c>
      <c r="P185" s="15">
        <f>MAX(IF(ISNA(VLOOKUP(B185,'Regioturnier 2'!$B$3:$C$34,2,FALSE))=TRUE,0,VLOOKUP(B185,'Regioturnier 2'!$B$3:$C$34,2,FALSE)),IF(ISNA(VLOOKUP(B185,'Regioturnier 2'!$F$3:$G$34,2,FALSE))=TRUE,0,VLOOKUP(B185,'Regioturnier 2'!$F$3:$G$34,2,FALSE)),IF(ISNA(VLOOKUP(B185,'Regioturnier 2'!$J$3:$K$34,2,FALSE))=TRUE,0,VLOOKUP(B185,'Regioturnier 2'!$J$3:$K$34,2,FALSE)),IF(ISNA(VLOOKUP(B185,'Regioturnier 2'!$N$3:$O$34,2,FALSE))=TRUE,0,VLOOKUP(B185,'Regioturnier 2'!$N$3:$O$34,2,FALSE)),IF(ISNA(VLOOKUP(B185,'Regioturnier 2'!$R$3:$S$34,2,FALSE))=TRUE,0,VLOOKUP(B185,'Regioturnier 2'!$R$3:$S$34,2,FALSE)), IF(ISNA(VLOOKUP(B185,'Regioturnier 2'!$V$3:$W$34,2,FALSE))=TRUE,0,VLOOKUP(B185,'Regioturnier 2'!$V$3:$W$34,2,FALSE)), IF(ISNA(VLOOKUP(B185,'Regioturnier 2'!$Z$3:$AA$34,2,FALSE))=TRUE,0,VLOOKUP(B185,'Regioturnier 2'!$Z$3:$AA$34,2,FALSE)))</f>
        <v>0</v>
      </c>
      <c r="Q185" s="15">
        <f>MAX(IF(ISNA(VLOOKUP(B185,'Regioturnier 3'!$B$3:$C$34,2,FALSE))=TRUE,0,VLOOKUP(B185,'Regioturnier 3'!$B$3:$C$34,2,FALSE)),IF(ISNA(VLOOKUP(B185,'Regioturnier 3'!$F$3:$G$34,2,FALSE))=TRUE,0,VLOOKUP(B185,'Regioturnier 3'!$F$3:$G$34,2,FALSE)),IF(ISNA(VLOOKUP(B185,'Regioturnier 3'!$J$3:$K$34,2,FALSE))=TRUE,0,VLOOKUP(B185,'Regioturnier 3'!$J$3:$K$34,2,FALSE)),IF(ISNA(VLOOKUP(B185,'Regioturnier 3'!$N$3:$O$34,2,FALSE))=TRUE,0,VLOOKUP(B185,'Regioturnier 3'!$N$3:$O$34,2,FALSE)),IF(ISNA(VLOOKUP(B185,'Regioturnier 3'!$R$3:$S$34,2,FALSE))=TRUE,0,VLOOKUP(B185,'Regioturnier 3'!$R$3:$S$34,2,FALSE)), IF(ISNA(VLOOKUP(B185,'Regioturnier 3'!$V$3:$W$34,2,FALSE))=TRUE,0,VLOOKUP(B185,'Regioturnier 3'!$V$3:$W$34,2,FALSE)), IF(ISNA(VLOOKUP(B185,'Regioturnier 3'!$Z$3:$AA$34,2,FALSE))=TRUE,0,VLOOKUP(B185,'Regioturnier 3'!$Z$3:$AA$34,2,FALSE)))</f>
        <v>0</v>
      </c>
      <c r="R185" s="20">
        <f>0.5*INDEX($H185:$N185,MATCH(LARGE($H185:$N185,1),$H185:$N185,0))+0.3*INDEX($H185:$N185,MATCH(LARGE($H185:$N185,2),$H185:$N185,0))+0.2*INDEX($H185:$N185,MATCH(LARGE($H185:$N185,3),$H185:$N185,0))</f>
        <v>0</v>
      </c>
      <c r="S185" s="20">
        <f>0.6*INDEX(O185:Q185,MATCH(LARGE(O185:Q185,1),O185:Q185,0))+0.4*INDEX(O185:Q185,MATCH(LARGE(O185:Q185,2),O185:Q185,0))+0*INDEX(O185:Q185,MATCH(LARGE(O185:Q185,3),O185:Q185,0))</f>
        <v>0</v>
      </c>
      <c r="T185" s="15">
        <f>1*INDEX(R185:S185,MATCH(LARGE(R185:S185,1),R185:S185,0))+0*INDEX(R185:S185,MATCH(LARGE(R185:S185,2),R185:S185,0))</f>
        <v>0</v>
      </c>
      <c r="U185" s="21"/>
      <c r="V185" s="21"/>
      <c r="W185" s="21"/>
      <c r="X185" s="21"/>
      <c r="Y185" s="21"/>
      <c r="Z185" s="21"/>
    </row>
    <row r="186" spans="1:26" ht="12.75" customHeight="1" x14ac:dyDescent="0.3">
      <c r="A186" s="15">
        <v>185</v>
      </c>
      <c r="B186" s="16" t="s">
        <v>232</v>
      </c>
      <c r="C186" s="17" t="s">
        <v>181</v>
      </c>
      <c r="D186" s="15" t="s">
        <v>22</v>
      </c>
      <c r="E186" s="18" t="s">
        <v>23</v>
      </c>
      <c r="F186" s="15" t="s">
        <v>233</v>
      </c>
      <c r="G186" s="22"/>
      <c r="H186" s="15">
        <f>MAX(IF(ISNA(VLOOKUP(B186,'WBV 1'!$B$3:$C$34,2,FALSE))=TRUE,0,VLOOKUP(B186,'WBV 1'!$B$3:$C$34,2,FALSE)),IF(ISNA(VLOOKUP(B186,'WBV 1'!$F$3:$G$34,2,FALSE))=TRUE,0,VLOOKUP(B186,'WBV 1'!$F$3:$G$34,2,FALSE)),IF(ISNA(VLOOKUP(B186,'WBV 1'!$J$3:$K$34,2,FALSE))=TRUE,0,VLOOKUP(B186,'WBV 1'!$J$3:$K$34,2,FALSE)),IF(ISNA(VLOOKUP(B186,'WBV 1'!$N$3:$O$34,2,FALSE))=TRUE,0,VLOOKUP(B186,'WBV 1'!$N$3:$O$34,2,FALSE)))</f>
        <v>0</v>
      </c>
      <c r="I186" s="15">
        <f>MAX(IF(ISNA(VLOOKUP(B186,'WBV 2'!$B$3:$C$34,2,FALSE))=TRUE,0,VLOOKUP(B186,'WBV 2'!$B$3:$C$34,2,FALSE)),IF(ISNA(VLOOKUP(B186,'WBV 2'!$F$3:$G$34,2,FALSE))=TRUE,0,VLOOKUP(B186,'WBV 2'!$F$3:$G$34,2,FALSE)),IF(ISNA(VLOOKUP(B186,'WBV 2'!$J$3:$K$34,2,FALSE))=TRUE,0,VLOOKUP(B186,'WBV 2'!$J$3:$K$34,2,FALSE)),IF(ISNA(VLOOKUP(B186,'WBV 2'!$N$3:$O$34,2,FALSE))=TRUE,0,VLOOKUP(B186,'WBV 2'!$N$3:$O$34,2,FALSE)))</f>
        <v>0</v>
      </c>
      <c r="J186" s="15">
        <f>MAX(IF(ISNA(VLOOKUP(B186,'WBV 3'!$B$3:$C$34,2,FALSE))=TRUE,0,VLOOKUP(B186,'WBV 3'!$B$3:$C$34,2,FALSE)),IF(ISNA(VLOOKUP(B186,'WBV 3'!$F$3:$G$34,2,FALSE))=TRUE,0,VLOOKUP(B186,'WBV 3'!$F$3:$G$34,2,FALSE)),IF(ISNA(VLOOKUP(B186,'WBV 3'!$J$3:$K$34,2,FALSE))=TRUE,0,VLOOKUP(B186,'WBV 3'!$J$3:$K$34,2,FALSE)),IF(ISNA(VLOOKUP(B186,'WBV 3'!$N$3:$O$34,2,FALSE))=TRUE,0,VLOOKUP(B186,'WBV 3'!$N$3:$O$34,2,FALSE)))</f>
        <v>0</v>
      </c>
      <c r="K186" s="15">
        <f>MAX(IF(ISNA(VLOOKUP(B186,'WBV 4'!$B$3:$C$34,2,FALSE))=TRUE,0,VLOOKUP(B186,'WBV 4'!$B$3:$C$34,2,FALSE)),IF(ISNA(VLOOKUP(B186,'WBV 4'!$F$3:$G$34,2,FALSE))=TRUE,0,VLOOKUP(B186,'WBV 4'!$F$3:$G$34,2,FALSE)),IF(ISNA(VLOOKUP(B186,'WBV 4'!$J$3:$K$34,2,FALSE))=TRUE,0,VLOOKUP(B186,'WBV 4'!$J$3:$K$34,2,FALSE)),IF(ISNA(VLOOKUP(B186,'WBV 4'!$N$3:$O$34,2,FALSE))=TRUE,0,VLOOKUP(B186,'WBV 4'!$N$3:$O$34,2,FALSE)))</f>
        <v>0</v>
      </c>
      <c r="L186" s="19">
        <f>MAX(IF(ISNA(VLOOKUP(B186,'NÖBV 1'!$B$3:$C$34,2,FALSE))=TRUE,0,VLOOKUP(B186,'NÖBV 1'!$B$3:$C$34,2,FALSE)),IF(ISNA(VLOOKUP(B186,'NÖBV 1'!$F$3:$G$34,2,FALSE))=TRUE,0,VLOOKUP(B186,'NÖBV 1'!$F$3:$G$34,2,FALSE)),IF(ISNA(VLOOKUP(B186,'NÖBV 1'!$J$3:$K$34,2,FALSE))=TRUE,0,VLOOKUP(B186,'NÖBV 1'!$J$3:$K$34,2,FALSE)),IF(ISNA(VLOOKUP(B186,'NÖBV 1'!$N$3:$O$34,2,FALSE))=TRUE,0,VLOOKUP(B186,'NÖBV 1'!$N$3:$O$34,2,FALSE)))</f>
        <v>0</v>
      </c>
      <c r="M186" s="19">
        <f>MAX(IF(ISNA(VLOOKUP(B186,'NÖBV 2'!$B$3:$C$34,2,FALSE))=TRUE,0,VLOOKUP(B186,'NÖBV 2'!$B$3:$C$34,2,FALSE)),IF(ISNA(VLOOKUP(B186,'NÖBV 2'!$F$3:$G$34,2,FALSE))=TRUE,0,VLOOKUP(B186,'NÖBV 2'!$F$3:$G$34,2,FALSE)),IF(ISNA(VLOOKUP(B186,'NÖBV 2'!$J$3:$K$34,2,FALSE))=TRUE,0,VLOOKUP(B186,'NÖBV 2'!$J$3:$K$34,2,FALSE)),IF(ISNA(VLOOKUP(B186,'NÖBV 2'!$N$3:$O$34,2,FALSE))=TRUE,0,VLOOKUP(B186,'NÖBV 2'!$N$3:$O$34,2,FALSE)))</f>
        <v>0</v>
      </c>
      <c r="N186" s="19">
        <f>MAX(IF(ISNA(VLOOKUP(B186,'NÖBV 3'!$B$3:$C$34,2,FALSE))=TRUE,0,VLOOKUP(B186,'NÖBV 3'!$B$3:$C$34,2,FALSE)),IF(ISNA(VLOOKUP(B186,'NÖBV 3'!$F$3:$G$34,2,FALSE))=TRUE,0,VLOOKUP(B186,'NÖBV 3'!$F$3:$G$34,2,FALSE)),IF(ISNA(VLOOKUP(B186,'NÖBV 3'!$J$3:$K$34,2,FALSE))=TRUE,0,VLOOKUP(B186,'NÖBV 3'!$J$3:$K$34,2,FALSE)),IF(ISNA(VLOOKUP(B186,'NÖBV 3'!$N$3:$O$34,2,FALSE))=TRUE,0,VLOOKUP(B186,'NÖBV 3'!$N$3:$O$34,2,FALSE)))</f>
        <v>0</v>
      </c>
      <c r="O186" s="15">
        <f>MAX(IF(ISNA(VLOOKUP(B186,'Regioturnier 1'!$B$3:$C$34,2,FALSE))=TRUE,0,VLOOKUP(B186,'Regioturnier 1'!$B$3:$C$34,2,FALSE)),IF(ISNA(VLOOKUP(B186,'Regioturnier 1'!$F$3:$G$34,2,FALSE))=TRUE,0,VLOOKUP(B186,'Regioturnier 1'!$F$3:$G$34,2,FALSE)),IF(ISNA(VLOOKUP(B186,'Regioturnier 1'!$J$3:$K$34,2,FALSE))=TRUE,0,VLOOKUP(B186,'Regioturnier 1'!$J$3:$K$34,2,FALSE)),IF(ISNA(VLOOKUP(B186,'Regioturnier 1'!$N$3:$O$34,2,FALSE))=TRUE,0,VLOOKUP(B186,'Regioturnier 1'!$N$3:$O$34,2,FALSE)),IF(ISNA(VLOOKUP(B186,'Regioturnier 1'!$R$3:$S$34,2,FALSE))=TRUE,0,VLOOKUP(B186,'Regioturnier 1'!$R$3:$S$34,2,FALSE)), IF(ISNA(VLOOKUP(B186,'Regioturnier 1'!$V$3:$W$34,2,FALSE))=TRUE,0,VLOOKUP(B186,'Regioturnier 1'!$V$3:$W$34,2,FALSE)), IF(ISNA(VLOOKUP(B186,'Regioturnier 1'!$Z$3:$AA$34,2,FALSE))=TRUE,0,VLOOKUP(B186,'Regioturnier 1'!$Z$3:$AA$34,2,FALSE)))</f>
        <v>0</v>
      </c>
      <c r="P186" s="15">
        <f>MAX(IF(ISNA(VLOOKUP(B186,'Regioturnier 2'!$B$3:$C$34,2,FALSE))=TRUE,0,VLOOKUP(B186,'Regioturnier 2'!$B$3:$C$34,2,FALSE)),IF(ISNA(VLOOKUP(B186,'Regioturnier 2'!$F$3:$G$34,2,FALSE))=TRUE,0,VLOOKUP(B186,'Regioturnier 2'!$F$3:$G$34,2,FALSE)),IF(ISNA(VLOOKUP(B186,'Regioturnier 2'!$J$3:$K$34,2,FALSE))=TRUE,0,VLOOKUP(B186,'Regioturnier 2'!$J$3:$K$34,2,FALSE)),IF(ISNA(VLOOKUP(B186,'Regioturnier 2'!$N$3:$O$34,2,FALSE))=TRUE,0,VLOOKUP(B186,'Regioturnier 2'!$N$3:$O$34,2,FALSE)),IF(ISNA(VLOOKUP(B186,'Regioturnier 2'!$R$3:$S$34,2,FALSE))=TRUE,0,VLOOKUP(B186,'Regioturnier 2'!$R$3:$S$34,2,FALSE)), IF(ISNA(VLOOKUP(B186,'Regioturnier 2'!$V$3:$W$34,2,FALSE))=TRUE,0,VLOOKUP(B186,'Regioturnier 2'!$V$3:$W$34,2,FALSE)), IF(ISNA(VLOOKUP(B186,'Regioturnier 2'!$Z$3:$AA$34,2,FALSE))=TRUE,0,VLOOKUP(B186,'Regioturnier 2'!$Z$3:$AA$34,2,FALSE)))</f>
        <v>0</v>
      </c>
      <c r="Q186" s="15">
        <f>MAX(IF(ISNA(VLOOKUP(B186,'Regioturnier 3'!$B$3:$C$34,2,FALSE))=TRUE,0,VLOOKUP(B186,'Regioturnier 3'!$B$3:$C$34,2,FALSE)),IF(ISNA(VLOOKUP(B186,'Regioturnier 3'!$F$3:$G$34,2,FALSE))=TRUE,0,VLOOKUP(B186,'Regioturnier 3'!$F$3:$G$34,2,FALSE)),IF(ISNA(VLOOKUP(B186,'Regioturnier 3'!$J$3:$K$34,2,FALSE))=TRUE,0,VLOOKUP(B186,'Regioturnier 3'!$J$3:$K$34,2,FALSE)),IF(ISNA(VLOOKUP(B186,'Regioturnier 3'!$N$3:$O$34,2,FALSE))=TRUE,0,VLOOKUP(B186,'Regioturnier 3'!$N$3:$O$34,2,FALSE)),IF(ISNA(VLOOKUP(B186,'Regioturnier 3'!$R$3:$S$34,2,FALSE))=TRUE,0,VLOOKUP(B186,'Regioturnier 3'!$R$3:$S$34,2,FALSE)), IF(ISNA(VLOOKUP(B186,'Regioturnier 3'!$V$3:$W$34,2,FALSE))=TRUE,0,VLOOKUP(B186,'Regioturnier 3'!$V$3:$W$34,2,FALSE)), IF(ISNA(VLOOKUP(B186,'Regioturnier 3'!$Z$3:$AA$34,2,FALSE))=TRUE,0,VLOOKUP(B186,'Regioturnier 3'!$Z$3:$AA$34,2,FALSE)))</f>
        <v>0</v>
      </c>
      <c r="R186" s="20">
        <f>0.5*INDEX($H186:$N186,MATCH(LARGE($H186:$N186,1),$H186:$N186,0))+0.3*INDEX($H186:$N186,MATCH(LARGE($H186:$N186,2),$H186:$N186,0))+0.2*INDEX($H186:$N186,MATCH(LARGE($H186:$N186,3),$H186:$N186,0))</f>
        <v>0</v>
      </c>
      <c r="S186" s="20">
        <f>0.6*INDEX(O186:Q186,MATCH(LARGE(O186:Q186,1),O186:Q186,0))+0.4*INDEX(O186:Q186,MATCH(LARGE(O186:Q186,2),O186:Q186,0))+0*INDEX(O186:Q186,MATCH(LARGE(O186:Q186,3),O186:Q186,0))</f>
        <v>0</v>
      </c>
      <c r="T186" s="15">
        <f>1*INDEX(R186:S186,MATCH(LARGE(R186:S186,1),R186:S186,0))+0*INDEX(R186:S186,MATCH(LARGE(R186:S186,2),R186:S186,0))</f>
        <v>0</v>
      </c>
      <c r="U186" s="21"/>
      <c r="V186" s="21"/>
      <c r="W186" s="21"/>
      <c r="X186" s="21"/>
      <c r="Y186" s="21"/>
      <c r="Z186" s="21"/>
    </row>
    <row r="187" spans="1:26" ht="12.75" customHeight="1" x14ac:dyDescent="0.3">
      <c r="A187" s="15">
        <v>186</v>
      </c>
      <c r="B187" s="16" t="s">
        <v>143</v>
      </c>
      <c r="C187" s="17" t="s">
        <v>21</v>
      </c>
      <c r="D187" s="15" t="s">
        <v>22</v>
      </c>
      <c r="E187" s="18" t="s">
        <v>40</v>
      </c>
      <c r="F187" s="15" t="s">
        <v>144</v>
      </c>
      <c r="G187" s="22">
        <v>2014</v>
      </c>
      <c r="H187" s="15">
        <f>MAX(IF(ISNA(VLOOKUP(B187,'WBV 1'!$B$3:$C$34,2,FALSE))=TRUE,0,VLOOKUP(B187,'WBV 1'!$B$3:$C$34,2,FALSE)),IF(ISNA(VLOOKUP(B187,'WBV 1'!$F$3:$G$34,2,FALSE))=TRUE,0,VLOOKUP(B187,'WBV 1'!$F$3:$G$34,2,FALSE)),IF(ISNA(VLOOKUP(B187,'WBV 1'!$J$3:$K$34,2,FALSE))=TRUE,0,VLOOKUP(B187,'WBV 1'!$J$3:$K$34,2,FALSE)),IF(ISNA(VLOOKUP(B187,'WBV 1'!$N$3:$O$34,2,FALSE))=TRUE,0,VLOOKUP(B187,'WBV 1'!$N$3:$O$34,2,FALSE)))</f>
        <v>0</v>
      </c>
      <c r="I187" s="15">
        <f>MAX(IF(ISNA(VLOOKUP(B187,'WBV 2'!$B$3:$C$34,2,FALSE))=TRUE,0,VLOOKUP(B187,'WBV 2'!$B$3:$C$34,2,FALSE)),IF(ISNA(VLOOKUP(B187,'WBV 2'!$F$3:$G$34,2,FALSE))=TRUE,0,VLOOKUP(B187,'WBV 2'!$F$3:$G$34,2,FALSE)),IF(ISNA(VLOOKUP(B187,'WBV 2'!$J$3:$K$34,2,FALSE))=TRUE,0,VLOOKUP(B187,'WBV 2'!$J$3:$K$34,2,FALSE)),IF(ISNA(VLOOKUP(B187,'WBV 2'!$N$3:$O$34,2,FALSE))=TRUE,0,VLOOKUP(B187,'WBV 2'!$N$3:$O$34,2,FALSE)))</f>
        <v>0</v>
      </c>
      <c r="J187" s="15">
        <f>MAX(IF(ISNA(VLOOKUP(B187,'WBV 3'!$B$3:$C$34,2,FALSE))=TRUE,0,VLOOKUP(B187,'WBV 3'!$B$3:$C$34,2,FALSE)),IF(ISNA(VLOOKUP(B187,'WBV 3'!$F$3:$G$34,2,FALSE))=TRUE,0,VLOOKUP(B187,'WBV 3'!$F$3:$G$34,2,FALSE)),IF(ISNA(VLOOKUP(B187,'WBV 3'!$J$3:$K$34,2,FALSE))=TRUE,0,VLOOKUP(B187,'WBV 3'!$J$3:$K$34,2,FALSE)),IF(ISNA(VLOOKUP(B187,'WBV 3'!$N$3:$O$34,2,FALSE))=TRUE,0,VLOOKUP(B187,'WBV 3'!$N$3:$O$34,2,FALSE)))</f>
        <v>0</v>
      </c>
      <c r="K187" s="15">
        <f>MAX(IF(ISNA(VLOOKUP(B187,'WBV 4'!$B$3:$C$34,2,FALSE))=TRUE,0,VLOOKUP(B187,'WBV 4'!$B$3:$C$34,2,FALSE)),IF(ISNA(VLOOKUP(B187,'WBV 4'!$F$3:$G$34,2,FALSE))=TRUE,0,VLOOKUP(B187,'WBV 4'!$F$3:$G$34,2,FALSE)),IF(ISNA(VLOOKUP(B187,'WBV 4'!$J$3:$K$34,2,FALSE))=TRUE,0,VLOOKUP(B187,'WBV 4'!$J$3:$K$34,2,FALSE)),IF(ISNA(VLOOKUP(B187,'WBV 4'!$N$3:$O$34,2,FALSE))=TRUE,0,VLOOKUP(B187,'WBV 4'!$N$3:$O$34,2,FALSE)))</f>
        <v>0</v>
      </c>
      <c r="L187" s="19">
        <f>MAX(IF(ISNA(VLOOKUP(B187,'NÖBV 1'!$B$3:$C$34,2,FALSE))=TRUE,0,VLOOKUP(B187,'NÖBV 1'!$B$3:$C$34,2,FALSE)),IF(ISNA(VLOOKUP(B187,'NÖBV 1'!$F$3:$G$34,2,FALSE))=TRUE,0,VLOOKUP(B187,'NÖBV 1'!$F$3:$G$34,2,FALSE)),IF(ISNA(VLOOKUP(B187,'NÖBV 1'!$J$3:$K$34,2,FALSE))=TRUE,0,VLOOKUP(B187,'NÖBV 1'!$J$3:$K$34,2,FALSE)),IF(ISNA(VLOOKUP(B187,'NÖBV 1'!$N$3:$O$34,2,FALSE))=TRUE,0,VLOOKUP(B187,'NÖBV 1'!$N$3:$O$34,2,FALSE)))</f>
        <v>0</v>
      </c>
      <c r="M187" s="19">
        <f>MAX(IF(ISNA(VLOOKUP(B187,'NÖBV 2'!$B$3:$C$34,2,FALSE))=TRUE,0,VLOOKUP(B187,'NÖBV 2'!$B$3:$C$34,2,FALSE)),IF(ISNA(VLOOKUP(B187,'NÖBV 2'!$F$3:$G$34,2,FALSE))=TRUE,0,VLOOKUP(B187,'NÖBV 2'!$F$3:$G$34,2,FALSE)),IF(ISNA(VLOOKUP(B187,'NÖBV 2'!$J$3:$K$34,2,FALSE))=TRUE,0,VLOOKUP(B187,'NÖBV 2'!$J$3:$K$34,2,FALSE)),IF(ISNA(VLOOKUP(B187,'NÖBV 2'!$N$3:$O$34,2,FALSE))=TRUE,0,VLOOKUP(B187,'NÖBV 2'!$N$3:$O$34,2,FALSE)))</f>
        <v>0</v>
      </c>
      <c r="N187" s="19">
        <f>MAX(IF(ISNA(VLOOKUP(B187,'NÖBV 3'!$B$3:$C$34,2,FALSE))=TRUE,0,VLOOKUP(B187,'NÖBV 3'!$B$3:$C$34,2,FALSE)),IF(ISNA(VLOOKUP(B187,'NÖBV 3'!$F$3:$G$34,2,FALSE))=TRUE,0,VLOOKUP(B187,'NÖBV 3'!$F$3:$G$34,2,FALSE)),IF(ISNA(VLOOKUP(B187,'NÖBV 3'!$J$3:$K$34,2,FALSE))=TRUE,0,VLOOKUP(B187,'NÖBV 3'!$J$3:$K$34,2,FALSE)),IF(ISNA(VLOOKUP(B187,'NÖBV 3'!$N$3:$O$34,2,FALSE))=TRUE,0,VLOOKUP(B187,'NÖBV 3'!$N$3:$O$34,2,FALSE)))</f>
        <v>0</v>
      </c>
      <c r="O187" s="15">
        <f>MAX(IF(ISNA(VLOOKUP(B187,'Regioturnier 1'!$B$3:$C$34,2,FALSE))=TRUE,0,VLOOKUP(B187,'Regioturnier 1'!$B$3:$C$34,2,FALSE)),IF(ISNA(VLOOKUP(B187,'Regioturnier 1'!$F$3:$G$34,2,FALSE))=TRUE,0,VLOOKUP(B187,'Regioturnier 1'!$F$3:$G$34,2,FALSE)),IF(ISNA(VLOOKUP(B187,'Regioturnier 1'!$J$3:$K$34,2,FALSE))=TRUE,0,VLOOKUP(B187,'Regioturnier 1'!$J$3:$K$34,2,FALSE)),IF(ISNA(VLOOKUP(B187,'Regioturnier 1'!$N$3:$O$34,2,FALSE))=TRUE,0,VLOOKUP(B187,'Regioturnier 1'!$N$3:$O$34,2,FALSE)),IF(ISNA(VLOOKUP(B187,'Regioturnier 1'!$R$3:$S$34,2,FALSE))=TRUE,0,VLOOKUP(B187,'Regioturnier 1'!$R$3:$S$34,2,FALSE)), IF(ISNA(VLOOKUP(B187,'Regioturnier 1'!$V$3:$W$34,2,FALSE))=TRUE,0,VLOOKUP(B187,'Regioturnier 1'!$V$3:$W$34,2,FALSE)), IF(ISNA(VLOOKUP(B187,'Regioturnier 1'!$Z$3:$AA$34,2,FALSE))=TRUE,0,VLOOKUP(B187,'Regioturnier 1'!$Z$3:$AA$34,2,FALSE)))</f>
        <v>0</v>
      </c>
      <c r="P187" s="15">
        <f>MAX(IF(ISNA(VLOOKUP(B187,'Regioturnier 2'!$B$3:$C$34,2,FALSE))=TRUE,0,VLOOKUP(B187,'Regioturnier 2'!$B$3:$C$34,2,FALSE)),IF(ISNA(VLOOKUP(B187,'Regioturnier 2'!$F$3:$G$34,2,FALSE))=TRUE,0,VLOOKUP(B187,'Regioturnier 2'!$F$3:$G$34,2,FALSE)),IF(ISNA(VLOOKUP(B187,'Regioturnier 2'!$J$3:$K$34,2,FALSE))=TRUE,0,VLOOKUP(B187,'Regioturnier 2'!$J$3:$K$34,2,FALSE)),IF(ISNA(VLOOKUP(B187,'Regioturnier 2'!$N$3:$O$34,2,FALSE))=TRUE,0,VLOOKUP(B187,'Regioturnier 2'!$N$3:$O$34,2,FALSE)),IF(ISNA(VLOOKUP(B187,'Regioturnier 2'!$R$3:$S$34,2,FALSE))=TRUE,0,VLOOKUP(B187,'Regioturnier 2'!$R$3:$S$34,2,FALSE)), IF(ISNA(VLOOKUP(B187,'Regioturnier 2'!$V$3:$W$34,2,FALSE))=TRUE,0,VLOOKUP(B187,'Regioturnier 2'!$V$3:$W$34,2,FALSE)), IF(ISNA(VLOOKUP(B187,'Regioturnier 2'!$Z$3:$AA$34,2,FALSE))=TRUE,0,VLOOKUP(B187,'Regioturnier 2'!$Z$3:$AA$34,2,FALSE)))</f>
        <v>0</v>
      </c>
      <c r="Q187" s="15">
        <f>MAX(IF(ISNA(VLOOKUP(B187,'Regioturnier 3'!$B$3:$C$34,2,FALSE))=TRUE,0,VLOOKUP(B187,'Regioturnier 3'!$B$3:$C$34,2,FALSE)),IF(ISNA(VLOOKUP(B187,'Regioturnier 3'!$F$3:$G$34,2,FALSE))=TRUE,0,VLOOKUP(B187,'Regioturnier 3'!$F$3:$G$34,2,FALSE)),IF(ISNA(VLOOKUP(B187,'Regioturnier 3'!$J$3:$K$34,2,FALSE))=TRUE,0,VLOOKUP(B187,'Regioturnier 3'!$J$3:$K$34,2,FALSE)),IF(ISNA(VLOOKUP(B187,'Regioturnier 3'!$N$3:$O$34,2,FALSE))=TRUE,0,VLOOKUP(B187,'Regioturnier 3'!$N$3:$O$34,2,FALSE)),IF(ISNA(VLOOKUP(B187,'Regioturnier 3'!$R$3:$S$34,2,FALSE))=TRUE,0,VLOOKUP(B187,'Regioturnier 3'!$R$3:$S$34,2,FALSE)), IF(ISNA(VLOOKUP(B187,'Regioturnier 3'!$V$3:$W$34,2,FALSE))=TRUE,0,VLOOKUP(B187,'Regioturnier 3'!$V$3:$W$34,2,FALSE)), IF(ISNA(VLOOKUP(B187,'Regioturnier 3'!$Z$3:$AA$34,2,FALSE))=TRUE,0,VLOOKUP(B187,'Regioturnier 3'!$Z$3:$AA$34,2,FALSE)))</f>
        <v>0</v>
      </c>
      <c r="R187" s="20">
        <f>0.5*INDEX($H187:$N187,MATCH(LARGE($H187:$N187,1),$H187:$N187,0))+0.3*INDEX($H187:$N187,MATCH(LARGE($H187:$N187,2),$H187:$N187,0))+0.2*INDEX($H187:$N187,MATCH(LARGE($H187:$N187,3),$H187:$N187,0))</f>
        <v>0</v>
      </c>
      <c r="S187" s="20">
        <f>0.6*INDEX(O187:Q187,MATCH(LARGE(O187:Q187,1),O187:Q187,0))+0.4*INDEX(O187:Q187,MATCH(LARGE(O187:Q187,2),O187:Q187,0))+0*INDEX(O187:Q187,MATCH(LARGE(O187:Q187,3),O187:Q187,0))</f>
        <v>0</v>
      </c>
      <c r="T187" s="15">
        <f>1*INDEX(R187:S187,MATCH(LARGE(R187:S187,1),R187:S187,0))+0*INDEX(R187:S187,MATCH(LARGE(R187:S187,2),R187:S187,0))</f>
        <v>0</v>
      </c>
      <c r="U187" s="21"/>
      <c r="V187" s="21"/>
      <c r="W187" s="21"/>
      <c r="X187" s="21"/>
      <c r="Y187" s="21"/>
      <c r="Z187" s="21"/>
    </row>
    <row r="188" spans="1:26" ht="12.75" customHeight="1" x14ac:dyDescent="0.3">
      <c r="A188" s="15">
        <v>187</v>
      </c>
      <c r="B188" s="16" t="s">
        <v>238</v>
      </c>
      <c r="C188" s="17" t="s">
        <v>181</v>
      </c>
      <c r="D188" s="15" t="s">
        <v>22</v>
      </c>
      <c r="E188" s="18" t="s">
        <v>23</v>
      </c>
      <c r="F188" s="15" t="s">
        <v>239</v>
      </c>
      <c r="G188" s="22">
        <v>2016</v>
      </c>
      <c r="H188" s="15">
        <f>MAX(IF(ISNA(VLOOKUP(B188,'WBV 1'!$B$3:$C$34,2,FALSE))=TRUE,0,VLOOKUP(B188,'WBV 1'!$B$3:$C$34,2,FALSE)),IF(ISNA(VLOOKUP(B188,'WBV 1'!$F$3:$G$34,2,FALSE))=TRUE,0,VLOOKUP(B188,'WBV 1'!$F$3:$G$34,2,FALSE)),IF(ISNA(VLOOKUP(B188,'WBV 1'!$J$3:$K$34,2,FALSE))=TRUE,0,VLOOKUP(B188,'WBV 1'!$J$3:$K$34,2,FALSE)),IF(ISNA(VLOOKUP(B188,'WBV 1'!$N$3:$O$34,2,FALSE))=TRUE,0,VLOOKUP(B188,'WBV 1'!$N$3:$O$34,2,FALSE)))</f>
        <v>0</v>
      </c>
      <c r="I188" s="15">
        <f>MAX(IF(ISNA(VLOOKUP(B188,'WBV 2'!$B$3:$C$34,2,FALSE))=TRUE,0,VLOOKUP(B188,'WBV 2'!$B$3:$C$34,2,FALSE)),IF(ISNA(VLOOKUP(B188,'WBV 2'!$F$3:$G$34,2,FALSE))=TRUE,0,VLOOKUP(B188,'WBV 2'!$F$3:$G$34,2,FALSE)),IF(ISNA(VLOOKUP(B188,'WBV 2'!$J$3:$K$34,2,FALSE))=TRUE,0,VLOOKUP(B188,'WBV 2'!$J$3:$K$34,2,FALSE)),IF(ISNA(VLOOKUP(B188,'WBV 2'!$N$3:$O$34,2,FALSE))=TRUE,0,VLOOKUP(B188,'WBV 2'!$N$3:$O$34,2,FALSE)))</f>
        <v>0</v>
      </c>
      <c r="J188" s="15">
        <f>MAX(IF(ISNA(VLOOKUP(B188,'WBV 3'!$B$3:$C$34,2,FALSE))=TRUE,0,VLOOKUP(B188,'WBV 3'!$B$3:$C$34,2,FALSE)),IF(ISNA(VLOOKUP(B188,'WBV 3'!$F$3:$G$34,2,FALSE))=TRUE,0,VLOOKUP(B188,'WBV 3'!$F$3:$G$34,2,FALSE)),IF(ISNA(VLOOKUP(B188,'WBV 3'!$J$3:$K$34,2,FALSE))=TRUE,0,VLOOKUP(B188,'WBV 3'!$J$3:$K$34,2,FALSE)),IF(ISNA(VLOOKUP(B188,'WBV 3'!$N$3:$O$34,2,FALSE))=TRUE,0,VLOOKUP(B188,'WBV 3'!$N$3:$O$34,2,FALSE)))</f>
        <v>0</v>
      </c>
      <c r="K188" s="15">
        <f>MAX(IF(ISNA(VLOOKUP(B188,'WBV 4'!$B$3:$C$34,2,FALSE))=TRUE,0,VLOOKUP(B188,'WBV 4'!$B$3:$C$34,2,FALSE)),IF(ISNA(VLOOKUP(B188,'WBV 4'!$F$3:$G$34,2,FALSE))=TRUE,0,VLOOKUP(B188,'WBV 4'!$F$3:$G$34,2,FALSE)),IF(ISNA(VLOOKUP(B188,'WBV 4'!$J$3:$K$34,2,FALSE))=TRUE,0,VLOOKUP(B188,'WBV 4'!$J$3:$K$34,2,FALSE)),IF(ISNA(VLOOKUP(B188,'WBV 4'!$N$3:$O$34,2,FALSE))=TRUE,0,VLOOKUP(B188,'WBV 4'!$N$3:$O$34,2,FALSE)))</f>
        <v>0</v>
      </c>
      <c r="L188" s="19">
        <f>MAX(IF(ISNA(VLOOKUP(B188,'NÖBV 1'!$B$3:$C$34,2,FALSE))=TRUE,0,VLOOKUP(B188,'NÖBV 1'!$B$3:$C$34,2,FALSE)),IF(ISNA(VLOOKUP(B188,'NÖBV 1'!$F$3:$G$34,2,FALSE))=TRUE,0,VLOOKUP(B188,'NÖBV 1'!$F$3:$G$34,2,FALSE)),IF(ISNA(VLOOKUP(B188,'NÖBV 1'!$J$3:$K$34,2,FALSE))=TRUE,0,VLOOKUP(B188,'NÖBV 1'!$J$3:$K$34,2,FALSE)),IF(ISNA(VLOOKUP(B188,'NÖBV 1'!$N$3:$O$34,2,FALSE))=TRUE,0,VLOOKUP(B188,'NÖBV 1'!$N$3:$O$34,2,FALSE)))</f>
        <v>0</v>
      </c>
      <c r="M188" s="19">
        <f>MAX(IF(ISNA(VLOOKUP(B188,'NÖBV 2'!$B$3:$C$34,2,FALSE))=TRUE,0,VLOOKUP(B188,'NÖBV 2'!$B$3:$C$34,2,FALSE)),IF(ISNA(VLOOKUP(B188,'NÖBV 2'!$F$3:$G$34,2,FALSE))=TRUE,0,VLOOKUP(B188,'NÖBV 2'!$F$3:$G$34,2,FALSE)),IF(ISNA(VLOOKUP(B188,'NÖBV 2'!$J$3:$K$34,2,FALSE))=TRUE,0,VLOOKUP(B188,'NÖBV 2'!$J$3:$K$34,2,FALSE)),IF(ISNA(VLOOKUP(B188,'NÖBV 2'!$N$3:$O$34,2,FALSE))=TRUE,0,VLOOKUP(B188,'NÖBV 2'!$N$3:$O$34,2,FALSE)))</f>
        <v>0</v>
      </c>
      <c r="N188" s="19">
        <f>MAX(IF(ISNA(VLOOKUP(B188,'NÖBV 3'!$B$3:$C$34,2,FALSE))=TRUE,0,VLOOKUP(B188,'NÖBV 3'!$B$3:$C$34,2,FALSE)),IF(ISNA(VLOOKUP(B188,'NÖBV 3'!$F$3:$G$34,2,FALSE))=TRUE,0,VLOOKUP(B188,'NÖBV 3'!$F$3:$G$34,2,FALSE)),IF(ISNA(VLOOKUP(B188,'NÖBV 3'!$J$3:$K$34,2,FALSE))=TRUE,0,VLOOKUP(B188,'NÖBV 3'!$J$3:$K$34,2,FALSE)),IF(ISNA(VLOOKUP(B188,'NÖBV 3'!$N$3:$O$34,2,FALSE))=TRUE,0,VLOOKUP(B188,'NÖBV 3'!$N$3:$O$34,2,FALSE)))</f>
        <v>0</v>
      </c>
      <c r="O188" s="15">
        <f>MAX(IF(ISNA(VLOOKUP(B188,'Regioturnier 1'!$B$3:$C$34,2,FALSE))=TRUE,0,VLOOKUP(B188,'Regioturnier 1'!$B$3:$C$34,2,FALSE)),IF(ISNA(VLOOKUP(B188,'Regioturnier 1'!$F$3:$G$34,2,FALSE))=TRUE,0,VLOOKUP(B188,'Regioturnier 1'!$F$3:$G$34,2,FALSE)),IF(ISNA(VLOOKUP(B188,'Regioturnier 1'!$J$3:$K$34,2,FALSE))=TRUE,0,VLOOKUP(B188,'Regioturnier 1'!$J$3:$K$34,2,FALSE)),IF(ISNA(VLOOKUP(B188,'Regioturnier 1'!$N$3:$O$34,2,FALSE))=TRUE,0,VLOOKUP(B188,'Regioturnier 1'!$N$3:$O$34,2,FALSE)),IF(ISNA(VLOOKUP(B188,'Regioturnier 1'!$R$3:$S$34,2,FALSE))=TRUE,0,VLOOKUP(B188,'Regioturnier 1'!$R$3:$S$34,2,FALSE)), IF(ISNA(VLOOKUP(B188,'Regioturnier 1'!$V$3:$W$34,2,FALSE))=TRUE,0,VLOOKUP(B188,'Regioturnier 1'!$V$3:$W$34,2,FALSE)), IF(ISNA(VLOOKUP(B188,'Regioturnier 1'!$Z$3:$AA$34,2,FALSE))=TRUE,0,VLOOKUP(B188,'Regioturnier 1'!$Z$3:$AA$34,2,FALSE)))</f>
        <v>0</v>
      </c>
      <c r="P188" s="15">
        <f>MAX(IF(ISNA(VLOOKUP(B188,'Regioturnier 2'!$B$3:$C$34,2,FALSE))=TRUE,0,VLOOKUP(B188,'Regioturnier 2'!$B$3:$C$34,2,FALSE)),IF(ISNA(VLOOKUP(B188,'Regioturnier 2'!$F$3:$G$34,2,FALSE))=TRUE,0,VLOOKUP(B188,'Regioturnier 2'!$F$3:$G$34,2,FALSE)),IF(ISNA(VLOOKUP(B188,'Regioturnier 2'!$J$3:$K$34,2,FALSE))=TRUE,0,VLOOKUP(B188,'Regioturnier 2'!$J$3:$K$34,2,FALSE)),IF(ISNA(VLOOKUP(B188,'Regioturnier 2'!$N$3:$O$34,2,FALSE))=TRUE,0,VLOOKUP(B188,'Regioturnier 2'!$N$3:$O$34,2,FALSE)),IF(ISNA(VLOOKUP(B188,'Regioturnier 2'!$R$3:$S$34,2,FALSE))=TRUE,0,VLOOKUP(B188,'Regioturnier 2'!$R$3:$S$34,2,FALSE)), IF(ISNA(VLOOKUP(B188,'Regioturnier 2'!$V$3:$W$34,2,FALSE))=TRUE,0,VLOOKUP(B188,'Regioturnier 2'!$V$3:$W$34,2,FALSE)), IF(ISNA(VLOOKUP(B188,'Regioturnier 2'!$Z$3:$AA$34,2,FALSE))=TRUE,0,VLOOKUP(B188,'Regioturnier 2'!$Z$3:$AA$34,2,FALSE)))</f>
        <v>0</v>
      </c>
      <c r="Q188" s="15">
        <f>MAX(IF(ISNA(VLOOKUP(B188,'Regioturnier 3'!$B$3:$C$34,2,FALSE))=TRUE,0,VLOOKUP(B188,'Regioturnier 3'!$B$3:$C$34,2,FALSE)),IF(ISNA(VLOOKUP(B188,'Regioturnier 3'!$F$3:$G$34,2,FALSE))=TRUE,0,VLOOKUP(B188,'Regioturnier 3'!$F$3:$G$34,2,FALSE)),IF(ISNA(VLOOKUP(B188,'Regioturnier 3'!$J$3:$K$34,2,FALSE))=TRUE,0,VLOOKUP(B188,'Regioturnier 3'!$J$3:$K$34,2,FALSE)),IF(ISNA(VLOOKUP(B188,'Regioturnier 3'!$N$3:$O$34,2,FALSE))=TRUE,0,VLOOKUP(B188,'Regioturnier 3'!$N$3:$O$34,2,FALSE)),IF(ISNA(VLOOKUP(B188,'Regioturnier 3'!$R$3:$S$34,2,FALSE))=TRUE,0,VLOOKUP(B188,'Regioturnier 3'!$R$3:$S$34,2,FALSE)), IF(ISNA(VLOOKUP(B188,'Regioturnier 3'!$V$3:$W$34,2,FALSE))=TRUE,0,VLOOKUP(B188,'Regioturnier 3'!$V$3:$W$34,2,FALSE)), IF(ISNA(VLOOKUP(B188,'Regioturnier 3'!$Z$3:$AA$34,2,FALSE))=TRUE,0,VLOOKUP(B188,'Regioturnier 3'!$Z$3:$AA$34,2,FALSE)))</f>
        <v>0</v>
      </c>
      <c r="R188" s="20">
        <f>0.5*INDEX($H188:$N188,MATCH(LARGE($H188:$N188,1),$H188:$N188,0))+0.3*INDEX($H188:$N188,MATCH(LARGE($H188:$N188,2),$H188:$N188,0))+0.2*INDEX($H188:$N188,MATCH(LARGE($H188:$N188,3),$H188:$N188,0))</f>
        <v>0</v>
      </c>
      <c r="S188" s="20">
        <f>0.6*INDEX(O188:Q188,MATCH(LARGE(O188:Q188,1),O188:Q188,0))+0.4*INDEX(O188:Q188,MATCH(LARGE(O188:Q188,2),O188:Q188,0))+0*INDEX(O188:Q188,MATCH(LARGE(O188:Q188,3),O188:Q188,0))</f>
        <v>0</v>
      </c>
      <c r="T188" s="15">
        <f>1*INDEX(R188:S188,MATCH(LARGE(R188:S188,1),R188:S188,0))+0*INDEX(R188:S188,MATCH(LARGE(R188:S188,2),R188:S188,0))</f>
        <v>0</v>
      </c>
      <c r="U188" s="21"/>
      <c r="V188" s="21"/>
      <c r="W188" s="21"/>
      <c r="X188" s="21"/>
      <c r="Y188" s="21"/>
      <c r="Z188" s="21"/>
    </row>
    <row r="189" spans="1:26" ht="12.75" customHeight="1" x14ac:dyDescent="0.3">
      <c r="A189" s="15">
        <v>188</v>
      </c>
      <c r="B189" s="16" t="s">
        <v>49</v>
      </c>
      <c r="C189" s="17" t="s">
        <v>43</v>
      </c>
      <c r="D189" s="15" t="s">
        <v>26</v>
      </c>
      <c r="E189" s="18" t="s">
        <v>23</v>
      </c>
      <c r="F189" s="15">
        <v>110448</v>
      </c>
      <c r="G189" s="22">
        <v>2010</v>
      </c>
      <c r="H189" s="15">
        <f>MAX(IF(ISNA(VLOOKUP(B189,'WBV 1'!$B$3:$C$34,2,FALSE))=TRUE,0,VLOOKUP(B189,'WBV 1'!$B$3:$C$34,2,FALSE)),IF(ISNA(VLOOKUP(B189,'WBV 1'!$F$3:$G$34,2,FALSE))=TRUE,0,VLOOKUP(B189,'WBV 1'!$F$3:$G$34,2,FALSE)),IF(ISNA(VLOOKUP(B189,'WBV 1'!$J$3:$K$34,2,FALSE))=TRUE,0,VLOOKUP(B189,'WBV 1'!$J$3:$K$34,2,FALSE)),IF(ISNA(VLOOKUP(B189,'WBV 1'!$N$3:$O$34,2,FALSE))=TRUE,0,VLOOKUP(B189,'WBV 1'!$N$3:$O$34,2,FALSE)))</f>
        <v>0</v>
      </c>
      <c r="I189" s="15">
        <f>MAX(IF(ISNA(VLOOKUP(B189,'WBV 2'!$B$3:$C$34,2,FALSE))=TRUE,0,VLOOKUP(B189,'WBV 2'!$B$3:$C$34,2,FALSE)),IF(ISNA(VLOOKUP(B189,'WBV 2'!$F$3:$G$34,2,FALSE))=TRUE,0,VLOOKUP(B189,'WBV 2'!$F$3:$G$34,2,FALSE)),IF(ISNA(VLOOKUP(B189,'WBV 2'!$J$3:$K$34,2,FALSE))=TRUE,0,VLOOKUP(B189,'WBV 2'!$J$3:$K$34,2,FALSE)),IF(ISNA(VLOOKUP(B189,'WBV 2'!$N$3:$O$34,2,FALSE))=TRUE,0,VLOOKUP(B189,'WBV 2'!$N$3:$O$34,2,FALSE)))</f>
        <v>0</v>
      </c>
      <c r="J189" s="15">
        <f>MAX(IF(ISNA(VLOOKUP(B189,'WBV 3'!$B$3:$C$34,2,FALSE))=TRUE,0,VLOOKUP(B189,'WBV 3'!$B$3:$C$34,2,FALSE)),IF(ISNA(VLOOKUP(B189,'WBV 3'!$F$3:$G$34,2,FALSE))=TRUE,0,VLOOKUP(B189,'WBV 3'!$F$3:$G$34,2,FALSE)),IF(ISNA(VLOOKUP(B189,'WBV 3'!$J$3:$K$34,2,FALSE))=TRUE,0,VLOOKUP(B189,'WBV 3'!$J$3:$K$34,2,FALSE)),IF(ISNA(VLOOKUP(B189,'WBV 3'!$N$3:$O$34,2,FALSE))=TRUE,0,VLOOKUP(B189,'WBV 3'!$N$3:$O$34,2,FALSE)))</f>
        <v>0</v>
      </c>
      <c r="K189" s="15">
        <f>MAX(IF(ISNA(VLOOKUP(B189,'WBV 4'!$B$3:$C$34,2,FALSE))=TRUE,0,VLOOKUP(B189,'WBV 4'!$B$3:$C$34,2,FALSE)),IF(ISNA(VLOOKUP(B189,'WBV 4'!$F$3:$G$34,2,FALSE))=TRUE,0,VLOOKUP(B189,'WBV 4'!$F$3:$G$34,2,FALSE)),IF(ISNA(VLOOKUP(B189,'WBV 4'!$J$3:$K$34,2,FALSE))=TRUE,0,VLOOKUP(B189,'WBV 4'!$J$3:$K$34,2,FALSE)),IF(ISNA(VLOOKUP(B189,'WBV 4'!$N$3:$O$34,2,FALSE))=TRUE,0,VLOOKUP(B189,'WBV 4'!$N$3:$O$34,2,FALSE)))</f>
        <v>0</v>
      </c>
      <c r="L189" s="19">
        <f>MAX(IF(ISNA(VLOOKUP(B189,'NÖBV 1'!$B$3:$C$34,2,FALSE))=TRUE,0,VLOOKUP(B189,'NÖBV 1'!$B$3:$C$34,2,FALSE)),IF(ISNA(VLOOKUP(B189,'NÖBV 1'!$F$3:$G$34,2,FALSE))=TRUE,0,VLOOKUP(B189,'NÖBV 1'!$F$3:$G$34,2,FALSE)),IF(ISNA(VLOOKUP(B189,'NÖBV 1'!$J$3:$K$34,2,FALSE))=TRUE,0,VLOOKUP(B189,'NÖBV 1'!$J$3:$K$34,2,FALSE)),IF(ISNA(VLOOKUP(B189,'NÖBV 1'!$N$3:$O$34,2,FALSE))=TRUE,0,VLOOKUP(B189,'NÖBV 1'!$N$3:$O$34,2,FALSE)))</f>
        <v>0</v>
      </c>
      <c r="M189" s="19">
        <f>MAX(IF(ISNA(VLOOKUP(B189,'NÖBV 2'!$B$3:$C$34,2,FALSE))=TRUE,0,VLOOKUP(B189,'NÖBV 2'!$B$3:$C$34,2,FALSE)),IF(ISNA(VLOOKUP(B189,'NÖBV 2'!$F$3:$G$34,2,FALSE))=TRUE,0,VLOOKUP(B189,'NÖBV 2'!$F$3:$G$34,2,FALSE)),IF(ISNA(VLOOKUP(B189,'NÖBV 2'!$J$3:$K$34,2,FALSE))=TRUE,0,VLOOKUP(B189,'NÖBV 2'!$J$3:$K$34,2,FALSE)),IF(ISNA(VLOOKUP(B189,'NÖBV 2'!$N$3:$O$34,2,FALSE))=TRUE,0,VLOOKUP(B189,'NÖBV 2'!$N$3:$O$34,2,FALSE)))</f>
        <v>0</v>
      </c>
      <c r="N189" s="19">
        <f>MAX(IF(ISNA(VLOOKUP(B189,'NÖBV 3'!$B$3:$C$34,2,FALSE))=TRUE,0,VLOOKUP(B189,'NÖBV 3'!$B$3:$C$34,2,FALSE)),IF(ISNA(VLOOKUP(B189,'NÖBV 3'!$F$3:$G$34,2,FALSE))=TRUE,0,VLOOKUP(B189,'NÖBV 3'!$F$3:$G$34,2,FALSE)),IF(ISNA(VLOOKUP(B189,'NÖBV 3'!$J$3:$K$34,2,FALSE))=TRUE,0,VLOOKUP(B189,'NÖBV 3'!$J$3:$K$34,2,FALSE)),IF(ISNA(VLOOKUP(B189,'NÖBV 3'!$N$3:$O$34,2,FALSE))=TRUE,0,VLOOKUP(B189,'NÖBV 3'!$N$3:$O$34,2,FALSE)))</f>
        <v>0</v>
      </c>
      <c r="O189" s="15">
        <f>MAX(IF(ISNA(VLOOKUP(B189,'Regioturnier 1'!$B$3:$C$34,2,FALSE))=TRUE,0,VLOOKUP(B189,'Regioturnier 1'!$B$3:$C$34,2,FALSE)),IF(ISNA(VLOOKUP(B189,'Regioturnier 1'!$F$3:$G$34,2,FALSE))=TRUE,0,VLOOKUP(B189,'Regioturnier 1'!$F$3:$G$34,2,FALSE)),IF(ISNA(VLOOKUP(B189,'Regioturnier 1'!$J$3:$K$34,2,FALSE))=TRUE,0,VLOOKUP(B189,'Regioturnier 1'!$J$3:$K$34,2,FALSE)),IF(ISNA(VLOOKUP(B189,'Regioturnier 1'!$N$3:$O$34,2,FALSE))=TRUE,0,VLOOKUP(B189,'Regioturnier 1'!$N$3:$O$34,2,FALSE)),IF(ISNA(VLOOKUP(B189,'Regioturnier 1'!$R$3:$S$34,2,FALSE))=TRUE,0,VLOOKUP(B189,'Regioturnier 1'!$R$3:$S$34,2,FALSE)), IF(ISNA(VLOOKUP(B189,'Regioturnier 1'!$V$3:$W$34,2,FALSE))=TRUE,0,VLOOKUP(B189,'Regioturnier 1'!$V$3:$W$34,2,FALSE)), IF(ISNA(VLOOKUP(B189,'Regioturnier 1'!$Z$3:$AA$34,2,FALSE))=TRUE,0,VLOOKUP(B189,'Regioturnier 1'!$Z$3:$AA$34,2,FALSE)))</f>
        <v>0</v>
      </c>
      <c r="P189" s="15">
        <f>MAX(IF(ISNA(VLOOKUP(B189,'Regioturnier 2'!$B$3:$C$34,2,FALSE))=TRUE,0,VLOOKUP(B189,'Regioturnier 2'!$B$3:$C$34,2,FALSE)),IF(ISNA(VLOOKUP(B189,'Regioturnier 2'!$F$3:$G$34,2,FALSE))=TRUE,0,VLOOKUP(B189,'Regioturnier 2'!$F$3:$G$34,2,FALSE)),IF(ISNA(VLOOKUP(B189,'Regioturnier 2'!$J$3:$K$34,2,FALSE))=TRUE,0,VLOOKUP(B189,'Regioturnier 2'!$J$3:$K$34,2,FALSE)),IF(ISNA(VLOOKUP(B189,'Regioturnier 2'!$N$3:$O$34,2,FALSE))=TRUE,0,VLOOKUP(B189,'Regioturnier 2'!$N$3:$O$34,2,FALSE)),IF(ISNA(VLOOKUP(B189,'Regioturnier 2'!$R$3:$S$34,2,FALSE))=TRUE,0,VLOOKUP(B189,'Regioturnier 2'!$R$3:$S$34,2,FALSE)), IF(ISNA(VLOOKUP(B189,'Regioturnier 2'!$V$3:$W$34,2,FALSE))=TRUE,0,VLOOKUP(B189,'Regioturnier 2'!$V$3:$W$34,2,FALSE)), IF(ISNA(VLOOKUP(B189,'Regioturnier 2'!$Z$3:$AA$34,2,FALSE))=TRUE,0,VLOOKUP(B189,'Regioturnier 2'!$Z$3:$AA$34,2,FALSE)))</f>
        <v>0</v>
      </c>
      <c r="Q189" s="15">
        <f>MAX(IF(ISNA(VLOOKUP(B189,'Regioturnier 3'!$B$3:$C$34,2,FALSE))=TRUE,0,VLOOKUP(B189,'Regioturnier 3'!$B$3:$C$34,2,FALSE)),IF(ISNA(VLOOKUP(B189,'Regioturnier 3'!$F$3:$G$34,2,FALSE))=TRUE,0,VLOOKUP(B189,'Regioturnier 3'!$F$3:$G$34,2,FALSE)),IF(ISNA(VLOOKUP(B189,'Regioturnier 3'!$J$3:$K$34,2,FALSE))=TRUE,0,VLOOKUP(B189,'Regioturnier 3'!$J$3:$K$34,2,FALSE)),IF(ISNA(VLOOKUP(B189,'Regioturnier 3'!$N$3:$O$34,2,FALSE))=TRUE,0,VLOOKUP(B189,'Regioturnier 3'!$N$3:$O$34,2,FALSE)),IF(ISNA(VLOOKUP(B189,'Regioturnier 3'!$R$3:$S$34,2,FALSE))=TRUE,0,VLOOKUP(B189,'Regioturnier 3'!$R$3:$S$34,2,FALSE)), IF(ISNA(VLOOKUP(B189,'Regioturnier 3'!$V$3:$W$34,2,FALSE))=TRUE,0,VLOOKUP(B189,'Regioturnier 3'!$V$3:$W$34,2,FALSE)), IF(ISNA(VLOOKUP(B189,'Regioturnier 3'!$Z$3:$AA$34,2,FALSE))=TRUE,0,VLOOKUP(B189,'Regioturnier 3'!$Z$3:$AA$34,2,FALSE)))</f>
        <v>0</v>
      </c>
      <c r="R189" s="20">
        <f>0.5*INDEX($H189:$N189,MATCH(LARGE($H189:$N189,1),$H189:$N189,0))+0.3*INDEX($H189:$N189,MATCH(LARGE($H189:$N189,2),$H189:$N189,0))+0.2*INDEX($H189:$N189,MATCH(LARGE($H189:$N189,3),$H189:$N189,0))</f>
        <v>0</v>
      </c>
      <c r="S189" s="20">
        <f>0.6*INDEX(O189:Q189,MATCH(LARGE(O189:Q189,1),O189:Q189,0))+0.4*INDEX(O189:Q189,MATCH(LARGE(O189:Q189,2),O189:Q189,0))+0*INDEX(O189:Q189,MATCH(LARGE(O189:Q189,3),O189:Q189,0))</f>
        <v>0</v>
      </c>
      <c r="T189" s="15">
        <f>1*INDEX(R189:S189,MATCH(LARGE(R189:S189,1),R189:S189,0))+0*INDEX(R189:S189,MATCH(LARGE(R189:S189,2),R189:S189,0))</f>
        <v>0</v>
      </c>
      <c r="U189" s="21"/>
      <c r="V189" s="21"/>
      <c r="W189" s="21"/>
      <c r="X189" s="21"/>
      <c r="Y189" s="21"/>
      <c r="Z189" s="21"/>
    </row>
    <row r="190" spans="1:26" ht="12.75" customHeight="1" x14ac:dyDescent="0.3">
      <c r="A190" s="15">
        <v>189</v>
      </c>
      <c r="B190" s="16" t="s">
        <v>70</v>
      </c>
      <c r="C190" s="17" t="s">
        <v>43</v>
      </c>
      <c r="D190" s="15" t="s">
        <v>26</v>
      </c>
      <c r="E190" s="18" t="s">
        <v>40</v>
      </c>
      <c r="F190" s="15">
        <v>110407</v>
      </c>
      <c r="G190" s="22">
        <v>2014</v>
      </c>
      <c r="H190" s="15">
        <f>MAX(IF(ISNA(VLOOKUP(B190,'WBV 1'!$B$3:$C$34,2,FALSE))=TRUE,0,VLOOKUP(B190,'WBV 1'!$B$3:$C$34,2,FALSE)),IF(ISNA(VLOOKUP(B190,'WBV 1'!$F$3:$G$34,2,FALSE))=TRUE,0,VLOOKUP(B190,'WBV 1'!$F$3:$G$34,2,FALSE)),IF(ISNA(VLOOKUP(B190,'WBV 1'!$J$3:$K$34,2,FALSE))=TRUE,0,VLOOKUP(B190,'WBV 1'!$J$3:$K$34,2,FALSE)),IF(ISNA(VLOOKUP(B190,'WBV 1'!$N$3:$O$34,2,FALSE))=TRUE,0,VLOOKUP(B190,'WBV 1'!$N$3:$O$34,2,FALSE)))</f>
        <v>0</v>
      </c>
      <c r="I190" s="15">
        <f>MAX(IF(ISNA(VLOOKUP(B190,'WBV 2'!$B$3:$C$34,2,FALSE))=TRUE,0,VLOOKUP(B190,'WBV 2'!$B$3:$C$34,2,FALSE)),IF(ISNA(VLOOKUP(B190,'WBV 2'!$F$3:$G$34,2,FALSE))=TRUE,0,VLOOKUP(B190,'WBV 2'!$F$3:$G$34,2,FALSE)),IF(ISNA(VLOOKUP(B190,'WBV 2'!$J$3:$K$34,2,FALSE))=TRUE,0,VLOOKUP(B190,'WBV 2'!$J$3:$K$34,2,FALSE)),IF(ISNA(VLOOKUP(B190,'WBV 2'!$N$3:$O$34,2,FALSE))=TRUE,0,VLOOKUP(B190,'WBV 2'!$N$3:$O$34,2,FALSE)))</f>
        <v>0</v>
      </c>
      <c r="J190" s="15">
        <f>MAX(IF(ISNA(VLOOKUP(B190,'WBV 3'!$B$3:$C$34,2,FALSE))=TRUE,0,VLOOKUP(B190,'WBV 3'!$B$3:$C$34,2,FALSE)),IF(ISNA(VLOOKUP(B190,'WBV 3'!$F$3:$G$34,2,FALSE))=TRUE,0,VLOOKUP(B190,'WBV 3'!$F$3:$G$34,2,FALSE)),IF(ISNA(VLOOKUP(B190,'WBV 3'!$J$3:$K$34,2,FALSE))=TRUE,0,VLOOKUP(B190,'WBV 3'!$J$3:$K$34,2,FALSE)),IF(ISNA(VLOOKUP(B190,'WBV 3'!$N$3:$O$34,2,FALSE))=TRUE,0,VLOOKUP(B190,'WBV 3'!$N$3:$O$34,2,FALSE)))</f>
        <v>0</v>
      </c>
      <c r="K190" s="15">
        <f>MAX(IF(ISNA(VLOOKUP(B190,'WBV 4'!$B$3:$C$34,2,FALSE))=TRUE,0,VLOOKUP(B190,'WBV 4'!$B$3:$C$34,2,FALSE)),IF(ISNA(VLOOKUP(B190,'WBV 4'!$F$3:$G$34,2,FALSE))=TRUE,0,VLOOKUP(B190,'WBV 4'!$F$3:$G$34,2,FALSE)),IF(ISNA(VLOOKUP(B190,'WBV 4'!$J$3:$K$34,2,FALSE))=TRUE,0,VLOOKUP(B190,'WBV 4'!$J$3:$K$34,2,FALSE)),IF(ISNA(VLOOKUP(B190,'WBV 4'!$N$3:$O$34,2,FALSE))=TRUE,0,VLOOKUP(B190,'WBV 4'!$N$3:$O$34,2,FALSE)))</f>
        <v>0</v>
      </c>
      <c r="L190" s="19">
        <f>MAX(IF(ISNA(VLOOKUP(B190,'NÖBV 1'!$B$3:$C$34,2,FALSE))=TRUE,0,VLOOKUP(B190,'NÖBV 1'!$B$3:$C$34,2,FALSE)),IF(ISNA(VLOOKUP(B190,'NÖBV 1'!$F$3:$G$34,2,FALSE))=TRUE,0,VLOOKUP(B190,'NÖBV 1'!$F$3:$G$34,2,FALSE)),IF(ISNA(VLOOKUP(B190,'NÖBV 1'!$J$3:$K$34,2,FALSE))=TRUE,0,VLOOKUP(B190,'NÖBV 1'!$J$3:$K$34,2,FALSE)),IF(ISNA(VLOOKUP(B190,'NÖBV 1'!$N$3:$O$34,2,FALSE))=TRUE,0,VLOOKUP(B190,'NÖBV 1'!$N$3:$O$34,2,FALSE)))</f>
        <v>0</v>
      </c>
      <c r="M190" s="19">
        <f>MAX(IF(ISNA(VLOOKUP(B190,'NÖBV 2'!$B$3:$C$34,2,FALSE))=TRUE,0,VLOOKUP(B190,'NÖBV 2'!$B$3:$C$34,2,FALSE)),IF(ISNA(VLOOKUP(B190,'NÖBV 2'!$F$3:$G$34,2,FALSE))=TRUE,0,VLOOKUP(B190,'NÖBV 2'!$F$3:$G$34,2,FALSE)),IF(ISNA(VLOOKUP(B190,'NÖBV 2'!$J$3:$K$34,2,FALSE))=TRUE,0,VLOOKUP(B190,'NÖBV 2'!$J$3:$K$34,2,FALSE)),IF(ISNA(VLOOKUP(B190,'NÖBV 2'!$N$3:$O$34,2,FALSE))=TRUE,0,VLOOKUP(B190,'NÖBV 2'!$N$3:$O$34,2,FALSE)))</f>
        <v>0</v>
      </c>
      <c r="N190" s="19">
        <f>MAX(IF(ISNA(VLOOKUP(B190,'NÖBV 3'!$B$3:$C$34,2,FALSE))=TRUE,0,VLOOKUP(B190,'NÖBV 3'!$B$3:$C$34,2,FALSE)),IF(ISNA(VLOOKUP(B190,'NÖBV 3'!$F$3:$G$34,2,FALSE))=TRUE,0,VLOOKUP(B190,'NÖBV 3'!$F$3:$G$34,2,FALSE)),IF(ISNA(VLOOKUP(B190,'NÖBV 3'!$J$3:$K$34,2,FALSE))=TRUE,0,VLOOKUP(B190,'NÖBV 3'!$J$3:$K$34,2,FALSE)),IF(ISNA(VLOOKUP(B190,'NÖBV 3'!$N$3:$O$34,2,FALSE))=TRUE,0,VLOOKUP(B190,'NÖBV 3'!$N$3:$O$34,2,FALSE)))</f>
        <v>0</v>
      </c>
      <c r="O190" s="15">
        <f>MAX(IF(ISNA(VLOOKUP(B190,'Regioturnier 1'!$B$3:$C$34,2,FALSE))=TRUE,0,VLOOKUP(B190,'Regioturnier 1'!$B$3:$C$34,2,FALSE)),IF(ISNA(VLOOKUP(B190,'Regioturnier 1'!$F$3:$G$34,2,FALSE))=TRUE,0,VLOOKUP(B190,'Regioturnier 1'!$F$3:$G$34,2,FALSE)),IF(ISNA(VLOOKUP(B190,'Regioturnier 1'!$J$3:$K$34,2,FALSE))=TRUE,0,VLOOKUP(B190,'Regioturnier 1'!$J$3:$K$34,2,FALSE)),IF(ISNA(VLOOKUP(B190,'Regioturnier 1'!$N$3:$O$34,2,FALSE))=TRUE,0,VLOOKUP(B190,'Regioturnier 1'!$N$3:$O$34,2,FALSE)),IF(ISNA(VLOOKUP(B190,'Regioturnier 1'!$R$3:$S$34,2,FALSE))=TRUE,0,VLOOKUP(B190,'Regioturnier 1'!$R$3:$S$34,2,FALSE)), IF(ISNA(VLOOKUP(B190,'Regioturnier 1'!$V$3:$W$34,2,FALSE))=TRUE,0,VLOOKUP(B190,'Regioturnier 1'!$V$3:$W$34,2,FALSE)), IF(ISNA(VLOOKUP(B190,'Regioturnier 1'!$Z$3:$AA$34,2,FALSE))=TRUE,0,VLOOKUP(B190,'Regioturnier 1'!$Z$3:$AA$34,2,FALSE)))</f>
        <v>0</v>
      </c>
      <c r="P190" s="15">
        <f>MAX(IF(ISNA(VLOOKUP(B190,'Regioturnier 2'!$B$3:$C$34,2,FALSE))=TRUE,0,VLOOKUP(B190,'Regioturnier 2'!$B$3:$C$34,2,FALSE)),IF(ISNA(VLOOKUP(B190,'Regioturnier 2'!$F$3:$G$34,2,FALSE))=TRUE,0,VLOOKUP(B190,'Regioturnier 2'!$F$3:$G$34,2,FALSE)),IF(ISNA(VLOOKUP(B190,'Regioturnier 2'!$J$3:$K$34,2,FALSE))=TRUE,0,VLOOKUP(B190,'Regioturnier 2'!$J$3:$K$34,2,FALSE)),IF(ISNA(VLOOKUP(B190,'Regioturnier 2'!$N$3:$O$34,2,FALSE))=TRUE,0,VLOOKUP(B190,'Regioturnier 2'!$N$3:$O$34,2,FALSE)),IF(ISNA(VLOOKUP(B190,'Regioturnier 2'!$R$3:$S$34,2,FALSE))=TRUE,0,VLOOKUP(B190,'Regioturnier 2'!$R$3:$S$34,2,FALSE)), IF(ISNA(VLOOKUP(B190,'Regioturnier 2'!$V$3:$W$34,2,FALSE))=TRUE,0,VLOOKUP(B190,'Regioturnier 2'!$V$3:$W$34,2,FALSE)), IF(ISNA(VLOOKUP(B190,'Regioturnier 2'!$Z$3:$AA$34,2,FALSE))=TRUE,0,VLOOKUP(B190,'Regioturnier 2'!$Z$3:$AA$34,2,FALSE)))</f>
        <v>0</v>
      </c>
      <c r="Q190" s="15">
        <f>MAX(IF(ISNA(VLOOKUP(B190,'Regioturnier 3'!$B$3:$C$34,2,FALSE))=TRUE,0,VLOOKUP(B190,'Regioturnier 3'!$B$3:$C$34,2,FALSE)),IF(ISNA(VLOOKUP(B190,'Regioturnier 3'!$F$3:$G$34,2,FALSE))=TRUE,0,VLOOKUP(B190,'Regioturnier 3'!$F$3:$G$34,2,FALSE)),IF(ISNA(VLOOKUP(B190,'Regioturnier 3'!$J$3:$K$34,2,FALSE))=TRUE,0,VLOOKUP(B190,'Regioturnier 3'!$J$3:$K$34,2,FALSE)),IF(ISNA(VLOOKUP(B190,'Regioturnier 3'!$N$3:$O$34,2,FALSE))=TRUE,0,VLOOKUP(B190,'Regioturnier 3'!$N$3:$O$34,2,FALSE)),IF(ISNA(VLOOKUP(B190,'Regioturnier 3'!$R$3:$S$34,2,FALSE))=TRUE,0,VLOOKUP(B190,'Regioturnier 3'!$R$3:$S$34,2,FALSE)), IF(ISNA(VLOOKUP(B190,'Regioturnier 3'!$V$3:$W$34,2,FALSE))=TRUE,0,VLOOKUP(B190,'Regioturnier 3'!$V$3:$W$34,2,FALSE)), IF(ISNA(VLOOKUP(B190,'Regioturnier 3'!$Z$3:$AA$34,2,FALSE))=TRUE,0,VLOOKUP(B190,'Regioturnier 3'!$Z$3:$AA$34,2,FALSE)))</f>
        <v>0</v>
      </c>
      <c r="R190" s="20">
        <f>0.5*INDEX($H190:$N190,MATCH(LARGE($H190:$N190,1),$H190:$N190,0))+0.3*INDEX($H190:$N190,MATCH(LARGE($H190:$N190,2),$H190:$N190,0))+0.2*INDEX($H190:$N190,MATCH(LARGE($H190:$N190,3),$H190:$N190,0))</f>
        <v>0</v>
      </c>
      <c r="S190" s="20">
        <f>0.6*INDEX(O190:Q190,MATCH(LARGE(O190:Q190,1),O190:Q190,0))+0.4*INDEX(O190:Q190,MATCH(LARGE(O190:Q190,2),O190:Q190,0))+0*INDEX(O190:Q190,MATCH(LARGE(O190:Q190,3),O190:Q190,0))</f>
        <v>0</v>
      </c>
      <c r="T190" s="15">
        <f>1*INDEX(R190:S190,MATCH(LARGE(R190:S190,1),R190:S190,0))+0*INDEX(R190:S190,MATCH(LARGE(R190:S190,2),R190:S190,0))</f>
        <v>0</v>
      </c>
      <c r="U190" s="21"/>
      <c r="V190" s="21"/>
      <c r="W190" s="21"/>
      <c r="X190" s="21"/>
      <c r="Y190" s="21"/>
      <c r="Z190" s="21"/>
    </row>
    <row r="191" spans="1:26" ht="12.75" customHeight="1" x14ac:dyDescent="0.3">
      <c r="A191" s="15">
        <v>190</v>
      </c>
      <c r="B191" s="16" t="s">
        <v>76</v>
      </c>
      <c r="C191" s="17" t="s">
        <v>43</v>
      </c>
      <c r="D191" s="15" t="s">
        <v>26</v>
      </c>
      <c r="E191" s="18" t="s">
        <v>23</v>
      </c>
      <c r="F191" s="15">
        <v>110413</v>
      </c>
      <c r="G191" s="22">
        <v>2016</v>
      </c>
      <c r="H191" s="15">
        <f>MAX(IF(ISNA(VLOOKUP(B191,'WBV 1'!$B$3:$C$34,2,FALSE))=TRUE,0,VLOOKUP(B191,'WBV 1'!$B$3:$C$34,2,FALSE)),IF(ISNA(VLOOKUP(B191,'WBV 1'!$F$3:$G$34,2,FALSE))=TRUE,0,VLOOKUP(B191,'WBV 1'!$F$3:$G$34,2,FALSE)),IF(ISNA(VLOOKUP(B191,'WBV 1'!$J$3:$K$34,2,FALSE))=TRUE,0,VLOOKUP(B191,'WBV 1'!$J$3:$K$34,2,FALSE)),IF(ISNA(VLOOKUP(B191,'WBV 1'!$N$3:$O$34,2,FALSE))=TRUE,0,VLOOKUP(B191,'WBV 1'!$N$3:$O$34,2,FALSE)))</f>
        <v>0</v>
      </c>
      <c r="I191" s="15">
        <f>MAX(IF(ISNA(VLOOKUP(B191,'WBV 2'!$B$3:$C$34,2,FALSE))=TRUE,0,VLOOKUP(B191,'WBV 2'!$B$3:$C$34,2,FALSE)),IF(ISNA(VLOOKUP(B191,'WBV 2'!$F$3:$G$34,2,FALSE))=TRUE,0,VLOOKUP(B191,'WBV 2'!$F$3:$G$34,2,FALSE)),IF(ISNA(VLOOKUP(B191,'WBV 2'!$J$3:$K$34,2,FALSE))=TRUE,0,VLOOKUP(B191,'WBV 2'!$J$3:$K$34,2,FALSE)),IF(ISNA(VLOOKUP(B191,'WBV 2'!$N$3:$O$34,2,FALSE))=TRUE,0,VLOOKUP(B191,'WBV 2'!$N$3:$O$34,2,FALSE)))</f>
        <v>0</v>
      </c>
      <c r="J191" s="15">
        <f>MAX(IF(ISNA(VLOOKUP(B191,'WBV 3'!$B$3:$C$34,2,FALSE))=TRUE,0,VLOOKUP(B191,'WBV 3'!$B$3:$C$34,2,FALSE)),IF(ISNA(VLOOKUP(B191,'WBV 3'!$F$3:$G$34,2,FALSE))=TRUE,0,VLOOKUP(B191,'WBV 3'!$F$3:$G$34,2,FALSE)),IF(ISNA(VLOOKUP(B191,'WBV 3'!$J$3:$K$34,2,FALSE))=TRUE,0,VLOOKUP(B191,'WBV 3'!$J$3:$K$34,2,FALSE)),IF(ISNA(VLOOKUP(B191,'WBV 3'!$N$3:$O$34,2,FALSE))=TRUE,0,VLOOKUP(B191,'WBV 3'!$N$3:$O$34,2,FALSE)))</f>
        <v>0</v>
      </c>
      <c r="K191" s="15">
        <f>MAX(IF(ISNA(VLOOKUP(B191,'WBV 4'!$B$3:$C$34,2,FALSE))=TRUE,0,VLOOKUP(B191,'WBV 4'!$B$3:$C$34,2,FALSE)),IF(ISNA(VLOOKUP(B191,'WBV 4'!$F$3:$G$34,2,FALSE))=TRUE,0,VLOOKUP(B191,'WBV 4'!$F$3:$G$34,2,FALSE)),IF(ISNA(VLOOKUP(B191,'WBV 4'!$J$3:$K$34,2,FALSE))=TRUE,0,VLOOKUP(B191,'WBV 4'!$J$3:$K$34,2,FALSE)),IF(ISNA(VLOOKUP(B191,'WBV 4'!$N$3:$O$34,2,FALSE))=TRUE,0,VLOOKUP(B191,'WBV 4'!$N$3:$O$34,2,FALSE)))</f>
        <v>0</v>
      </c>
      <c r="L191" s="19">
        <f>MAX(IF(ISNA(VLOOKUP(B191,'NÖBV 1'!$B$3:$C$34,2,FALSE))=TRUE,0,VLOOKUP(B191,'NÖBV 1'!$B$3:$C$34,2,FALSE)),IF(ISNA(VLOOKUP(B191,'NÖBV 1'!$F$3:$G$34,2,FALSE))=TRUE,0,VLOOKUP(B191,'NÖBV 1'!$F$3:$G$34,2,FALSE)),IF(ISNA(VLOOKUP(B191,'NÖBV 1'!$J$3:$K$34,2,FALSE))=TRUE,0,VLOOKUP(B191,'NÖBV 1'!$J$3:$K$34,2,FALSE)),IF(ISNA(VLOOKUP(B191,'NÖBV 1'!$N$3:$O$34,2,FALSE))=TRUE,0,VLOOKUP(B191,'NÖBV 1'!$N$3:$O$34,2,FALSE)))</f>
        <v>0</v>
      </c>
      <c r="M191" s="19">
        <f>MAX(IF(ISNA(VLOOKUP(B191,'NÖBV 2'!$B$3:$C$34,2,FALSE))=TRUE,0,VLOOKUP(B191,'NÖBV 2'!$B$3:$C$34,2,FALSE)),IF(ISNA(VLOOKUP(B191,'NÖBV 2'!$F$3:$G$34,2,FALSE))=TRUE,0,VLOOKUP(B191,'NÖBV 2'!$F$3:$G$34,2,FALSE)),IF(ISNA(VLOOKUP(B191,'NÖBV 2'!$J$3:$K$34,2,FALSE))=TRUE,0,VLOOKUP(B191,'NÖBV 2'!$J$3:$K$34,2,FALSE)),IF(ISNA(VLOOKUP(B191,'NÖBV 2'!$N$3:$O$34,2,FALSE))=TRUE,0,VLOOKUP(B191,'NÖBV 2'!$N$3:$O$34,2,FALSE)))</f>
        <v>0</v>
      </c>
      <c r="N191" s="19">
        <f>MAX(IF(ISNA(VLOOKUP(B191,'NÖBV 3'!$B$3:$C$34,2,FALSE))=TRUE,0,VLOOKUP(B191,'NÖBV 3'!$B$3:$C$34,2,FALSE)),IF(ISNA(VLOOKUP(B191,'NÖBV 3'!$F$3:$G$34,2,FALSE))=TRUE,0,VLOOKUP(B191,'NÖBV 3'!$F$3:$G$34,2,FALSE)),IF(ISNA(VLOOKUP(B191,'NÖBV 3'!$J$3:$K$34,2,FALSE))=TRUE,0,VLOOKUP(B191,'NÖBV 3'!$J$3:$K$34,2,FALSE)),IF(ISNA(VLOOKUP(B191,'NÖBV 3'!$N$3:$O$34,2,FALSE))=TRUE,0,VLOOKUP(B191,'NÖBV 3'!$N$3:$O$34,2,FALSE)))</f>
        <v>0</v>
      </c>
      <c r="O191" s="15">
        <f>MAX(IF(ISNA(VLOOKUP(B191,'Regioturnier 1'!$B$3:$C$34,2,FALSE))=TRUE,0,VLOOKUP(B191,'Regioturnier 1'!$B$3:$C$34,2,FALSE)),IF(ISNA(VLOOKUP(B191,'Regioturnier 1'!$F$3:$G$34,2,FALSE))=TRUE,0,VLOOKUP(B191,'Regioturnier 1'!$F$3:$G$34,2,FALSE)),IF(ISNA(VLOOKUP(B191,'Regioturnier 1'!$J$3:$K$34,2,FALSE))=TRUE,0,VLOOKUP(B191,'Regioturnier 1'!$J$3:$K$34,2,FALSE)),IF(ISNA(VLOOKUP(B191,'Regioturnier 1'!$N$3:$O$34,2,FALSE))=TRUE,0,VLOOKUP(B191,'Regioturnier 1'!$N$3:$O$34,2,FALSE)),IF(ISNA(VLOOKUP(B191,'Regioturnier 1'!$R$3:$S$34,2,FALSE))=TRUE,0,VLOOKUP(B191,'Regioturnier 1'!$R$3:$S$34,2,FALSE)), IF(ISNA(VLOOKUP(B191,'Regioturnier 1'!$V$3:$W$34,2,FALSE))=TRUE,0,VLOOKUP(B191,'Regioturnier 1'!$V$3:$W$34,2,FALSE)), IF(ISNA(VLOOKUP(B191,'Regioturnier 1'!$Z$3:$AA$34,2,FALSE))=TRUE,0,VLOOKUP(B191,'Regioturnier 1'!$Z$3:$AA$34,2,FALSE)))</f>
        <v>0</v>
      </c>
      <c r="P191" s="15">
        <f>MAX(IF(ISNA(VLOOKUP(B191,'Regioturnier 2'!$B$3:$C$34,2,FALSE))=TRUE,0,VLOOKUP(B191,'Regioturnier 2'!$B$3:$C$34,2,FALSE)),IF(ISNA(VLOOKUP(B191,'Regioturnier 2'!$F$3:$G$34,2,FALSE))=TRUE,0,VLOOKUP(B191,'Regioturnier 2'!$F$3:$G$34,2,FALSE)),IF(ISNA(VLOOKUP(B191,'Regioturnier 2'!$J$3:$K$34,2,FALSE))=TRUE,0,VLOOKUP(B191,'Regioturnier 2'!$J$3:$K$34,2,FALSE)),IF(ISNA(VLOOKUP(B191,'Regioturnier 2'!$N$3:$O$34,2,FALSE))=TRUE,0,VLOOKUP(B191,'Regioturnier 2'!$N$3:$O$34,2,FALSE)),IF(ISNA(VLOOKUP(B191,'Regioturnier 2'!$R$3:$S$34,2,FALSE))=TRUE,0,VLOOKUP(B191,'Regioturnier 2'!$R$3:$S$34,2,FALSE)), IF(ISNA(VLOOKUP(B191,'Regioturnier 2'!$V$3:$W$34,2,FALSE))=TRUE,0,VLOOKUP(B191,'Regioturnier 2'!$V$3:$W$34,2,FALSE)), IF(ISNA(VLOOKUP(B191,'Regioturnier 2'!$Z$3:$AA$34,2,FALSE))=TRUE,0,VLOOKUP(B191,'Regioturnier 2'!$Z$3:$AA$34,2,FALSE)))</f>
        <v>0</v>
      </c>
      <c r="Q191" s="15">
        <f>MAX(IF(ISNA(VLOOKUP(B191,'Regioturnier 3'!$B$3:$C$34,2,FALSE))=TRUE,0,VLOOKUP(B191,'Regioturnier 3'!$B$3:$C$34,2,FALSE)),IF(ISNA(VLOOKUP(B191,'Regioturnier 3'!$F$3:$G$34,2,FALSE))=TRUE,0,VLOOKUP(B191,'Regioturnier 3'!$F$3:$G$34,2,FALSE)),IF(ISNA(VLOOKUP(B191,'Regioturnier 3'!$J$3:$K$34,2,FALSE))=TRUE,0,VLOOKUP(B191,'Regioturnier 3'!$J$3:$K$34,2,FALSE)),IF(ISNA(VLOOKUP(B191,'Regioturnier 3'!$N$3:$O$34,2,FALSE))=TRUE,0,VLOOKUP(B191,'Regioturnier 3'!$N$3:$O$34,2,FALSE)),IF(ISNA(VLOOKUP(B191,'Regioturnier 3'!$R$3:$S$34,2,FALSE))=TRUE,0,VLOOKUP(B191,'Regioturnier 3'!$R$3:$S$34,2,FALSE)), IF(ISNA(VLOOKUP(B191,'Regioturnier 3'!$V$3:$W$34,2,FALSE))=TRUE,0,VLOOKUP(B191,'Regioturnier 3'!$V$3:$W$34,2,FALSE)), IF(ISNA(VLOOKUP(B191,'Regioturnier 3'!$Z$3:$AA$34,2,FALSE))=TRUE,0,VLOOKUP(B191,'Regioturnier 3'!$Z$3:$AA$34,2,FALSE)))</f>
        <v>0</v>
      </c>
      <c r="R191" s="20">
        <f>0.5*INDEX($H191:$N191,MATCH(LARGE($H191:$N191,1),$H191:$N191,0))+0.3*INDEX($H191:$N191,MATCH(LARGE($H191:$N191,2),$H191:$N191,0))+0.2*INDEX($H191:$N191,MATCH(LARGE($H191:$N191,3),$H191:$N191,0))</f>
        <v>0</v>
      </c>
      <c r="S191" s="20">
        <f>0.6*INDEX(O191:Q191,MATCH(LARGE(O191:Q191,1),O191:Q191,0))+0.4*INDEX(O191:Q191,MATCH(LARGE(O191:Q191,2),O191:Q191,0))+0*INDEX(O191:Q191,MATCH(LARGE(O191:Q191,3),O191:Q191,0))</f>
        <v>0</v>
      </c>
      <c r="T191" s="15">
        <f>1*INDEX(R191:S191,MATCH(LARGE(R191:S191,1),R191:S191,0))+0*INDEX(R191:S191,MATCH(LARGE(R191:S191,2),R191:S191,0))</f>
        <v>0</v>
      </c>
      <c r="U191" s="21"/>
      <c r="V191" s="21"/>
      <c r="W191" s="21"/>
      <c r="X191" s="21"/>
      <c r="Y191" s="21"/>
      <c r="Z191" s="21"/>
    </row>
    <row r="192" spans="1:26" ht="12.75" customHeight="1" x14ac:dyDescent="0.3">
      <c r="A192" s="15">
        <v>191</v>
      </c>
      <c r="B192" s="16" t="s">
        <v>137</v>
      </c>
      <c r="C192" s="17" t="s">
        <v>43</v>
      </c>
      <c r="D192" s="15" t="s">
        <v>26</v>
      </c>
      <c r="E192" s="18" t="s">
        <v>23</v>
      </c>
      <c r="F192" s="15">
        <v>110409</v>
      </c>
      <c r="G192" s="22">
        <v>2013</v>
      </c>
      <c r="H192" s="15">
        <f>MAX(IF(ISNA(VLOOKUP(B192,'WBV 1'!$B$3:$C$34,2,FALSE))=TRUE,0,VLOOKUP(B192,'WBV 1'!$B$3:$C$34,2,FALSE)),IF(ISNA(VLOOKUP(B192,'WBV 1'!$F$3:$G$34,2,FALSE))=TRUE,0,VLOOKUP(B192,'WBV 1'!$F$3:$G$34,2,FALSE)),IF(ISNA(VLOOKUP(B192,'WBV 1'!$J$3:$K$34,2,FALSE))=TRUE,0,VLOOKUP(B192,'WBV 1'!$J$3:$K$34,2,FALSE)),IF(ISNA(VLOOKUP(B192,'WBV 1'!$N$3:$O$34,2,FALSE))=TRUE,0,VLOOKUP(B192,'WBV 1'!$N$3:$O$34,2,FALSE)))</f>
        <v>0</v>
      </c>
      <c r="I192" s="15">
        <f>MAX(IF(ISNA(VLOOKUP(B192,'WBV 2'!$B$3:$C$34,2,FALSE))=TRUE,0,VLOOKUP(B192,'WBV 2'!$B$3:$C$34,2,FALSE)),IF(ISNA(VLOOKUP(B192,'WBV 2'!$F$3:$G$34,2,FALSE))=TRUE,0,VLOOKUP(B192,'WBV 2'!$F$3:$G$34,2,FALSE)),IF(ISNA(VLOOKUP(B192,'WBV 2'!$J$3:$K$34,2,FALSE))=TRUE,0,VLOOKUP(B192,'WBV 2'!$J$3:$K$34,2,FALSE)),IF(ISNA(VLOOKUP(B192,'WBV 2'!$N$3:$O$34,2,FALSE))=TRUE,0,VLOOKUP(B192,'WBV 2'!$N$3:$O$34,2,FALSE)))</f>
        <v>0</v>
      </c>
      <c r="J192" s="15">
        <f>MAX(IF(ISNA(VLOOKUP(B192,'WBV 3'!$B$3:$C$34,2,FALSE))=TRUE,0,VLOOKUP(B192,'WBV 3'!$B$3:$C$34,2,FALSE)),IF(ISNA(VLOOKUP(B192,'WBV 3'!$F$3:$G$34,2,FALSE))=TRUE,0,VLOOKUP(B192,'WBV 3'!$F$3:$G$34,2,FALSE)),IF(ISNA(VLOOKUP(B192,'WBV 3'!$J$3:$K$34,2,FALSE))=TRUE,0,VLOOKUP(B192,'WBV 3'!$J$3:$K$34,2,FALSE)),IF(ISNA(VLOOKUP(B192,'WBV 3'!$N$3:$O$34,2,FALSE))=TRUE,0,VLOOKUP(B192,'WBV 3'!$N$3:$O$34,2,FALSE)))</f>
        <v>0</v>
      </c>
      <c r="K192" s="15">
        <f>MAX(IF(ISNA(VLOOKUP(B192,'WBV 4'!$B$3:$C$34,2,FALSE))=TRUE,0,VLOOKUP(B192,'WBV 4'!$B$3:$C$34,2,FALSE)),IF(ISNA(VLOOKUP(B192,'WBV 4'!$F$3:$G$34,2,FALSE))=TRUE,0,VLOOKUP(B192,'WBV 4'!$F$3:$G$34,2,FALSE)),IF(ISNA(VLOOKUP(B192,'WBV 4'!$J$3:$K$34,2,FALSE))=TRUE,0,VLOOKUP(B192,'WBV 4'!$J$3:$K$34,2,FALSE)),IF(ISNA(VLOOKUP(B192,'WBV 4'!$N$3:$O$34,2,FALSE))=TRUE,0,VLOOKUP(B192,'WBV 4'!$N$3:$O$34,2,FALSE)))</f>
        <v>0</v>
      </c>
      <c r="L192" s="19">
        <f>MAX(IF(ISNA(VLOOKUP(B192,'NÖBV 1'!$B$3:$C$34,2,FALSE))=TRUE,0,VLOOKUP(B192,'NÖBV 1'!$B$3:$C$34,2,FALSE)),IF(ISNA(VLOOKUP(B192,'NÖBV 1'!$F$3:$G$34,2,FALSE))=TRUE,0,VLOOKUP(B192,'NÖBV 1'!$F$3:$G$34,2,FALSE)),IF(ISNA(VLOOKUP(B192,'NÖBV 1'!$J$3:$K$34,2,FALSE))=TRUE,0,VLOOKUP(B192,'NÖBV 1'!$J$3:$K$34,2,FALSE)),IF(ISNA(VLOOKUP(B192,'NÖBV 1'!$N$3:$O$34,2,FALSE))=TRUE,0,VLOOKUP(B192,'NÖBV 1'!$N$3:$O$34,2,FALSE)))</f>
        <v>0</v>
      </c>
      <c r="M192" s="19">
        <f>MAX(IF(ISNA(VLOOKUP(B192,'NÖBV 2'!$B$3:$C$34,2,FALSE))=TRUE,0,VLOOKUP(B192,'NÖBV 2'!$B$3:$C$34,2,FALSE)),IF(ISNA(VLOOKUP(B192,'NÖBV 2'!$F$3:$G$34,2,FALSE))=TRUE,0,VLOOKUP(B192,'NÖBV 2'!$F$3:$G$34,2,FALSE)),IF(ISNA(VLOOKUP(B192,'NÖBV 2'!$J$3:$K$34,2,FALSE))=TRUE,0,VLOOKUP(B192,'NÖBV 2'!$J$3:$K$34,2,FALSE)),IF(ISNA(VLOOKUP(B192,'NÖBV 2'!$N$3:$O$34,2,FALSE))=TRUE,0,VLOOKUP(B192,'NÖBV 2'!$N$3:$O$34,2,FALSE)))</f>
        <v>0</v>
      </c>
      <c r="N192" s="19">
        <f>MAX(IF(ISNA(VLOOKUP(B192,'NÖBV 3'!$B$3:$C$34,2,FALSE))=TRUE,0,VLOOKUP(B192,'NÖBV 3'!$B$3:$C$34,2,FALSE)),IF(ISNA(VLOOKUP(B192,'NÖBV 3'!$F$3:$G$34,2,FALSE))=TRUE,0,VLOOKUP(B192,'NÖBV 3'!$F$3:$G$34,2,FALSE)),IF(ISNA(VLOOKUP(B192,'NÖBV 3'!$J$3:$K$34,2,FALSE))=TRUE,0,VLOOKUP(B192,'NÖBV 3'!$J$3:$K$34,2,FALSE)),IF(ISNA(VLOOKUP(B192,'NÖBV 3'!$N$3:$O$34,2,FALSE))=TRUE,0,VLOOKUP(B192,'NÖBV 3'!$N$3:$O$34,2,FALSE)))</f>
        <v>0</v>
      </c>
      <c r="O192" s="15">
        <f>MAX(IF(ISNA(VLOOKUP(B192,'Regioturnier 1'!$B$3:$C$34,2,FALSE))=TRUE,0,VLOOKUP(B192,'Regioturnier 1'!$B$3:$C$34,2,FALSE)),IF(ISNA(VLOOKUP(B192,'Regioturnier 1'!$F$3:$G$34,2,FALSE))=TRUE,0,VLOOKUP(B192,'Regioturnier 1'!$F$3:$G$34,2,FALSE)),IF(ISNA(VLOOKUP(B192,'Regioturnier 1'!$J$3:$K$34,2,FALSE))=TRUE,0,VLOOKUP(B192,'Regioturnier 1'!$J$3:$K$34,2,FALSE)),IF(ISNA(VLOOKUP(B192,'Regioturnier 1'!$N$3:$O$34,2,FALSE))=TRUE,0,VLOOKUP(B192,'Regioturnier 1'!$N$3:$O$34,2,FALSE)),IF(ISNA(VLOOKUP(B192,'Regioturnier 1'!$R$3:$S$34,2,FALSE))=TRUE,0,VLOOKUP(B192,'Regioturnier 1'!$R$3:$S$34,2,FALSE)), IF(ISNA(VLOOKUP(B192,'Regioturnier 1'!$V$3:$W$34,2,FALSE))=TRUE,0,VLOOKUP(B192,'Regioturnier 1'!$V$3:$W$34,2,FALSE)), IF(ISNA(VLOOKUP(B192,'Regioturnier 1'!$Z$3:$AA$34,2,FALSE))=TRUE,0,VLOOKUP(B192,'Regioturnier 1'!$Z$3:$AA$34,2,FALSE)))</f>
        <v>0</v>
      </c>
      <c r="P192" s="15">
        <f>MAX(IF(ISNA(VLOOKUP(B192,'Regioturnier 2'!$B$3:$C$34,2,FALSE))=TRUE,0,VLOOKUP(B192,'Regioturnier 2'!$B$3:$C$34,2,FALSE)),IF(ISNA(VLOOKUP(B192,'Regioturnier 2'!$F$3:$G$34,2,FALSE))=TRUE,0,VLOOKUP(B192,'Regioturnier 2'!$F$3:$G$34,2,FALSE)),IF(ISNA(VLOOKUP(B192,'Regioturnier 2'!$J$3:$K$34,2,FALSE))=TRUE,0,VLOOKUP(B192,'Regioturnier 2'!$J$3:$K$34,2,FALSE)),IF(ISNA(VLOOKUP(B192,'Regioturnier 2'!$N$3:$O$34,2,FALSE))=TRUE,0,VLOOKUP(B192,'Regioturnier 2'!$N$3:$O$34,2,FALSE)),IF(ISNA(VLOOKUP(B192,'Regioturnier 2'!$R$3:$S$34,2,FALSE))=TRUE,0,VLOOKUP(B192,'Regioturnier 2'!$R$3:$S$34,2,FALSE)), IF(ISNA(VLOOKUP(B192,'Regioturnier 2'!$V$3:$W$34,2,FALSE))=TRUE,0,VLOOKUP(B192,'Regioturnier 2'!$V$3:$W$34,2,FALSE)), IF(ISNA(VLOOKUP(B192,'Regioturnier 2'!$Z$3:$AA$34,2,FALSE))=TRUE,0,VLOOKUP(B192,'Regioturnier 2'!$Z$3:$AA$34,2,FALSE)))</f>
        <v>0</v>
      </c>
      <c r="Q192" s="15">
        <f>MAX(IF(ISNA(VLOOKUP(B192,'Regioturnier 3'!$B$3:$C$34,2,FALSE))=TRUE,0,VLOOKUP(B192,'Regioturnier 3'!$B$3:$C$34,2,FALSE)),IF(ISNA(VLOOKUP(B192,'Regioturnier 3'!$F$3:$G$34,2,FALSE))=TRUE,0,VLOOKUP(B192,'Regioturnier 3'!$F$3:$G$34,2,FALSE)),IF(ISNA(VLOOKUP(B192,'Regioturnier 3'!$J$3:$K$34,2,FALSE))=TRUE,0,VLOOKUP(B192,'Regioturnier 3'!$J$3:$K$34,2,FALSE)),IF(ISNA(VLOOKUP(B192,'Regioturnier 3'!$N$3:$O$34,2,FALSE))=TRUE,0,VLOOKUP(B192,'Regioturnier 3'!$N$3:$O$34,2,FALSE)),IF(ISNA(VLOOKUP(B192,'Regioturnier 3'!$R$3:$S$34,2,FALSE))=TRUE,0,VLOOKUP(B192,'Regioturnier 3'!$R$3:$S$34,2,FALSE)), IF(ISNA(VLOOKUP(B192,'Regioturnier 3'!$V$3:$W$34,2,FALSE))=TRUE,0,VLOOKUP(B192,'Regioturnier 3'!$V$3:$W$34,2,FALSE)), IF(ISNA(VLOOKUP(B192,'Regioturnier 3'!$Z$3:$AA$34,2,FALSE))=TRUE,0,VLOOKUP(B192,'Regioturnier 3'!$Z$3:$AA$34,2,FALSE)))</f>
        <v>0</v>
      </c>
      <c r="R192" s="20">
        <f>0.5*INDEX($H192:$N192,MATCH(LARGE($H192:$N192,1),$H192:$N192,0))+0.3*INDEX($H192:$N192,MATCH(LARGE($H192:$N192,2),$H192:$N192,0))+0.2*INDEX($H192:$N192,MATCH(LARGE($H192:$N192,3),$H192:$N192,0))</f>
        <v>0</v>
      </c>
      <c r="S192" s="20">
        <f>0.6*INDEX(O192:Q192,MATCH(LARGE(O192:Q192,1),O192:Q192,0))+0.4*INDEX(O192:Q192,MATCH(LARGE(O192:Q192,2),O192:Q192,0))+0*INDEX(O192:Q192,MATCH(LARGE(O192:Q192,3),O192:Q192,0))</f>
        <v>0</v>
      </c>
      <c r="T192" s="15">
        <f>1*INDEX(R192:S192,MATCH(LARGE(R192:S192,1),R192:S192,0))+0*INDEX(R192:S192,MATCH(LARGE(R192:S192,2),R192:S192,0))</f>
        <v>0</v>
      </c>
      <c r="U192" s="21"/>
      <c r="V192" s="21"/>
      <c r="W192" s="21"/>
      <c r="X192" s="21"/>
      <c r="Y192" s="21"/>
      <c r="Z192" s="21"/>
    </row>
    <row r="193" spans="1:26" ht="12.75" customHeight="1" x14ac:dyDescent="0.3">
      <c r="A193" s="15">
        <v>192</v>
      </c>
      <c r="B193" s="16" t="s">
        <v>65</v>
      </c>
      <c r="C193" s="109" t="s">
        <v>21</v>
      </c>
      <c r="D193" s="105" t="s">
        <v>22</v>
      </c>
      <c r="E193" s="18" t="s">
        <v>40</v>
      </c>
      <c r="F193" s="15">
        <v>109989</v>
      </c>
      <c r="G193" s="22">
        <v>2015</v>
      </c>
      <c r="H193" s="15">
        <f>MAX(IF(ISNA(VLOOKUP(B193,'WBV 1'!$B$3:$C$34,2,FALSE))=TRUE,0,VLOOKUP(B193,'WBV 1'!$B$3:$C$34,2,FALSE)),IF(ISNA(VLOOKUP(B193,'WBV 1'!$F$3:$G$34,2,FALSE))=TRUE,0,VLOOKUP(B193,'WBV 1'!$F$3:$G$34,2,FALSE)),IF(ISNA(VLOOKUP(B193,'WBV 1'!$J$3:$K$34,2,FALSE))=TRUE,0,VLOOKUP(B193,'WBV 1'!$J$3:$K$34,2,FALSE)),IF(ISNA(VLOOKUP(B193,'WBV 1'!$N$3:$O$34,2,FALSE))=TRUE,0,VLOOKUP(B193,'WBV 1'!$N$3:$O$34,2,FALSE)))</f>
        <v>0</v>
      </c>
      <c r="I193" s="15">
        <f>MAX(IF(ISNA(VLOOKUP(B193,'WBV 2'!$B$3:$C$34,2,FALSE))=TRUE,0,VLOOKUP(B193,'WBV 2'!$B$3:$C$34,2,FALSE)),IF(ISNA(VLOOKUP(B193,'WBV 2'!$F$3:$G$34,2,FALSE))=TRUE,0,VLOOKUP(B193,'WBV 2'!$F$3:$G$34,2,FALSE)),IF(ISNA(VLOOKUP(B193,'WBV 2'!$J$3:$K$34,2,FALSE))=TRUE,0,VLOOKUP(B193,'WBV 2'!$J$3:$K$34,2,FALSE)),IF(ISNA(VLOOKUP(B193,'WBV 2'!$N$3:$O$34,2,FALSE))=TRUE,0,VLOOKUP(B193,'WBV 2'!$N$3:$O$34,2,FALSE)))</f>
        <v>0</v>
      </c>
      <c r="J193" s="15">
        <f>MAX(IF(ISNA(VLOOKUP(B193,'WBV 3'!$B$3:$C$34,2,FALSE))=TRUE,0,VLOOKUP(B193,'WBV 3'!$B$3:$C$34,2,FALSE)),IF(ISNA(VLOOKUP(B193,'WBV 3'!$F$3:$G$34,2,FALSE))=TRUE,0,VLOOKUP(B193,'WBV 3'!$F$3:$G$34,2,FALSE)),IF(ISNA(VLOOKUP(B193,'WBV 3'!$J$3:$K$34,2,FALSE))=TRUE,0,VLOOKUP(B193,'WBV 3'!$J$3:$K$34,2,FALSE)),IF(ISNA(VLOOKUP(B193,'WBV 3'!$N$3:$O$34,2,FALSE))=TRUE,0,VLOOKUP(B193,'WBV 3'!$N$3:$O$34,2,FALSE)))</f>
        <v>0</v>
      </c>
      <c r="K193" s="15">
        <f>MAX(IF(ISNA(VLOOKUP(B193,'WBV 4'!$B$3:$C$34,2,FALSE))=TRUE,0,VLOOKUP(B193,'WBV 4'!$B$3:$C$34,2,FALSE)),IF(ISNA(VLOOKUP(B193,'WBV 4'!$F$3:$G$34,2,FALSE))=TRUE,0,VLOOKUP(B193,'WBV 4'!$F$3:$G$34,2,FALSE)),IF(ISNA(VLOOKUP(B193,'WBV 4'!$J$3:$K$34,2,FALSE))=TRUE,0,VLOOKUP(B193,'WBV 4'!$J$3:$K$34,2,FALSE)),IF(ISNA(VLOOKUP(B193,'WBV 4'!$N$3:$O$34,2,FALSE))=TRUE,0,VLOOKUP(B193,'WBV 4'!$N$3:$O$34,2,FALSE)))</f>
        <v>0</v>
      </c>
      <c r="L193" s="19">
        <f>MAX(IF(ISNA(VLOOKUP(B193,'NÖBV 1'!$B$3:$C$34,2,FALSE))=TRUE,0,VLOOKUP(B193,'NÖBV 1'!$B$3:$C$34,2,FALSE)),IF(ISNA(VLOOKUP(B193,'NÖBV 1'!$F$3:$G$34,2,FALSE))=TRUE,0,VLOOKUP(B193,'NÖBV 1'!$F$3:$G$34,2,FALSE)),IF(ISNA(VLOOKUP(B193,'NÖBV 1'!$J$3:$K$34,2,FALSE))=TRUE,0,VLOOKUP(B193,'NÖBV 1'!$J$3:$K$34,2,FALSE)),IF(ISNA(VLOOKUP(B193,'NÖBV 1'!$N$3:$O$34,2,FALSE))=TRUE,0,VLOOKUP(B193,'NÖBV 1'!$N$3:$O$34,2,FALSE)))</f>
        <v>0</v>
      </c>
      <c r="M193" s="19">
        <f>MAX(IF(ISNA(VLOOKUP(B193,'NÖBV 2'!$B$3:$C$34,2,FALSE))=TRUE,0,VLOOKUP(B193,'NÖBV 2'!$B$3:$C$34,2,FALSE)),IF(ISNA(VLOOKUP(B193,'NÖBV 2'!$F$3:$G$34,2,FALSE))=TRUE,0,VLOOKUP(B193,'NÖBV 2'!$F$3:$G$34,2,FALSE)),IF(ISNA(VLOOKUP(B193,'NÖBV 2'!$J$3:$K$34,2,FALSE))=TRUE,0,VLOOKUP(B193,'NÖBV 2'!$J$3:$K$34,2,FALSE)),IF(ISNA(VLOOKUP(B193,'NÖBV 2'!$N$3:$O$34,2,FALSE))=TRUE,0,VLOOKUP(B193,'NÖBV 2'!$N$3:$O$34,2,FALSE)))</f>
        <v>0</v>
      </c>
      <c r="N193" s="19">
        <f>MAX(IF(ISNA(VLOOKUP(B193,'NÖBV 3'!$B$3:$C$34,2,FALSE))=TRUE,0,VLOOKUP(B193,'NÖBV 3'!$B$3:$C$34,2,FALSE)),IF(ISNA(VLOOKUP(B193,'NÖBV 3'!$F$3:$G$34,2,FALSE))=TRUE,0,VLOOKUP(B193,'NÖBV 3'!$F$3:$G$34,2,FALSE)),IF(ISNA(VLOOKUP(B193,'NÖBV 3'!$J$3:$K$34,2,FALSE))=TRUE,0,VLOOKUP(B193,'NÖBV 3'!$J$3:$K$34,2,FALSE)),IF(ISNA(VLOOKUP(B193,'NÖBV 3'!$N$3:$O$34,2,FALSE))=TRUE,0,VLOOKUP(B193,'NÖBV 3'!$N$3:$O$34,2,FALSE)))</f>
        <v>0</v>
      </c>
      <c r="O193" s="15">
        <f>MAX(IF(ISNA(VLOOKUP(B193,'Regioturnier 1'!$B$3:$C$34,2,FALSE))=TRUE,0,VLOOKUP(B193,'Regioturnier 1'!$B$3:$C$34,2,FALSE)),IF(ISNA(VLOOKUP(B193,'Regioturnier 1'!$F$3:$G$34,2,FALSE))=TRUE,0,VLOOKUP(B193,'Regioturnier 1'!$F$3:$G$34,2,FALSE)),IF(ISNA(VLOOKUP(B193,'Regioturnier 1'!$J$3:$K$34,2,FALSE))=TRUE,0,VLOOKUP(B193,'Regioturnier 1'!$J$3:$K$34,2,FALSE)),IF(ISNA(VLOOKUP(B193,'Regioturnier 1'!$N$3:$O$34,2,FALSE))=TRUE,0,VLOOKUP(B193,'Regioturnier 1'!$N$3:$O$34,2,FALSE)),IF(ISNA(VLOOKUP(B193,'Regioturnier 1'!$R$3:$S$34,2,FALSE))=TRUE,0,VLOOKUP(B193,'Regioturnier 1'!$R$3:$S$34,2,FALSE)), IF(ISNA(VLOOKUP(B193,'Regioturnier 1'!$V$3:$W$34,2,FALSE))=TRUE,0,VLOOKUP(B193,'Regioturnier 1'!$V$3:$W$34,2,FALSE)), IF(ISNA(VLOOKUP(B193,'Regioturnier 1'!$Z$3:$AA$34,2,FALSE))=TRUE,0,VLOOKUP(B193,'Regioturnier 1'!$Z$3:$AA$34,2,FALSE)))</f>
        <v>0</v>
      </c>
      <c r="P193" s="15">
        <f>MAX(IF(ISNA(VLOOKUP(B193,'Regioturnier 2'!$B$3:$C$34,2,FALSE))=TRUE,0,VLOOKUP(B193,'Regioturnier 2'!$B$3:$C$34,2,FALSE)),IF(ISNA(VLOOKUP(B193,'Regioturnier 2'!$F$3:$G$34,2,FALSE))=TRUE,0,VLOOKUP(B193,'Regioturnier 2'!$F$3:$G$34,2,FALSE)),IF(ISNA(VLOOKUP(B193,'Regioturnier 2'!$J$3:$K$34,2,FALSE))=TRUE,0,VLOOKUP(B193,'Regioturnier 2'!$J$3:$K$34,2,FALSE)),IF(ISNA(VLOOKUP(B193,'Regioturnier 2'!$N$3:$O$34,2,FALSE))=TRUE,0,VLOOKUP(B193,'Regioturnier 2'!$N$3:$O$34,2,FALSE)),IF(ISNA(VLOOKUP(B193,'Regioturnier 2'!$R$3:$S$34,2,FALSE))=TRUE,0,VLOOKUP(B193,'Regioturnier 2'!$R$3:$S$34,2,FALSE)), IF(ISNA(VLOOKUP(B193,'Regioturnier 2'!$V$3:$W$34,2,FALSE))=TRUE,0,VLOOKUP(B193,'Regioturnier 2'!$V$3:$W$34,2,FALSE)), IF(ISNA(VLOOKUP(B193,'Regioturnier 2'!$Z$3:$AA$34,2,FALSE))=TRUE,0,VLOOKUP(B193,'Regioturnier 2'!$Z$3:$AA$34,2,FALSE)))</f>
        <v>0</v>
      </c>
      <c r="Q193" s="15">
        <f>MAX(IF(ISNA(VLOOKUP(B193,'Regioturnier 3'!$B$3:$C$34,2,FALSE))=TRUE,0,VLOOKUP(B193,'Regioturnier 3'!$B$3:$C$34,2,FALSE)),IF(ISNA(VLOOKUP(B193,'Regioturnier 3'!$F$3:$G$34,2,FALSE))=TRUE,0,VLOOKUP(B193,'Regioturnier 3'!$F$3:$G$34,2,FALSE)),IF(ISNA(VLOOKUP(B193,'Regioturnier 3'!$J$3:$K$34,2,FALSE))=TRUE,0,VLOOKUP(B193,'Regioturnier 3'!$J$3:$K$34,2,FALSE)),IF(ISNA(VLOOKUP(B193,'Regioturnier 3'!$N$3:$O$34,2,FALSE))=TRUE,0,VLOOKUP(B193,'Regioturnier 3'!$N$3:$O$34,2,FALSE)),IF(ISNA(VLOOKUP(B193,'Regioturnier 3'!$R$3:$S$34,2,FALSE))=TRUE,0,VLOOKUP(B193,'Regioturnier 3'!$R$3:$S$34,2,FALSE)), IF(ISNA(VLOOKUP(B193,'Regioturnier 3'!$V$3:$W$34,2,FALSE))=TRUE,0,VLOOKUP(B193,'Regioturnier 3'!$V$3:$W$34,2,FALSE)), IF(ISNA(VLOOKUP(B193,'Regioturnier 3'!$Z$3:$AA$34,2,FALSE))=TRUE,0,VLOOKUP(B193,'Regioturnier 3'!$Z$3:$AA$34,2,FALSE)))</f>
        <v>0</v>
      </c>
      <c r="R193" s="20">
        <f>0.5*INDEX($H193:$N193,MATCH(LARGE($H193:$N193,1),$H193:$N193,0))+0.3*INDEX($H193:$N193,MATCH(LARGE($H193:$N193,2),$H193:$N193,0))+0.2*INDEX($H193:$N193,MATCH(LARGE($H193:$N193,3),$H193:$N193,0))</f>
        <v>0</v>
      </c>
      <c r="S193" s="20">
        <f>0.6*INDEX(O193:Q193,MATCH(LARGE(O193:Q193,1),O193:Q193,0))+0.4*INDEX(O193:Q193,MATCH(LARGE(O193:Q193,2),O193:Q193,0))+0*INDEX(O193:Q193,MATCH(LARGE(O193:Q193,3),O193:Q193,0))</f>
        <v>0</v>
      </c>
      <c r="T193" s="15">
        <f>1*INDEX(R193:S193,MATCH(LARGE(R193:S193,1),R193:S193,0))+0*INDEX(R193:S193,MATCH(LARGE(R193:S193,2),R193:S193,0))</f>
        <v>0</v>
      </c>
      <c r="U193" s="21"/>
      <c r="V193" s="21"/>
      <c r="W193" s="21"/>
      <c r="X193" s="21"/>
      <c r="Y193" s="21"/>
      <c r="Z193" s="21"/>
    </row>
    <row r="194" spans="1:26" ht="12.75" customHeight="1" x14ac:dyDescent="0.3">
      <c r="A194" s="15">
        <v>193</v>
      </c>
      <c r="B194" s="16" t="s">
        <v>84</v>
      </c>
      <c r="C194" s="17" t="s">
        <v>43</v>
      </c>
      <c r="D194" s="15" t="s">
        <v>26</v>
      </c>
      <c r="E194" s="18" t="s">
        <v>23</v>
      </c>
      <c r="F194" s="15">
        <v>109628</v>
      </c>
      <c r="G194" s="22">
        <v>2013</v>
      </c>
      <c r="H194" s="15">
        <f>MAX(IF(ISNA(VLOOKUP(B194,'WBV 1'!$B$3:$C$34,2,FALSE))=TRUE,0,VLOOKUP(B194,'WBV 1'!$B$3:$C$34,2,FALSE)),IF(ISNA(VLOOKUP(B194,'WBV 1'!$F$3:$G$34,2,FALSE))=TRUE,0,VLOOKUP(B194,'WBV 1'!$F$3:$G$34,2,FALSE)),IF(ISNA(VLOOKUP(B194,'WBV 1'!$J$3:$K$34,2,FALSE))=TRUE,0,VLOOKUP(B194,'WBV 1'!$J$3:$K$34,2,FALSE)),IF(ISNA(VLOOKUP(B194,'WBV 1'!$N$3:$O$34,2,FALSE))=TRUE,0,VLOOKUP(B194,'WBV 1'!$N$3:$O$34,2,FALSE)))</f>
        <v>0</v>
      </c>
      <c r="I194" s="15">
        <f>MAX(IF(ISNA(VLOOKUP(B194,'WBV 2'!$B$3:$C$34,2,FALSE))=TRUE,0,VLOOKUP(B194,'WBV 2'!$B$3:$C$34,2,FALSE)),IF(ISNA(VLOOKUP(B194,'WBV 2'!$F$3:$G$34,2,FALSE))=TRUE,0,VLOOKUP(B194,'WBV 2'!$F$3:$G$34,2,FALSE)),IF(ISNA(VLOOKUP(B194,'WBV 2'!$J$3:$K$34,2,FALSE))=TRUE,0,VLOOKUP(B194,'WBV 2'!$J$3:$K$34,2,FALSE)),IF(ISNA(VLOOKUP(B194,'WBV 2'!$N$3:$O$34,2,FALSE))=TRUE,0,VLOOKUP(B194,'WBV 2'!$N$3:$O$34,2,FALSE)))</f>
        <v>0</v>
      </c>
      <c r="J194" s="15">
        <f>MAX(IF(ISNA(VLOOKUP(B194,'WBV 3'!$B$3:$C$34,2,FALSE))=TRUE,0,VLOOKUP(B194,'WBV 3'!$B$3:$C$34,2,FALSE)),IF(ISNA(VLOOKUP(B194,'WBV 3'!$F$3:$G$34,2,FALSE))=TRUE,0,VLOOKUP(B194,'WBV 3'!$F$3:$G$34,2,FALSE)),IF(ISNA(VLOOKUP(B194,'WBV 3'!$J$3:$K$34,2,FALSE))=TRUE,0,VLOOKUP(B194,'WBV 3'!$J$3:$K$34,2,FALSE)),IF(ISNA(VLOOKUP(B194,'WBV 3'!$N$3:$O$34,2,FALSE))=TRUE,0,VLOOKUP(B194,'WBV 3'!$N$3:$O$34,2,FALSE)))</f>
        <v>0</v>
      </c>
      <c r="K194" s="15">
        <f>MAX(IF(ISNA(VLOOKUP(B194,'WBV 4'!$B$3:$C$34,2,FALSE))=TRUE,0,VLOOKUP(B194,'WBV 4'!$B$3:$C$34,2,FALSE)),IF(ISNA(VLOOKUP(B194,'WBV 4'!$F$3:$G$34,2,FALSE))=TRUE,0,VLOOKUP(B194,'WBV 4'!$F$3:$G$34,2,FALSE)),IF(ISNA(VLOOKUP(B194,'WBV 4'!$J$3:$K$34,2,FALSE))=TRUE,0,VLOOKUP(B194,'WBV 4'!$J$3:$K$34,2,FALSE)),IF(ISNA(VLOOKUP(B194,'WBV 4'!$N$3:$O$34,2,FALSE))=TRUE,0,VLOOKUP(B194,'WBV 4'!$N$3:$O$34,2,FALSE)))</f>
        <v>0</v>
      </c>
      <c r="L194" s="19">
        <f>MAX(IF(ISNA(VLOOKUP(B194,'NÖBV 1'!$B$3:$C$34,2,FALSE))=TRUE,0,VLOOKUP(B194,'NÖBV 1'!$B$3:$C$34,2,FALSE)),IF(ISNA(VLOOKUP(B194,'NÖBV 1'!$F$3:$G$34,2,FALSE))=TRUE,0,VLOOKUP(B194,'NÖBV 1'!$F$3:$G$34,2,FALSE)),IF(ISNA(VLOOKUP(B194,'NÖBV 1'!$J$3:$K$34,2,FALSE))=TRUE,0,VLOOKUP(B194,'NÖBV 1'!$J$3:$K$34,2,FALSE)),IF(ISNA(VLOOKUP(B194,'NÖBV 1'!$N$3:$O$34,2,FALSE))=TRUE,0,VLOOKUP(B194,'NÖBV 1'!$N$3:$O$34,2,FALSE)))</f>
        <v>0</v>
      </c>
      <c r="M194" s="19">
        <f>MAX(IF(ISNA(VLOOKUP(B194,'NÖBV 2'!$B$3:$C$34,2,FALSE))=TRUE,0,VLOOKUP(B194,'NÖBV 2'!$B$3:$C$34,2,FALSE)),IF(ISNA(VLOOKUP(B194,'NÖBV 2'!$F$3:$G$34,2,FALSE))=TRUE,0,VLOOKUP(B194,'NÖBV 2'!$F$3:$G$34,2,FALSE)),IF(ISNA(VLOOKUP(B194,'NÖBV 2'!$J$3:$K$34,2,FALSE))=TRUE,0,VLOOKUP(B194,'NÖBV 2'!$J$3:$K$34,2,FALSE)),IF(ISNA(VLOOKUP(B194,'NÖBV 2'!$N$3:$O$34,2,FALSE))=TRUE,0,VLOOKUP(B194,'NÖBV 2'!$N$3:$O$34,2,FALSE)))</f>
        <v>0</v>
      </c>
      <c r="N194" s="19">
        <f>MAX(IF(ISNA(VLOOKUP(B194,'NÖBV 3'!$B$3:$C$34,2,FALSE))=TRUE,0,VLOOKUP(B194,'NÖBV 3'!$B$3:$C$34,2,FALSE)),IF(ISNA(VLOOKUP(B194,'NÖBV 3'!$F$3:$G$34,2,FALSE))=TRUE,0,VLOOKUP(B194,'NÖBV 3'!$F$3:$G$34,2,FALSE)),IF(ISNA(VLOOKUP(B194,'NÖBV 3'!$J$3:$K$34,2,FALSE))=TRUE,0,VLOOKUP(B194,'NÖBV 3'!$J$3:$K$34,2,FALSE)),IF(ISNA(VLOOKUP(B194,'NÖBV 3'!$N$3:$O$34,2,FALSE))=TRUE,0,VLOOKUP(B194,'NÖBV 3'!$N$3:$O$34,2,FALSE)))</f>
        <v>0</v>
      </c>
      <c r="O194" s="15">
        <f>MAX(IF(ISNA(VLOOKUP(B194,'Regioturnier 1'!$B$3:$C$34,2,FALSE))=TRUE,0,VLOOKUP(B194,'Regioturnier 1'!$B$3:$C$34,2,FALSE)),IF(ISNA(VLOOKUP(B194,'Regioturnier 1'!$F$3:$G$34,2,FALSE))=TRUE,0,VLOOKUP(B194,'Regioturnier 1'!$F$3:$G$34,2,FALSE)),IF(ISNA(VLOOKUP(B194,'Regioturnier 1'!$J$3:$K$34,2,FALSE))=TRUE,0,VLOOKUP(B194,'Regioturnier 1'!$J$3:$K$34,2,FALSE)),IF(ISNA(VLOOKUP(B194,'Regioturnier 1'!$N$3:$O$34,2,FALSE))=TRUE,0,VLOOKUP(B194,'Regioturnier 1'!$N$3:$O$34,2,FALSE)),IF(ISNA(VLOOKUP(B194,'Regioturnier 1'!$R$3:$S$34,2,FALSE))=TRUE,0,VLOOKUP(B194,'Regioturnier 1'!$R$3:$S$34,2,FALSE)), IF(ISNA(VLOOKUP(B194,'Regioturnier 1'!$V$3:$W$34,2,FALSE))=TRUE,0,VLOOKUP(B194,'Regioturnier 1'!$V$3:$W$34,2,FALSE)), IF(ISNA(VLOOKUP(B194,'Regioturnier 1'!$Z$3:$AA$34,2,FALSE))=TRUE,0,VLOOKUP(B194,'Regioturnier 1'!$Z$3:$AA$34,2,FALSE)))</f>
        <v>0</v>
      </c>
      <c r="P194" s="15">
        <f>MAX(IF(ISNA(VLOOKUP(B194,'Regioturnier 2'!$B$3:$C$34,2,FALSE))=TRUE,0,VLOOKUP(B194,'Regioturnier 2'!$B$3:$C$34,2,FALSE)),IF(ISNA(VLOOKUP(B194,'Regioturnier 2'!$F$3:$G$34,2,FALSE))=TRUE,0,VLOOKUP(B194,'Regioturnier 2'!$F$3:$G$34,2,FALSE)),IF(ISNA(VLOOKUP(B194,'Regioturnier 2'!$J$3:$K$34,2,FALSE))=TRUE,0,VLOOKUP(B194,'Regioturnier 2'!$J$3:$K$34,2,FALSE)),IF(ISNA(VLOOKUP(B194,'Regioturnier 2'!$N$3:$O$34,2,FALSE))=TRUE,0,VLOOKUP(B194,'Regioturnier 2'!$N$3:$O$34,2,FALSE)),IF(ISNA(VLOOKUP(B194,'Regioturnier 2'!$R$3:$S$34,2,FALSE))=TRUE,0,VLOOKUP(B194,'Regioturnier 2'!$R$3:$S$34,2,FALSE)), IF(ISNA(VLOOKUP(B194,'Regioturnier 2'!$V$3:$W$34,2,FALSE))=TRUE,0,VLOOKUP(B194,'Regioturnier 2'!$V$3:$W$34,2,FALSE)), IF(ISNA(VLOOKUP(B194,'Regioturnier 2'!$Z$3:$AA$34,2,FALSE))=TRUE,0,VLOOKUP(B194,'Regioturnier 2'!$Z$3:$AA$34,2,FALSE)))</f>
        <v>0</v>
      </c>
      <c r="Q194" s="15">
        <f>MAX(IF(ISNA(VLOOKUP(B194,'Regioturnier 3'!$B$3:$C$34,2,FALSE))=TRUE,0,VLOOKUP(B194,'Regioturnier 3'!$B$3:$C$34,2,FALSE)),IF(ISNA(VLOOKUP(B194,'Regioturnier 3'!$F$3:$G$34,2,FALSE))=TRUE,0,VLOOKUP(B194,'Regioturnier 3'!$F$3:$G$34,2,FALSE)),IF(ISNA(VLOOKUP(B194,'Regioturnier 3'!$J$3:$K$34,2,FALSE))=TRUE,0,VLOOKUP(B194,'Regioturnier 3'!$J$3:$K$34,2,FALSE)),IF(ISNA(VLOOKUP(B194,'Regioturnier 3'!$N$3:$O$34,2,FALSE))=TRUE,0,VLOOKUP(B194,'Regioturnier 3'!$N$3:$O$34,2,FALSE)),IF(ISNA(VLOOKUP(B194,'Regioturnier 3'!$R$3:$S$34,2,FALSE))=TRUE,0,VLOOKUP(B194,'Regioturnier 3'!$R$3:$S$34,2,FALSE)), IF(ISNA(VLOOKUP(B194,'Regioturnier 3'!$V$3:$W$34,2,FALSE))=TRUE,0,VLOOKUP(B194,'Regioturnier 3'!$V$3:$W$34,2,FALSE)), IF(ISNA(VLOOKUP(B194,'Regioturnier 3'!$Z$3:$AA$34,2,FALSE))=TRUE,0,VLOOKUP(B194,'Regioturnier 3'!$Z$3:$AA$34,2,FALSE)))</f>
        <v>0</v>
      </c>
      <c r="R194" s="20">
        <f>0.5*INDEX($H194:$N194,MATCH(LARGE($H194:$N194,1),$H194:$N194,0))+0.3*INDEX($H194:$N194,MATCH(LARGE($H194:$N194,2),$H194:$N194,0))+0.2*INDEX($H194:$N194,MATCH(LARGE($H194:$N194,3),$H194:$N194,0))</f>
        <v>0</v>
      </c>
      <c r="S194" s="20">
        <f>0.6*INDEX(O194:Q194,MATCH(LARGE(O194:Q194,1),O194:Q194,0))+0.4*INDEX(O194:Q194,MATCH(LARGE(O194:Q194,2),O194:Q194,0))+0*INDEX(O194:Q194,MATCH(LARGE(O194:Q194,3),O194:Q194,0))</f>
        <v>0</v>
      </c>
      <c r="T194" s="15">
        <f>1*INDEX(R194:S194,MATCH(LARGE(R194:S194,1),R194:S194,0))+0*INDEX(R194:S194,MATCH(LARGE(R194:S194,2),R194:S194,0))</f>
        <v>0</v>
      </c>
      <c r="U194" s="21"/>
      <c r="V194" s="21"/>
      <c r="W194" s="21"/>
      <c r="X194" s="21"/>
      <c r="Y194" s="21"/>
      <c r="Z194" s="21"/>
    </row>
    <row r="195" spans="1:26" ht="12.75" customHeight="1" x14ac:dyDescent="0.3">
      <c r="A195" s="15">
        <v>194</v>
      </c>
      <c r="B195" s="16" t="s">
        <v>80</v>
      </c>
      <c r="C195" s="17" t="s">
        <v>43</v>
      </c>
      <c r="D195" s="15" t="s">
        <v>26</v>
      </c>
      <c r="E195" s="18" t="s">
        <v>23</v>
      </c>
      <c r="F195" s="15">
        <v>110447</v>
      </c>
      <c r="G195" s="22">
        <v>2012</v>
      </c>
      <c r="H195" s="15">
        <f>MAX(IF(ISNA(VLOOKUP(B195,'WBV 1'!$B$3:$C$34,2,FALSE))=TRUE,0,VLOOKUP(B195,'WBV 1'!$B$3:$C$34,2,FALSE)),IF(ISNA(VLOOKUP(B195,'WBV 1'!$F$3:$G$34,2,FALSE))=TRUE,0,VLOOKUP(B195,'WBV 1'!$F$3:$G$34,2,FALSE)),IF(ISNA(VLOOKUP(B195,'WBV 1'!$J$3:$K$34,2,FALSE))=TRUE,0,VLOOKUP(B195,'WBV 1'!$J$3:$K$34,2,FALSE)),IF(ISNA(VLOOKUP(B195,'WBV 1'!$N$3:$O$34,2,FALSE))=TRUE,0,VLOOKUP(B195,'WBV 1'!$N$3:$O$34,2,FALSE)))</f>
        <v>0</v>
      </c>
      <c r="I195" s="15">
        <f>MAX(IF(ISNA(VLOOKUP(B195,'WBV 2'!$B$3:$C$34,2,FALSE))=TRUE,0,VLOOKUP(B195,'WBV 2'!$B$3:$C$34,2,FALSE)),IF(ISNA(VLOOKUP(B195,'WBV 2'!$F$3:$G$34,2,FALSE))=TRUE,0,VLOOKUP(B195,'WBV 2'!$F$3:$G$34,2,FALSE)),IF(ISNA(VLOOKUP(B195,'WBV 2'!$J$3:$K$34,2,FALSE))=TRUE,0,VLOOKUP(B195,'WBV 2'!$J$3:$K$34,2,FALSE)),IF(ISNA(VLOOKUP(B195,'WBV 2'!$N$3:$O$34,2,FALSE))=TRUE,0,VLOOKUP(B195,'WBV 2'!$N$3:$O$34,2,FALSE)))</f>
        <v>0</v>
      </c>
      <c r="J195" s="15">
        <f>MAX(IF(ISNA(VLOOKUP(B195,'WBV 3'!$B$3:$C$34,2,FALSE))=TRUE,0,VLOOKUP(B195,'WBV 3'!$B$3:$C$34,2,FALSE)),IF(ISNA(VLOOKUP(B195,'WBV 3'!$F$3:$G$34,2,FALSE))=TRUE,0,VLOOKUP(B195,'WBV 3'!$F$3:$G$34,2,FALSE)),IF(ISNA(VLOOKUP(B195,'WBV 3'!$J$3:$K$34,2,FALSE))=TRUE,0,VLOOKUP(B195,'WBV 3'!$J$3:$K$34,2,FALSE)),IF(ISNA(VLOOKUP(B195,'WBV 3'!$N$3:$O$34,2,FALSE))=TRUE,0,VLOOKUP(B195,'WBV 3'!$N$3:$O$34,2,FALSE)))</f>
        <v>0</v>
      </c>
      <c r="K195" s="15">
        <f>MAX(IF(ISNA(VLOOKUP(B195,'WBV 4'!$B$3:$C$34,2,FALSE))=TRUE,0,VLOOKUP(B195,'WBV 4'!$B$3:$C$34,2,FALSE)),IF(ISNA(VLOOKUP(B195,'WBV 4'!$F$3:$G$34,2,FALSE))=TRUE,0,VLOOKUP(B195,'WBV 4'!$F$3:$G$34,2,FALSE)),IF(ISNA(VLOOKUP(B195,'WBV 4'!$J$3:$K$34,2,FALSE))=TRUE,0,VLOOKUP(B195,'WBV 4'!$J$3:$K$34,2,FALSE)),IF(ISNA(VLOOKUP(B195,'WBV 4'!$N$3:$O$34,2,FALSE))=TRUE,0,VLOOKUP(B195,'WBV 4'!$N$3:$O$34,2,FALSE)))</f>
        <v>0</v>
      </c>
      <c r="L195" s="19">
        <f>MAX(IF(ISNA(VLOOKUP(B195,'NÖBV 1'!$B$3:$C$34,2,FALSE))=TRUE,0,VLOOKUP(B195,'NÖBV 1'!$B$3:$C$34,2,FALSE)),IF(ISNA(VLOOKUP(B195,'NÖBV 1'!$F$3:$G$34,2,FALSE))=TRUE,0,VLOOKUP(B195,'NÖBV 1'!$F$3:$G$34,2,FALSE)),IF(ISNA(VLOOKUP(B195,'NÖBV 1'!$J$3:$K$34,2,FALSE))=TRUE,0,VLOOKUP(B195,'NÖBV 1'!$J$3:$K$34,2,FALSE)),IF(ISNA(VLOOKUP(B195,'NÖBV 1'!$N$3:$O$34,2,FALSE))=TRUE,0,VLOOKUP(B195,'NÖBV 1'!$N$3:$O$34,2,FALSE)))</f>
        <v>0</v>
      </c>
      <c r="M195" s="19">
        <f>MAX(IF(ISNA(VLOOKUP(B195,'NÖBV 2'!$B$3:$C$34,2,FALSE))=TRUE,0,VLOOKUP(B195,'NÖBV 2'!$B$3:$C$34,2,FALSE)),IF(ISNA(VLOOKUP(B195,'NÖBV 2'!$F$3:$G$34,2,FALSE))=TRUE,0,VLOOKUP(B195,'NÖBV 2'!$F$3:$G$34,2,FALSE)),IF(ISNA(VLOOKUP(B195,'NÖBV 2'!$J$3:$K$34,2,FALSE))=TRUE,0,VLOOKUP(B195,'NÖBV 2'!$J$3:$K$34,2,FALSE)),IF(ISNA(VLOOKUP(B195,'NÖBV 2'!$N$3:$O$34,2,FALSE))=TRUE,0,VLOOKUP(B195,'NÖBV 2'!$N$3:$O$34,2,FALSE)))</f>
        <v>0</v>
      </c>
      <c r="N195" s="19">
        <f>MAX(IF(ISNA(VLOOKUP(B195,'NÖBV 3'!$B$3:$C$34,2,FALSE))=TRUE,0,VLOOKUP(B195,'NÖBV 3'!$B$3:$C$34,2,FALSE)),IF(ISNA(VLOOKUP(B195,'NÖBV 3'!$F$3:$G$34,2,FALSE))=TRUE,0,VLOOKUP(B195,'NÖBV 3'!$F$3:$G$34,2,FALSE)),IF(ISNA(VLOOKUP(B195,'NÖBV 3'!$J$3:$K$34,2,FALSE))=TRUE,0,VLOOKUP(B195,'NÖBV 3'!$J$3:$K$34,2,FALSE)),IF(ISNA(VLOOKUP(B195,'NÖBV 3'!$N$3:$O$34,2,FALSE))=TRUE,0,VLOOKUP(B195,'NÖBV 3'!$N$3:$O$34,2,FALSE)))</f>
        <v>0</v>
      </c>
      <c r="O195" s="15">
        <f>MAX(IF(ISNA(VLOOKUP(B195,'Regioturnier 1'!$B$3:$C$34,2,FALSE))=TRUE,0,VLOOKUP(B195,'Regioturnier 1'!$B$3:$C$34,2,FALSE)),IF(ISNA(VLOOKUP(B195,'Regioturnier 1'!$F$3:$G$34,2,FALSE))=TRUE,0,VLOOKUP(B195,'Regioturnier 1'!$F$3:$G$34,2,FALSE)),IF(ISNA(VLOOKUP(B195,'Regioturnier 1'!$J$3:$K$34,2,FALSE))=TRUE,0,VLOOKUP(B195,'Regioturnier 1'!$J$3:$K$34,2,FALSE)),IF(ISNA(VLOOKUP(B195,'Regioturnier 1'!$N$3:$O$34,2,FALSE))=TRUE,0,VLOOKUP(B195,'Regioturnier 1'!$N$3:$O$34,2,FALSE)),IF(ISNA(VLOOKUP(B195,'Regioturnier 1'!$R$3:$S$34,2,FALSE))=TRUE,0,VLOOKUP(B195,'Regioturnier 1'!$R$3:$S$34,2,FALSE)), IF(ISNA(VLOOKUP(B195,'Regioturnier 1'!$V$3:$W$34,2,FALSE))=TRUE,0,VLOOKUP(B195,'Regioturnier 1'!$V$3:$W$34,2,FALSE)), IF(ISNA(VLOOKUP(B195,'Regioturnier 1'!$Z$3:$AA$34,2,FALSE))=TRUE,0,VLOOKUP(B195,'Regioturnier 1'!$Z$3:$AA$34,2,FALSE)))</f>
        <v>0</v>
      </c>
      <c r="P195" s="15">
        <f>MAX(IF(ISNA(VLOOKUP(B195,'Regioturnier 2'!$B$3:$C$34,2,FALSE))=TRUE,0,VLOOKUP(B195,'Regioturnier 2'!$B$3:$C$34,2,FALSE)),IF(ISNA(VLOOKUP(B195,'Regioturnier 2'!$F$3:$G$34,2,FALSE))=TRUE,0,VLOOKUP(B195,'Regioturnier 2'!$F$3:$G$34,2,FALSE)),IF(ISNA(VLOOKUP(B195,'Regioturnier 2'!$J$3:$K$34,2,FALSE))=TRUE,0,VLOOKUP(B195,'Regioturnier 2'!$J$3:$K$34,2,FALSE)),IF(ISNA(VLOOKUP(B195,'Regioturnier 2'!$N$3:$O$34,2,FALSE))=TRUE,0,VLOOKUP(B195,'Regioturnier 2'!$N$3:$O$34,2,FALSE)),IF(ISNA(VLOOKUP(B195,'Regioturnier 2'!$R$3:$S$34,2,FALSE))=TRUE,0,VLOOKUP(B195,'Regioturnier 2'!$R$3:$S$34,2,FALSE)), IF(ISNA(VLOOKUP(B195,'Regioturnier 2'!$V$3:$W$34,2,FALSE))=TRUE,0,VLOOKUP(B195,'Regioturnier 2'!$V$3:$W$34,2,FALSE)), IF(ISNA(VLOOKUP(B195,'Regioturnier 2'!$Z$3:$AA$34,2,FALSE))=TRUE,0,VLOOKUP(B195,'Regioturnier 2'!$Z$3:$AA$34,2,FALSE)))</f>
        <v>0</v>
      </c>
      <c r="Q195" s="15">
        <f>MAX(IF(ISNA(VLOOKUP(B195,'Regioturnier 3'!$B$3:$C$34,2,FALSE))=TRUE,0,VLOOKUP(B195,'Regioturnier 3'!$B$3:$C$34,2,FALSE)),IF(ISNA(VLOOKUP(B195,'Regioturnier 3'!$F$3:$G$34,2,FALSE))=TRUE,0,VLOOKUP(B195,'Regioturnier 3'!$F$3:$G$34,2,FALSE)),IF(ISNA(VLOOKUP(B195,'Regioturnier 3'!$J$3:$K$34,2,FALSE))=TRUE,0,VLOOKUP(B195,'Regioturnier 3'!$J$3:$K$34,2,FALSE)),IF(ISNA(VLOOKUP(B195,'Regioturnier 3'!$N$3:$O$34,2,FALSE))=TRUE,0,VLOOKUP(B195,'Regioturnier 3'!$N$3:$O$34,2,FALSE)),IF(ISNA(VLOOKUP(B195,'Regioturnier 3'!$R$3:$S$34,2,FALSE))=TRUE,0,VLOOKUP(B195,'Regioturnier 3'!$R$3:$S$34,2,FALSE)), IF(ISNA(VLOOKUP(B195,'Regioturnier 3'!$V$3:$W$34,2,FALSE))=TRUE,0,VLOOKUP(B195,'Regioturnier 3'!$V$3:$W$34,2,FALSE)), IF(ISNA(VLOOKUP(B195,'Regioturnier 3'!$Z$3:$AA$34,2,FALSE))=TRUE,0,VLOOKUP(B195,'Regioturnier 3'!$Z$3:$AA$34,2,FALSE)))</f>
        <v>0</v>
      </c>
      <c r="R195" s="20">
        <f>0.5*INDEX($H195:$N195,MATCH(LARGE($H195:$N195,1),$H195:$N195,0))+0.3*INDEX($H195:$N195,MATCH(LARGE($H195:$N195,2),$H195:$N195,0))+0.2*INDEX($H195:$N195,MATCH(LARGE($H195:$N195,3),$H195:$N195,0))</f>
        <v>0</v>
      </c>
      <c r="S195" s="20">
        <f>0.6*INDEX(O195:Q195,MATCH(LARGE(O195:Q195,1),O195:Q195,0))+0.4*INDEX(O195:Q195,MATCH(LARGE(O195:Q195,2),O195:Q195,0))+0*INDEX(O195:Q195,MATCH(LARGE(O195:Q195,3),O195:Q195,0))</f>
        <v>0</v>
      </c>
      <c r="T195" s="15">
        <f>1*INDEX(R195:S195,MATCH(LARGE(R195:S195,1),R195:S195,0))+0*INDEX(R195:S195,MATCH(LARGE(R195:S195,2),R195:S195,0))</f>
        <v>0</v>
      </c>
      <c r="U195" s="21"/>
      <c r="V195" s="21"/>
      <c r="W195" s="21"/>
      <c r="X195" s="21"/>
      <c r="Y195" s="21"/>
      <c r="Z195" s="21"/>
    </row>
    <row r="196" spans="1:26" ht="12.75" customHeight="1" x14ac:dyDescent="0.3">
      <c r="A196" s="15">
        <v>195</v>
      </c>
      <c r="B196" s="16" t="s">
        <v>175</v>
      </c>
      <c r="C196" s="17" t="s">
        <v>43</v>
      </c>
      <c r="D196" s="15" t="s">
        <v>26</v>
      </c>
      <c r="E196" s="18" t="s">
        <v>23</v>
      </c>
      <c r="F196" s="15">
        <v>108808</v>
      </c>
      <c r="G196" s="22">
        <v>2007</v>
      </c>
      <c r="H196" s="15">
        <f>MAX(IF(ISNA(VLOOKUP(B196,'WBV 1'!$B$3:$C$34,2,FALSE))=TRUE,0,VLOOKUP(B196,'WBV 1'!$B$3:$C$34,2,FALSE)),IF(ISNA(VLOOKUP(B196,'WBV 1'!$F$3:$G$34,2,FALSE))=TRUE,0,VLOOKUP(B196,'WBV 1'!$F$3:$G$34,2,FALSE)),IF(ISNA(VLOOKUP(B196,'WBV 1'!$J$3:$K$34,2,FALSE))=TRUE,0,VLOOKUP(B196,'WBV 1'!$J$3:$K$34,2,FALSE)),IF(ISNA(VLOOKUP(B196,'WBV 1'!$N$3:$O$34,2,FALSE))=TRUE,0,VLOOKUP(B196,'WBV 1'!$N$3:$O$34,2,FALSE)))</f>
        <v>0</v>
      </c>
      <c r="I196" s="15">
        <f>MAX(IF(ISNA(VLOOKUP(B196,'WBV 2'!$B$3:$C$34,2,FALSE))=TRUE,0,VLOOKUP(B196,'WBV 2'!$B$3:$C$34,2,FALSE)),IF(ISNA(VLOOKUP(B196,'WBV 2'!$F$3:$G$34,2,FALSE))=TRUE,0,VLOOKUP(B196,'WBV 2'!$F$3:$G$34,2,FALSE)),IF(ISNA(VLOOKUP(B196,'WBV 2'!$J$3:$K$34,2,FALSE))=TRUE,0,VLOOKUP(B196,'WBV 2'!$J$3:$K$34,2,FALSE)),IF(ISNA(VLOOKUP(B196,'WBV 2'!$N$3:$O$34,2,FALSE))=TRUE,0,VLOOKUP(B196,'WBV 2'!$N$3:$O$34,2,FALSE)))</f>
        <v>0</v>
      </c>
      <c r="J196" s="15">
        <f>MAX(IF(ISNA(VLOOKUP(B196,'WBV 3'!$B$3:$C$34,2,FALSE))=TRUE,0,VLOOKUP(B196,'WBV 3'!$B$3:$C$34,2,FALSE)),IF(ISNA(VLOOKUP(B196,'WBV 3'!$F$3:$G$34,2,FALSE))=TRUE,0,VLOOKUP(B196,'WBV 3'!$F$3:$G$34,2,FALSE)),IF(ISNA(VLOOKUP(B196,'WBV 3'!$J$3:$K$34,2,FALSE))=TRUE,0,VLOOKUP(B196,'WBV 3'!$J$3:$K$34,2,FALSE)),IF(ISNA(VLOOKUP(B196,'WBV 3'!$N$3:$O$34,2,FALSE))=TRUE,0,VLOOKUP(B196,'WBV 3'!$N$3:$O$34,2,FALSE)))</f>
        <v>0</v>
      </c>
      <c r="K196" s="15">
        <f>MAX(IF(ISNA(VLOOKUP(B196,'WBV 4'!$B$3:$C$34,2,FALSE))=TRUE,0,VLOOKUP(B196,'WBV 4'!$B$3:$C$34,2,FALSE)),IF(ISNA(VLOOKUP(B196,'WBV 4'!$F$3:$G$34,2,FALSE))=TRUE,0,VLOOKUP(B196,'WBV 4'!$F$3:$G$34,2,FALSE)),IF(ISNA(VLOOKUP(B196,'WBV 4'!$J$3:$K$34,2,FALSE))=TRUE,0,VLOOKUP(B196,'WBV 4'!$J$3:$K$34,2,FALSE)),IF(ISNA(VLOOKUP(B196,'WBV 4'!$N$3:$O$34,2,FALSE))=TRUE,0,VLOOKUP(B196,'WBV 4'!$N$3:$O$34,2,FALSE)))</f>
        <v>0</v>
      </c>
      <c r="L196" s="19">
        <f>MAX(IF(ISNA(VLOOKUP(B196,'NÖBV 1'!$B$3:$C$34,2,FALSE))=TRUE,0,VLOOKUP(B196,'NÖBV 1'!$B$3:$C$34,2,FALSE)),IF(ISNA(VLOOKUP(B196,'NÖBV 1'!$F$3:$G$34,2,FALSE))=TRUE,0,VLOOKUP(B196,'NÖBV 1'!$F$3:$G$34,2,FALSE)),IF(ISNA(VLOOKUP(B196,'NÖBV 1'!$J$3:$K$34,2,FALSE))=TRUE,0,VLOOKUP(B196,'NÖBV 1'!$J$3:$K$34,2,FALSE)),IF(ISNA(VLOOKUP(B196,'NÖBV 1'!$N$3:$O$34,2,FALSE))=TRUE,0,VLOOKUP(B196,'NÖBV 1'!$N$3:$O$34,2,FALSE)))</f>
        <v>0</v>
      </c>
      <c r="M196" s="19">
        <f>MAX(IF(ISNA(VLOOKUP(B196,'NÖBV 2'!$B$3:$C$34,2,FALSE))=TRUE,0,VLOOKUP(B196,'NÖBV 2'!$B$3:$C$34,2,FALSE)),IF(ISNA(VLOOKUP(B196,'NÖBV 2'!$F$3:$G$34,2,FALSE))=TRUE,0,VLOOKUP(B196,'NÖBV 2'!$F$3:$G$34,2,FALSE)),IF(ISNA(VLOOKUP(B196,'NÖBV 2'!$J$3:$K$34,2,FALSE))=TRUE,0,VLOOKUP(B196,'NÖBV 2'!$J$3:$K$34,2,FALSE)),IF(ISNA(VLOOKUP(B196,'NÖBV 2'!$N$3:$O$34,2,FALSE))=TRUE,0,VLOOKUP(B196,'NÖBV 2'!$N$3:$O$34,2,FALSE)))</f>
        <v>0</v>
      </c>
      <c r="N196" s="19">
        <f>MAX(IF(ISNA(VLOOKUP(B196,'NÖBV 3'!$B$3:$C$34,2,FALSE))=TRUE,0,VLOOKUP(B196,'NÖBV 3'!$B$3:$C$34,2,FALSE)),IF(ISNA(VLOOKUP(B196,'NÖBV 3'!$F$3:$G$34,2,FALSE))=TRUE,0,VLOOKUP(B196,'NÖBV 3'!$F$3:$G$34,2,FALSE)),IF(ISNA(VLOOKUP(B196,'NÖBV 3'!$J$3:$K$34,2,FALSE))=TRUE,0,VLOOKUP(B196,'NÖBV 3'!$J$3:$K$34,2,FALSE)),IF(ISNA(VLOOKUP(B196,'NÖBV 3'!$N$3:$O$34,2,FALSE))=TRUE,0,VLOOKUP(B196,'NÖBV 3'!$N$3:$O$34,2,FALSE)))</f>
        <v>0</v>
      </c>
      <c r="O196" s="15">
        <f>MAX(IF(ISNA(VLOOKUP(B196,'Regioturnier 1'!$B$3:$C$34,2,FALSE))=TRUE,0,VLOOKUP(B196,'Regioturnier 1'!$B$3:$C$34,2,FALSE)),IF(ISNA(VLOOKUP(B196,'Regioturnier 1'!$F$3:$G$34,2,FALSE))=TRUE,0,VLOOKUP(B196,'Regioturnier 1'!$F$3:$G$34,2,FALSE)),IF(ISNA(VLOOKUP(B196,'Regioturnier 1'!$J$3:$K$34,2,FALSE))=TRUE,0,VLOOKUP(B196,'Regioturnier 1'!$J$3:$K$34,2,FALSE)),IF(ISNA(VLOOKUP(B196,'Regioturnier 1'!$N$3:$O$34,2,FALSE))=TRUE,0,VLOOKUP(B196,'Regioturnier 1'!$N$3:$O$34,2,FALSE)),IF(ISNA(VLOOKUP(B196,'Regioturnier 1'!$R$3:$S$34,2,FALSE))=TRUE,0,VLOOKUP(B196,'Regioturnier 1'!$R$3:$S$34,2,FALSE)), IF(ISNA(VLOOKUP(B196,'Regioturnier 1'!$V$3:$W$34,2,FALSE))=TRUE,0,VLOOKUP(B196,'Regioturnier 1'!$V$3:$W$34,2,FALSE)), IF(ISNA(VLOOKUP(B196,'Regioturnier 1'!$Z$3:$AA$34,2,FALSE))=TRUE,0,VLOOKUP(B196,'Regioturnier 1'!$Z$3:$AA$34,2,FALSE)))</f>
        <v>0</v>
      </c>
      <c r="P196" s="15">
        <f>MAX(IF(ISNA(VLOOKUP(B196,'Regioturnier 2'!$B$3:$C$34,2,FALSE))=TRUE,0,VLOOKUP(B196,'Regioturnier 2'!$B$3:$C$34,2,FALSE)),IF(ISNA(VLOOKUP(B196,'Regioturnier 2'!$F$3:$G$34,2,FALSE))=TRUE,0,VLOOKUP(B196,'Regioturnier 2'!$F$3:$G$34,2,FALSE)),IF(ISNA(VLOOKUP(B196,'Regioturnier 2'!$J$3:$K$34,2,FALSE))=TRUE,0,VLOOKUP(B196,'Regioturnier 2'!$J$3:$K$34,2,FALSE)),IF(ISNA(VLOOKUP(B196,'Regioturnier 2'!$N$3:$O$34,2,FALSE))=TRUE,0,VLOOKUP(B196,'Regioturnier 2'!$N$3:$O$34,2,FALSE)),IF(ISNA(VLOOKUP(B196,'Regioturnier 2'!$R$3:$S$34,2,FALSE))=TRUE,0,VLOOKUP(B196,'Regioturnier 2'!$R$3:$S$34,2,FALSE)), IF(ISNA(VLOOKUP(B196,'Regioturnier 2'!$V$3:$W$34,2,FALSE))=TRUE,0,VLOOKUP(B196,'Regioturnier 2'!$V$3:$W$34,2,FALSE)), IF(ISNA(VLOOKUP(B196,'Regioturnier 2'!$Z$3:$AA$34,2,FALSE))=TRUE,0,VLOOKUP(B196,'Regioturnier 2'!$Z$3:$AA$34,2,FALSE)))</f>
        <v>0</v>
      </c>
      <c r="Q196" s="15">
        <f>MAX(IF(ISNA(VLOOKUP(B196,'Regioturnier 3'!$B$3:$C$34,2,FALSE))=TRUE,0,VLOOKUP(B196,'Regioturnier 3'!$B$3:$C$34,2,FALSE)),IF(ISNA(VLOOKUP(B196,'Regioturnier 3'!$F$3:$G$34,2,FALSE))=TRUE,0,VLOOKUP(B196,'Regioturnier 3'!$F$3:$G$34,2,FALSE)),IF(ISNA(VLOOKUP(B196,'Regioturnier 3'!$J$3:$K$34,2,FALSE))=TRUE,0,VLOOKUP(B196,'Regioturnier 3'!$J$3:$K$34,2,FALSE)),IF(ISNA(VLOOKUP(B196,'Regioturnier 3'!$N$3:$O$34,2,FALSE))=TRUE,0,VLOOKUP(B196,'Regioturnier 3'!$N$3:$O$34,2,FALSE)),IF(ISNA(VLOOKUP(B196,'Regioturnier 3'!$R$3:$S$34,2,FALSE))=TRUE,0,VLOOKUP(B196,'Regioturnier 3'!$R$3:$S$34,2,FALSE)), IF(ISNA(VLOOKUP(B196,'Regioturnier 3'!$V$3:$W$34,2,FALSE))=TRUE,0,VLOOKUP(B196,'Regioturnier 3'!$V$3:$W$34,2,FALSE)), IF(ISNA(VLOOKUP(B196,'Regioturnier 3'!$Z$3:$AA$34,2,FALSE))=TRUE,0,VLOOKUP(B196,'Regioturnier 3'!$Z$3:$AA$34,2,FALSE)))</f>
        <v>0</v>
      </c>
      <c r="R196" s="20">
        <f>0.5*INDEX($H196:$N196,MATCH(LARGE($H196:$N196,1),$H196:$N196,0))+0.3*INDEX($H196:$N196,MATCH(LARGE($H196:$N196,2),$H196:$N196,0))+0.2*INDEX($H196:$N196,MATCH(LARGE($H196:$N196,3),$H196:$N196,0))</f>
        <v>0</v>
      </c>
      <c r="S196" s="20">
        <f>0.6*INDEX(O196:Q196,MATCH(LARGE(O196:Q196,1),O196:Q196,0))+0.4*INDEX(O196:Q196,MATCH(LARGE(O196:Q196,2),O196:Q196,0))+0*INDEX(O196:Q196,MATCH(LARGE(O196:Q196,3),O196:Q196,0))</f>
        <v>0</v>
      </c>
      <c r="T196" s="15">
        <f>1*INDEX(R196:S196,MATCH(LARGE(R196:S196,1),R196:S196,0))+0*INDEX(R196:S196,MATCH(LARGE(R196:S196,2),R196:S196,0))</f>
        <v>0</v>
      </c>
      <c r="U196" s="21"/>
      <c r="V196" s="21"/>
      <c r="W196" s="21"/>
      <c r="X196" s="21"/>
      <c r="Y196" s="21"/>
      <c r="Z196" s="21"/>
    </row>
    <row r="197" spans="1:26" ht="12.75" customHeight="1" x14ac:dyDescent="0.3">
      <c r="A197" s="15">
        <v>196</v>
      </c>
      <c r="B197" s="16" t="s">
        <v>133</v>
      </c>
      <c r="C197" s="17" t="s">
        <v>28</v>
      </c>
      <c r="D197" s="15" t="s">
        <v>22</v>
      </c>
      <c r="E197" s="18" t="s">
        <v>23</v>
      </c>
      <c r="F197" s="15">
        <v>207635</v>
      </c>
      <c r="G197" s="22">
        <v>2008</v>
      </c>
      <c r="H197" s="15">
        <f>MAX(IF(ISNA(VLOOKUP(B197,'WBV 1'!$B$3:$C$34,2,FALSE))=TRUE,0,VLOOKUP(B197,'WBV 1'!$B$3:$C$34,2,FALSE)),IF(ISNA(VLOOKUP(B197,'WBV 1'!$F$3:$G$34,2,FALSE))=TRUE,0,VLOOKUP(B197,'WBV 1'!$F$3:$G$34,2,FALSE)),IF(ISNA(VLOOKUP(B197,'WBV 1'!$J$3:$K$34,2,FALSE))=TRUE,0,VLOOKUP(B197,'WBV 1'!$J$3:$K$34,2,FALSE)),IF(ISNA(VLOOKUP(B197,'WBV 1'!$N$3:$O$34,2,FALSE))=TRUE,0,VLOOKUP(B197,'WBV 1'!$N$3:$O$34,2,FALSE)))</f>
        <v>0</v>
      </c>
      <c r="I197" s="15">
        <f>MAX(IF(ISNA(VLOOKUP(B197,'WBV 2'!$B$3:$C$34,2,FALSE))=TRUE,0,VLOOKUP(B197,'WBV 2'!$B$3:$C$34,2,FALSE)),IF(ISNA(VLOOKUP(B197,'WBV 2'!$F$3:$G$34,2,FALSE))=TRUE,0,VLOOKUP(B197,'WBV 2'!$F$3:$G$34,2,FALSE)),IF(ISNA(VLOOKUP(B197,'WBV 2'!$J$3:$K$34,2,FALSE))=TRUE,0,VLOOKUP(B197,'WBV 2'!$J$3:$K$34,2,FALSE)),IF(ISNA(VLOOKUP(B197,'WBV 2'!$N$3:$O$34,2,FALSE))=TRUE,0,VLOOKUP(B197,'WBV 2'!$N$3:$O$34,2,FALSE)))</f>
        <v>0</v>
      </c>
      <c r="J197" s="15">
        <f>MAX(IF(ISNA(VLOOKUP(B197,'WBV 3'!$B$3:$C$34,2,FALSE))=TRUE,0,VLOOKUP(B197,'WBV 3'!$B$3:$C$34,2,FALSE)),IF(ISNA(VLOOKUP(B197,'WBV 3'!$F$3:$G$34,2,FALSE))=TRUE,0,VLOOKUP(B197,'WBV 3'!$F$3:$G$34,2,FALSE)),IF(ISNA(VLOOKUP(B197,'WBV 3'!$J$3:$K$34,2,FALSE))=TRUE,0,VLOOKUP(B197,'WBV 3'!$J$3:$K$34,2,FALSE)),IF(ISNA(VLOOKUP(B197,'WBV 3'!$N$3:$O$34,2,FALSE))=TRUE,0,VLOOKUP(B197,'WBV 3'!$N$3:$O$34,2,FALSE)))</f>
        <v>0</v>
      </c>
      <c r="K197" s="15">
        <f>MAX(IF(ISNA(VLOOKUP(B197,'WBV 4'!$B$3:$C$34,2,FALSE))=TRUE,0,VLOOKUP(B197,'WBV 4'!$B$3:$C$34,2,FALSE)),IF(ISNA(VLOOKUP(B197,'WBV 4'!$F$3:$G$34,2,FALSE))=TRUE,0,VLOOKUP(B197,'WBV 4'!$F$3:$G$34,2,FALSE)),IF(ISNA(VLOOKUP(B197,'WBV 4'!$J$3:$K$34,2,FALSE))=TRUE,0,VLOOKUP(B197,'WBV 4'!$J$3:$K$34,2,FALSE)),IF(ISNA(VLOOKUP(B197,'WBV 4'!$N$3:$O$34,2,FALSE))=TRUE,0,VLOOKUP(B197,'WBV 4'!$N$3:$O$34,2,FALSE)))</f>
        <v>0</v>
      </c>
      <c r="L197" s="19">
        <f>MAX(IF(ISNA(VLOOKUP(B197,'NÖBV 1'!$B$3:$C$34,2,FALSE))=TRUE,0,VLOOKUP(B197,'NÖBV 1'!$B$3:$C$34,2,FALSE)),IF(ISNA(VLOOKUP(B197,'NÖBV 1'!$F$3:$G$34,2,FALSE))=TRUE,0,VLOOKUP(B197,'NÖBV 1'!$F$3:$G$34,2,FALSE)),IF(ISNA(VLOOKUP(B197,'NÖBV 1'!$J$3:$K$34,2,FALSE))=TRUE,0,VLOOKUP(B197,'NÖBV 1'!$J$3:$K$34,2,FALSE)),IF(ISNA(VLOOKUP(B197,'NÖBV 1'!$N$3:$O$34,2,FALSE))=TRUE,0,VLOOKUP(B197,'NÖBV 1'!$N$3:$O$34,2,FALSE)))</f>
        <v>0</v>
      </c>
      <c r="M197" s="19">
        <f>MAX(IF(ISNA(VLOOKUP(B197,'NÖBV 2'!$B$3:$C$34,2,FALSE))=TRUE,0,VLOOKUP(B197,'NÖBV 2'!$B$3:$C$34,2,FALSE)),IF(ISNA(VLOOKUP(B197,'NÖBV 2'!$F$3:$G$34,2,FALSE))=TRUE,0,VLOOKUP(B197,'NÖBV 2'!$F$3:$G$34,2,FALSE)),IF(ISNA(VLOOKUP(B197,'NÖBV 2'!$J$3:$K$34,2,FALSE))=TRUE,0,VLOOKUP(B197,'NÖBV 2'!$J$3:$K$34,2,FALSE)),IF(ISNA(VLOOKUP(B197,'NÖBV 2'!$N$3:$O$34,2,FALSE))=TRUE,0,VLOOKUP(B197,'NÖBV 2'!$N$3:$O$34,2,FALSE)))</f>
        <v>0</v>
      </c>
      <c r="N197" s="19">
        <f>MAX(IF(ISNA(VLOOKUP(B197,'NÖBV 3'!$B$3:$C$34,2,FALSE))=TRUE,0,VLOOKUP(B197,'NÖBV 3'!$B$3:$C$34,2,FALSE)),IF(ISNA(VLOOKUP(B197,'NÖBV 3'!$F$3:$G$34,2,FALSE))=TRUE,0,VLOOKUP(B197,'NÖBV 3'!$F$3:$G$34,2,FALSE)),IF(ISNA(VLOOKUP(B197,'NÖBV 3'!$J$3:$K$34,2,FALSE))=TRUE,0,VLOOKUP(B197,'NÖBV 3'!$J$3:$K$34,2,FALSE)),IF(ISNA(VLOOKUP(B197,'NÖBV 3'!$N$3:$O$34,2,FALSE))=TRUE,0,VLOOKUP(B197,'NÖBV 3'!$N$3:$O$34,2,FALSE)))</f>
        <v>0</v>
      </c>
      <c r="O197" s="15">
        <f>MAX(IF(ISNA(VLOOKUP(B197,'Regioturnier 1'!$B$3:$C$34,2,FALSE))=TRUE,0,VLOOKUP(B197,'Regioturnier 1'!$B$3:$C$34,2,FALSE)),IF(ISNA(VLOOKUP(B197,'Regioturnier 1'!$F$3:$G$34,2,FALSE))=TRUE,0,VLOOKUP(B197,'Regioturnier 1'!$F$3:$G$34,2,FALSE)),IF(ISNA(VLOOKUP(B197,'Regioturnier 1'!$J$3:$K$34,2,FALSE))=TRUE,0,VLOOKUP(B197,'Regioturnier 1'!$J$3:$K$34,2,FALSE)),IF(ISNA(VLOOKUP(B197,'Regioturnier 1'!$N$3:$O$34,2,FALSE))=TRUE,0,VLOOKUP(B197,'Regioturnier 1'!$N$3:$O$34,2,FALSE)),IF(ISNA(VLOOKUP(B197,'Regioturnier 1'!$R$3:$S$34,2,FALSE))=TRUE,0,VLOOKUP(B197,'Regioturnier 1'!$R$3:$S$34,2,FALSE)), IF(ISNA(VLOOKUP(B197,'Regioturnier 1'!$V$3:$W$34,2,FALSE))=TRUE,0,VLOOKUP(B197,'Regioturnier 1'!$V$3:$W$34,2,FALSE)), IF(ISNA(VLOOKUP(B197,'Regioturnier 1'!$Z$3:$AA$34,2,FALSE))=TRUE,0,VLOOKUP(B197,'Regioturnier 1'!$Z$3:$AA$34,2,FALSE)))</f>
        <v>0</v>
      </c>
      <c r="P197" s="15">
        <f>MAX(IF(ISNA(VLOOKUP(B197,'Regioturnier 2'!$B$3:$C$34,2,FALSE))=TRUE,0,VLOOKUP(B197,'Regioturnier 2'!$B$3:$C$34,2,FALSE)),IF(ISNA(VLOOKUP(B197,'Regioturnier 2'!$F$3:$G$34,2,FALSE))=TRUE,0,VLOOKUP(B197,'Regioturnier 2'!$F$3:$G$34,2,FALSE)),IF(ISNA(VLOOKUP(B197,'Regioturnier 2'!$J$3:$K$34,2,FALSE))=TRUE,0,VLOOKUP(B197,'Regioturnier 2'!$J$3:$K$34,2,FALSE)),IF(ISNA(VLOOKUP(B197,'Regioturnier 2'!$N$3:$O$34,2,FALSE))=TRUE,0,VLOOKUP(B197,'Regioturnier 2'!$N$3:$O$34,2,FALSE)),IF(ISNA(VLOOKUP(B197,'Regioturnier 2'!$R$3:$S$34,2,FALSE))=TRUE,0,VLOOKUP(B197,'Regioturnier 2'!$R$3:$S$34,2,FALSE)), IF(ISNA(VLOOKUP(B197,'Regioturnier 2'!$V$3:$W$34,2,FALSE))=TRUE,0,VLOOKUP(B197,'Regioturnier 2'!$V$3:$W$34,2,FALSE)), IF(ISNA(VLOOKUP(B197,'Regioturnier 2'!$Z$3:$AA$34,2,FALSE))=TRUE,0,VLOOKUP(B197,'Regioturnier 2'!$Z$3:$AA$34,2,FALSE)))</f>
        <v>0</v>
      </c>
      <c r="Q197" s="15">
        <f>MAX(IF(ISNA(VLOOKUP(B197,'Regioturnier 3'!$B$3:$C$34,2,FALSE))=TRUE,0,VLOOKUP(B197,'Regioturnier 3'!$B$3:$C$34,2,FALSE)),IF(ISNA(VLOOKUP(B197,'Regioturnier 3'!$F$3:$G$34,2,FALSE))=TRUE,0,VLOOKUP(B197,'Regioturnier 3'!$F$3:$G$34,2,FALSE)),IF(ISNA(VLOOKUP(B197,'Regioturnier 3'!$J$3:$K$34,2,FALSE))=TRUE,0,VLOOKUP(B197,'Regioturnier 3'!$J$3:$K$34,2,FALSE)),IF(ISNA(VLOOKUP(B197,'Regioturnier 3'!$N$3:$O$34,2,FALSE))=TRUE,0,VLOOKUP(B197,'Regioturnier 3'!$N$3:$O$34,2,FALSE)),IF(ISNA(VLOOKUP(B197,'Regioturnier 3'!$R$3:$S$34,2,FALSE))=TRUE,0,VLOOKUP(B197,'Regioturnier 3'!$R$3:$S$34,2,FALSE)), IF(ISNA(VLOOKUP(B197,'Regioturnier 3'!$V$3:$W$34,2,FALSE))=TRUE,0,VLOOKUP(B197,'Regioturnier 3'!$V$3:$W$34,2,FALSE)), IF(ISNA(VLOOKUP(B197,'Regioturnier 3'!$Z$3:$AA$34,2,FALSE))=TRUE,0,VLOOKUP(B197,'Regioturnier 3'!$Z$3:$AA$34,2,FALSE)))</f>
        <v>0</v>
      </c>
      <c r="R197" s="20">
        <f>0.5*INDEX($H197:$N197,MATCH(LARGE($H197:$N197,1),$H197:$N197,0))+0.3*INDEX($H197:$N197,MATCH(LARGE($H197:$N197,2),$H197:$N197,0))+0.2*INDEX($H197:$N197,MATCH(LARGE($H197:$N197,3),$H197:$N197,0))</f>
        <v>0</v>
      </c>
      <c r="S197" s="20">
        <f>0.6*INDEX(O197:Q197,MATCH(LARGE(O197:Q197,1),O197:Q197,0))+0.4*INDEX(O197:Q197,MATCH(LARGE(O197:Q197,2),O197:Q197,0))+0*INDEX(O197:Q197,MATCH(LARGE(O197:Q197,3),O197:Q197,0))</f>
        <v>0</v>
      </c>
      <c r="T197" s="15">
        <f>1*INDEX(R197:S197,MATCH(LARGE(R197:S197,1),R197:S197,0))+0*INDEX(R197:S197,MATCH(LARGE(R197:S197,2),R197:S197,0))</f>
        <v>0</v>
      </c>
      <c r="U197" s="21"/>
      <c r="V197" s="21"/>
      <c r="W197" s="21"/>
      <c r="X197" s="21"/>
      <c r="Y197" s="21"/>
      <c r="Z197" s="21"/>
    </row>
    <row r="198" spans="1:26" ht="12.75" customHeight="1" x14ac:dyDescent="0.3">
      <c r="A198" s="15">
        <v>197</v>
      </c>
      <c r="B198" s="16" t="s">
        <v>29</v>
      </c>
      <c r="C198" s="17" t="s">
        <v>25</v>
      </c>
      <c r="D198" s="15" t="s">
        <v>26</v>
      </c>
      <c r="E198" s="18" t="s">
        <v>23</v>
      </c>
      <c r="F198" s="15">
        <v>109270</v>
      </c>
      <c r="G198" s="22">
        <v>2009</v>
      </c>
      <c r="H198" s="15">
        <f>MAX(IF(ISNA(VLOOKUP(B198,'WBV 1'!$B$3:$C$34,2,FALSE))=TRUE,0,VLOOKUP(B198,'WBV 1'!$B$3:$C$34,2,FALSE)),IF(ISNA(VLOOKUP(B198,'WBV 1'!$F$3:$G$34,2,FALSE))=TRUE,0,VLOOKUP(B198,'WBV 1'!$F$3:$G$34,2,FALSE)),IF(ISNA(VLOOKUP(B198,'WBV 1'!$J$3:$K$34,2,FALSE))=TRUE,0,VLOOKUP(B198,'WBV 1'!$J$3:$K$34,2,FALSE)),IF(ISNA(VLOOKUP(B198,'WBV 1'!$N$3:$O$34,2,FALSE))=TRUE,0,VLOOKUP(B198,'WBV 1'!$N$3:$O$34,2,FALSE)))</f>
        <v>0</v>
      </c>
      <c r="I198" s="15">
        <f>MAX(IF(ISNA(VLOOKUP(B198,'WBV 2'!$B$3:$C$34,2,FALSE))=TRUE,0,VLOOKUP(B198,'WBV 2'!$B$3:$C$34,2,FALSE)),IF(ISNA(VLOOKUP(B198,'WBV 2'!$F$3:$G$34,2,FALSE))=TRUE,0,VLOOKUP(B198,'WBV 2'!$F$3:$G$34,2,FALSE)),IF(ISNA(VLOOKUP(B198,'WBV 2'!$J$3:$K$34,2,FALSE))=TRUE,0,VLOOKUP(B198,'WBV 2'!$J$3:$K$34,2,FALSE)),IF(ISNA(VLOOKUP(B198,'WBV 2'!$N$3:$O$34,2,FALSE))=TRUE,0,VLOOKUP(B198,'WBV 2'!$N$3:$O$34,2,FALSE)))</f>
        <v>0</v>
      </c>
      <c r="J198" s="15">
        <f>MAX(IF(ISNA(VLOOKUP(B198,'WBV 3'!$B$3:$C$34,2,FALSE))=TRUE,0,VLOOKUP(B198,'WBV 3'!$B$3:$C$34,2,FALSE)),IF(ISNA(VLOOKUP(B198,'WBV 3'!$F$3:$G$34,2,FALSE))=TRUE,0,VLOOKUP(B198,'WBV 3'!$F$3:$G$34,2,FALSE)),IF(ISNA(VLOOKUP(B198,'WBV 3'!$J$3:$K$34,2,FALSE))=TRUE,0,VLOOKUP(B198,'WBV 3'!$J$3:$K$34,2,FALSE)),IF(ISNA(VLOOKUP(B198,'WBV 3'!$N$3:$O$34,2,FALSE))=TRUE,0,VLOOKUP(B198,'WBV 3'!$N$3:$O$34,2,FALSE)))</f>
        <v>0</v>
      </c>
      <c r="K198" s="15">
        <f>MAX(IF(ISNA(VLOOKUP(B198,'WBV 4'!$B$3:$C$34,2,FALSE))=TRUE,0,VLOOKUP(B198,'WBV 4'!$B$3:$C$34,2,FALSE)),IF(ISNA(VLOOKUP(B198,'WBV 4'!$F$3:$G$34,2,FALSE))=TRUE,0,VLOOKUP(B198,'WBV 4'!$F$3:$G$34,2,FALSE)),IF(ISNA(VLOOKUP(B198,'WBV 4'!$J$3:$K$34,2,FALSE))=TRUE,0,VLOOKUP(B198,'WBV 4'!$J$3:$K$34,2,FALSE)),IF(ISNA(VLOOKUP(B198,'WBV 4'!$N$3:$O$34,2,FALSE))=TRUE,0,VLOOKUP(B198,'WBV 4'!$N$3:$O$34,2,FALSE)))</f>
        <v>0</v>
      </c>
      <c r="L198" s="19">
        <f>MAX(IF(ISNA(VLOOKUP(B198,'NÖBV 1'!$B$3:$C$34,2,FALSE))=TRUE,0,VLOOKUP(B198,'NÖBV 1'!$B$3:$C$34,2,FALSE)),IF(ISNA(VLOOKUP(B198,'NÖBV 1'!$F$3:$G$34,2,FALSE))=TRUE,0,VLOOKUP(B198,'NÖBV 1'!$F$3:$G$34,2,FALSE)),IF(ISNA(VLOOKUP(B198,'NÖBV 1'!$J$3:$K$34,2,FALSE))=TRUE,0,VLOOKUP(B198,'NÖBV 1'!$J$3:$K$34,2,FALSE)),IF(ISNA(VLOOKUP(B198,'NÖBV 1'!$N$3:$O$34,2,FALSE))=TRUE,0,VLOOKUP(B198,'NÖBV 1'!$N$3:$O$34,2,FALSE)))</f>
        <v>0</v>
      </c>
      <c r="M198" s="19">
        <f>MAX(IF(ISNA(VLOOKUP(B198,'NÖBV 2'!$B$3:$C$34,2,FALSE))=TRUE,0,VLOOKUP(B198,'NÖBV 2'!$B$3:$C$34,2,FALSE)),IF(ISNA(VLOOKUP(B198,'NÖBV 2'!$F$3:$G$34,2,FALSE))=TRUE,0,VLOOKUP(B198,'NÖBV 2'!$F$3:$G$34,2,FALSE)),IF(ISNA(VLOOKUP(B198,'NÖBV 2'!$J$3:$K$34,2,FALSE))=TRUE,0,VLOOKUP(B198,'NÖBV 2'!$J$3:$K$34,2,FALSE)),IF(ISNA(VLOOKUP(B198,'NÖBV 2'!$N$3:$O$34,2,FALSE))=TRUE,0,VLOOKUP(B198,'NÖBV 2'!$N$3:$O$34,2,FALSE)))</f>
        <v>0</v>
      </c>
      <c r="N198" s="19">
        <f>MAX(IF(ISNA(VLOOKUP(B198,'NÖBV 3'!$B$3:$C$34,2,FALSE))=TRUE,0,VLOOKUP(B198,'NÖBV 3'!$B$3:$C$34,2,FALSE)),IF(ISNA(VLOOKUP(B198,'NÖBV 3'!$F$3:$G$34,2,FALSE))=TRUE,0,VLOOKUP(B198,'NÖBV 3'!$F$3:$G$34,2,FALSE)),IF(ISNA(VLOOKUP(B198,'NÖBV 3'!$J$3:$K$34,2,FALSE))=TRUE,0,VLOOKUP(B198,'NÖBV 3'!$J$3:$K$34,2,FALSE)),IF(ISNA(VLOOKUP(B198,'NÖBV 3'!$N$3:$O$34,2,FALSE))=TRUE,0,VLOOKUP(B198,'NÖBV 3'!$N$3:$O$34,2,FALSE)))</f>
        <v>0</v>
      </c>
      <c r="O198" s="15">
        <f>MAX(IF(ISNA(VLOOKUP(B198,'Regioturnier 1'!$B$3:$C$34,2,FALSE))=TRUE,0,VLOOKUP(B198,'Regioturnier 1'!$B$3:$C$34,2,FALSE)),IF(ISNA(VLOOKUP(B198,'Regioturnier 1'!$F$3:$G$34,2,FALSE))=TRUE,0,VLOOKUP(B198,'Regioturnier 1'!$F$3:$G$34,2,FALSE)),IF(ISNA(VLOOKUP(B198,'Regioturnier 1'!$J$3:$K$34,2,FALSE))=TRUE,0,VLOOKUP(B198,'Regioturnier 1'!$J$3:$K$34,2,FALSE)),IF(ISNA(VLOOKUP(B198,'Regioturnier 1'!$N$3:$O$34,2,FALSE))=TRUE,0,VLOOKUP(B198,'Regioturnier 1'!$N$3:$O$34,2,FALSE)),IF(ISNA(VLOOKUP(B198,'Regioturnier 1'!$R$3:$S$34,2,FALSE))=TRUE,0,VLOOKUP(B198,'Regioturnier 1'!$R$3:$S$34,2,FALSE)), IF(ISNA(VLOOKUP(B198,'Regioturnier 1'!$V$3:$W$34,2,FALSE))=TRUE,0,VLOOKUP(B198,'Regioturnier 1'!$V$3:$W$34,2,FALSE)), IF(ISNA(VLOOKUP(B198,'Regioturnier 1'!$Z$3:$AA$34,2,FALSE))=TRUE,0,VLOOKUP(B198,'Regioturnier 1'!$Z$3:$AA$34,2,FALSE)))</f>
        <v>0</v>
      </c>
      <c r="P198" s="15">
        <f>MAX(IF(ISNA(VLOOKUP(B198,'Regioturnier 2'!$B$3:$C$34,2,FALSE))=TRUE,0,VLOOKUP(B198,'Regioturnier 2'!$B$3:$C$34,2,FALSE)),IF(ISNA(VLOOKUP(B198,'Regioturnier 2'!$F$3:$G$34,2,FALSE))=TRUE,0,VLOOKUP(B198,'Regioturnier 2'!$F$3:$G$34,2,FALSE)),IF(ISNA(VLOOKUP(B198,'Regioturnier 2'!$J$3:$K$34,2,FALSE))=TRUE,0,VLOOKUP(B198,'Regioturnier 2'!$J$3:$K$34,2,FALSE)),IF(ISNA(VLOOKUP(B198,'Regioturnier 2'!$N$3:$O$34,2,FALSE))=TRUE,0,VLOOKUP(B198,'Regioturnier 2'!$N$3:$O$34,2,FALSE)),IF(ISNA(VLOOKUP(B198,'Regioturnier 2'!$R$3:$S$34,2,FALSE))=TRUE,0,VLOOKUP(B198,'Regioturnier 2'!$R$3:$S$34,2,FALSE)), IF(ISNA(VLOOKUP(B198,'Regioturnier 2'!$V$3:$W$34,2,FALSE))=TRUE,0,VLOOKUP(B198,'Regioturnier 2'!$V$3:$W$34,2,FALSE)), IF(ISNA(VLOOKUP(B198,'Regioturnier 2'!$Z$3:$AA$34,2,FALSE))=TRUE,0,VLOOKUP(B198,'Regioturnier 2'!$Z$3:$AA$34,2,FALSE)))</f>
        <v>0</v>
      </c>
      <c r="Q198" s="15">
        <f>MAX(IF(ISNA(VLOOKUP(B198,'Regioturnier 3'!$B$3:$C$34,2,FALSE))=TRUE,0,VLOOKUP(B198,'Regioturnier 3'!$B$3:$C$34,2,FALSE)),IF(ISNA(VLOOKUP(B198,'Regioturnier 3'!$F$3:$G$34,2,FALSE))=TRUE,0,VLOOKUP(B198,'Regioturnier 3'!$F$3:$G$34,2,FALSE)),IF(ISNA(VLOOKUP(B198,'Regioturnier 3'!$J$3:$K$34,2,FALSE))=TRUE,0,VLOOKUP(B198,'Regioturnier 3'!$J$3:$K$34,2,FALSE)),IF(ISNA(VLOOKUP(B198,'Regioturnier 3'!$N$3:$O$34,2,FALSE))=TRUE,0,VLOOKUP(B198,'Regioturnier 3'!$N$3:$O$34,2,FALSE)),IF(ISNA(VLOOKUP(B198,'Regioturnier 3'!$R$3:$S$34,2,FALSE))=TRUE,0,VLOOKUP(B198,'Regioturnier 3'!$R$3:$S$34,2,FALSE)), IF(ISNA(VLOOKUP(B198,'Regioturnier 3'!$V$3:$W$34,2,FALSE))=TRUE,0,VLOOKUP(B198,'Regioturnier 3'!$V$3:$W$34,2,FALSE)), IF(ISNA(VLOOKUP(B198,'Regioturnier 3'!$Z$3:$AA$34,2,FALSE))=TRUE,0,VLOOKUP(B198,'Regioturnier 3'!$Z$3:$AA$34,2,FALSE)))</f>
        <v>0</v>
      </c>
      <c r="R198" s="20">
        <f>0.5*INDEX($H198:$N198,MATCH(LARGE($H198:$N198,1),$H198:$N198,0))+0.3*INDEX($H198:$N198,MATCH(LARGE($H198:$N198,2),$H198:$N198,0))+0.2*INDEX($H198:$N198,MATCH(LARGE($H198:$N198,3),$H198:$N198,0))</f>
        <v>0</v>
      </c>
      <c r="S198" s="20">
        <f>0.6*INDEX(O198:Q198,MATCH(LARGE(O198:Q198,1),O198:Q198,0))+0.4*INDEX(O198:Q198,MATCH(LARGE(O198:Q198,2),O198:Q198,0))+0*INDEX(O198:Q198,MATCH(LARGE(O198:Q198,3),O198:Q198,0))</f>
        <v>0</v>
      </c>
      <c r="T198" s="15">
        <f>1*INDEX(R198:S198,MATCH(LARGE(R198:S198,1),R198:S198,0))+0*INDEX(R198:S198,MATCH(LARGE(R198:S198,2),R198:S198,0))</f>
        <v>0</v>
      </c>
      <c r="U198" s="21"/>
      <c r="V198" s="21"/>
      <c r="W198" s="21"/>
      <c r="X198" s="21"/>
      <c r="Y198" s="21"/>
      <c r="Z198" s="21"/>
    </row>
    <row r="199" spans="1:26" ht="12.75" customHeight="1" x14ac:dyDescent="0.3">
      <c r="A199" s="15">
        <v>198</v>
      </c>
      <c r="B199" s="16" t="s">
        <v>81</v>
      </c>
      <c r="C199" s="17" t="s">
        <v>31</v>
      </c>
      <c r="D199" s="15" t="s">
        <v>26</v>
      </c>
      <c r="E199" s="18" t="s">
        <v>23</v>
      </c>
      <c r="F199" s="15">
        <v>17828</v>
      </c>
      <c r="G199" s="22">
        <v>2008</v>
      </c>
      <c r="H199" s="15">
        <f>MAX(IF(ISNA(VLOOKUP(B199,'WBV 1'!$B$3:$C$34,2,FALSE))=TRUE,0,VLOOKUP(B199,'WBV 1'!$B$3:$C$34,2,FALSE)),IF(ISNA(VLOOKUP(B199,'WBV 1'!$F$3:$G$34,2,FALSE))=TRUE,0,VLOOKUP(B199,'WBV 1'!$F$3:$G$34,2,FALSE)),IF(ISNA(VLOOKUP(B199,'WBV 1'!$J$3:$K$34,2,FALSE))=TRUE,0,VLOOKUP(B199,'WBV 1'!$J$3:$K$34,2,FALSE)),IF(ISNA(VLOOKUP(B199,'WBV 1'!$N$3:$O$34,2,FALSE))=TRUE,0,VLOOKUP(B199,'WBV 1'!$N$3:$O$34,2,FALSE)))</f>
        <v>0</v>
      </c>
      <c r="I199" s="15">
        <f>MAX(IF(ISNA(VLOOKUP(B199,'WBV 2'!$B$3:$C$34,2,FALSE))=TRUE,0,VLOOKUP(B199,'WBV 2'!$B$3:$C$34,2,FALSE)),IF(ISNA(VLOOKUP(B199,'WBV 2'!$F$3:$G$34,2,FALSE))=TRUE,0,VLOOKUP(B199,'WBV 2'!$F$3:$G$34,2,FALSE)),IF(ISNA(VLOOKUP(B199,'WBV 2'!$J$3:$K$34,2,FALSE))=TRUE,0,VLOOKUP(B199,'WBV 2'!$J$3:$K$34,2,FALSE)),IF(ISNA(VLOOKUP(B199,'WBV 2'!$N$3:$O$34,2,FALSE))=TRUE,0,VLOOKUP(B199,'WBV 2'!$N$3:$O$34,2,FALSE)))</f>
        <v>0</v>
      </c>
      <c r="J199" s="15">
        <f>MAX(IF(ISNA(VLOOKUP(B199,'WBV 3'!$B$3:$C$34,2,FALSE))=TRUE,0,VLOOKUP(B199,'WBV 3'!$B$3:$C$34,2,FALSE)),IF(ISNA(VLOOKUP(B199,'WBV 3'!$F$3:$G$34,2,FALSE))=TRUE,0,VLOOKUP(B199,'WBV 3'!$F$3:$G$34,2,FALSE)),IF(ISNA(VLOOKUP(B199,'WBV 3'!$J$3:$K$34,2,FALSE))=TRUE,0,VLOOKUP(B199,'WBV 3'!$J$3:$K$34,2,FALSE)),IF(ISNA(VLOOKUP(B199,'WBV 3'!$N$3:$O$34,2,FALSE))=TRUE,0,VLOOKUP(B199,'WBV 3'!$N$3:$O$34,2,FALSE)))</f>
        <v>0</v>
      </c>
      <c r="K199" s="15">
        <f>MAX(IF(ISNA(VLOOKUP(B199,'WBV 4'!$B$3:$C$34,2,FALSE))=TRUE,0,VLOOKUP(B199,'WBV 4'!$B$3:$C$34,2,FALSE)),IF(ISNA(VLOOKUP(B199,'WBV 4'!$F$3:$G$34,2,FALSE))=TRUE,0,VLOOKUP(B199,'WBV 4'!$F$3:$G$34,2,FALSE)),IF(ISNA(VLOOKUP(B199,'WBV 4'!$J$3:$K$34,2,FALSE))=TRUE,0,VLOOKUP(B199,'WBV 4'!$J$3:$K$34,2,FALSE)),IF(ISNA(VLOOKUP(B199,'WBV 4'!$N$3:$O$34,2,FALSE))=TRUE,0,VLOOKUP(B199,'WBV 4'!$N$3:$O$34,2,FALSE)))</f>
        <v>0</v>
      </c>
      <c r="L199" s="19">
        <f>MAX(IF(ISNA(VLOOKUP(B199,'NÖBV 1'!$B$3:$C$34,2,FALSE))=TRUE,0,VLOOKUP(B199,'NÖBV 1'!$B$3:$C$34,2,FALSE)),IF(ISNA(VLOOKUP(B199,'NÖBV 1'!$F$3:$G$34,2,FALSE))=TRUE,0,VLOOKUP(B199,'NÖBV 1'!$F$3:$G$34,2,FALSE)),IF(ISNA(VLOOKUP(B199,'NÖBV 1'!$J$3:$K$34,2,FALSE))=TRUE,0,VLOOKUP(B199,'NÖBV 1'!$J$3:$K$34,2,FALSE)),IF(ISNA(VLOOKUP(B199,'NÖBV 1'!$N$3:$O$34,2,FALSE))=TRUE,0,VLOOKUP(B199,'NÖBV 1'!$N$3:$O$34,2,FALSE)))</f>
        <v>0</v>
      </c>
      <c r="M199" s="19">
        <f>MAX(IF(ISNA(VLOOKUP(B199,'NÖBV 2'!$B$3:$C$34,2,FALSE))=TRUE,0,VLOOKUP(B199,'NÖBV 2'!$B$3:$C$34,2,FALSE)),IF(ISNA(VLOOKUP(B199,'NÖBV 2'!$F$3:$G$34,2,FALSE))=TRUE,0,VLOOKUP(B199,'NÖBV 2'!$F$3:$G$34,2,FALSE)),IF(ISNA(VLOOKUP(B199,'NÖBV 2'!$J$3:$K$34,2,FALSE))=TRUE,0,VLOOKUP(B199,'NÖBV 2'!$J$3:$K$34,2,FALSE)),IF(ISNA(VLOOKUP(B199,'NÖBV 2'!$N$3:$O$34,2,FALSE))=TRUE,0,VLOOKUP(B199,'NÖBV 2'!$N$3:$O$34,2,FALSE)))</f>
        <v>0</v>
      </c>
      <c r="N199" s="19">
        <f>MAX(IF(ISNA(VLOOKUP(B199,'NÖBV 3'!$B$3:$C$34,2,FALSE))=TRUE,0,VLOOKUP(B199,'NÖBV 3'!$B$3:$C$34,2,FALSE)),IF(ISNA(VLOOKUP(B199,'NÖBV 3'!$F$3:$G$34,2,FALSE))=TRUE,0,VLOOKUP(B199,'NÖBV 3'!$F$3:$G$34,2,FALSE)),IF(ISNA(VLOOKUP(B199,'NÖBV 3'!$J$3:$K$34,2,FALSE))=TRUE,0,VLOOKUP(B199,'NÖBV 3'!$J$3:$K$34,2,FALSE)),IF(ISNA(VLOOKUP(B199,'NÖBV 3'!$N$3:$O$34,2,FALSE))=TRUE,0,VLOOKUP(B199,'NÖBV 3'!$N$3:$O$34,2,FALSE)))</f>
        <v>0</v>
      </c>
      <c r="O199" s="15">
        <f>MAX(IF(ISNA(VLOOKUP(B199,'Regioturnier 1'!$B$3:$C$34,2,FALSE))=TRUE,0,VLOOKUP(B199,'Regioturnier 1'!$B$3:$C$34,2,FALSE)),IF(ISNA(VLOOKUP(B199,'Regioturnier 1'!$F$3:$G$34,2,FALSE))=TRUE,0,VLOOKUP(B199,'Regioturnier 1'!$F$3:$G$34,2,FALSE)),IF(ISNA(VLOOKUP(B199,'Regioturnier 1'!$J$3:$K$34,2,FALSE))=TRUE,0,VLOOKUP(B199,'Regioturnier 1'!$J$3:$K$34,2,FALSE)),IF(ISNA(VLOOKUP(B199,'Regioturnier 1'!$N$3:$O$34,2,FALSE))=TRUE,0,VLOOKUP(B199,'Regioturnier 1'!$N$3:$O$34,2,FALSE)),IF(ISNA(VLOOKUP(B199,'Regioturnier 1'!$R$3:$S$34,2,FALSE))=TRUE,0,VLOOKUP(B199,'Regioturnier 1'!$R$3:$S$34,2,FALSE)), IF(ISNA(VLOOKUP(B199,'Regioturnier 1'!$V$3:$W$34,2,FALSE))=TRUE,0,VLOOKUP(B199,'Regioturnier 1'!$V$3:$W$34,2,FALSE)), IF(ISNA(VLOOKUP(B199,'Regioturnier 1'!$Z$3:$AA$34,2,FALSE))=TRUE,0,VLOOKUP(B199,'Regioturnier 1'!$Z$3:$AA$34,2,FALSE)))</f>
        <v>0</v>
      </c>
      <c r="P199" s="15">
        <f>MAX(IF(ISNA(VLOOKUP(B199,'Regioturnier 2'!$B$3:$C$34,2,FALSE))=TRUE,0,VLOOKUP(B199,'Regioturnier 2'!$B$3:$C$34,2,FALSE)),IF(ISNA(VLOOKUP(B199,'Regioturnier 2'!$F$3:$G$34,2,FALSE))=TRUE,0,VLOOKUP(B199,'Regioturnier 2'!$F$3:$G$34,2,FALSE)),IF(ISNA(VLOOKUP(B199,'Regioturnier 2'!$J$3:$K$34,2,FALSE))=TRUE,0,VLOOKUP(B199,'Regioturnier 2'!$J$3:$K$34,2,FALSE)),IF(ISNA(VLOOKUP(B199,'Regioturnier 2'!$N$3:$O$34,2,FALSE))=TRUE,0,VLOOKUP(B199,'Regioturnier 2'!$N$3:$O$34,2,FALSE)),IF(ISNA(VLOOKUP(B199,'Regioturnier 2'!$R$3:$S$34,2,FALSE))=TRUE,0,VLOOKUP(B199,'Regioturnier 2'!$R$3:$S$34,2,FALSE)), IF(ISNA(VLOOKUP(B199,'Regioturnier 2'!$V$3:$W$34,2,FALSE))=TRUE,0,VLOOKUP(B199,'Regioturnier 2'!$V$3:$W$34,2,FALSE)), IF(ISNA(VLOOKUP(B199,'Regioturnier 2'!$Z$3:$AA$34,2,FALSE))=TRUE,0,VLOOKUP(B199,'Regioturnier 2'!$Z$3:$AA$34,2,FALSE)))</f>
        <v>0</v>
      </c>
      <c r="Q199" s="15">
        <f>MAX(IF(ISNA(VLOOKUP(B199,'Regioturnier 3'!$B$3:$C$34,2,FALSE))=TRUE,0,VLOOKUP(B199,'Regioturnier 3'!$B$3:$C$34,2,FALSE)),IF(ISNA(VLOOKUP(B199,'Regioturnier 3'!$F$3:$G$34,2,FALSE))=TRUE,0,VLOOKUP(B199,'Regioturnier 3'!$F$3:$G$34,2,FALSE)),IF(ISNA(VLOOKUP(B199,'Regioturnier 3'!$J$3:$K$34,2,FALSE))=TRUE,0,VLOOKUP(B199,'Regioturnier 3'!$J$3:$K$34,2,FALSE)),IF(ISNA(VLOOKUP(B199,'Regioturnier 3'!$N$3:$O$34,2,FALSE))=TRUE,0,VLOOKUP(B199,'Regioturnier 3'!$N$3:$O$34,2,FALSE)),IF(ISNA(VLOOKUP(B199,'Regioturnier 3'!$R$3:$S$34,2,FALSE))=TRUE,0,VLOOKUP(B199,'Regioturnier 3'!$R$3:$S$34,2,FALSE)), IF(ISNA(VLOOKUP(B199,'Regioturnier 3'!$V$3:$W$34,2,FALSE))=TRUE,0,VLOOKUP(B199,'Regioturnier 3'!$V$3:$W$34,2,FALSE)), IF(ISNA(VLOOKUP(B199,'Regioturnier 3'!$Z$3:$AA$34,2,FALSE))=TRUE,0,VLOOKUP(B199,'Regioturnier 3'!$Z$3:$AA$34,2,FALSE)))</f>
        <v>0</v>
      </c>
      <c r="R199" s="20">
        <f>0.5*INDEX($H199:$N199,MATCH(LARGE($H199:$N199,1),$H199:$N199,0))+0.3*INDEX($H199:$N199,MATCH(LARGE($H199:$N199,2),$H199:$N199,0))+0.2*INDEX($H199:$N199,MATCH(LARGE($H199:$N199,3),$H199:$N199,0))</f>
        <v>0</v>
      </c>
      <c r="S199" s="20">
        <f>0.6*INDEX(O199:Q199,MATCH(LARGE(O199:Q199,1),O199:Q199,0))+0.4*INDEX(O199:Q199,MATCH(LARGE(O199:Q199,2),O199:Q199,0))+0*INDEX(O199:Q199,MATCH(LARGE(O199:Q199,3),O199:Q199,0))</f>
        <v>0</v>
      </c>
      <c r="T199" s="15">
        <f>1*INDEX(R199:S199,MATCH(LARGE(R199:S199,1),R199:S199,0))+0*INDEX(R199:S199,MATCH(LARGE(R199:S199,2),R199:S199,0))</f>
        <v>0</v>
      </c>
      <c r="U199" s="21"/>
      <c r="V199" s="21"/>
      <c r="W199" s="21"/>
      <c r="X199" s="21"/>
      <c r="Y199" s="21"/>
      <c r="Z199" s="21"/>
    </row>
    <row r="200" spans="1:26" ht="12.75" customHeight="1" x14ac:dyDescent="0.3">
      <c r="A200" s="15">
        <v>199</v>
      </c>
      <c r="B200" s="16" t="s">
        <v>51</v>
      </c>
      <c r="C200" s="109" t="s">
        <v>21</v>
      </c>
      <c r="D200" s="105" t="s">
        <v>22</v>
      </c>
      <c r="E200" s="18" t="s">
        <v>23</v>
      </c>
      <c r="F200" s="15">
        <v>109610</v>
      </c>
      <c r="G200" s="22">
        <v>2012</v>
      </c>
      <c r="H200" s="15">
        <f>MAX(IF(ISNA(VLOOKUP(B200,'WBV 1'!$B$3:$C$34,2,FALSE))=TRUE,0,VLOOKUP(B200,'WBV 1'!$B$3:$C$34,2,FALSE)),IF(ISNA(VLOOKUP(B200,'WBV 1'!$F$3:$G$34,2,FALSE))=TRUE,0,VLOOKUP(B200,'WBV 1'!$F$3:$G$34,2,FALSE)),IF(ISNA(VLOOKUP(B200,'WBV 1'!$J$3:$K$34,2,FALSE))=TRUE,0,VLOOKUP(B200,'WBV 1'!$J$3:$K$34,2,FALSE)),IF(ISNA(VLOOKUP(B200,'WBV 1'!$N$3:$O$34,2,FALSE))=TRUE,0,VLOOKUP(B200,'WBV 1'!$N$3:$O$34,2,FALSE)))</f>
        <v>0</v>
      </c>
      <c r="I200" s="15">
        <f>MAX(IF(ISNA(VLOOKUP(B200,'WBV 2'!$B$3:$C$34,2,FALSE))=TRUE,0,VLOOKUP(B200,'WBV 2'!$B$3:$C$34,2,FALSE)),IF(ISNA(VLOOKUP(B200,'WBV 2'!$F$3:$G$34,2,FALSE))=TRUE,0,VLOOKUP(B200,'WBV 2'!$F$3:$G$34,2,FALSE)),IF(ISNA(VLOOKUP(B200,'WBV 2'!$J$3:$K$34,2,FALSE))=TRUE,0,VLOOKUP(B200,'WBV 2'!$J$3:$K$34,2,FALSE)),IF(ISNA(VLOOKUP(B200,'WBV 2'!$N$3:$O$34,2,FALSE))=TRUE,0,VLOOKUP(B200,'WBV 2'!$N$3:$O$34,2,FALSE)))</f>
        <v>0</v>
      </c>
      <c r="J200" s="15">
        <f>MAX(IF(ISNA(VLOOKUP(B200,'WBV 3'!$B$3:$C$34,2,FALSE))=TRUE,0,VLOOKUP(B200,'WBV 3'!$B$3:$C$34,2,FALSE)),IF(ISNA(VLOOKUP(B200,'WBV 3'!$F$3:$G$34,2,FALSE))=TRUE,0,VLOOKUP(B200,'WBV 3'!$F$3:$G$34,2,FALSE)),IF(ISNA(VLOOKUP(B200,'WBV 3'!$J$3:$K$34,2,FALSE))=TRUE,0,VLOOKUP(B200,'WBV 3'!$J$3:$K$34,2,FALSE)),IF(ISNA(VLOOKUP(B200,'WBV 3'!$N$3:$O$34,2,FALSE))=TRUE,0,VLOOKUP(B200,'WBV 3'!$N$3:$O$34,2,FALSE)))</f>
        <v>0</v>
      </c>
      <c r="K200" s="15">
        <f>MAX(IF(ISNA(VLOOKUP(B200,'WBV 4'!$B$3:$C$34,2,FALSE))=TRUE,0,VLOOKUP(B200,'WBV 4'!$B$3:$C$34,2,FALSE)),IF(ISNA(VLOOKUP(B200,'WBV 4'!$F$3:$G$34,2,FALSE))=TRUE,0,VLOOKUP(B200,'WBV 4'!$F$3:$G$34,2,FALSE)),IF(ISNA(VLOOKUP(B200,'WBV 4'!$J$3:$K$34,2,FALSE))=TRUE,0,VLOOKUP(B200,'WBV 4'!$J$3:$K$34,2,FALSE)),IF(ISNA(VLOOKUP(B200,'WBV 4'!$N$3:$O$34,2,FALSE))=TRUE,0,VLOOKUP(B200,'WBV 4'!$N$3:$O$34,2,FALSE)))</f>
        <v>0</v>
      </c>
      <c r="L200" s="19">
        <f>MAX(IF(ISNA(VLOOKUP(B200,'NÖBV 1'!$B$3:$C$34,2,FALSE))=TRUE,0,VLOOKUP(B200,'NÖBV 1'!$B$3:$C$34,2,FALSE)),IF(ISNA(VLOOKUP(B200,'NÖBV 1'!$F$3:$G$34,2,FALSE))=TRUE,0,VLOOKUP(B200,'NÖBV 1'!$F$3:$G$34,2,FALSE)),IF(ISNA(VLOOKUP(B200,'NÖBV 1'!$J$3:$K$34,2,FALSE))=TRUE,0,VLOOKUP(B200,'NÖBV 1'!$J$3:$K$34,2,FALSE)),IF(ISNA(VLOOKUP(B200,'NÖBV 1'!$N$3:$O$34,2,FALSE))=TRUE,0,VLOOKUP(B200,'NÖBV 1'!$N$3:$O$34,2,FALSE)))</f>
        <v>0</v>
      </c>
      <c r="M200" s="19">
        <f>MAX(IF(ISNA(VLOOKUP(B200,'NÖBV 2'!$B$3:$C$34,2,FALSE))=TRUE,0,VLOOKUP(B200,'NÖBV 2'!$B$3:$C$34,2,FALSE)),IF(ISNA(VLOOKUP(B200,'NÖBV 2'!$F$3:$G$34,2,FALSE))=TRUE,0,VLOOKUP(B200,'NÖBV 2'!$F$3:$G$34,2,FALSE)),IF(ISNA(VLOOKUP(B200,'NÖBV 2'!$J$3:$K$34,2,FALSE))=TRUE,0,VLOOKUP(B200,'NÖBV 2'!$J$3:$K$34,2,FALSE)),IF(ISNA(VLOOKUP(B200,'NÖBV 2'!$N$3:$O$34,2,FALSE))=TRUE,0,VLOOKUP(B200,'NÖBV 2'!$N$3:$O$34,2,FALSE)))</f>
        <v>0</v>
      </c>
      <c r="N200" s="19">
        <f>MAX(IF(ISNA(VLOOKUP(B200,'NÖBV 3'!$B$3:$C$34,2,FALSE))=TRUE,0,VLOOKUP(B200,'NÖBV 3'!$B$3:$C$34,2,FALSE)),IF(ISNA(VLOOKUP(B200,'NÖBV 3'!$F$3:$G$34,2,FALSE))=TRUE,0,VLOOKUP(B200,'NÖBV 3'!$F$3:$G$34,2,FALSE)),IF(ISNA(VLOOKUP(B200,'NÖBV 3'!$J$3:$K$34,2,FALSE))=TRUE,0,VLOOKUP(B200,'NÖBV 3'!$J$3:$K$34,2,FALSE)),IF(ISNA(VLOOKUP(B200,'NÖBV 3'!$N$3:$O$34,2,FALSE))=TRUE,0,VLOOKUP(B200,'NÖBV 3'!$N$3:$O$34,2,FALSE)))</f>
        <v>0</v>
      </c>
      <c r="O200" s="15">
        <f>MAX(IF(ISNA(VLOOKUP(B200,'Regioturnier 1'!$B$3:$C$34,2,FALSE))=TRUE,0,VLOOKUP(B200,'Regioturnier 1'!$B$3:$C$34,2,FALSE)),IF(ISNA(VLOOKUP(B200,'Regioturnier 1'!$F$3:$G$34,2,FALSE))=TRUE,0,VLOOKUP(B200,'Regioturnier 1'!$F$3:$G$34,2,FALSE)),IF(ISNA(VLOOKUP(B200,'Regioturnier 1'!$J$3:$K$34,2,FALSE))=TRUE,0,VLOOKUP(B200,'Regioturnier 1'!$J$3:$K$34,2,FALSE)),IF(ISNA(VLOOKUP(B200,'Regioturnier 1'!$N$3:$O$34,2,FALSE))=TRUE,0,VLOOKUP(B200,'Regioturnier 1'!$N$3:$O$34,2,FALSE)),IF(ISNA(VLOOKUP(B200,'Regioturnier 1'!$R$3:$S$34,2,FALSE))=TRUE,0,VLOOKUP(B200,'Regioturnier 1'!$R$3:$S$34,2,FALSE)), IF(ISNA(VLOOKUP(B200,'Regioturnier 1'!$V$3:$W$34,2,FALSE))=TRUE,0,VLOOKUP(B200,'Regioturnier 1'!$V$3:$W$34,2,FALSE)), IF(ISNA(VLOOKUP(B200,'Regioturnier 1'!$Z$3:$AA$34,2,FALSE))=TRUE,0,VLOOKUP(B200,'Regioturnier 1'!$Z$3:$AA$34,2,FALSE)))</f>
        <v>0</v>
      </c>
      <c r="P200" s="15">
        <f>MAX(IF(ISNA(VLOOKUP(B200,'Regioturnier 2'!$B$3:$C$34,2,FALSE))=TRUE,0,VLOOKUP(B200,'Regioturnier 2'!$B$3:$C$34,2,FALSE)),IF(ISNA(VLOOKUP(B200,'Regioturnier 2'!$F$3:$G$34,2,FALSE))=TRUE,0,VLOOKUP(B200,'Regioturnier 2'!$F$3:$G$34,2,FALSE)),IF(ISNA(VLOOKUP(B200,'Regioturnier 2'!$J$3:$K$34,2,FALSE))=TRUE,0,VLOOKUP(B200,'Regioturnier 2'!$J$3:$K$34,2,FALSE)),IF(ISNA(VLOOKUP(B200,'Regioturnier 2'!$N$3:$O$34,2,FALSE))=TRUE,0,VLOOKUP(B200,'Regioturnier 2'!$N$3:$O$34,2,FALSE)),IF(ISNA(VLOOKUP(B200,'Regioturnier 2'!$R$3:$S$34,2,FALSE))=TRUE,0,VLOOKUP(B200,'Regioturnier 2'!$R$3:$S$34,2,FALSE)), IF(ISNA(VLOOKUP(B200,'Regioturnier 2'!$V$3:$W$34,2,FALSE))=TRUE,0,VLOOKUP(B200,'Regioturnier 2'!$V$3:$W$34,2,FALSE)), IF(ISNA(VLOOKUP(B200,'Regioturnier 2'!$Z$3:$AA$34,2,FALSE))=TRUE,0,VLOOKUP(B200,'Regioturnier 2'!$Z$3:$AA$34,2,FALSE)))</f>
        <v>0</v>
      </c>
      <c r="Q200" s="15">
        <f>MAX(IF(ISNA(VLOOKUP(B200,'Regioturnier 3'!$B$3:$C$34,2,FALSE))=TRUE,0,VLOOKUP(B200,'Regioturnier 3'!$B$3:$C$34,2,FALSE)),IF(ISNA(VLOOKUP(B200,'Regioturnier 3'!$F$3:$G$34,2,FALSE))=TRUE,0,VLOOKUP(B200,'Regioturnier 3'!$F$3:$G$34,2,FALSE)),IF(ISNA(VLOOKUP(B200,'Regioturnier 3'!$J$3:$K$34,2,FALSE))=TRUE,0,VLOOKUP(B200,'Regioturnier 3'!$J$3:$K$34,2,FALSE)),IF(ISNA(VLOOKUP(B200,'Regioturnier 3'!$N$3:$O$34,2,FALSE))=TRUE,0,VLOOKUP(B200,'Regioturnier 3'!$N$3:$O$34,2,FALSE)),IF(ISNA(VLOOKUP(B200,'Regioturnier 3'!$R$3:$S$34,2,FALSE))=TRUE,0,VLOOKUP(B200,'Regioturnier 3'!$R$3:$S$34,2,FALSE)), IF(ISNA(VLOOKUP(B200,'Regioturnier 3'!$V$3:$W$34,2,FALSE))=TRUE,0,VLOOKUP(B200,'Regioturnier 3'!$V$3:$W$34,2,FALSE)), IF(ISNA(VLOOKUP(B200,'Regioturnier 3'!$Z$3:$AA$34,2,FALSE))=TRUE,0,VLOOKUP(B200,'Regioturnier 3'!$Z$3:$AA$34,2,FALSE)))</f>
        <v>0</v>
      </c>
      <c r="R200" s="20">
        <f>0.5*INDEX($H200:$N200,MATCH(LARGE($H200:$N200,1),$H200:$N200,0))+0.3*INDEX($H200:$N200,MATCH(LARGE($H200:$N200,2),$H200:$N200,0))+0.2*INDEX($H200:$N200,MATCH(LARGE($H200:$N200,3),$H200:$N200,0))</f>
        <v>0</v>
      </c>
      <c r="S200" s="20">
        <f>0.6*INDEX(O200:Q200,MATCH(LARGE(O200:Q200,1),O200:Q200,0))+0.4*INDEX(O200:Q200,MATCH(LARGE(O200:Q200,2),O200:Q200,0))+0*INDEX(O200:Q200,MATCH(LARGE(O200:Q200,3),O200:Q200,0))</f>
        <v>0</v>
      </c>
      <c r="T200" s="15">
        <f>1*INDEX(R200:S200,MATCH(LARGE(R200:S200,1),R200:S200,0))+0*INDEX(R200:S200,MATCH(LARGE(R200:S200,2),R200:S200,0))</f>
        <v>0</v>
      </c>
      <c r="U200" s="21"/>
      <c r="V200" s="21"/>
      <c r="W200" s="21"/>
      <c r="X200" s="21"/>
      <c r="Y200" s="21"/>
      <c r="Z200" s="21"/>
    </row>
    <row r="201" spans="1:26" ht="12.75" customHeight="1" x14ac:dyDescent="0.3">
      <c r="A201" s="15">
        <v>200</v>
      </c>
      <c r="B201" s="16" t="s">
        <v>185</v>
      </c>
      <c r="C201" s="17" t="s">
        <v>43</v>
      </c>
      <c r="D201" s="15" t="s">
        <v>26</v>
      </c>
      <c r="E201" s="18" t="s">
        <v>23</v>
      </c>
      <c r="F201" s="15">
        <v>109508</v>
      </c>
      <c r="G201" s="22">
        <v>2009</v>
      </c>
      <c r="H201" s="15">
        <f>MAX(IF(ISNA(VLOOKUP(B201,'WBV 1'!$B$3:$C$34,2,FALSE))=TRUE,0,VLOOKUP(B201,'WBV 1'!$B$3:$C$34,2,FALSE)),IF(ISNA(VLOOKUP(B201,'WBV 1'!$F$3:$G$34,2,FALSE))=TRUE,0,VLOOKUP(B201,'WBV 1'!$F$3:$G$34,2,FALSE)),IF(ISNA(VLOOKUP(B201,'WBV 1'!$J$3:$K$34,2,FALSE))=TRUE,0,VLOOKUP(B201,'WBV 1'!$J$3:$K$34,2,FALSE)),IF(ISNA(VLOOKUP(B201,'WBV 1'!$N$3:$O$34,2,FALSE))=TRUE,0,VLOOKUP(B201,'WBV 1'!$N$3:$O$34,2,FALSE)))</f>
        <v>0</v>
      </c>
      <c r="I201" s="15">
        <f>MAX(IF(ISNA(VLOOKUP(B201,'WBV 2'!$B$3:$C$34,2,FALSE))=TRUE,0,VLOOKUP(B201,'WBV 2'!$B$3:$C$34,2,FALSE)),IF(ISNA(VLOOKUP(B201,'WBV 2'!$F$3:$G$34,2,FALSE))=TRUE,0,VLOOKUP(B201,'WBV 2'!$F$3:$G$34,2,FALSE)),IF(ISNA(VLOOKUP(B201,'WBV 2'!$J$3:$K$34,2,FALSE))=TRUE,0,VLOOKUP(B201,'WBV 2'!$J$3:$K$34,2,FALSE)),IF(ISNA(VLOOKUP(B201,'WBV 2'!$N$3:$O$34,2,FALSE))=TRUE,0,VLOOKUP(B201,'WBV 2'!$N$3:$O$34,2,FALSE)))</f>
        <v>0</v>
      </c>
      <c r="J201" s="15">
        <f>MAX(IF(ISNA(VLOOKUP(B201,'WBV 3'!$B$3:$C$34,2,FALSE))=TRUE,0,VLOOKUP(B201,'WBV 3'!$B$3:$C$34,2,FALSE)),IF(ISNA(VLOOKUP(B201,'WBV 3'!$F$3:$G$34,2,FALSE))=TRUE,0,VLOOKUP(B201,'WBV 3'!$F$3:$G$34,2,FALSE)),IF(ISNA(VLOOKUP(B201,'WBV 3'!$J$3:$K$34,2,FALSE))=TRUE,0,VLOOKUP(B201,'WBV 3'!$J$3:$K$34,2,FALSE)),IF(ISNA(VLOOKUP(B201,'WBV 3'!$N$3:$O$34,2,FALSE))=TRUE,0,VLOOKUP(B201,'WBV 3'!$N$3:$O$34,2,FALSE)))</f>
        <v>0</v>
      </c>
      <c r="K201" s="15">
        <f>MAX(IF(ISNA(VLOOKUP(B201,'WBV 4'!$B$3:$C$34,2,FALSE))=TRUE,0,VLOOKUP(B201,'WBV 4'!$B$3:$C$34,2,FALSE)),IF(ISNA(VLOOKUP(B201,'WBV 4'!$F$3:$G$34,2,FALSE))=TRUE,0,VLOOKUP(B201,'WBV 4'!$F$3:$G$34,2,FALSE)),IF(ISNA(VLOOKUP(B201,'WBV 4'!$J$3:$K$34,2,FALSE))=TRUE,0,VLOOKUP(B201,'WBV 4'!$J$3:$K$34,2,FALSE)),IF(ISNA(VLOOKUP(B201,'WBV 4'!$N$3:$O$34,2,FALSE))=TRUE,0,VLOOKUP(B201,'WBV 4'!$N$3:$O$34,2,FALSE)))</f>
        <v>0</v>
      </c>
      <c r="L201" s="19">
        <f>MAX(IF(ISNA(VLOOKUP(B201,'NÖBV 1'!$B$3:$C$34,2,FALSE))=TRUE,0,VLOOKUP(B201,'NÖBV 1'!$B$3:$C$34,2,FALSE)),IF(ISNA(VLOOKUP(B201,'NÖBV 1'!$F$3:$G$34,2,FALSE))=TRUE,0,VLOOKUP(B201,'NÖBV 1'!$F$3:$G$34,2,FALSE)),IF(ISNA(VLOOKUP(B201,'NÖBV 1'!$J$3:$K$34,2,FALSE))=TRUE,0,VLOOKUP(B201,'NÖBV 1'!$J$3:$K$34,2,FALSE)),IF(ISNA(VLOOKUP(B201,'NÖBV 1'!$N$3:$O$34,2,FALSE))=TRUE,0,VLOOKUP(B201,'NÖBV 1'!$N$3:$O$34,2,FALSE)))</f>
        <v>0</v>
      </c>
      <c r="M201" s="19">
        <f>MAX(IF(ISNA(VLOOKUP(B201,'NÖBV 2'!$B$3:$C$34,2,FALSE))=TRUE,0,VLOOKUP(B201,'NÖBV 2'!$B$3:$C$34,2,FALSE)),IF(ISNA(VLOOKUP(B201,'NÖBV 2'!$F$3:$G$34,2,FALSE))=TRUE,0,VLOOKUP(B201,'NÖBV 2'!$F$3:$G$34,2,FALSE)),IF(ISNA(VLOOKUP(B201,'NÖBV 2'!$J$3:$K$34,2,FALSE))=TRUE,0,VLOOKUP(B201,'NÖBV 2'!$J$3:$K$34,2,FALSE)),IF(ISNA(VLOOKUP(B201,'NÖBV 2'!$N$3:$O$34,2,FALSE))=TRUE,0,VLOOKUP(B201,'NÖBV 2'!$N$3:$O$34,2,FALSE)))</f>
        <v>0</v>
      </c>
      <c r="N201" s="19">
        <f>MAX(IF(ISNA(VLOOKUP(B201,'NÖBV 3'!$B$3:$C$34,2,FALSE))=TRUE,0,VLOOKUP(B201,'NÖBV 3'!$B$3:$C$34,2,FALSE)),IF(ISNA(VLOOKUP(B201,'NÖBV 3'!$F$3:$G$34,2,FALSE))=TRUE,0,VLOOKUP(B201,'NÖBV 3'!$F$3:$G$34,2,FALSE)),IF(ISNA(VLOOKUP(B201,'NÖBV 3'!$J$3:$K$34,2,FALSE))=TRUE,0,VLOOKUP(B201,'NÖBV 3'!$J$3:$K$34,2,FALSE)),IF(ISNA(VLOOKUP(B201,'NÖBV 3'!$N$3:$O$34,2,FALSE))=TRUE,0,VLOOKUP(B201,'NÖBV 3'!$N$3:$O$34,2,FALSE)))</f>
        <v>0</v>
      </c>
      <c r="O201" s="15">
        <f>MAX(IF(ISNA(VLOOKUP(B201,'Regioturnier 1'!$B$3:$C$34,2,FALSE))=TRUE,0,VLOOKUP(B201,'Regioturnier 1'!$B$3:$C$34,2,FALSE)),IF(ISNA(VLOOKUP(B201,'Regioturnier 1'!$F$3:$G$34,2,FALSE))=TRUE,0,VLOOKUP(B201,'Regioturnier 1'!$F$3:$G$34,2,FALSE)),IF(ISNA(VLOOKUP(B201,'Regioturnier 1'!$J$3:$K$34,2,FALSE))=TRUE,0,VLOOKUP(B201,'Regioturnier 1'!$J$3:$K$34,2,FALSE)),IF(ISNA(VLOOKUP(B201,'Regioturnier 1'!$N$3:$O$34,2,FALSE))=TRUE,0,VLOOKUP(B201,'Regioturnier 1'!$N$3:$O$34,2,FALSE)),IF(ISNA(VLOOKUP(B201,'Regioturnier 1'!$R$3:$S$34,2,FALSE))=TRUE,0,VLOOKUP(B201,'Regioturnier 1'!$R$3:$S$34,2,FALSE)), IF(ISNA(VLOOKUP(B201,'Regioturnier 1'!$V$3:$W$34,2,FALSE))=TRUE,0,VLOOKUP(B201,'Regioturnier 1'!$V$3:$W$34,2,FALSE)), IF(ISNA(VLOOKUP(B201,'Regioturnier 1'!$Z$3:$AA$34,2,FALSE))=TRUE,0,VLOOKUP(B201,'Regioturnier 1'!$Z$3:$AA$34,2,FALSE)))</f>
        <v>0</v>
      </c>
      <c r="P201" s="15">
        <f>MAX(IF(ISNA(VLOOKUP(B201,'Regioturnier 2'!$B$3:$C$34,2,FALSE))=TRUE,0,VLOOKUP(B201,'Regioturnier 2'!$B$3:$C$34,2,FALSE)),IF(ISNA(VLOOKUP(B201,'Regioturnier 2'!$F$3:$G$34,2,FALSE))=TRUE,0,VLOOKUP(B201,'Regioturnier 2'!$F$3:$G$34,2,FALSE)),IF(ISNA(VLOOKUP(B201,'Regioturnier 2'!$J$3:$K$34,2,FALSE))=TRUE,0,VLOOKUP(B201,'Regioturnier 2'!$J$3:$K$34,2,FALSE)),IF(ISNA(VLOOKUP(B201,'Regioturnier 2'!$N$3:$O$34,2,FALSE))=TRUE,0,VLOOKUP(B201,'Regioturnier 2'!$N$3:$O$34,2,FALSE)),IF(ISNA(VLOOKUP(B201,'Regioturnier 2'!$R$3:$S$34,2,FALSE))=TRUE,0,VLOOKUP(B201,'Regioturnier 2'!$R$3:$S$34,2,FALSE)), IF(ISNA(VLOOKUP(B201,'Regioturnier 2'!$V$3:$W$34,2,FALSE))=TRUE,0,VLOOKUP(B201,'Regioturnier 2'!$V$3:$W$34,2,FALSE)), IF(ISNA(VLOOKUP(B201,'Regioturnier 2'!$Z$3:$AA$34,2,FALSE))=TRUE,0,VLOOKUP(B201,'Regioturnier 2'!$Z$3:$AA$34,2,FALSE)))</f>
        <v>0</v>
      </c>
      <c r="Q201" s="15">
        <f>MAX(IF(ISNA(VLOOKUP(B201,'Regioturnier 3'!$B$3:$C$34,2,FALSE))=TRUE,0,VLOOKUP(B201,'Regioturnier 3'!$B$3:$C$34,2,FALSE)),IF(ISNA(VLOOKUP(B201,'Regioturnier 3'!$F$3:$G$34,2,FALSE))=TRUE,0,VLOOKUP(B201,'Regioturnier 3'!$F$3:$G$34,2,FALSE)),IF(ISNA(VLOOKUP(B201,'Regioturnier 3'!$J$3:$K$34,2,FALSE))=TRUE,0,VLOOKUP(B201,'Regioturnier 3'!$J$3:$K$34,2,FALSE)),IF(ISNA(VLOOKUP(B201,'Regioturnier 3'!$N$3:$O$34,2,FALSE))=TRUE,0,VLOOKUP(B201,'Regioturnier 3'!$N$3:$O$34,2,FALSE)),IF(ISNA(VLOOKUP(B201,'Regioturnier 3'!$R$3:$S$34,2,FALSE))=TRUE,0,VLOOKUP(B201,'Regioturnier 3'!$R$3:$S$34,2,FALSE)), IF(ISNA(VLOOKUP(B201,'Regioturnier 3'!$V$3:$W$34,2,FALSE))=TRUE,0,VLOOKUP(B201,'Regioturnier 3'!$V$3:$W$34,2,FALSE)), IF(ISNA(VLOOKUP(B201,'Regioturnier 3'!$Z$3:$AA$34,2,FALSE))=TRUE,0,VLOOKUP(B201,'Regioturnier 3'!$Z$3:$AA$34,2,FALSE)))</f>
        <v>0</v>
      </c>
      <c r="R201" s="20">
        <f>0.5*INDEX($H201:$N201,MATCH(LARGE($H201:$N201,1),$H201:$N201,0))+0.3*INDEX($H201:$N201,MATCH(LARGE($H201:$N201,2),$H201:$N201,0))+0.2*INDEX($H201:$N201,MATCH(LARGE($H201:$N201,3),$H201:$N201,0))</f>
        <v>0</v>
      </c>
      <c r="S201" s="20">
        <f>0.6*INDEX(O201:Q201,MATCH(LARGE(O201:Q201,1),O201:Q201,0))+0.4*INDEX(O201:Q201,MATCH(LARGE(O201:Q201,2),O201:Q201,0))+0*INDEX(O201:Q201,MATCH(LARGE(O201:Q201,3),O201:Q201,0))</f>
        <v>0</v>
      </c>
      <c r="T201" s="15">
        <f>1*INDEX(R201:S201,MATCH(LARGE(R201:S201,1),R201:S201,0))+0*INDEX(R201:S201,MATCH(LARGE(R201:S201,2),R201:S201,0))</f>
        <v>0</v>
      </c>
      <c r="U201" s="21"/>
      <c r="V201" s="21"/>
      <c r="W201" s="21"/>
      <c r="X201" s="21"/>
      <c r="Y201" s="21"/>
      <c r="Z201" s="21"/>
    </row>
    <row r="202" spans="1:26" ht="12.75" customHeight="1" x14ac:dyDescent="0.3">
      <c r="A202" s="15">
        <v>201</v>
      </c>
      <c r="B202" s="16" t="s">
        <v>38</v>
      </c>
      <c r="C202" s="17" t="s">
        <v>25</v>
      </c>
      <c r="D202" s="15" t="s">
        <v>26</v>
      </c>
      <c r="E202" s="18" t="s">
        <v>40</v>
      </c>
      <c r="F202" s="15">
        <v>109987</v>
      </c>
      <c r="G202" s="22">
        <v>2010</v>
      </c>
      <c r="H202" s="15">
        <f>MAX(IF(ISNA(VLOOKUP(B202,'WBV 1'!$B$3:$C$34,2,FALSE))=TRUE,0,VLOOKUP(B202,'WBV 1'!$B$3:$C$34,2,FALSE)),IF(ISNA(VLOOKUP(B202,'WBV 1'!$F$3:$G$34,2,FALSE))=TRUE,0,VLOOKUP(B202,'WBV 1'!$F$3:$G$34,2,FALSE)),IF(ISNA(VLOOKUP(B202,'WBV 1'!$J$3:$K$34,2,FALSE))=TRUE,0,VLOOKUP(B202,'WBV 1'!$J$3:$K$34,2,FALSE)),IF(ISNA(VLOOKUP(B202,'WBV 1'!$N$3:$O$34,2,FALSE))=TRUE,0,VLOOKUP(B202,'WBV 1'!$N$3:$O$34,2,FALSE)))</f>
        <v>0</v>
      </c>
      <c r="I202" s="15">
        <f>MAX(IF(ISNA(VLOOKUP(B202,'WBV 2'!$B$3:$C$34,2,FALSE))=TRUE,0,VLOOKUP(B202,'WBV 2'!$B$3:$C$34,2,FALSE)),IF(ISNA(VLOOKUP(B202,'WBV 2'!$F$3:$G$34,2,FALSE))=TRUE,0,VLOOKUP(B202,'WBV 2'!$F$3:$G$34,2,FALSE)),IF(ISNA(VLOOKUP(B202,'WBV 2'!$J$3:$K$34,2,FALSE))=TRUE,0,VLOOKUP(B202,'WBV 2'!$J$3:$K$34,2,FALSE)),IF(ISNA(VLOOKUP(B202,'WBV 2'!$N$3:$O$34,2,FALSE))=TRUE,0,VLOOKUP(B202,'WBV 2'!$N$3:$O$34,2,FALSE)))</f>
        <v>0</v>
      </c>
      <c r="J202" s="15">
        <f>MAX(IF(ISNA(VLOOKUP(B202,'WBV 3'!$B$3:$C$34,2,FALSE))=TRUE,0,VLOOKUP(B202,'WBV 3'!$B$3:$C$34,2,FALSE)),IF(ISNA(VLOOKUP(B202,'WBV 3'!$F$3:$G$34,2,FALSE))=TRUE,0,VLOOKUP(B202,'WBV 3'!$F$3:$G$34,2,FALSE)),IF(ISNA(VLOOKUP(B202,'WBV 3'!$J$3:$K$34,2,FALSE))=TRUE,0,VLOOKUP(B202,'WBV 3'!$J$3:$K$34,2,FALSE)),IF(ISNA(VLOOKUP(B202,'WBV 3'!$N$3:$O$34,2,FALSE))=TRUE,0,VLOOKUP(B202,'WBV 3'!$N$3:$O$34,2,FALSE)))</f>
        <v>0</v>
      </c>
      <c r="K202" s="15">
        <f>MAX(IF(ISNA(VLOOKUP(B202,'WBV 4'!$B$3:$C$34,2,FALSE))=TRUE,0,VLOOKUP(B202,'WBV 4'!$B$3:$C$34,2,FALSE)),IF(ISNA(VLOOKUP(B202,'WBV 4'!$F$3:$G$34,2,FALSE))=TRUE,0,VLOOKUP(B202,'WBV 4'!$F$3:$G$34,2,FALSE)),IF(ISNA(VLOOKUP(B202,'WBV 4'!$J$3:$K$34,2,FALSE))=TRUE,0,VLOOKUP(B202,'WBV 4'!$J$3:$K$34,2,FALSE)),IF(ISNA(VLOOKUP(B202,'WBV 4'!$N$3:$O$34,2,FALSE))=TRUE,0,VLOOKUP(B202,'WBV 4'!$N$3:$O$34,2,FALSE)))</f>
        <v>0</v>
      </c>
      <c r="L202" s="19">
        <f>MAX(IF(ISNA(VLOOKUP(B202,'NÖBV 1'!$B$3:$C$34,2,FALSE))=TRUE,0,VLOOKUP(B202,'NÖBV 1'!$B$3:$C$34,2,FALSE)),IF(ISNA(VLOOKUP(B202,'NÖBV 1'!$F$3:$G$34,2,FALSE))=TRUE,0,VLOOKUP(B202,'NÖBV 1'!$F$3:$G$34,2,FALSE)),IF(ISNA(VLOOKUP(B202,'NÖBV 1'!$J$3:$K$34,2,FALSE))=TRUE,0,VLOOKUP(B202,'NÖBV 1'!$J$3:$K$34,2,FALSE)),IF(ISNA(VLOOKUP(B202,'NÖBV 1'!$N$3:$O$34,2,FALSE))=TRUE,0,VLOOKUP(B202,'NÖBV 1'!$N$3:$O$34,2,FALSE)))</f>
        <v>0</v>
      </c>
      <c r="M202" s="19">
        <f>MAX(IF(ISNA(VLOOKUP(B202,'NÖBV 2'!$B$3:$C$34,2,FALSE))=TRUE,0,VLOOKUP(B202,'NÖBV 2'!$B$3:$C$34,2,FALSE)),IF(ISNA(VLOOKUP(B202,'NÖBV 2'!$F$3:$G$34,2,FALSE))=TRUE,0,VLOOKUP(B202,'NÖBV 2'!$F$3:$G$34,2,FALSE)),IF(ISNA(VLOOKUP(B202,'NÖBV 2'!$J$3:$K$34,2,FALSE))=TRUE,0,VLOOKUP(B202,'NÖBV 2'!$J$3:$K$34,2,FALSE)),IF(ISNA(VLOOKUP(B202,'NÖBV 2'!$N$3:$O$34,2,FALSE))=TRUE,0,VLOOKUP(B202,'NÖBV 2'!$N$3:$O$34,2,FALSE)))</f>
        <v>0</v>
      </c>
      <c r="N202" s="19">
        <f>MAX(IF(ISNA(VLOOKUP(B202,'NÖBV 3'!$B$3:$C$34,2,FALSE))=TRUE,0,VLOOKUP(B202,'NÖBV 3'!$B$3:$C$34,2,FALSE)),IF(ISNA(VLOOKUP(B202,'NÖBV 3'!$F$3:$G$34,2,FALSE))=TRUE,0,VLOOKUP(B202,'NÖBV 3'!$F$3:$G$34,2,FALSE)),IF(ISNA(VLOOKUP(B202,'NÖBV 3'!$J$3:$K$34,2,FALSE))=TRUE,0,VLOOKUP(B202,'NÖBV 3'!$J$3:$K$34,2,FALSE)),IF(ISNA(VLOOKUP(B202,'NÖBV 3'!$N$3:$O$34,2,FALSE))=TRUE,0,VLOOKUP(B202,'NÖBV 3'!$N$3:$O$34,2,FALSE)))</f>
        <v>0</v>
      </c>
      <c r="O202" s="15">
        <f>MAX(IF(ISNA(VLOOKUP(B202,'Regioturnier 1'!$B$3:$C$34,2,FALSE))=TRUE,0,VLOOKUP(B202,'Regioturnier 1'!$B$3:$C$34,2,FALSE)),IF(ISNA(VLOOKUP(B202,'Regioturnier 1'!$F$3:$G$34,2,FALSE))=TRUE,0,VLOOKUP(B202,'Regioturnier 1'!$F$3:$G$34,2,FALSE)),IF(ISNA(VLOOKUP(B202,'Regioturnier 1'!$J$3:$K$34,2,FALSE))=TRUE,0,VLOOKUP(B202,'Regioturnier 1'!$J$3:$K$34,2,FALSE)),IF(ISNA(VLOOKUP(B202,'Regioturnier 1'!$N$3:$O$34,2,FALSE))=TRUE,0,VLOOKUP(B202,'Regioturnier 1'!$N$3:$O$34,2,FALSE)),IF(ISNA(VLOOKUP(B202,'Regioturnier 1'!$R$3:$S$34,2,FALSE))=TRUE,0,VLOOKUP(B202,'Regioturnier 1'!$R$3:$S$34,2,FALSE)), IF(ISNA(VLOOKUP(B202,'Regioturnier 1'!$V$3:$W$34,2,FALSE))=TRUE,0,VLOOKUP(B202,'Regioturnier 1'!$V$3:$W$34,2,FALSE)), IF(ISNA(VLOOKUP(B202,'Regioturnier 1'!$Z$3:$AA$34,2,FALSE))=TRUE,0,VLOOKUP(B202,'Regioturnier 1'!$Z$3:$AA$34,2,FALSE)))</f>
        <v>0</v>
      </c>
      <c r="P202" s="15">
        <f>MAX(IF(ISNA(VLOOKUP(B202,'Regioturnier 2'!$B$3:$C$34,2,FALSE))=TRUE,0,VLOOKUP(B202,'Regioturnier 2'!$B$3:$C$34,2,FALSE)),IF(ISNA(VLOOKUP(B202,'Regioturnier 2'!$F$3:$G$34,2,FALSE))=TRUE,0,VLOOKUP(B202,'Regioturnier 2'!$F$3:$G$34,2,FALSE)),IF(ISNA(VLOOKUP(B202,'Regioturnier 2'!$J$3:$K$34,2,FALSE))=TRUE,0,VLOOKUP(B202,'Regioturnier 2'!$J$3:$K$34,2,FALSE)),IF(ISNA(VLOOKUP(B202,'Regioturnier 2'!$N$3:$O$34,2,FALSE))=TRUE,0,VLOOKUP(B202,'Regioturnier 2'!$N$3:$O$34,2,FALSE)),IF(ISNA(VLOOKUP(B202,'Regioturnier 2'!$R$3:$S$34,2,FALSE))=TRUE,0,VLOOKUP(B202,'Regioturnier 2'!$R$3:$S$34,2,FALSE)), IF(ISNA(VLOOKUP(B202,'Regioturnier 2'!$V$3:$W$34,2,FALSE))=TRUE,0,VLOOKUP(B202,'Regioturnier 2'!$V$3:$W$34,2,FALSE)), IF(ISNA(VLOOKUP(B202,'Regioturnier 2'!$Z$3:$AA$34,2,FALSE))=TRUE,0,VLOOKUP(B202,'Regioturnier 2'!$Z$3:$AA$34,2,FALSE)))</f>
        <v>0</v>
      </c>
      <c r="Q202" s="15">
        <f>MAX(IF(ISNA(VLOOKUP(B202,'Regioturnier 3'!$B$3:$C$34,2,FALSE))=TRUE,0,VLOOKUP(B202,'Regioturnier 3'!$B$3:$C$34,2,FALSE)),IF(ISNA(VLOOKUP(B202,'Regioturnier 3'!$F$3:$G$34,2,FALSE))=TRUE,0,VLOOKUP(B202,'Regioturnier 3'!$F$3:$G$34,2,FALSE)),IF(ISNA(VLOOKUP(B202,'Regioturnier 3'!$J$3:$K$34,2,FALSE))=TRUE,0,VLOOKUP(B202,'Regioturnier 3'!$J$3:$K$34,2,FALSE)),IF(ISNA(VLOOKUP(B202,'Regioturnier 3'!$N$3:$O$34,2,FALSE))=TRUE,0,VLOOKUP(B202,'Regioturnier 3'!$N$3:$O$34,2,FALSE)),IF(ISNA(VLOOKUP(B202,'Regioturnier 3'!$R$3:$S$34,2,FALSE))=TRUE,0,VLOOKUP(B202,'Regioturnier 3'!$R$3:$S$34,2,FALSE)), IF(ISNA(VLOOKUP(B202,'Regioturnier 3'!$V$3:$W$34,2,FALSE))=TRUE,0,VLOOKUP(B202,'Regioturnier 3'!$V$3:$W$34,2,FALSE)), IF(ISNA(VLOOKUP(B202,'Regioturnier 3'!$Z$3:$AA$34,2,FALSE))=TRUE,0,VLOOKUP(B202,'Regioturnier 3'!$Z$3:$AA$34,2,FALSE)))</f>
        <v>0</v>
      </c>
      <c r="R202" s="20">
        <f>0.5*INDEX($H202:$N202,MATCH(LARGE($H202:$N202,1),$H202:$N202,0))+0.3*INDEX($H202:$N202,MATCH(LARGE($H202:$N202,2),$H202:$N202,0))+0.2*INDEX($H202:$N202,MATCH(LARGE($H202:$N202,3),$H202:$N202,0))</f>
        <v>0</v>
      </c>
      <c r="S202" s="20">
        <f>0.6*INDEX(O202:Q202,MATCH(LARGE(O202:Q202,1),O202:Q202,0))+0.4*INDEX(O202:Q202,MATCH(LARGE(O202:Q202,2),O202:Q202,0))+0*INDEX(O202:Q202,MATCH(LARGE(O202:Q202,3),O202:Q202,0))</f>
        <v>0</v>
      </c>
      <c r="T202" s="15">
        <f>1*INDEX(R202:S202,MATCH(LARGE(R202:S202,1),R202:S202,0))+0*INDEX(R202:S202,MATCH(LARGE(R202:S202,2),R202:S202,0))</f>
        <v>0</v>
      </c>
      <c r="U202" s="21"/>
      <c r="V202" s="21"/>
      <c r="W202" s="21"/>
      <c r="X202" s="21"/>
      <c r="Y202" s="21"/>
      <c r="Z202" s="21"/>
    </row>
    <row r="203" spans="1:26" ht="12.75" customHeight="1" x14ac:dyDescent="0.3">
      <c r="A203" s="15">
        <v>202</v>
      </c>
      <c r="B203" s="16" t="s">
        <v>189</v>
      </c>
      <c r="C203" s="17" t="s">
        <v>43</v>
      </c>
      <c r="D203" s="15" t="s">
        <v>26</v>
      </c>
      <c r="E203" s="18" t="s">
        <v>23</v>
      </c>
      <c r="F203" s="15">
        <v>110408</v>
      </c>
      <c r="G203" s="22">
        <v>2009</v>
      </c>
      <c r="H203" s="15">
        <f>MAX(IF(ISNA(VLOOKUP(B203,'WBV 1'!$B$3:$C$34,2,FALSE))=TRUE,0,VLOOKUP(B203,'WBV 1'!$B$3:$C$34,2,FALSE)),IF(ISNA(VLOOKUP(B203,'WBV 1'!$F$3:$G$34,2,FALSE))=TRUE,0,VLOOKUP(B203,'WBV 1'!$F$3:$G$34,2,FALSE)),IF(ISNA(VLOOKUP(B203,'WBV 1'!$J$3:$K$34,2,FALSE))=TRUE,0,VLOOKUP(B203,'WBV 1'!$J$3:$K$34,2,FALSE)),IF(ISNA(VLOOKUP(B203,'WBV 1'!$N$3:$O$34,2,FALSE))=TRUE,0,VLOOKUP(B203,'WBV 1'!$N$3:$O$34,2,FALSE)))</f>
        <v>0</v>
      </c>
      <c r="I203" s="15">
        <f>MAX(IF(ISNA(VLOOKUP(B203,'WBV 2'!$B$3:$C$34,2,FALSE))=TRUE,0,VLOOKUP(B203,'WBV 2'!$B$3:$C$34,2,FALSE)),IF(ISNA(VLOOKUP(B203,'WBV 2'!$F$3:$G$34,2,FALSE))=TRUE,0,VLOOKUP(B203,'WBV 2'!$F$3:$G$34,2,FALSE)),IF(ISNA(VLOOKUP(B203,'WBV 2'!$J$3:$K$34,2,FALSE))=TRUE,0,VLOOKUP(B203,'WBV 2'!$J$3:$K$34,2,FALSE)),IF(ISNA(VLOOKUP(B203,'WBV 2'!$N$3:$O$34,2,FALSE))=TRUE,0,VLOOKUP(B203,'WBV 2'!$N$3:$O$34,2,FALSE)))</f>
        <v>0</v>
      </c>
      <c r="J203" s="15">
        <f>MAX(IF(ISNA(VLOOKUP(B203,'WBV 3'!$B$3:$C$34,2,FALSE))=TRUE,0,VLOOKUP(B203,'WBV 3'!$B$3:$C$34,2,FALSE)),IF(ISNA(VLOOKUP(B203,'WBV 3'!$F$3:$G$34,2,FALSE))=TRUE,0,VLOOKUP(B203,'WBV 3'!$F$3:$G$34,2,FALSE)),IF(ISNA(VLOOKUP(B203,'WBV 3'!$J$3:$K$34,2,FALSE))=TRUE,0,VLOOKUP(B203,'WBV 3'!$J$3:$K$34,2,FALSE)),IF(ISNA(VLOOKUP(B203,'WBV 3'!$N$3:$O$34,2,FALSE))=TRUE,0,VLOOKUP(B203,'WBV 3'!$N$3:$O$34,2,FALSE)))</f>
        <v>0</v>
      </c>
      <c r="K203" s="15">
        <f>MAX(IF(ISNA(VLOOKUP(B203,'WBV 4'!$B$3:$C$34,2,FALSE))=TRUE,0,VLOOKUP(B203,'WBV 4'!$B$3:$C$34,2,FALSE)),IF(ISNA(VLOOKUP(B203,'WBV 4'!$F$3:$G$34,2,FALSE))=TRUE,0,VLOOKUP(B203,'WBV 4'!$F$3:$G$34,2,FALSE)),IF(ISNA(VLOOKUP(B203,'WBV 4'!$J$3:$K$34,2,FALSE))=TRUE,0,VLOOKUP(B203,'WBV 4'!$J$3:$K$34,2,FALSE)),IF(ISNA(VLOOKUP(B203,'WBV 4'!$N$3:$O$34,2,FALSE))=TRUE,0,VLOOKUP(B203,'WBV 4'!$N$3:$O$34,2,FALSE)))</f>
        <v>0</v>
      </c>
      <c r="L203" s="19">
        <f>MAX(IF(ISNA(VLOOKUP(B203,'NÖBV 1'!$B$3:$C$34,2,FALSE))=TRUE,0,VLOOKUP(B203,'NÖBV 1'!$B$3:$C$34,2,FALSE)),IF(ISNA(VLOOKUP(B203,'NÖBV 1'!$F$3:$G$34,2,FALSE))=TRUE,0,VLOOKUP(B203,'NÖBV 1'!$F$3:$G$34,2,FALSE)),IF(ISNA(VLOOKUP(B203,'NÖBV 1'!$J$3:$K$34,2,FALSE))=TRUE,0,VLOOKUP(B203,'NÖBV 1'!$J$3:$K$34,2,FALSE)),IF(ISNA(VLOOKUP(B203,'NÖBV 1'!$N$3:$O$34,2,FALSE))=TRUE,0,VLOOKUP(B203,'NÖBV 1'!$N$3:$O$34,2,FALSE)))</f>
        <v>0</v>
      </c>
      <c r="M203" s="19">
        <f>MAX(IF(ISNA(VLOOKUP(B203,'NÖBV 2'!$B$3:$C$34,2,FALSE))=TRUE,0,VLOOKUP(B203,'NÖBV 2'!$B$3:$C$34,2,FALSE)),IF(ISNA(VLOOKUP(B203,'NÖBV 2'!$F$3:$G$34,2,FALSE))=TRUE,0,VLOOKUP(B203,'NÖBV 2'!$F$3:$G$34,2,FALSE)),IF(ISNA(VLOOKUP(B203,'NÖBV 2'!$J$3:$K$34,2,FALSE))=TRUE,0,VLOOKUP(B203,'NÖBV 2'!$J$3:$K$34,2,FALSE)),IF(ISNA(VLOOKUP(B203,'NÖBV 2'!$N$3:$O$34,2,FALSE))=TRUE,0,VLOOKUP(B203,'NÖBV 2'!$N$3:$O$34,2,FALSE)))</f>
        <v>0</v>
      </c>
      <c r="N203" s="19">
        <f>MAX(IF(ISNA(VLOOKUP(B203,'NÖBV 3'!$B$3:$C$34,2,FALSE))=TRUE,0,VLOOKUP(B203,'NÖBV 3'!$B$3:$C$34,2,FALSE)),IF(ISNA(VLOOKUP(B203,'NÖBV 3'!$F$3:$G$34,2,FALSE))=TRUE,0,VLOOKUP(B203,'NÖBV 3'!$F$3:$G$34,2,FALSE)),IF(ISNA(VLOOKUP(B203,'NÖBV 3'!$J$3:$K$34,2,FALSE))=TRUE,0,VLOOKUP(B203,'NÖBV 3'!$J$3:$K$34,2,FALSE)),IF(ISNA(VLOOKUP(B203,'NÖBV 3'!$N$3:$O$34,2,FALSE))=TRUE,0,VLOOKUP(B203,'NÖBV 3'!$N$3:$O$34,2,FALSE)))</f>
        <v>0</v>
      </c>
      <c r="O203" s="15">
        <f>MAX(IF(ISNA(VLOOKUP(B203,'Regioturnier 1'!$B$3:$C$34,2,FALSE))=TRUE,0,VLOOKUP(B203,'Regioturnier 1'!$B$3:$C$34,2,FALSE)),IF(ISNA(VLOOKUP(B203,'Regioturnier 1'!$F$3:$G$34,2,FALSE))=TRUE,0,VLOOKUP(B203,'Regioturnier 1'!$F$3:$G$34,2,FALSE)),IF(ISNA(VLOOKUP(B203,'Regioturnier 1'!$J$3:$K$34,2,FALSE))=TRUE,0,VLOOKUP(B203,'Regioturnier 1'!$J$3:$K$34,2,FALSE)),IF(ISNA(VLOOKUP(B203,'Regioturnier 1'!$N$3:$O$34,2,FALSE))=TRUE,0,VLOOKUP(B203,'Regioturnier 1'!$N$3:$O$34,2,FALSE)),IF(ISNA(VLOOKUP(B203,'Regioturnier 1'!$R$3:$S$34,2,FALSE))=TRUE,0,VLOOKUP(B203,'Regioturnier 1'!$R$3:$S$34,2,FALSE)), IF(ISNA(VLOOKUP(B203,'Regioturnier 1'!$V$3:$W$34,2,FALSE))=TRUE,0,VLOOKUP(B203,'Regioturnier 1'!$V$3:$W$34,2,FALSE)), IF(ISNA(VLOOKUP(B203,'Regioturnier 1'!$Z$3:$AA$34,2,FALSE))=TRUE,0,VLOOKUP(B203,'Regioturnier 1'!$Z$3:$AA$34,2,FALSE)))</f>
        <v>0</v>
      </c>
      <c r="P203" s="15">
        <f>MAX(IF(ISNA(VLOOKUP(B203,'Regioturnier 2'!$B$3:$C$34,2,FALSE))=TRUE,0,VLOOKUP(B203,'Regioturnier 2'!$B$3:$C$34,2,FALSE)),IF(ISNA(VLOOKUP(B203,'Regioturnier 2'!$F$3:$G$34,2,FALSE))=TRUE,0,VLOOKUP(B203,'Regioturnier 2'!$F$3:$G$34,2,FALSE)),IF(ISNA(VLOOKUP(B203,'Regioturnier 2'!$J$3:$K$34,2,FALSE))=TRUE,0,VLOOKUP(B203,'Regioturnier 2'!$J$3:$K$34,2,FALSE)),IF(ISNA(VLOOKUP(B203,'Regioturnier 2'!$N$3:$O$34,2,FALSE))=TRUE,0,VLOOKUP(B203,'Regioturnier 2'!$N$3:$O$34,2,FALSE)),IF(ISNA(VLOOKUP(B203,'Regioturnier 2'!$R$3:$S$34,2,FALSE))=TRUE,0,VLOOKUP(B203,'Regioturnier 2'!$R$3:$S$34,2,FALSE)), IF(ISNA(VLOOKUP(B203,'Regioturnier 2'!$V$3:$W$34,2,FALSE))=TRUE,0,VLOOKUP(B203,'Regioturnier 2'!$V$3:$W$34,2,FALSE)), IF(ISNA(VLOOKUP(B203,'Regioturnier 2'!$Z$3:$AA$34,2,FALSE))=TRUE,0,VLOOKUP(B203,'Regioturnier 2'!$Z$3:$AA$34,2,FALSE)))</f>
        <v>0</v>
      </c>
      <c r="Q203" s="15">
        <f>MAX(IF(ISNA(VLOOKUP(B203,'Regioturnier 3'!$B$3:$C$34,2,FALSE))=TRUE,0,VLOOKUP(B203,'Regioturnier 3'!$B$3:$C$34,2,FALSE)),IF(ISNA(VLOOKUP(B203,'Regioturnier 3'!$F$3:$G$34,2,FALSE))=TRUE,0,VLOOKUP(B203,'Regioturnier 3'!$F$3:$G$34,2,FALSE)),IF(ISNA(VLOOKUP(B203,'Regioturnier 3'!$J$3:$K$34,2,FALSE))=TRUE,0,VLOOKUP(B203,'Regioturnier 3'!$J$3:$K$34,2,FALSE)),IF(ISNA(VLOOKUP(B203,'Regioturnier 3'!$N$3:$O$34,2,FALSE))=TRUE,0,VLOOKUP(B203,'Regioturnier 3'!$N$3:$O$34,2,FALSE)),IF(ISNA(VLOOKUP(B203,'Regioturnier 3'!$R$3:$S$34,2,FALSE))=TRUE,0,VLOOKUP(B203,'Regioturnier 3'!$R$3:$S$34,2,FALSE)), IF(ISNA(VLOOKUP(B203,'Regioturnier 3'!$V$3:$W$34,2,FALSE))=TRUE,0,VLOOKUP(B203,'Regioturnier 3'!$V$3:$W$34,2,FALSE)), IF(ISNA(VLOOKUP(B203,'Regioturnier 3'!$Z$3:$AA$34,2,FALSE))=TRUE,0,VLOOKUP(B203,'Regioturnier 3'!$Z$3:$AA$34,2,FALSE)))</f>
        <v>0</v>
      </c>
      <c r="R203" s="20">
        <f>0.5*INDEX($H203:$N203,MATCH(LARGE($H203:$N203,1),$H203:$N203,0))+0.3*INDEX($H203:$N203,MATCH(LARGE($H203:$N203,2),$H203:$N203,0))+0.2*INDEX($H203:$N203,MATCH(LARGE($H203:$N203,3),$H203:$N203,0))</f>
        <v>0</v>
      </c>
      <c r="S203" s="20">
        <f>0.6*INDEX(O203:Q203,MATCH(LARGE(O203:Q203,1),O203:Q203,0))+0.4*INDEX(O203:Q203,MATCH(LARGE(O203:Q203,2),O203:Q203,0))+0*INDEX(O203:Q203,MATCH(LARGE(O203:Q203,3),O203:Q203,0))</f>
        <v>0</v>
      </c>
      <c r="T203" s="15">
        <f>1*INDEX(R203:S203,MATCH(LARGE(R203:S203,1),R203:S203,0))+0*INDEX(R203:S203,MATCH(LARGE(R203:S203,2),R203:S203,0))</f>
        <v>0</v>
      </c>
      <c r="U203" s="21"/>
      <c r="V203" s="21"/>
      <c r="W203" s="21"/>
      <c r="X203" s="21"/>
      <c r="Y203" s="21"/>
      <c r="Z203" s="21"/>
    </row>
    <row r="204" spans="1:26" ht="12.75" customHeight="1" x14ac:dyDescent="0.3">
      <c r="A204" s="15">
        <v>203</v>
      </c>
      <c r="B204" s="16" t="s">
        <v>197</v>
      </c>
      <c r="C204" s="17" t="s">
        <v>43</v>
      </c>
      <c r="D204" s="15" t="s">
        <v>26</v>
      </c>
      <c r="E204" s="18" t="s">
        <v>23</v>
      </c>
      <c r="F204" s="15">
        <v>109509</v>
      </c>
      <c r="G204" s="22">
        <v>2009</v>
      </c>
      <c r="H204" s="15">
        <f>MAX(IF(ISNA(VLOOKUP(B204,'WBV 1'!$B$3:$C$34,2,FALSE))=TRUE,0,VLOOKUP(B204,'WBV 1'!$B$3:$C$34,2,FALSE)),IF(ISNA(VLOOKUP(B204,'WBV 1'!$F$3:$G$34,2,FALSE))=TRUE,0,VLOOKUP(B204,'WBV 1'!$F$3:$G$34,2,FALSE)),IF(ISNA(VLOOKUP(B204,'WBV 1'!$J$3:$K$34,2,FALSE))=TRUE,0,VLOOKUP(B204,'WBV 1'!$J$3:$K$34,2,FALSE)),IF(ISNA(VLOOKUP(B204,'WBV 1'!$N$3:$O$34,2,FALSE))=TRUE,0,VLOOKUP(B204,'WBV 1'!$N$3:$O$34,2,FALSE)))</f>
        <v>0</v>
      </c>
      <c r="I204" s="15">
        <f>MAX(IF(ISNA(VLOOKUP(B204,'WBV 2'!$B$3:$C$34,2,FALSE))=TRUE,0,VLOOKUP(B204,'WBV 2'!$B$3:$C$34,2,FALSE)),IF(ISNA(VLOOKUP(B204,'WBV 2'!$F$3:$G$34,2,FALSE))=TRUE,0,VLOOKUP(B204,'WBV 2'!$F$3:$G$34,2,FALSE)),IF(ISNA(VLOOKUP(B204,'WBV 2'!$J$3:$K$34,2,FALSE))=TRUE,0,VLOOKUP(B204,'WBV 2'!$J$3:$K$34,2,FALSE)),IF(ISNA(VLOOKUP(B204,'WBV 2'!$N$3:$O$34,2,FALSE))=TRUE,0,VLOOKUP(B204,'WBV 2'!$N$3:$O$34,2,FALSE)))</f>
        <v>0</v>
      </c>
      <c r="J204" s="15">
        <f>MAX(IF(ISNA(VLOOKUP(B204,'WBV 3'!$B$3:$C$34,2,FALSE))=TRUE,0,VLOOKUP(B204,'WBV 3'!$B$3:$C$34,2,FALSE)),IF(ISNA(VLOOKUP(B204,'WBV 3'!$F$3:$G$34,2,FALSE))=TRUE,0,VLOOKUP(B204,'WBV 3'!$F$3:$G$34,2,FALSE)),IF(ISNA(VLOOKUP(B204,'WBV 3'!$J$3:$K$34,2,FALSE))=TRUE,0,VLOOKUP(B204,'WBV 3'!$J$3:$K$34,2,FALSE)),IF(ISNA(VLOOKUP(B204,'WBV 3'!$N$3:$O$34,2,FALSE))=TRUE,0,VLOOKUP(B204,'WBV 3'!$N$3:$O$34,2,FALSE)))</f>
        <v>0</v>
      </c>
      <c r="K204" s="15">
        <f>MAX(IF(ISNA(VLOOKUP(B204,'WBV 4'!$B$3:$C$34,2,FALSE))=TRUE,0,VLOOKUP(B204,'WBV 4'!$B$3:$C$34,2,FALSE)),IF(ISNA(VLOOKUP(B204,'WBV 4'!$F$3:$G$34,2,FALSE))=TRUE,0,VLOOKUP(B204,'WBV 4'!$F$3:$G$34,2,FALSE)),IF(ISNA(VLOOKUP(B204,'WBV 4'!$J$3:$K$34,2,FALSE))=TRUE,0,VLOOKUP(B204,'WBV 4'!$J$3:$K$34,2,FALSE)),IF(ISNA(VLOOKUP(B204,'WBV 4'!$N$3:$O$34,2,FALSE))=TRUE,0,VLOOKUP(B204,'WBV 4'!$N$3:$O$34,2,FALSE)))</f>
        <v>0</v>
      </c>
      <c r="L204" s="19">
        <f>MAX(IF(ISNA(VLOOKUP(B204,'NÖBV 1'!$B$3:$C$34,2,FALSE))=TRUE,0,VLOOKUP(B204,'NÖBV 1'!$B$3:$C$34,2,FALSE)),IF(ISNA(VLOOKUP(B204,'NÖBV 1'!$F$3:$G$34,2,FALSE))=TRUE,0,VLOOKUP(B204,'NÖBV 1'!$F$3:$G$34,2,FALSE)),IF(ISNA(VLOOKUP(B204,'NÖBV 1'!$J$3:$K$34,2,FALSE))=TRUE,0,VLOOKUP(B204,'NÖBV 1'!$J$3:$K$34,2,FALSE)),IF(ISNA(VLOOKUP(B204,'NÖBV 1'!$N$3:$O$34,2,FALSE))=TRUE,0,VLOOKUP(B204,'NÖBV 1'!$N$3:$O$34,2,FALSE)))</f>
        <v>0</v>
      </c>
      <c r="M204" s="19">
        <f>MAX(IF(ISNA(VLOOKUP(B204,'NÖBV 2'!$B$3:$C$34,2,FALSE))=TRUE,0,VLOOKUP(B204,'NÖBV 2'!$B$3:$C$34,2,FALSE)),IF(ISNA(VLOOKUP(B204,'NÖBV 2'!$F$3:$G$34,2,FALSE))=TRUE,0,VLOOKUP(B204,'NÖBV 2'!$F$3:$G$34,2,FALSE)),IF(ISNA(VLOOKUP(B204,'NÖBV 2'!$J$3:$K$34,2,FALSE))=TRUE,0,VLOOKUP(B204,'NÖBV 2'!$J$3:$K$34,2,FALSE)),IF(ISNA(VLOOKUP(B204,'NÖBV 2'!$N$3:$O$34,2,FALSE))=TRUE,0,VLOOKUP(B204,'NÖBV 2'!$N$3:$O$34,2,FALSE)))</f>
        <v>0</v>
      </c>
      <c r="N204" s="19">
        <f>MAX(IF(ISNA(VLOOKUP(B204,'NÖBV 3'!$B$3:$C$34,2,FALSE))=TRUE,0,VLOOKUP(B204,'NÖBV 3'!$B$3:$C$34,2,FALSE)),IF(ISNA(VLOOKUP(B204,'NÖBV 3'!$F$3:$G$34,2,FALSE))=TRUE,0,VLOOKUP(B204,'NÖBV 3'!$F$3:$G$34,2,FALSE)),IF(ISNA(VLOOKUP(B204,'NÖBV 3'!$J$3:$K$34,2,FALSE))=TRUE,0,VLOOKUP(B204,'NÖBV 3'!$J$3:$K$34,2,FALSE)),IF(ISNA(VLOOKUP(B204,'NÖBV 3'!$N$3:$O$34,2,FALSE))=TRUE,0,VLOOKUP(B204,'NÖBV 3'!$N$3:$O$34,2,FALSE)))</f>
        <v>0</v>
      </c>
      <c r="O204" s="15">
        <f>MAX(IF(ISNA(VLOOKUP(B204,'Regioturnier 1'!$B$3:$C$34,2,FALSE))=TRUE,0,VLOOKUP(B204,'Regioturnier 1'!$B$3:$C$34,2,FALSE)),IF(ISNA(VLOOKUP(B204,'Regioturnier 1'!$F$3:$G$34,2,FALSE))=TRUE,0,VLOOKUP(B204,'Regioturnier 1'!$F$3:$G$34,2,FALSE)),IF(ISNA(VLOOKUP(B204,'Regioturnier 1'!$J$3:$K$34,2,FALSE))=TRUE,0,VLOOKUP(B204,'Regioturnier 1'!$J$3:$K$34,2,FALSE)),IF(ISNA(VLOOKUP(B204,'Regioturnier 1'!$N$3:$O$34,2,FALSE))=TRUE,0,VLOOKUP(B204,'Regioturnier 1'!$N$3:$O$34,2,FALSE)),IF(ISNA(VLOOKUP(B204,'Regioturnier 1'!$R$3:$S$34,2,FALSE))=TRUE,0,VLOOKUP(B204,'Regioturnier 1'!$R$3:$S$34,2,FALSE)), IF(ISNA(VLOOKUP(B204,'Regioturnier 1'!$V$3:$W$34,2,FALSE))=TRUE,0,VLOOKUP(B204,'Regioturnier 1'!$V$3:$W$34,2,FALSE)), IF(ISNA(VLOOKUP(B204,'Regioturnier 1'!$Z$3:$AA$34,2,FALSE))=TRUE,0,VLOOKUP(B204,'Regioturnier 1'!$Z$3:$AA$34,2,FALSE)))</f>
        <v>0</v>
      </c>
      <c r="P204" s="15">
        <f>MAX(IF(ISNA(VLOOKUP(B204,'Regioturnier 2'!$B$3:$C$34,2,FALSE))=TRUE,0,VLOOKUP(B204,'Regioturnier 2'!$B$3:$C$34,2,FALSE)),IF(ISNA(VLOOKUP(B204,'Regioturnier 2'!$F$3:$G$34,2,FALSE))=TRUE,0,VLOOKUP(B204,'Regioturnier 2'!$F$3:$G$34,2,FALSE)),IF(ISNA(VLOOKUP(B204,'Regioturnier 2'!$J$3:$K$34,2,FALSE))=TRUE,0,VLOOKUP(B204,'Regioturnier 2'!$J$3:$K$34,2,FALSE)),IF(ISNA(VLOOKUP(B204,'Regioturnier 2'!$N$3:$O$34,2,FALSE))=TRUE,0,VLOOKUP(B204,'Regioturnier 2'!$N$3:$O$34,2,FALSE)),IF(ISNA(VLOOKUP(B204,'Regioturnier 2'!$R$3:$S$34,2,FALSE))=TRUE,0,VLOOKUP(B204,'Regioturnier 2'!$R$3:$S$34,2,FALSE)), IF(ISNA(VLOOKUP(B204,'Regioturnier 2'!$V$3:$W$34,2,FALSE))=TRUE,0,VLOOKUP(B204,'Regioturnier 2'!$V$3:$W$34,2,FALSE)), IF(ISNA(VLOOKUP(B204,'Regioturnier 2'!$Z$3:$AA$34,2,FALSE))=TRUE,0,VLOOKUP(B204,'Regioturnier 2'!$Z$3:$AA$34,2,FALSE)))</f>
        <v>0</v>
      </c>
      <c r="Q204" s="15">
        <f>MAX(IF(ISNA(VLOOKUP(B204,'Regioturnier 3'!$B$3:$C$34,2,FALSE))=TRUE,0,VLOOKUP(B204,'Regioturnier 3'!$B$3:$C$34,2,FALSE)),IF(ISNA(VLOOKUP(B204,'Regioturnier 3'!$F$3:$G$34,2,FALSE))=TRUE,0,VLOOKUP(B204,'Regioturnier 3'!$F$3:$G$34,2,FALSE)),IF(ISNA(VLOOKUP(B204,'Regioturnier 3'!$J$3:$K$34,2,FALSE))=TRUE,0,VLOOKUP(B204,'Regioturnier 3'!$J$3:$K$34,2,FALSE)),IF(ISNA(VLOOKUP(B204,'Regioturnier 3'!$N$3:$O$34,2,FALSE))=TRUE,0,VLOOKUP(B204,'Regioturnier 3'!$N$3:$O$34,2,FALSE)),IF(ISNA(VLOOKUP(B204,'Regioturnier 3'!$R$3:$S$34,2,FALSE))=TRUE,0,VLOOKUP(B204,'Regioturnier 3'!$R$3:$S$34,2,FALSE)), IF(ISNA(VLOOKUP(B204,'Regioturnier 3'!$V$3:$W$34,2,FALSE))=TRUE,0,VLOOKUP(B204,'Regioturnier 3'!$V$3:$W$34,2,FALSE)), IF(ISNA(VLOOKUP(B204,'Regioturnier 3'!$Z$3:$AA$34,2,FALSE))=TRUE,0,VLOOKUP(B204,'Regioturnier 3'!$Z$3:$AA$34,2,FALSE)))</f>
        <v>0</v>
      </c>
      <c r="R204" s="20">
        <f>0.5*INDEX($H204:$N204,MATCH(LARGE($H204:$N204,1),$H204:$N204,0))+0.3*INDEX($H204:$N204,MATCH(LARGE($H204:$N204,2),$H204:$N204,0))+0.2*INDEX($H204:$N204,MATCH(LARGE($H204:$N204,3),$H204:$N204,0))</f>
        <v>0</v>
      </c>
      <c r="S204" s="20">
        <f>0.6*INDEX(O204:Q204,MATCH(LARGE(O204:Q204,1),O204:Q204,0))+0.4*INDEX(O204:Q204,MATCH(LARGE(O204:Q204,2),O204:Q204,0))+0*INDEX(O204:Q204,MATCH(LARGE(O204:Q204,3),O204:Q204,0))</f>
        <v>0</v>
      </c>
      <c r="T204" s="15">
        <f>1*INDEX(R204:S204,MATCH(LARGE(R204:S204,1),R204:S204,0))+0*INDEX(R204:S204,MATCH(LARGE(R204:S204,2),R204:S204,0))</f>
        <v>0</v>
      </c>
      <c r="U204" s="21"/>
      <c r="V204" s="21"/>
      <c r="W204" s="21"/>
      <c r="X204" s="21"/>
      <c r="Y204" s="21"/>
      <c r="Z204" s="21"/>
    </row>
    <row r="205" spans="1:26" ht="12.75" customHeight="1" x14ac:dyDescent="0.3">
      <c r="A205" s="15">
        <v>204</v>
      </c>
      <c r="B205" s="16" t="s">
        <v>35</v>
      </c>
      <c r="C205" s="17" t="s">
        <v>31</v>
      </c>
      <c r="D205" s="15" t="s">
        <v>26</v>
      </c>
      <c r="E205" s="18" t="s">
        <v>23</v>
      </c>
      <c r="F205" s="15">
        <v>110028</v>
      </c>
      <c r="G205" s="22">
        <v>2008</v>
      </c>
      <c r="H205" s="15">
        <f>MAX(IF(ISNA(VLOOKUP(B205,'WBV 1'!$B$3:$C$34,2,FALSE))=TRUE,0,VLOOKUP(B205,'WBV 1'!$B$3:$C$34,2,FALSE)),IF(ISNA(VLOOKUP(B205,'WBV 1'!$F$3:$G$34,2,FALSE))=TRUE,0,VLOOKUP(B205,'WBV 1'!$F$3:$G$34,2,FALSE)),IF(ISNA(VLOOKUP(B205,'WBV 1'!$J$3:$K$34,2,FALSE))=TRUE,0,VLOOKUP(B205,'WBV 1'!$J$3:$K$34,2,FALSE)),IF(ISNA(VLOOKUP(B205,'WBV 1'!$N$3:$O$34,2,FALSE))=TRUE,0,VLOOKUP(B205,'WBV 1'!$N$3:$O$34,2,FALSE)))</f>
        <v>0</v>
      </c>
      <c r="I205" s="15">
        <f>MAX(IF(ISNA(VLOOKUP(B205,'WBV 2'!$B$3:$C$34,2,FALSE))=TRUE,0,VLOOKUP(B205,'WBV 2'!$B$3:$C$34,2,FALSE)),IF(ISNA(VLOOKUP(B205,'WBV 2'!$F$3:$G$34,2,FALSE))=TRUE,0,VLOOKUP(B205,'WBV 2'!$F$3:$G$34,2,FALSE)),IF(ISNA(VLOOKUP(B205,'WBV 2'!$J$3:$K$34,2,FALSE))=TRUE,0,VLOOKUP(B205,'WBV 2'!$J$3:$K$34,2,FALSE)),IF(ISNA(VLOOKUP(B205,'WBV 2'!$N$3:$O$34,2,FALSE))=TRUE,0,VLOOKUP(B205,'WBV 2'!$N$3:$O$34,2,FALSE)))</f>
        <v>0</v>
      </c>
      <c r="J205" s="15">
        <f>MAX(IF(ISNA(VLOOKUP(B205,'WBV 3'!$B$3:$C$34,2,FALSE))=TRUE,0,VLOOKUP(B205,'WBV 3'!$B$3:$C$34,2,FALSE)),IF(ISNA(VLOOKUP(B205,'WBV 3'!$F$3:$G$34,2,FALSE))=TRUE,0,VLOOKUP(B205,'WBV 3'!$F$3:$G$34,2,FALSE)),IF(ISNA(VLOOKUP(B205,'WBV 3'!$J$3:$K$34,2,FALSE))=TRUE,0,VLOOKUP(B205,'WBV 3'!$J$3:$K$34,2,FALSE)),IF(ISNA(VLOOKUP(B205,'WBV 3'!$N$3:$O$34,2,FALSE))=TRUE,0,VLOOKUP(B205,'WBV 3'!$N$3:$O$34,2,FALSE)))</f>
        <v>0</v>
      </c>
      <c r="K205" s="15">
        <f>MAX(IF(ISNA(VLOOKUP(B205,'WBV 4'!$B$3:$C$34,2,FALSE))=TRUE,0,VLOOKUP(B205,'WBV 4'!$B$3:$C$34,2,FALSE)),IF(ISNA(VLOOKUP(B205,'WBV 4'!$F$3:$G$34,2,FALSE))=TRUE,0,VLOOKUP(B205,'WBV 4'!$F$3:$G$34,2,FALSE)),IF(ISNA(VLOOKUP(B205,'WBV 4'!$J$3:$K$34,2,FALSE))=TRUE,0,VLOOKUP(B205,'WBV 4'!$J$3:$K$34,2,FALSE)),IF(ISNA(VLOOKUP(B205,'WBV 4'!$N$3:$O$34,2,FALSE))=TRUE,0,VLOOKUP(B205,'WBV 4'!$N$3:$O$34,2,FALSE)))</f>
        <v>0</v>
      </c>
      <c r="L205" s="19">
        <f>MAX(IF(ISNA(VLOOKUP(B205,'NÖBV 1'!$B$3:$C$34,2,FALSE))=TRUE,0,VLOOKUP(B205,'NÖBV 1'!$B$3:$C$34,2,FALSE)),IF(ISNA(VLOOKUP(B205,'NÖBV 1'!$F$3:$G$34,2,FALSE))=TRUE,0,VLOOKUP(B205,'NÖBV 1'!$F$3:$G$34,2,FALSE)),IF(ISNA(VLOOKUP(B205,'NÖBV 1'!$J$3:$K$34,2,FALSE))=TRUE,0,VLOOKUP(B205,'NÖBV 1'!$J$3:$K$34,2,FALSE)),IF(ISNA(VLOOKUP(B205,'NÖBV 1'!$N$3:$O$34,2,FALSE))=TRUE,0,VLOOKUP(B205,'NÖBV 1'!$N$3:$O$34,2,FALSE)))</f>
        <v>0</v>
      </c>
      <c r="M205" s="19">
        <f>MAX(IF(ISNA(VLOOKUP(B205,'NÖBV 2'!$B$3:$C$34,2,FALSE))=TRUE,0,VLOOKUP(B205,'NÖBV 2'!$B$3:$C$34,2,FALSE)),IF(ISNA(VLOOKUP(B205,'NÖBV 2'!$F$3:$G$34,2,FALSE))=TRUE,0,VLOOKUP(B205,'NÖBV 2'!$F$3:$G$34,2,FALSE)),IF(ISNA(VLOOKUP(B205,'NÖBV 2'!$J$3:$K$34,2,FALSE))=TRUE,0,VLOOKUP(B205,'NÖBV 2'!$J$3:$K$34,2,FALSE)),IF(ISNA(VLOOKUP(B205,'NÖBV 2'!$N$3:$O$34,2,FALSE))=TRUE,0,VLOOKUP(B205,'NÖBV 2'!$N$3:$O$34,2,FALSE)))</f>
        <v>0</v>
      </c>
      <c r="N205" s="19">
        <f>MAX(IF(ISNA(VLOOKUP(B205,'NÖBV 3'!$B$3:$C$34,2,FALSE))=TRUE,0,VLOOKUP(B205,'NÖBV 3'!$B$3:$C$34,2,FALSE)),IF(ISNA(VLOOKUP(B205,'NÖBV 3'!$F$3:$G$34,2,FALSE))=TRUE,0,VLOOKUP(B205,'NÖBV 3'!$F$3:$G$34,2,FALSE)),IF(ISNA(VLOOKUP(B205,'NÖBV 3'!$J$3:$K$34,2,FALSE))=TRUE,0,VLOOKUP(B205,'NÖBV 3'!$J$3:$K$34,2,FALSE)),IF(ISNA(VLOOKUP(B205,'NÖBV 3'!$N$3:$O$34,2,FALSE))=TRUE,0,VLOOKUP(B205,'NÖBV 3'!$N$3:$O$34,2,FALSE)))</f>
        <v>0</v>
      </c>
      <c r="O205" s="15">
        <f>MAX(IF(ISNA(VLOOKUP(B205,'Regioturnier 1'!$B$3:$C$34,2,FALSE))=TRUE,0,VLOOKUP(B205,'Regioturnier 1'!$B$3:$C$34,2,FALSE)),IF(ISNA(VLOOKUP(B205,'Regioturnier 1'!$F$3:$G$34,2,FALSE))=TRUE,0,VLOOKUP(B205,'Regioturnier 1'!$F$3:$G$34,2,FALSE)),IF(ISNA(VLOOKUP(B205,'Regioturnier 1'!$J$3:$K$34,2,FALSE))=TRUE,0,VLOOKUP(B205,'Regioturnier 1'!$J$3:$K$34,2,FALSE)),IF(ISNA(VLOOKUP(B205,'Regioturnier 1'!$N$3:$O$34,2,FALSE))=TRUE,0,VLOOKUP(B205,'Regioturnier 1'!$N$3:$O$34,2,FALSE)),IF(ISNA(VLOOKUP(B205,'Regioturnier 1'!$R$3:$S$34,2,FALSE))=TRUE,0,VLOOKUP(B205,'Regioturnier 1'!$R$3:$S$34,2,FALSE)), IF(ISNA(VLOOKUP(B205,'Regioturnier 1'!$V$3:$W$34,2,FALSE))=TRUE,0,VLOOKUP(B205,'Regioturnier 1'!$V$3:$W$34,2,FALSE)), IF(ISNA(VLOOKUP(B205,'Regioturnier 1'!$Z$3:$AA$34,2,FALSE))=TRUE,0,VLOOKUP(B205,'Regioturnier 1'!$Z$3:$AA$34,2,FALSE)))</f>
        <v>0</v>
      </c>
      <c r="P205" s="15">
        <f>MAX(IF(ISNA(VLOOKUP(B205,'Regioturnier 2'!$B$3:$C$34,2,FALSE))=TRUE,0,VLOOKUP(B205,'Regioturnier 2'!$B$3:$C$34,2,FALSE)),IF(ISNA(VLOOKUP(B205,'Regioturnier 2'!$F$3:$G$34,2,FALSE))=TRUE,0,VLOOKUP(B205,'Regioturnier 2'!$F$3:$G$34,2,FALSE)),IF(ISNA(VLOOKUP(B205,'Regioturnier 2'!$J$3:$K$34,2,FALSE))=TRUE,0,VLOOKUP(B205,'Regioturnier 2'!$J$3:$K$34,2,FALSE)),IF(ISNA(VLOOKUP(B205,'Regioturnier 2'!$N$3:$O$34,2,FALSE))=TRUE,0,VLOOKUP(B205,'Regioturnier 2'!$N$3:$O$34,2,FALSE)),IF(ISNA(VLOOKUP(B205,'Regioturnier 2'!$R$3:$S$34,2,FALSE))=TRUE,0,VLOOKUP(B205,'Regioturnier 2'!$R$3:$S$34,2,FALSE)), IF(ISNA(VLOOKUP(B205,'Regioturnier 2'!$V$3:$W$34,2,FALSE))=TRUE,0,VLOOKUP(B205,'Regioturnier 2'!$V$3:$W$34,2,FALSE)), IF(ISNA(VLOOKUP(B205,'Regioturnier 2'!$Z$3:$AA$34,2,FALSE))=TRUE,0,VLOOKUP(B205,'Regioturnier 2'!$Z$3:$AA$34,2,FALSE)))</f>
        <v>0</v>
      </c>
      <c r="Q205" s="15">
        <f>MAX(IF(ISNA(VLOOKUP(B205,'Regioturnier 3'!$B$3:$C$34,2,FALSE))=TRUE,0,VLOOKUP(B205,'Regioturnier 3'!$B$3:$C$34,2,FALSE)),IF(ISNA(VLOOKUP(B205,'Regioturnier 3'!$F$3:$G$34,2,FALSE))=TRUE,0,VLOOKUP(B205,'Regioturnier 3'!$F$3:$G$34,2,FALSE)),IF(ISNA(VLOOKUP(B205,'Regioturnier 3'!$J$3:$K$34,2,FALSE))=TRUE,0,VLOOKUP(B205,'Regioturnier 3'!$J$3:$K$34,2,FALSE)),IF(ISNA(VLOOKUP(B205,'Regioturnier 3'!$N$3:$O$34,2,FALSE))=TRUE,0,VLOOKUP(B205,'Regioturnier 3'!$N$3:$O$34,2,FALSE)),IF(ISNA(VLOOKUP(B205,'Regioturnier 3'!$R$3:$S$34,2,FALSE))=TRUE,0,VLOOKUP(B205,'Regioturnier 3'!$R$3:$S$34,2,FALSE)), IF(ISNA(VLOOKUP(B205,'Regioturnier 3'!$V$3:$W$34,2,FALSE))=TRUE,0,VLOOKUP(B205,'Regioturnier 3'!$V$3:$W$34,2,FALSE)), IF(ISNA(VLOOKUP(B205,'Regioturnier 3'!$Z$3:$AA$34,2,FALSE))=TRUE,0,VLOOKUP(B205,'Regioturnier 3'!$Z$3:$AA$34,2,FALSE)))</f>
        <v>0</v>
      </c>
      <c r="R205" s="20">
        <f>0.5*INDEX($H205:$N205,MATCH(LARGE($H205:$N205,1),$H205:$N205,0))+0.3*INDEX($H205:$N205,MATCH(LARGE($H205:$N205,2),$H205:$N205,0))+0.2*INDEX($H205:$N205,MATCH(LARGE($H205:$N205,3),$H205:$N205,0))</f>
        <v>0</v>
      </c>
      <c r="S205" s="20">
        <f>0.6*INDEX(O205:Q205,MATCH(LARGE(O205:Q205,1),O205:Q205,0))+0.4*INDEX(O205:Q205,MATCH(LARGE(O205:Q205,2),O205:Q205,0))+0*INDEX(O205:Q205,MATCH(LARGE(O205:Q205,3),O205:Q205,0))</f>
        <v>0</v>
      </c>
      <c r="T205" s="15">
        <f>1*INDEX(R205:S205,MATCH(LARGE(R205:S205,1),R205:S205,0))+0*INDEX(R205:S205,MATCH(LARGE(R205:S205,2),R205:S205,0))</f>
        <v>0</v>
      </c>
      <c r="U205" s="21"/>
      <c r="V205" s="21"/>
      <c r="W205" s="21"/>
      <c r="X205" s="21"/>
      <c r="Y205" s="21"/>
      <c r="Z205" s="21"/>
    </row>
    <row r="206" spans="1:26" ht="12.75" customHeight="1" x14ac:dyDescent="0.3">
      <c r="A206" s="15">
        <v>205</v>
      </c>
      <c r="B206" s="16" t="s">
        <v>199</v>
      </c>
      <c r="C206" s="17" t="s">
        <v>43</v>
      </c>
      <c r="D206" s="15" t="s">
        <v>26</v>
      </c>
      <c r="E206" s="18" t="s">
        <v>23</v>
      </c>
      <c r="F206" s="15">
        <v>110647</v>
      </c>
      <c r="G206" s="22">
        <v>2007</v>
      </c>
      <c r="H206" s="15">
        <f>MAX(IF(ISNA(VLOOKUP(B206,'WBV 1'!$B$3:$C$34,2,FALSE))=TRUE,0,VLOOKUP(B206,'WBV 1'!$B$3:$C$34,2,FALSE)),IF(ISNA(VLOOKUP(B206,'WBV 1'!$F$3:$G$34,2,FALSE))=TRUE,0,VLOOKUP(B206,'WBV 1'!$F$3:$G$34,2,FALSE)),IF(ISNA(VLOOKUP(B206,'WBV 1'!$J$3:$K$34,2,FALSE))=TRUE,0,VLOOKUP(B206,'WBV 1'!$J$3:$K$34,2,FALSE)),IF(ISNA(VLOOKUP(B206,'WBV 1'!$N$3:$O$34,2,FALSE))=TRUE,0,VLOOKUP(B206,'WBV 1'!$N$3:$O$34,2,FALSE)))</f>
        <v>0</v>
      </c>
      <c r="I206" s="15">
        <f>MAX(IF(ISNA(VLOOKUP(B206,'WBV 2'!$B$3:$C$34,2,FALSE))=TRUE,0,VLOOKUP(B206,'WBV 2'!$B$3:$C$34,2,FALSE)),IF(ISNA(VLOOKUP(B206,'WBV 2'!$F$3:$G$34,2,FALSE))=TRUE,0,VLOOKUP(B206,'WBV 2'!$F$3:$G$34,2,FALSE)),IF(ISNA(VLOOKUP(B206,'WBV 2'!$J$3:$K$34,2,FALSE))=TRUE,0,VLOOKUP(B206,'WBV 2'!$J$3:$K$34,2,FALSE)),IF(ISNA(VLOOKUP(B206,'WBV 2'!$N$3:$O$34,2,FALSE))=TRUE,0,VLOOKUP(B206,'WBV 2'!$N$3:$O$34,2,FALSE)))</f>
        <v>0</v>
      </c>
      <c r="J206" s="15">
        <f>MAX(IF(ISNA(VLOOKUP(B206,'WBV 3'!$B$3:$C$34,2,FALSE))=TRUE,0,VLOOKUP(B206,'WBV 3'!$B$3:$C$34,2,FALSE)),IF(ISNA(VLOOKUP(B206,'WBV 3'!$F$3:$G$34,2,FALSE))=TRUE,0,VLOOKUP(B206,'WBV 3'!$F$3:$G$34,2,FALSE)),IF(ISNA(VLOOKUP(B206,'WBV 3'!$J$3:$K$34,2,FALSE))=TRUE,0,VLOOKUP(B206,'WBV 3'!$J$3:$K$34,2,FALSE)),IF(ISNA(VLOOKUP(B206,'WBV 3'!$N$3:$O$34,2,FALSE))=TRUE,0,VLOOKUP(B206,'WBV 3'!$N$3:$O$34,2,FALSE)))</f>
        <v>0</v>
      </c>
      <c r="K206" s="15">
        <f>MAX(IF(ISNA(VLOOKUP(B206,'WBV 4'!$B$3:$C$34,2,FALSE))=TRUE,0,VLOOKUP(B206,'WBV 4'!$B$3:$C$34,2,FALSE)),IF(ISNA(VLOOKUP(B206,'WBV 4'!$F$3:$G$34,2,FALSE))=TRUE,0,VLOOKUP(B206,'WBV 4'!$F$3:$G$34,2,FALSE)),IF(ISNA(VLOOKUP(B206,'WBV 4'!$J$3:$K$34,2,FALSE))=TRUE,0,VLOOKUP(B206,'WBV 4'!$J$3:$K$34,2,FALSE)),IF(ISNA(VLOOKUP(B206,'WBV 4'!$N$3:$O$34,2,FALSE))=TRUE,0,VLOOKUP(B206,'WBV 4'!$N$3:$O$34,2,FALSE)))</f>
        <v>0</v>
      </c>
      <c r="L206" s="19">
        <f>MAX(IF(ISNA(VLOOKUP(B206,'NÖBV 1'!$B$3:$C$34,2,FALSE))=TRUE,0,VLOOKUP(B206,'NÖBV 1'!$B$3:$C$34,2,FALSE)),IF(ISNA(VLOOKUP(B206,'NÖBV 1'!$F$3:$G$34,2,FALSE))=TRUE,0,VLOOKUP(B206,'NÖBV 1'!$F$3:$G$34,2,FALSE)),IF(ISNA(VLOOKUP(B206,'NÖBV 1'!$J$3:$K$34,2,FALSE))=TRUE,0,VLOOKUP(B206,'NÖBV 1'!$J$3:$K$34,2,FALSE)),IF(ISNA(VLOOKUP(B206,'NÖBV 1'!$N$3:$O$34,2,FALSE))=TRUE,0,VLOOKUP(B206,'NÖBV 1'!$N$3:$O$34,2,FALSE)))</f>
        <v>0</v>
      </c>
      <c r="M206" s="19">
        <f>MAX(IF(ISNA(VLOOKUP(B206,'NÖBV 2'!$B$3:$C$34,2,FALSE))=TRUE,0,VLOOKUP(B206,'NÖBV 2'!$B$3:$C$34,2,FALSE)),IF(ISNA(VLOOKUP(B206,'NÖBV 2'!$F$3:$G$34,2,FALSE))=TRUE,0,VLOOKUP(B206,'NÖBV 2'!$F$3:$G$34,2,FALSE)),IF(ISNA(VLOOKUP(B206,'NÖBV 2'!$J$3:$K$34,2,FALSE))=TRUE,0,VLOOKUP(B206,'NÖBV 2'!$J$3:$K$34,2,FALSE)),IF(ISNA(VLOOKUP(B206,'NÖBV 2'!$N$3:$O$34,2,FALSE))=TRUE,0,VLOOKUP(B206,'NÖBV 2'!$N$3:$O$34,2,FALSE)))</f>
        <v>0</v>
      </c>
      <c r="N206" s="19">
        <f>MAX(IF(ISNA(VLOOKUP(B206,'NÖBV 3'!$B$3:$C$34,2,FALSE))=TRUE,0,VLOOKUP(B206,'NÖBV 3'!$B$3:$C$34,2,FALSE)),IF(ISNA(VLOOKUP(B206,'NÖBV 3'!$F$3:$G$34,2,FALSE))=TRUE,0,VLOOKUP(B206,'NÖBV 3'!$F$3:$G$34,2,FALSE)),IF(ISNA(VLOOKUP(B206,'NÖBV 3'!$J$3:$K$34,2,FALSE))=TRUE,0,VLOOKUP(B206,'NÖBV 3'!$J$3:$K$34,2,FALSE)),IF(ISNA(VLOOKUP(B206,'NÖBV 3'!$N$3:$O$34,2,FALSE))=TRUE,0,VLOOKUP(B206,'NÖBV 3'!$N$3:$O$34,2,FALSE)))</f>
        <v>0</v>
      </c>
      <c r="O206" s="15">
        <f>MAX(IF(ISNA(VLOOKUP(B206,'Regioturnier 1'!$B$3:$C$34,2,FALSE))=TRUE,0,VLOOKUP(B206,'Regioturnier 1'!$B$3:$C$34,2,FALSE)),IF(ISNA(VLOOKUP(B206,'Regioturnier 1'!$F$3:$G$34,2,FALSE))=TRUE,0,VLOOKUP(B206,'Regioturnier 1'!$F$3:$G$34,2,FALSE)),IF(ISNA(VLOOKUP(B206,'Regioturnier 1'!$J$3:$K$34,2,FALSE))=TRUE,0,VLOOKUP(B206,'Regioturnier 1'!$J$3:$K$34,2,FALSE)),IF(ISNA(VLOOKUP(B206,'Regioturnier 1'!$N$3:$O$34,2,FALSE))=TRUE,0,VLOOKUP(B206,'Regioturnier 1'!$N$3:$O$34,2,FALSE)),IF(ISNA(VLOOKUP(B206,'Regioturnier 1'!$R$3:$S$34,2,FALSE))=TRUE,0,VLOOKUP(B206,'Regioturnier 1'!$R$3:$S$34,2,FALSE)), IF(ISNA(VLOOKUP(B206,'Regioturnier 1'!$V$3:$W$34,2,FALSE))=TRUE,0,VLOOKUP(B206,'Regioturnier 1'!$V$3:$W$34,2,FALSE)), IF(ISNA(VLOOKUP(B206,'Regioturnier 1'!$Z$3:$AA$34,2,FALSE))=TRUE,0,VLOOKUP(B206,'Regioturnier 1'!$Z$3:$AA$34,2,FALSE)))</f>
        <v>0</v>
      </c>
      <c r="P206" s="15">
        <f>MAX(IF(ISNA(VLOOKUP(B206,'Regioturnier 2'!$B$3:$C$34,2,FALSE))=TRUE,0,VLOOKUP(B206,'Regioturnier 2'!$B$3:$C$34,2,FALSE)),IF(ISNA(VLOOKUP(B206,'Regioturnier 2'!$F$3:$G$34,2,FALSE))=TRUE,0,VLOOKUP(B206,'Regioturnier 2'!$F$3:$G$34,2,FALSE)),IF(ISNA(VLOOKUP(B206,'Regioturnier 2'!$J$3:$K$34,2,FALSE))=TRUE,0,VLOOKUP(B206,'Regioturnier 2'!$J$3:$K$34,2,FALSE)),IF(ISNA(VLOOKUP(B206,'Regioturnier 2'!$N$3:$O$34,2,FALSE))=TRUE,0,VLOOKUP(B206,'Regioturnier 2'!$N$3:$O$34,2,FALSE)),IF(ISNA(VLOOKUP(B206,'Regioturnier 2'!$R$3:$S$34,2,FALSE))=TRUE,0,VLOOKUP(B206,'Regioturnier 2'!$R$3:$S$34,2,FALSE)), IF(ISNA(VLOOKUP(B206,'Regioturnier 2'!$V$3:$W$34,2,FALSE))=TRUE,0,VLOOKUP(B206,'Regioturnier 2'!$V$3:$W$34,2,FALSE)), IF(ISNA(VLOOKUP(B206,'Regioturnier 2'!$Z$3:$AA$34,2,FALSE))=TRUE,0,VLOOKUP(B206,'Regioturnier 2'!$Z$3:$AA$34,2,FALSE)))</f>
        <v>0</v>
      </c>
      <c r="Q206" s="15">
        <f>MAX(IF(ISNA(VLOOKUP(B206,'Regioturnier 3'!$B$3:$C$34,2,FALSE))=TRUE,0,VLOOKUP(B206,'Regioturnier 3'!$B$3:$C$34,2,FALSE)),IF(ISNA(VLOOKUP(B206,'Regioturnier 3'!$F$3:$G$34,2,FALSE))=TRUE,0,VLOOKUP(B206,'Regioturnier 3'!$F$3:$G$34,2,FALSE)),IF(ISNA(VLOOKUP(B206,'Regioturnier 3'!$J$3:$K$34,2,FALSE))=TRUE,0,VLOOKUP(B206,'Regioturnier 3'!$J$3:$K$34,2,FALSE)),IF(ISNA(VLOOKUP(B206,'Regioturnier 3'!$N$3:$O$34,2,FALSE))=TRUE,0,VLOOKUP(B206,'Regioturnier 3'!$N$3:$O$34,2,FALSE)),IF(ISNA(VLOOKUP(B206,'Regioturnier 3'!$R$3:$S$34,2,FALSE))=TRUE,0,VLOOKUP(B206,'Regioturnier 3'!$R$3:$S$34,2,FALSE)), IF(ISNA(VLOOKUP(B206,'Regioturnier 3'!$V$3:$W$34,2,FALSE))=TRUE,0,VLOOKUP(B206,'Regioturnier 3'!$V$3:$W$34,2,FALSE)), IF(ISNA(VLOOKUP(B206,'Regioturnier 3'!$Z$3:$AA$34,2,FALSE))=TRUE,0,VLOOKUP(B206,'Regioturnier 3'!$Z$3:$AA$34,2,FALSE)))</f>
        <v>0</v>
      </c>
      <c r="R206" s="20">
        <f>0.5*INDEX($H206:$N206,MATCH(LARGE($H206:$N206,1),$H206:$N206,0))+0.3*INDEX($H206:$N206,MATCH(LARGE($H206:$N206,2),$H206:$N206,0))+0.2*INDEX($H206:$N206,MATCH(LARGE($H206:$N206,3),$H206:$N206,0))</f>
        <v>0</v>
      </c>
      <c r="S206" s="20">
        <f>0.6*INDEX(O206:Q206,MATCH(LARGE(O206:Q206,1),O206:Q206,0))+0.4*INDEX(O206:Q206,MATCH(LARGE(O206:Q206,2),O206:Q206,0))+0*INDEX(O206:Q206,MATCH(LARGE(O206:Q206,3),O206:Q206,0))</f>
        <v>0</v>
      </c>
      <c r="T206" s="15">
        <f>1*INDEX(R206:S206,MATCH(LARGE(R206:S206,1),R206:S206,0))+0*INDEX(R206:S206,MATCH(LARGE(R206:S206,2),R206:S206,0))</f>
        <v>0</v>
      </c>
      <c r="U206" s="21"/>
      <c r="V206" s="21"/>
      <c r="W206" s="21"/>
      <c r="X206" s="21"/>
      <c r="Y206" s="21"/>
      <c r="Z206" s="21"/>
    </row>
    <row r="207" spans="1:26" ht="12.75" customHeight="1" x14ac:dyDescent="0.3">
      <c r="A207" s="15">
        <v>206</v>
      </c>
      <c r="B207" s="16" t="s">
        <v>55</v>
      </c>
      <c r="C207" s="17" t="s">
        <v>31</v>
      </c>
      <c r="D207" s="15" t="s">
        <v>26</v>
      </c>
      <c r="E207" s="18" t="s">
        <v>40</v>
      </c>
      <c r="F207" s="15">
        <v>18087</v>
      </c>
      <c r="G207" s="22">
        <v>2011</v>
      </c>
      <c r="H207" s="15">
        <f>MAX(IF(ISNA(VLOOKUP(B207,'WBV 1'!$B$3:$C$34,2,FALSE))=TRUE,0,VLOOKUP(B207,'WBV 1'!$B$3:$C$34,2,FALSE)),IF(ISNA(VLOOKUP(B207,'WBV 1'!$F$3:$G$34,2,FALSE))=TRUE,0,VLOOKUP(B207,'WBV 1'!$F$3:$G$34,2,FALSE)),IF(ISNA(VLOOKUP(B207,'WBV 1'!$J$3:$K$34,2,FALSE))=TRUE,0,VLOOKUP(B207,'WBV 1'!$J$3:$K$34,2,FALSE)),IF(ISNA(VLOOKUP(B207,'WBV 1'!$N$3:$O$34,2,FALSE))=TRUE,0,VLOOKUP(B207,'WBV 1'!$N$3:$O$34,2,FALSE)))</f>
        <v>0</v>
      </c>
      <c r="I207" s="15">
        <f>MAX(IF(ISNA(VLOOKUP(B207,'WBV 2'!$B$3:$C$34,2,FALSE))=TRUE,0,VLOOKUP(B207,'WBV 2'!$B$3:$C$34,2,FALSE)),IF(ISNA(VLOOKUP(B207,'WBV 2'!$F$3:$G$34,2,FALSE))=TRUE,0,VLOOKUP(B207,'WBV 2'!$F$3:$G$34,2,FALSE)),IF(ISNA(VLOOKUP(B207,'WBV 2'!$J$3:$K$34,2,FALSE))=TRUE,0,VLOOKUP(B207,'WBV 2'!$J$3:$K$34,2,FALSE)),IF(ISNA(VLOOKUP(B207,'WBV 2'!$N$3:$O$34,2,FALSE))=TRUE,0,VLOOKUP(B207,'WBV 2'!$N$3:$O$34,2,FALSE)))</f>
        <v>0</v>
      </c>
      <c r="J207" s="15">
        <f>MAX(IF(ISNA(VLOOKUP(B207,'WBV 3'!$B$3:$C$34,2,FALSE))=TRUE,0,VLOOKUP(B207,'WBV 3'!$B$3:$C$34,2,FALSE)),IF(ISNA(VLOOKUP(B207,'WBV 3'!$F$3:$G$34,2,FALSE))=TRUE,0,VLOOKUP(B207,'WBV 3'!$F$3:$G$34,2,FALSE)),IF(ISNA(VLOOKUP(B207,'WBV 3'!$J$3:$K$34,2,FALSE))=TRUE,0,VLOOKUP(B207,'WBV 3'!$J$3:$K$34,2,FALSE)),IF(ISNA(VLOOKUP(B207,'WBV 3'!$N$3:$O$34,2,FALSE))=TRUE,0,VLOOKUP(B207,'WBV 3'!$N$3:$O$34,2,FALSE)))</f>
        <v>0</v>
      </c>
      <c r="K207" s="15">
        <f>MAX(IF(ISNA(VLOOKUP(B207,'WBV 4'!$B$3:$C$34,2,FALSE))=TRUE,0,VLOOKUP(B207,'WBV 4'!$B$3:$C$34,2,FALSE)),IF(ISNA(VLOOKUP(B207,'WBV 4'!$F$3:$G$34,2,FALSE))=TRUE,0,VLOOKUP(B207,'WBV 4'!$F$3:$G$34,2,FALSE)),IF(ISNA(VLOOKUP(B207,'WBV 4'!$J$3:$K$34,2,FALSE))=TRUE,0,VLOOKUP(B207,'WBV 4'!$J$3:$K$34,2,FALSE)),IF(ISNA(VLOOKUP(B207,'WBV 4'!$N$3:$O$34,2,FALSE))=TRUE,0,VLOOKUP(B207,'WBV 4'!$N$3:$O$34,2,FALSE)))</f>
        <v>0</v>
      </c>
      <c r="L207" s="19">
        <f>MAX(IF(ISNA(VLOOKUP(B207,'NÖBV 1'!$B$3:$C$34,2,FALSE))=TRUE,0,VLOOKUP(B207,'NÖBV 1'!$B$3:$C$34,2,FALSE)),IF(ISNA(VLOOKUP(B207,'NÖBV 1'!$F$3:$G$34,2,FALSE))=TRUE,0,VLOOKUP(B207,'NÖBV 1'!$F$3:$G$34,2,FALSE)),IF(ISNA(VLOOKUP(B207,'NÖBV 1'!$J$3:$K$34,2,FALSE))=TRUE,0,VLOOKUP(B207,'NÖBV 1'!$J$3:$K$34,2,FALSE)),IF(ISNA(VLOOKUP(B207,'NÖBV 1'!$N$3:$O$34,2,FALSE))=TRUE,0,VLOOKUP(B207,'NÖBV 1'!$N$3:$O$34,2,FALSE)))</f>
        <v>0</v>
      </c>
      <c r="M207" s="19">
        <f>MAX(IF(ISNA(VLOOKUP(B207,'NÖBV 2'!$B$3:$C$34,2,FALSE))=TRUE,0,VLOOKUP(B207,'NÖBV 2'!$B$3:$C$34,2,FALSE)),IF(ISNA(VLOOKUP(B207,'NÖBV 2'!$F$3:$G$34,2,FALSE))=TRUE,0,VLOOKUP(B207,'NÖBV 2'!$F$3:$G$34,2,FALSE)),IF(ISNA(VLOOKUP(B207,'NÖBV 2'!$J$3:$K$34,2,FALSE))=TRUE,0,VLOOKUP(B207,'NÖBV 2'!$J$3:$K$34,2,FALSE)),IF(ISNA(VLOOKUP(B207,'NÖBV 2'!$N$3:$O$34,2,FALSE))=TRUE,0,VLOOKUP(B207,'NÖBV 2'!$N$3:$O$34,2,FALSE)))</f>
        <v>0</v>
      </c>
      <c r="N207" s="19">
        <f>MAX(IF(ISNA(VLOOKUP(B207,'NÖBV 3'!$B$3:$C$34,2,FALSE))=TRUE,0,VLOOKUP(B207,'NÖBV 3'!$B$3:$C$34,2,FALSE)),IF(ISNA(VLOOKUP(B207,'NÖBV 3'!$F$3:$G$34,2,FALSE))=TRUE,0,VLOOKUP(B207,'NÖBV 3'!$F$3:$G$34,2,FALSE)),IF(ISNA(VLOOKUP(B207,'NÖBV 3'!$J$3:$K$34,2,FALSE))=TRUE,0,VLOOKUP(B207,'NÖBV 3'!$J$3:$K$34,2,FALSE)),IF(ISNA(VLOOKUP(B207,'NÖBV 3'!$N$3:$O$34,2,FALSE))=TRUE,0,VLOOKUP(B207,'NÖBV 3'!$N$3:$O$34,2,FALSE)))</f>
        <v>0</v>
      </c>
      <c r="O207" s="15">
        <f>MAX(IF(ISNA(VLOOKUP(B207,'Regioturnier 1'!$B$3:$C$34,2,FALSE))=TRUE,0,VLOOKUP(B207,'Regioturnier 1'!$B$3:$C$34,2,FALSE)),IF(ISNA(VLOOKUP(B207,'Regioturnier 1'!$F$3:$G$34,2,FALSE))=TRUE,0,VLOOKUP(B207,'Regioturnier 1'!$F$3:$G$34,2,FALSE)),IF(ISNA(VLOOKUP(B207,'Regioturnier 1'!$J$3:$K$34,2,FALSE))=TRUE,0,VLOOKUP(B207,'Regioturnier 1'!$J$3:$K$34,2,FALSE)),IF(ISNA(VLOOKUP(B207,'Regioturnier 1'!$N$3:$O$34,2,FALSE))=TRUE,0,VLOOKUP(B207,'Regioturnier 1'!$N$3:$O$34,2,FALSE)),IF(ISNA(VLOOKUP(B207,'Regioturnier 1'!$R$3:$S$34,2,FALSE))=TRUE,0,VLOOKUP(B207,'Regioturnier 1'!$R$3:$S$34,2,FALSE)), IF(ISNA(VLOOKUP(B207,'Regioturnier 1'!$V$3:$W$34,2,FALSE))=TRUE,0,VLOOKUP(B207,'Regioturnier 1'!$V$3:$W$34,2,FALSE)), IF(ISNA(VLOOKUP(B207,'Regioturnier 1'!$Z$3:$AA$34,2,FALSE))=TRUE,0,VLOOKUP(B207,'Regioturnier 1'!$Z$3:$AA$34,2,FALSE)))</f>
        <v>0</v>
      </c>
      <c r="P207" s="15">
        <f>MAX(IF(ISNA(VLOOKUP(B207,'Regioturnier 2'!$B$3:$C$34,2,FALSE))=TRUE,0,VLOOKUP(B207,'Regioturnier 2'!$B$3:$C$34,2,FALSE)),IF(ISNA(VLOOKUP(B207,'Regioturnier 2'!$F$3:$G$34,2,FALSE))=TRUE,0,VLOOKUP(B207,'Regioturnier 2'!$F$3:$G$34,2,FALSE)),IF(ISNA(VLOOKUP(B207,'Regioturnier 2'!$J$3:$K$34,2,FALSE))=TRUE,0,VLOOKUP(B207,'Regioturnier 2'!$J$3:$K$34,2,FALSE)),IF(ISNA(VLOOKUP(B207,'Regioturnier 2'!$N$3:$O$34,2,FALSE))=TRUE,0,VLOOKUP(B207,'Regioturnier 2'!$N$3:$O$34,2,FALSE)),IF(ISNA(VLOOKUP(B207,'Regioturnier 2'!$R$3:$S$34,2,FALSE))=TRUE,0,VLOOKUP(B207,'Regioturnier 2'!$R$3:$S$34,2,FALSE)), IF(ISNA(VLOOKUP(B207,'Regioturnier 2'!$V$3:$W$34,2,FALSE))=TRUE,0,VLOOKUP(B207,'Regioturnier 2'!$V$3:$W$34,2,FALSE)), IF(ISNA(VLOOKUP(B207,'Regioturnier 2'!$Z$3:$AA$34,2,FALSE))=TRUE,0,VLOOKUP(B207,'Regioturnier 2'!$Z$3:$AA$34,2,FALSE)))</f>
        <v>0</v>
      </c>
      <c r="Q207" s="15">
        <f>MAX(IF(ISNA(VLOOKUP(B207,'Regioturnier 3'!$B$3:$C$34,2,FALSE))=TRUE,0,VLOOKUP(B207,'Regioturnier 3'!$B$3:$C$34,2,FALSE)),IF(ISNA(VLOOKUP(B207,'Regioturnier 3'!$F$3:$G$34,2,FALSE))=TRUE,0,VLOOKUP(B207,'Regioturnier 3'!$F$3:$G$34,2,FALSE)),IF(ISNA(VLOOKUP(B207,'Regioturnier 3'!$J$3:$K$34,2,FALSE))=TRUE,0,VLOOKUP(B207,'Regioturnier 3'!$J$3:$K$34,2,FALSE)),IF(ISNA(VLOOKUP(B207,'Regioturnier 3'!$N$3:$O$34,2,FALSE))=TRUE,0,VLOOKUP(B207,'Regioturnier 3'!$N$3:$O$34,2,FALSE)),IF(ISNA(VLOOKUP(B207,'Regioturnier 3'!$R$3:$S$34,2,FALSE))=TRUE,0,VLOOKUP(B207,'Regioturnier 3'!$R$3:$S$34,2,FALSE)), IF(ISNA(VLOOKUP(B207,'Regioturnier 3'!$V$3:$W$34,2,FALSE))=TRUE,0,VLOOKUP(B207,'Regioturnier 3'!$V$3:$W$34,2,FALSE)), IF(ISNA(VLOOKUP(B207,'Regioturnier 3'!$Z$3:$AA$34,2,FALSE))=TRUE,0,VLOOKUP(B207,'Regioturnier 3'!$Z$3:$AA$34,2,FALSE)))</f>
        <v>0</v>
      </c>
      <c r="R207" s="20">
        <f>0.5*INDEX($H207:$N207,MATCH(LARGE($H207:$N207,1),$H207:$N207,0))+0.3*INDEX($H207:$N207,MATCH(LARGE($H207:$N207,2),$H207:$N207,0))+0.2*INDEX($H207:$N207,MATCH(LARGE($H207:$N207,3),$H207:$N207,0))</f>
        <v>0</v>
      </c>
      <c r="S207" s="20">
        <f>0.6*INDEX(O207:Q207,MATCH(LARGE(O207:Q207,1),O207:Q207,0))+0.4*INDEX(O207:Q207,MATCH(LARGE(O207:Q207,2),O207:Q207,0))+0*INDEX(O207:Q207,MATCH(LARGE(O207:Q207,3),O207:Q207,0))</f>
        <v>0</v>
      </c>
      <c r="T207" s="15">
        <f>1*INDEX(R207:S207,MATCH(LARGE(R207:S207,1),R207:S207,0))+0*INDEX(R207:S207,MATCH(LARGE(R207:S207,2),R207:S207,0))</f>
        <v>0</v>
      </c>
      <c r="U207" s="21"/>
      <c r="V207" s="21"/>
      <c r="W207" s="21"/>
      <c r="X207" s="21"/>
      <c r="Y207" s="21"/>
      <c r="Z207" s="21"/>
    </row>
    <row r="208" spans="1:26" ht="12.75" customHeight="1" x14ac:dyDescent="0.3">
      <c r="A208" s="15">
        <v>207</v>
      </c>
      <c r="B208" s="16" t="s">
        <v>204</v>
      </c>
      <c r="C208" s="17" t="s">
        <v>57</v>
      </c>
      <c r="D208" s="15" t="s">
        <v>26</v>
      </c>
      <c r="E208" s="18" t="s">
        <v>23</v>
      </c>
      <c r="F208" s="15">
        <v>109709</v>
      </c>
      <c r="G208" s="22">
        <v>2009</v>
      </c>
      <c r="H208" s="15">
        <f>MAX(IF(ISNA(VLOOKUP(B208,'WBV 1'!$B$3:$C$34,2,FALSE))=TRUE,0,VLOOKUP(B208,'WBV 1'!$B$3:$C$34,2,FALSE)),IF(ISNA(VLOOKUP(B208,'WBV 1'!$F$3:$G$34,2,FALSE))=TRUE,0,VLOOKUP(B208,'WBV 1'!$F$3:$G$34,2,FALSE)),IF(ISNA(VLOOKUP(B208,'WBV 1'!$J$3:$K$34,2,FALSE))=TRUE,0,VLOOKUP(B208,'WBV 1'!$J$3:$K$34,2,FALSE)),IF(ISNA(VLOOKUP(B208,'WBV 1'!$N$3:$O$34,2,FALSE))=TRUE,0,VLOOKUP(B208,'WBV 1'!$N$3:$O$34,2,FALSE)))</f>
        <v>0</v>
      </c>
      <c r="I208" s="15">
        <f>MAX(IF(ISNA(VLOOKUP(B208,'WBV 2'!$B$3:$C$34,2,FALSE))=TRUE,0,VLOOKUP(B208,'WBV 2'!$B$3:$C$34,2,FALSE)),IF(ISNA(VLOOKUP(B208,'WBV 2'!$F$3:$G$34,2,FALSE))=TRUE,0,VLOOKUP(B208,'WBV 2'!$F$3:$G$34,2,FALSE)),IF(ISNA(VLOOKUP(B208,'WBV 2'!$J$3:$K$34,2,FALSE))=TRUE,0,VLOOKUP(B208,'WBV 2'!$J$3:$K$34,2,FALSE)),IF(ISNA(VLOOKUP(B208,'WBV 2'!$N$3:$O$34,2,FALSE))=TRUE,0,VLOOKUP(B208,'WBV 2'!$N$3:$O$34,2,FALSE)))</f>
        <v>0</v>
      </c>
      <c r="J208" s="15">
        <f>MAX(IF(ISNA(VLOOKUP(B208,'WBV 3'!$B$3:$C$34,2,FALSE))=TRUE,0,VLOOKUP(B208,'WBV 3'!$B$3:$C$34,2,FALSE)),IF(ISNA(VLOOKUP(B208,'WBV 3'!$F$3:$G$34,2,FALSE))=TRUE,0,VLOOKUP(B208,'WBV 3'!$F$3:$G$34,2,FALSE)),IF(ISNA(VLOOKUP(B208,'WBV 3'!$J$3:$K$34,2,FALSE))=TRUE,0,VLOOKUP(B208,'WBV 3'!$J$3:$K$34,2,FALSE)),IF(ISNA(VLOOKUP(B208,'WBV 3'!$N$3:$O$34,2,FALSE))=TRUE,0,VLOOKUP(B208,'WBV 3'!$N$3:$O$34,2,FALSE)))</f>
        <v>0</v>
      </c>
      <c r="K208" s="15">
        <f>MAX(IF(ISNA(VLOOKUP(B208,'WBV 4'!$B$3:$C$34,2,FALSE))=TRUE,0,VLOOKUP(B208,'WBV 4'!$B$3:$C$34,2,FALSE)),IF(ISNA(VLOOKUP(B208,'WBV 4'!$F$3:$G$34,2,FALSE))=TRUE,0,VLOOKUP(B208,'WBV 4'!$F$3:$G$34,2,FALSE)),IF(ISNA(VLOOKUP(B208,'WBV 4'!$J$3:$K$34,2,FALSE))=TRUE,0,VLOOKUP(B208,'WBV 4'!$J$3:$K$34,2,FALSE)),IF(ISNA(VLOOKUP(B208,'WBV 4'!$N$3:$O$34,2,FALSE))=TRUE,0,VLOOKUP(B208,'WBV 4'!$N$3:$O$34,2,FALSE)))</f>
        <v>0</v>
      </c>
      <c r="L208" s="19">
        <f>MAX(IF(ISNA(VLOOKUP(B208,'NÖBV 1'!$B$3:$C$34,2,FALSE))=TRUE,0,VLOOKUP(B208,'NÖBV 1'!$B$3:$C$34,2,FALSE)),IF(ISNA(VLOOKUP(B208,'NÖBV 1'!$F$3:$G$34,2,FALSE))=TRUE,0,VLOOKUP(B208,'NÖBV 1'!$F$3:$G$34,2,FALSE)),IF(ISNA(VLOOKUP(B208,'NÖBV 1'!$J$3:$K$34,2,FALSE))=TRUE,0,VLOOKUP(B208,'NÖBV 1'!$J$3:$K$34,2,FALSE)),IF(ISNA(VLOOKUP(B208,'NÖBV 1'!$N$3:$O$34,2,FALSE))=TRUE,0,VLOOKUP(B208,'NÖBV 1'!$N$3:$O$34,2,FALSE)))</f>
        <v>0</v>
      </c>
      <c r="M208" s="19">
        <f>MAX(IF(ISNA(VLOOKUP(B208,'NÖBV 2'!$B$3:$C$34,2,FALSE))=TRUE,0,VLOOKUP(B208,'NÖBV 2'!$B$3:$C$34,2,FALSE)),IF(ISNA(VLOOKUP(B208,'NÖBV 2'!$F$3:$G$34,2,FALSE))=TRUE,0,VLOOKUP(B208,'NÖBV 2'!$F$3:$G$34,2,FALSE)),IF(ISNA(VLOOKUP(B208,'NÖBV 2'!$J$3:$K$34,2,FALSE))=TRUE,0,VLOOKUP(B208,'NÖBV 2'!$J$3:$K$34,2,FALSE)),IF(ISNA(VLOOKUP(B208,'NÖBV 2'!$N$3:$O$34,2,FALSE))=TRUE,0,VLOOKUP(B208,'NÖBV 2'!$N$3:$O$34,2,FALSE)))</f>
        <v>0</v>
      </c>
      <c r="N208" s="19">
        <f>MAX(IF(ISNA(VLOOKUP(B208,'NÖBV 3'!$B$3:$C$34,2,FALSE))=TRUE,0,VLOOKUP(B208,'NÖBV 3'!$B$3:$C$34,2,FALSE)),IF(ISNA(VLOOKUP(B208,'NÖBV 3'!$F$3:$G$34,2,FALSE))=TRUE,0,VLOOKUP(B208,'NÖBV 3'!$F$3:$G$34,2,FALSE)),IF(ISNA(VLOOKUP(B208,'NÖBV 3'!$J$3:$K$34,2,FALSE))=TRUE,0,VLOOKUP(B208,'NÖBV 3'!$J$3:$K$34,2,FALSE)),IF(ISNA(VLOOKUP(B208,'NÖBV 3'!$N$3:$O$34,2,FALSE))=TRUE,0,VLOOKUP(B208,'NÖBV 3'!$N$3:$O$34,2,FALSE)))</f>
        <v>0</v>
      </c>
      <c r="O208" s="15">
        <f>MAX(IF(ISNA(VLOOKUP(B208,'Regioturnier 1'!$B$3:$C$34,2,FALSE))=TRUE,0,VLOOKUP(B208,'Regioturnier 1'!$B$3:$C$34,2,FALSE)),IF(ISNA(VLOOKUP(B208,'Regioturnier 1'!$F$3:$G$34,2,FALSE))=TRUE,0,VLOOKUP(B208,'Regioturnier 1'!$F$3:$G$34,2,FALSE)),IF(ISNA(VLOOKUP(B208,'Regioturnier 1'!$J$3:$K$34,2,FALSE))=TRUE,0,VLOOKUP(B208,'Regioturnier 1'!$J$3:$K$34,2,FALSE)),IF(ISNA(VLOOKUP(B208,'Regioturnier 1'!$N$3:$O$34,2,FALSE))=TRUE,0,VLOOKUP(B208,'Regioturnier 1'!$N$3:$O$34,2,FALSE)),IF(ISNA(VLOOKUP(B208,'Regioturnier 1'!$R$3:$S$34,2,FALSE))=TRUE,0,VLOOKUP(B208,'Regioturnier 1'!$R$3:$S$34,2,FALSE)), IF(ISNA(VLOOKUP(B208,'Regioturnier 1'!$V$3:$W$34,2,FALSE))=TRUE,0,VLOOKUP(B208,'Regioturnier 1'!$V$3:$W$34,2,FALSE)), IF(ISNA(VLOOKUP(B208,'Regioturnier 1'!$Z$3:$AA$34,2,FALSE))=TRUE,0,VLOOKUP(B208,'Regioturnier 1'!$Z$3:$AA$34,2,FALSE)))</f>
        <v>0</v>
      </c>
      <c r="P208" s="15">
        <f>MAX(IF(ISNA(VLOOKUP(B208,'Regioturnier 2'!$B$3:$C$34,2,FALSE))=TRUE,0,VLOOKUP(B208,'Regioturnier 2'!$B$3:$C$34,2,FALSE)),IF(ISNA(VLOOKUP(B208,'Regioturnier 2'!$F$3:$G$34,2,FALSE))=TRUE,0,VLOOKUP(B208,'Regioturnier 2'!$F$3:$G$34,2,FALSE)),IF(ISNA(VLOOKUP(B208,'Regioturnier 2'!$J$3:$K$34,2,FALSE))=TRUE,0,VLOOKUP(B208,'Regioturnier 2'!$J$3:$K$34,2,FALSE)),IF(ISNA(VLOOKUP(B208,'Regioturnier 2'!$N$3:$O$34,2,FALSE))=TRUE,0,VLOOKUP(B208,'Regioturnier 2'!$N$3:$O$34,2,FALSE)),IF(ISNA(VLOOKUP(B208,'Regioturnier 2'!$R$3:$S$34,2,FALSE))=TRUE,0,VLOOKUP(B208,'Regioturnier 2'!$R$3:$S$34,2,FALSE)), IF(ISNA(VLOOKUP(B208,'Regioturnier 2'!$V$3:$W$34,2,FALSE))=TRUE,0,VLOOKUP(B208,'Regioturnier 2'!$V$3:$W$34,2,FALSE)), IF(ISNA(VLOOKUP(B208,'Regioturnier 2'!$Z$3:$AA$34,2,FALSE))=TRUE,0,VLOOKUP(B208,'Regioturnier 2'!$Z$3:$AA$34,2,FALSE)))</f>
        <v>0</v>
      </c>
      <c r="Q208" s="15">
        <f>MAX(IF(ISNA(VLOOKUP(B208,'Regioturnier 3'!$B$3:$C$34,2,FALSE))=TRUE,0,VLOOKUP(B208,'Regioturnier 3'!$B$3:$C$34,2,FALSE)),IF(ISNA(VLOOKUP(B208,'Regioturnier 3'!$F$3:$G$34,2,FALSE))=TRUE,0,VLOOKUP(B208,'Regioturnier 3'!$F$3:$G$34,2,FALSE)),IF(ISNA(VLOOKUP(B208,'Regioturnier 3'!$J$3:$K$34,2,FALSE))=TRUE,0,VLOOKUP(B208,'Regioturnier 3'!$J$3:$K$34,2,FALSE)),IF(ISNA(VLOOKUP(B208,'Regioturnier 3'!$N$3:$O$34,2,FALSE))=TRUE,0,VLOOKUP(B208,'Regioturnier 3'!$N$3:$O$34,2,FALSE)),IF(ISNA(VLOOKUP(B208,'Regioturnier 3'!$R$3:$S$34,2,FALSE))=TRUE,0,VLOOKUP(B208,'Regioturnier 3'!$R$3:$S$34,2,FALSE)), IF(ISNA(VLOOKUP(B208,'Regioturnier 3'!$V$3:$W$34,2,FALSE))=TRUE,0,VLOOKUP(B208,'Regioturnier 3'!$V$3:$W$34,2,FALSE)), IF(ISNA(VLOOKUP(B208,'Regioturnier 3'!$Z$3:$AA$34,2,FALSE))=TRUE,0,VLOOKUP(B208,'Regioturnier 3'!$Z$3:$AA$34,2,FALSE)))</f>
        <v>0</v>
      </c>
      <c r="R208" s="20">
        <f>0.5*INDEX($H208:$N208,MATCH(LARGE($H208:$N208,1),$H208:$N208,0))+0.3*INDEX($H208:$N208,MATCH(LARGE($H208:$N208,2),$H208:$N208,0))+0.2*INDEX($H208:$N208,MATCH(LARGE($H208:$N208,3),$H208:$N208,0))</f>
        <v>0</v>
      </c>
      <c r="S208" s="20">
        <f>0.6*INDEX(O208:Q208,MATCH(LARGE(O208:Q208,1),O208:Q208,0))+0.4*INDEX(O208:Q208,MATCH(LARGE(O208:Q208,2),O208:Q208,0))+0*INDEX(O208:Q208,MATCH(LARGE(O208:Q208,3),O208:Q208,0))</f>
        <v>0</v>
      </c>
      <c r="T208" s="15">
        <f>1*INDEX(R208:S208,MATCH(LARGE(R208:S208,1),R208:S208,0))+0*INDEX(R208:S208,MATCH(LARGE(R208:S208,2),R208:S208,0))</f>
        <v>0</v>
      </c>
      <c r="U208" s="21"/>
      <c r="V208" s="21"/>
      <c r="W208" s="21"/>
      <c r="X208" s="21"/>
      <c r="Y208" s="21"/>
      <c r="Z208" s="21"/>
    </row>
    <row r="209" spans="1:26" ht="12.75" customHeight="1" x14ac:dyDescent="0.3">
      <c r="A209" s="15">
        <v>208</v>
      </c>
      <c r="B209" s="16" t="s">
        <v>155</v>
      </c>
      <c r="C209" s="17" t="s">
        <v>25</v>
      </c>
      <c r="D209" s="15" t="s">
        <v>26</v>
      </c>
      <c r="E209" s="18" t="s">
        <v>23</v>
      </c>
      <c r="F209" s="15">
        <v>109727</v>
      </c>
      <c r="G209" s="22">
        <v>2010</v>
      </c>
      <c r="H209" s="15">
        <f>MAX(IF(ISNA(VLOOKUP(B209,'WBV 1'!$B$3:$C$34,2,FALSE))=TRUE,0,VLOOKUP(B209,'WBV 1'!$B$3:$C$34,2,FALSE)),IF(ISNA(VLOOKUP(B209,'WBV 1'!$F$3:$G$34,2,FALSE))=TRUE,0,VLOOKUP(B209,'WBV 1'!$F$3:$G$34,2,FALSE)),IF(ISNA(VLOOKUP(B209,'WBV 1'!$J$3:$K$34,2,FALSE))=TRUE,0,VLOOKUP(B209,'WBV 1'!$J$3:$K$34,2,FALSE)),IF(ISNA(VLOOKUP(B209,'WBV 1'!$N$3:$O$34,2,FALSE))=TRUE,0,VLOOKUP(B209,'WBV 1'!$N$3:$O$34,2,FALSE)))</f>
        <v>0</v>
      </c>
      <c r="I209" s="15">
        <f>MAX(IF(ISNA(VLOOKUP(B209,'WBV 2'!$B$3:$C$34,2,FALSE))=TRUE,0,VLOOKUP(B209,'WBV 2'!$B$3:$C$34,2,FALSE)),IF(ISNA(VLOOKUP(B209,'WBV 2'!$F$3:$G$34,2,FALSE))=TRUE,0,VLOOKUP(B209,'WBV 2'!$F$3:$G$34,2,FALSE)),IF(ISNA(VLOOKUP(B209,'WBV 2'!$J$3:$K$34,2,FALSE))=TRUE,0,VLOOKUP(B209,'WBV 2'!$J$3:$K$34,2,FALSE)),IF(ISNA(VLOOKUP(B209,'WBV 2'!$N$3:$O$34,2,FALSE))=TRUE,0,VLOOKUP(B209,'WBV 2'!$N$3:$O$34,2,FALSE)))</f>
        <v>0</v>
      </c>
      <c r="J209" s="15">
        <f>MAX(IF(ISNA(VLOOKUP(B209,'WBV 3'!$B$3:$C$34,2,FALSE))=TRUE,0,VLOOKUP(B209,'WBV 3'!$B$3:$C$34,2,FALSE)),IF(ISNA(VLOOKUP(B209,'WBV 3'!$F$3:$G$34,2,FALSE))=TRUE,0,VLOOKUP(B209,'WBV 3'!$F$3:$G$34,2,FALSE)),IF(ISNA(VLOOKUP(B209,'WBV 3'!$J$3:$K$34,2,FALSE))=TRUE,0,VLOOKUP(B209,'WBV 3'!$J$3:$K$34,2,FALSE)),IF(ISNA(VLOOKUP(B209,'WBV 3'!$N$3:$O$34,2,FALSE))=TRUE,0,VLOOKUP(B209,'WBV 3'!$N$3:$O$34,2,FALSE)))</f>
        <v>0</v>
      </c>
      <c r="K209" s="15">
        <f>MAX(IF(ISNA(VLOOKUP(B209,'WBV 4'!$B$3:$C$34,2,FALSE))=TRUE,0,VLOOKUP(B209,'WBV 4'!$B$3:$C$34,2,FALSE)),IF(ISNA(VLOOKUP(B209,'WBV 4'!$F$3:$G$34,2,FALSE))=TRUE,0,VLOOKUP(B209,'WBV 4'!$F$3:$G$34,2,FALSE)),IF(ISNA(VLOOKUP(B209,'WBV 4'!$J$3:$K$34,2,FALSE))=TRUE,0,VLOOKUP(B209,'WBV 4'!$J$3:$K$34,2,FALSE)),IF(ISNA(VLOOKUP(B209,'WBV 4'!$N$3:$O$34,2,FALSE))=TRUE,0,VLOOKUP(B209,'WBV 4'!$N$3:$O$34,2,FALSE)))</f>
        <v>0</v>
      </c>
      <c r="L209" s="19">
        <f>MAX(IF(ISNA(VLOOKUP(B209,'NÖBV 1'!$B$3:$C$34,2,FALSE))=TRUE,0,VLOOKUP(B209,'NÖBV 1'!$B$3:$C$34,2,FALSE)),IF(ISNA(VLOOKUP(B209,'NÖBV 1'!$F$3:$G$34,2,FALSE))=TRUE,0,VLOOKUP(B209,'NÖBV 1'!$F$3:$G$34,2,FALSE)),IF(ISNA(VLOOKUP(B209,'NÖBV 1'!$J$3:$K$34,2,FALSE))=TRUE,0,VLOOKUP(B209,'NÖBV 1'!$J$3:$K$34,2,FALSE)),IF(ISNA(VLOOKUP(B209,'NÖBV 1'!$N$3:$O$34,2,FALSE))=TRUE,0,VLOOKUP(B209,'NÖBV 1'!$N$3:$O$34,2,FALSE)))</f>
        <v>0</v>
      </c>
      <c r="M209" s="19">
        <f>MAX(IF(ISNA(VLOOKUP(B209,'NÖBV 2'!$B$3:$C$34,2,FALSE))=TRUE,0,VLOOKUP(B209,'NÖBV 2'!$B$3:$C$34,2,FALSE)),IF(ISNA(VLOOKUP(B209,'NÖBV 2'!$F$3:$G$34,2,FALSE))=TRUE,0,VLOOKUP(B209,'NÖBV 2'!$F$3:$G$34,2,FALSE)),IF(ISNA(VLOOKUP(B209,'NÖBV 2'!$J$3:$K$34,2,FALSE))=TRUE,0,VLOOKUP(B209,'NÖBV 2'!$J$3:$K$34,2,FALSE)),IF(ISNA(VLOOKUP(B209,'NÖBV 2'!$N$3:$O$34,2,FALSE))=TRUE,0,VLOOKUP(B209,'NÖBV 2'!$N$3:$O$34,2,FALSE)))</f>
        <v>0</v>
      </c>
      <c r="N209" s="19">
        <f>MAX(IF(ISNA(VLOOKUP(B209,'NÖBV 3'!$B$3:$C$34,2,FALSE))=TRUE,0,VLOOKUP(B209,'NÖBV 3'!$B$3:$C$34,2,FALSE)),IF(ISNA(VLOOKUP(B209,'NÖBV 3'!$F$3:$G$34,2,FALSE))=TRUE,0,VLOOKUP(B209,'NÖBV 3'!$F$3:$G$34,2,FALSE)),IF(ISNA(VLOOKUP(B209,'NÖBV 3'!$J$3:$K$34,2,FALSE))=TRUE,0,VLOOKUP(B209,'NÖBV 3'!$J$3:$K$34,2,FALSE)),IF(ISNA(VLOOKUP(B209,'NÖBV 3'!$N$3:$O$34,2,FALSE))=TRUE,0,VLOOKUP(B209,'NÖBV 3'!$N$3:$O$34,2,FALSE)))</f>
        <v>0</v>
      </c>
      <c r="O209" s="15">
        <f>MAX(IF(ISNA(VLOOKUP(B209,'Regioturnier 1'!$B$3:$C$34,2,FALSE))=TRUE,0,VLOOKUP(B209,'Regioturnier 1'!$B$3:$C$34,2,FALSE)),IF(ISNA(VLOOKUP(B209,'Regioturnier 1'!$F$3:$G$34,2,FALSE))=TRUE,0,VLOOKUP(B209,'Regioturnier 1'!$F$3:$G$34,2,FALSE)),IF(ISNA(VLOOKUP(B209,'Regioturnier 1'!$J$3:$K$34,2,FALSE))=TRUE,0,VLOOKUP(B209,'Regioturnier 1'!$J$3:$K$34,2,FALSE)),IF(ISNA(VLOOKUP(B209,'Regioturnier 1'!$N$3:$O$34,2,FALSE))=TRUE,0,VLOOKUP(B209,'Regioturnier 1'!$N$3:$O$34,2,FALSE)),IF(ISNA(VLOOKUP(B209,'Regioturnier 1'!$R$3:$S$34,2,FALSE))=TRUE,0,VLOOKUP(B209,'Regioturnier 1'!$R$3:$S$34,2,FALSE)), IF(ISNA(VLOOKUP(B209,'Regioturnier 1'!$V$3:$W$34,2,FALSE))=TRUE,0,VLOOKUP(B209,'Regioturnier 1'!$V$3:$W$34,2,FALSE)), IF(ISNA(VLOOKUP(B209,'Regioturnier 1'!$Z$3:$AA$34,2,FALSE))=TRUE,0,VLOOKUP(B209,'Regioturnier 1'!$Z$3:$AA$34,2,FALSE)))</f>
        <v>0</v>
      </c>
      <c r="P209" s="15">
        <f>MAX(IF(ISNA(VLOOKUP(B209,'Regioturnier 2'!$B$3:$C$34,2,FALSE))=TRUE,0,VLOOKUP(B209,'Regioturnier 2'!$B$3:$C$34,2,FALSE)),IF(ISNA(VLOOKUP(B209,'Regioturnier 2'!$F$3:$G$34,2,FALSE))=TRUE,0,VLOOKUP(B209,'Regioturnier 2'!$F$3:$G$34,2,FALSE)),IF(ISNA(VLOOKUP(B209,'Regioturnier 2'!$J$3:$K$34,2,FALSE))=TRUE,0,VLOOKUP(B209,'Regioturnier 2'!$J$3:$K$34,2,FALSE)),IF(ISNA(VLOOKUP(B209,'Regioturnier 2'!$N$3:$O$34,2,FALSE))=TRUE,0,VLOOKUP(B209,'Regioturnier 2'!$N$3:$O$34,2,FALSE)),IF(ISNA(VLOOKUP(B209,'Regioturnier 2'!$R$3:$S$34,2,FALSE))=TRUE,0,VLOOKUP(B209,'Regioturnier 2'!$R$3:$S$34,2,FALSE)), IF(ISNA(VLOOKUP(B209,'Regioturnier 2'!$V$3:$W$34,2,FALSE))=TRUE,0,VLOOKUP(B209,'Regioturnier 2'!$V$3:$W$34,2,FALSE)), IF(ISNA(VLOOKUP(B209,'Regioturnier 2'!$Z$3:$AA$34,2,FALSE))=TRUE,0,VLOOKUP(B209,'Regioturnier 2'!$Z$3:$AA$34,2,FALSE)))</f>
        <v>0</v>
      </c>
      <c r="Q209" s="15">
        <f>MAX(IF(ISNA(VLOOKUP(B209,'Regioturnier 3'!$B$3:$C$34,2,FALSE))=TRUE,0,VLOOKUP(B209,'Regioturnier 3'!$B$3:$C$34,2,FALSE)),IF(ISNA(VLOOKUP(B209,'Regioturnier 3'!$F$3:$G$34,2,FALSE))=TRUE,0,VLOOKUP(B209,'Regioturnier 3'!$F$3:$G$34,2,FALSE)),IF(ISNA(VLOOKUP(B209,'Regioturnier 3'!$J$3:$K$34,2,FALSE))=TRUE,0,VLOOKUP(B209,'Regioturnier 3'!$J$3:$K$34,2,FALSE)),IF(ISNA(VLOOKUP(B209,'Regioturnier 3'!$N$3:$O$34,2,FALSE))=TRUE,0,VLOOKUP(B209,'Regioturnier 3'!$N$3:$O$34,2,FALSE)),IF(ISNA(VLOOKUP(B209,'Regioturnier 3'!$R$3:$S$34,2,FALSE))=TRUE,0,VLOOKUP(B209,'Regioturnier 3'!$R$3:$S$34,2,FALSE)), IF(ISNA(VLOOKUP(B209,'Regioturnier 3'!$V$3:$W$34,2,FALSE))=TRUE,0,VLOOKUP(B209,'Regioturnier 3'!$V$3:$W$34,2,FALSE)), IF(ISNA(VLOOKUP(B209,'Regioturnier 3'!$Z$3:$AA$34,2,FALSE))=TRUE,0,VLOOKUP(B209,'Regioturnier 3'!$Z$3:$AA$34,2,FALSE)))</f>
        <v>0</v>
      </c>
      <c r="R209" s="20">
        <f>0.5*INDEX($H209:$N209,MATCH(LARGE($H209:$N209,1),$H209:$N209,0))+0.3*INDEX($H209:$N209,MATCH(LARGE($H209:$N209,2),$H209:$N209,0))+0.2*INDEX($H209:$N209,MATCH(LARGE($H209:$N209,3),$H209:$N209,0))</f>
        <v>0</v>
      </c>
      <c r="S209" s="20">
        <f>0.6*INDEX(O209:Q209,MATCH(LARGE(O209:Q209,1),O209:Q209,0))+0.4*INDEX(O209:Q209,MATCH(LARGE(O209:Q209,2),O209:Q209,0))+0*INDEX(O209:Q209,MATCH(LARGE(O209:Q209,3),O209:Q209,0))</f>
        <v>0</v>
      </c>
      <c r="T209" s="15">
        <f>1*INDEX(R209:S209,MATCH(LARGE(R209:S209,1),R209:S209,0))+0*INDEX(R209:S209,MATCH(LARGE(R209:S209,2),R209:S209,0))</f>
        <v>0</v>
      </c>
      <c r="U209" s="21"/>
      <c r="V209" s="21"/>
      <c r="W209" s="21"/>
      <c r="X209" s="21"/>
      <c r="Y209" s="21"/>
      <c r="Z209" s="21"/>
    </row>
    <row r="210" spans="1:26" ht="12.75" customHeight="1" x14ac:dyDescent="0.3">
      <c r="A210" s="15">
        <v>209</v>
      </c>
      <c r="B210" s="16" t="s">
        <v>183</v>
      </c>
      <c r="C210" s="17" t="s">
        <v>25</v>
      </c>
      <c r="D210" s="15" t="s">
        <v>26</v>
      </c>
      <c r="E210" s="18" t="s">
        <v>40</v>
      </c>
      <c r="F210" s="15">
        <v>110410</v>
      </c>
      <c r="G210" s="22">
        <v>2008</v>
      </c>
      <c r="H210" s="15">
        <f>MAX(IF(ISNA(VLOOKUP(B210,'WBV 1'!$B$3:$C$34,2,FALSE))=TRUE,0,VLOOKUP(B210,'WBV 1'!$B$3:$C$34,2,FALSE)),IF(ISNA(VLOOKUP(B210,'WBV 1'!$F$3:$G$34,2,FALSE))=TRUE,0,VLOOKUP(B210,'WBV 1'!$F$3:$G$34,2,FALSE)),IF(ISNA(VLOOKUP(B210,'WBV 1'!$J$3:$K$34,2,FALSE))=TRUE,0,VLOOKUP(B210,'WBV 1'!$J$3:$K$34,2,FALSE)),IF(ISNA(VLOOKUP(B210,'WBV 1'!$N$3:$O$34,2,FALSE))=TRUE,0,VLOOKUP(B210,'WBV 1'!$N$3:$O$34,2,FALSE)))</f>
        <v>0</v>
      </c>
      <c r="I210" s="15">
        <f>MAX(IF(ISNA(VLOOKUP(B210,'WBV 2'!$B$3:$C$34,2,FALSE))=TRUE,0,VLOOKUP(B210,'WBV 2'!$B$3:$C$34,2,FALSE)),IF(ISNA(VLOOKUP(B210,'WBV 2'!$F$3:$G$34,2,FALSE))=TRUE,0,VLOOKUP(B210,'WBV 2'!$F$3:$G$34,2,FALSE)),IF(ISNA(VLOOKUP(B210,'WBV 2'!$J$3:$K$34,2,FALSE))=TRUE,0,VLOOKUP(B210,'WBV 2'!$J$3:$K$34,2,FALSE)),IF(ISNA(VLOOKUP(B210,'WBV 2'!$N$3:$O$34,2,FALSE))=TRUE,0,VLOOKUP(B210,'WBV 2'!$N$3:$O$34,2,FALSE)))</f>
        <v>0</v>
      </c>
      <c r="J210" s="15">
        <f>MAX(IF(ISNA(VLOOKUP(B210,'WBV 3'!$B$3:$C$34,2,FALSE))=TRUE,0,VLOOKUP(B210,'WBV 3'!$B$3:$C$34,2,FALSE)),IF(ISNA(VLOOKUP(B210,'WBV 3'!$F$3:$G$34,2,FALSE))=TRUE,0,VLOOKUP(B210,'WBV 3'!$F$3:$G$34,2,FALSE)),IF(ISNA(VLOOKUP(B210,'WBV 3'!$J$3:$K$34,2,FALSE))=TRUE,0,VLOOKUP(B210,'WBV 3'!$J$3:$K$34,2,FALSE)),IF(ISNA(VLOOKUP(B210,'WBV 3'!$N$3:$O$34,2,FALSE))=TRUE,0,VLOOKUP(B210,'WBV 3'!$N$3:$O$34,2,FALSE)))</f>
        <v>0</v>
      </c>
      <c r="K210" s="15">
        <f>MAX(IF(ISNA(VLOOKUP(B210,'WBV 4'!$B$3:$C$34,2,FALSE))=TRUE,0,VLOOKUP(B210,'WBV 4'!$B$3:$C$34,2,FALSE)),IF(ISNA(VLOOKUP(B210,'WBV 4'!$F$3:$G$34,2,FALSE))=TRUE,0,VLOOKUP(B210,'WBV 4'!$F$3:$G$34,2,FALSE)),IF(ISNA(VLOOKUP(B210,'WBV 4'!$J$3:$K$34,2,FALSE))=TRUE,0,VLOOKUP(B210,'WBV 4'!$J$3:$K$34,2,FALSE)),IF(ISNA(VLOOKUP(B210,'WBV 4'!$N$3:$O$34,2,FALSE))=TRUE,0,VLOOKUP(B210,'WBV 4'!$N$3:$O$34,2,FALSE)))</f>
        <v>0</v>
      </c>
      <c r="L210" s="19">
        <f>MAX(IF(ISNA(VLOOKUP(B210,'NÖBV 1'!$B$3:$C$34,2,FALSE))=TRUE,0,VLOOKUP(B210,'NÖBV 1'!$B$3:$C$34,2,FALSE)),IF(ISNA(VLOOKUP(B210,'NÖBV 1'!$F$3:$G$34,2,FALSE))=TRUE,0,VLOOKUP(B210,'NÖBV 1'!$F$3:$G$34,2,FALSE)),IF(ISNA(VLOOKUP(B210,'NÖBV 1'!$J$3:$K$34,2,FALSE))=TRUE,0,VLOOKUP(B210,'NÖBV 1'!$J$3:$K$34,2,FALSE)),IF(ISNA(VLOOKUP(B210,'NÖBV 1'!$N$3:$O$34,2,FALSE))=TRUE,0,VLOOKUP(B210,'NÖBV 1'!$N$3:$O$34,2,FALSE)))</f>
        <v>0</v>
      </c>
      <c r="M210" s="19">
        <f>MAX(IF(ISNA(VLOOKUP(B210,'NÖBV 2'!$B$3:$C$34,2,FALSE))=TRUE,0,VLOOKUP(B210,'NÖBV 2'!$B$3:$C$34,2,FALSE)),IF(ISNA(VLOOKUP(B210,'NÖBV 2'!$F$3:$G$34,2,FALSE))=TRUE,0,VLOOKUP(B210,'NÖBV 2'!$F$3:$G$34,2,FALSE)),IF(ISNA(VLOOKUP(B210,'NÖBV 2'!$J$3:$K$34,2,FALSE))=TRUE,0,VLOOKUP(B210,'NÖBV 2'!$J$3:$K$34,2,FALSE)),IF(ISNA(VLOOKUP(B210,'NÖBV 2'!$N$3:$O$34,2,FALSE))=TRUE,0,VLOOKUP(B210,'NÖBV 2'!$N$3:$O$34,2,FALSE)))</f>
        <v>0</v>
      </c>
      <c r="N210" s="19">
        <f>MAX(IF(ISNA(VLOOKUP(B210,'NÖBV 3'!$B$3:$C$34,2,FALSE))=TRUE,0,VLOOKUP(B210,'NÖBV 3'!$B$3:$C$34,2,FALSE)),IF(ISNA(VLOOKUP(B210,'NÖBV 3'!$F$3:$G$34,2,FALSE))=TRUE,0,VLOOKUP(B210,'NÖBV 3'!$F$3:$G$34,2,FALSE)),IF(ISNA(VLOOKUP(B210,'NÖBV 3'!$J$3:$K$34,2,FALSE))=TRUE,0,VLOOKUP(B210,'NÖBV 3'!$J$3:$K$34,2,FALSE)),IF(ISNA(VLOOKUP(B210,'NÖBV 3'!$N$3:$O$34,2,FALSE))=TRUE,0,VLOOKUP(B210,'NÖBV 3'!$N$3:$O$34,2,FALSE)))</f>
        <v>0</v>
      </c>
      <c r="O210" s="15">
        <f>MAX(IF(ISNA(VLOOKUP(B210,'Regioturnier 1'!$B$3:$C$34,2,FALSE))=TRUE,0,VLOOKUP(B210,'Regioturnier 1'!$B$3:$C$34,2,FALSE)),IF(ISNA(VLOOKUP(B210,'Regioturnier 1'!$F$3:$G$34,2,FALSE))=TRUE,0,VLOOKUP(B210,'Regioturnier 1'!$F$3:$G$34,2,FALSE)),IF(ISNA(VLOOKUP(B210,'Regioturnier 1'!$J$3:$K$34,2,FALSE))=TRUE,0,VLOOKUP(B210,'Regioturnier 1'!$J$3:$K$34,2,FALSE)),IF(ISNA(VLOOKUP(B210,'Regioturnier 1'!$N$3:$O$34,2,FALSE))=TRUE,0,VLOOKUP(B210,'Regioturnier 1'!$N$3:$O$34,2,FALSE)),IF(ISNA(VLOOKUP(B210,'Regioturnier 1'!$R$3:$S$34,2,FALSE))=TRUE,0,VLOOKUP(B210,'Regioturnier 1'!$R$3:$S$34,2,FALSE)), IF(ISNA(VLOOKUP(B210,'Regioturnier 1'!$V$3:$W$34,2,FALSE))=TRUE,0,VLOOKUP(B210,'Regioturnier 1'!$V$3:$W$34,2,FALSE)), IF(ISNA(VLOOKUP(B210,'Regioturnier 1'!$Z$3:$AA$34,2,FALSE))=TRUE,0,VLOOKUP(B210,'Regioturnier 1'!$Z$3:$AA$34,2,FALSE)))</f>
        <v>0</v>
      </c>
      <c r="P210" s="15">
        <f>MAX(IF(ISNA(VLOOKUP(B210,'Regioturnier 2'!$B$3:$C$34,2,FALSE))=TRUE,0,VLOOKUP(B210,'Regioturnier 2'!$B$3:$C$34,2,FALSE)),IF(ISNA(VLOOKUP(B210,'Regioturnier 2'!$F$3:$G$34,2,FALSE))=TRUE,0,VLOOKUP(B210,'Regioturnier 2'!$F$3:$G$34,2,FALSE)),IF(ISNA(VLOOKUP(B210,'Regioturnier 2'!$J$3:$K$34,2,FALSE))=TRUE,0,VLOOKUP(B210,'Regioturnier 2'!$J$3:$K$34,2,FALSE)),IF(ISNA(VLOOKUP(B210,'Regioturnier 2'!$N$3:$O$34,2,FALSE))=TRUE,0,VLOOKUP(B210,'Regioturnier 2'!$N$3:$O$34,2,FALSE)),IF(ISNA(VLOOKUP(B210,'Regioturnier 2'!$R$3:$S$34,2,FALSE))=TRUE,0,VLOOKUP(B210,'Regioturnier 2'!$R$3:$S$34,2,FALSE)), IF(ISNA(VLOOKUP(B210,'Regioturnier 2'!$V$3:$W$34,2,FALSE))=TRUE,0,VLOOKUP(B210,'Regioturnier 2'!$V$3:$W$34,2,FALSE)), IF(ISNA(VLOOKUP(B210,'Regioturnier 2'!$Z$3:$AA$34,2,FALSE))=TRUE,0,VLOOKUP(B210,'Regioturnier 2'!$Z$3:$AA$34,2,FALSE)))</f>
        <v>0</v>
      </c>
      <c r="Q210" s="15">
        <f>MAX(IF(ISNA(VLOOKUP(B210,'Regioturnier 3'!$B$3:$C$34,2,FALSE))=TRUE,0,VLOOKUP(B210,'Regioturnier 3'!$B$3:$C$34,2,FALSE)),IF(ISNA(VLOOKUP(B210,'Regioturnier 3'!$F$3:$G$34,2,FALSE))=TRUE,0,VLOOKUP(B210,'Regioturnier 3'!$F$3:$G$34,2,FALSE)),IF(ISNA(VLOOKUP(B210,'Regioturnier 3'!$J$3:$K$34,2,FALSE))=TRUE,0,VLOOKUP(B210,'Regioturnier 3'!$J$3:$K$34,2,FALSE)),IF(ISNA(VLOOKUP(B210,'Regioturnier 3'!$N$3:$O$34,2,FALSE))=TRUE,0,VLOOKUP(B210,'Regioturnier 3'!$N$3:$O$34,2,FALSE)),IF(ISNA(VLOOKUP(B210,'Regioturnier 3'!$R$3:$S$34,2,FALSE))=TRUE,0,VLOOKUP(B210,'Regioturnier 3'!$R$3:$S$34,2,FALSE)), IF(ISNA(VLOOKUP(B210,'Regioturnier 3'!$V$3:$W$34,2,FALSE))=TRUE,0,VLOOKUP(B210,'Regioturnier 3'!$V$3:$W$34,2,FALSE)), IF(ISNA(VLOOKUP(B210,'Regioturnier 3'!$Z$3:$AA$34,2,FALSE))=TRUE,0,VLOOKUP(B210,'Regioturnier 3'!$Z$3:$AA$34,2,FALSE)))</f>
        <v>0</v>
      </c>
      <c r="R210" s="20">
        <f>0.5*INDEX($H210:$N210,MATCH(LARGE($H210:$N210,1),$H210:$N210,0))+0.3*INDEX($H210:$N210,MATCH(LARGE($H210:$N210,2),$H210:$N210,0))+0.2*INDEX($H210:$N210,MATCH(LARGE($H210:$N210,3),$H210:$N210,0))</f>
        <v>0</v>
      </c>
      <c r="S210" s="20">
        <f>0.6*INDEX(O210:Q210,MATCH(LARGE(O210:Q210,1),O210:Q210,0))+0.4*INDEX(O210:Q210,MATCH(LARGE(O210:Q210,2),O210:Q210,0))+0*INDEX(O210:Q210,MATCH(LARGE(O210:Q210,3),O210:Q210,0))</f>
        <v>0</v>
      </c>
      <c r="T210" s="15">
        <f>1*INDEX(R210:S210,MATCH(LARGE(R210:S210,1),R210:S210,0))+0*INDEX(R210:S210,MATCH(LARGE(R210:S210,2),R210:S210,0))</f>
        <v>0</v>
      </c>
      <c r="U210" s="21"/>
      <c r="V210" s="21"/>
      <c r="W210" s="21"/>
      <c r="X210" s="21"/>
      <c r="Y210" s="21"/>
      <c r="Z210" s="21"/>
    </row>
    <row r="211" spans="1:26" ht="12.75" customHeight="1" x14ac:dyDescent="0.3">
      <c r="A211" s="15">
        <v>210</v>
      </c>
      <c r="B211" s="16" t="s">
        <v>208</v>
      </c>
      <c r="C211" s="17" t="s">
        <v>31</v>
      </c>
      <c r="D211" s="15" t="s">
        <v>26</v>
      </c>
      <c r="E211" s="18" t="s">
        <v>23</v>
      </c>
      <c r="F211" s="15">
        <v>109547</v>
      </c>
      <c r="G211" s="22">
        <v>2011</v>
      </c>
      <c r="H211" s="15">
        <f>MAX(IF(ISNA(VLOOKUP(B211,'WBV 1'!$B$3:$C$34,2,FALSE))=TRUE,0,VLOOKUP(B211,'WBV 1'!$B$3:$C$34,2,FALSE)),IF(ISNA(VLOOKUP(B211,'WBV 1'!$F$3:$G$34,2,FALSE))=TRUE,0,VLOOKUP(B211,'WBV 1'!$F$3:$G$34,2,FALSE)),IF(ISNA(VLOOKUP(B211,'WBV 1'!$J$3:$K$34,2,FALSE))=TRUE,0,VLOOKUP(B211,'WBV 1'!$J$3:$K$34,2,FALSE)),IF(ISNA(VLOOKUP(B211,'WBV 1'!$N$3:$O$34,2,FALSE))=TRUE,0,VLOOKUP(B211,'WBV 1'!$N$3:$O$34,2,FALSE)))</f>
        <v>0</v>
      </c>
      <c r="I211" s="15">
        <f>MAX(IF(ISNA(VLOOKUP(B211,'WBV 2'!$B$3:$C$34,2,FALSE))=TRUE,0,VLOOKUP(B211,'WBV 2'!$B$3:$C$34,2,FALSE)),IF(ISNA(VLOOKUP(B211,'WBV 2'!$F$3:$G$34,2,FALSE))=TRUE,0,VLOOKUP(B211,'WBV 2'!$F$3:$G$34,2,FALSE)),IF(ISNA(VLOOKUP(B211,'WBV 2'!$J$3:$K$34,2,FALSE))=TRUE,0,VLOOKUP(B211,'WBV 2'!$J$3:$K$34,2,FALSE)),IF(ISNA(VLOOKUP(B211,'WBV 2'!$N$3:$O$34,2,FALSE))=TRUE,0,VLOOKUP(B211,'WBV 2'!$N$3:$O$34,2,FALSE)))</f>
        <v>0</v>
      </c>
      <c r="J211" s="15">
        <f>MAX(IF(ISNA(VLOOKUP(B211,'WBV 3'!$B$3:$C$34,2,FALSE))=TRUE,0,VLOOKUP(B211,'WBV 3'!$B$3:$C$34,2,FALSE)),IF(ISNA(VLOOKUP(B211,'WBV 3'!$F$3:$G$34,2,FALSE))=TRUE,0,VLOOKUP(B211,'WBV 3'!$F$3:$G$34,2,FALSE)),IF(ISNA(VLOOKUP(B211,'WBV 3'!$J$3:$K$34,2,FALSE))=TRUE,0,VLOOKUP(B211,'WBV 3'!$J$3:$K$34,2,FALSE)),IF(ISNA(VLOOKUP(B211,'WBV 3'!$N$3:$O$34,2,FALSE))=TRUE,0,VLOOKUP(B211,'WBV 3'!$N$3:$O$34,2,FALSE)))</f>
        <v>0</v>
      </c>
      <c r="K211" s="15">
        <f>MAX(IF(ISNA(VLOOKUP(B211,'WBV 4'!$B$3:$C$34,2,FALSE))=TRUE,0,VLOOKUP(B211,'WBV 4'!$B$3:$C$34,2,FALSE)),IF(ISNA(VLOOKUP(B211,'WBV 4'!$F$3:$G$34,2,FALSE))=TRUE,0,VLOOKUP(B211,'WBV 4'!$F$3:$G$34,2,FALSE)),IF(ISNA(VLOOKUP(B211,'WBV 4'!$J$3:$K$34,2,FALSE))=TRUE,0,VLOOKUP(B211,'WBV 4'!$J$3:$K$34,2,FALSE)),IF(ISNA(VLOOKUP(B211,'WBV 4'!$N$3:$O$34,2,FALSE))=TRUE,0,VLOOKUP(B211,'WBV 4'!$N$3:$O$34,2,FALSE)))</f>
        <v>0</v>
      </c>
      <c r="L211" s="19">
        <f>MAX(IF(ISNA(VLOOKUP(B211,'NÖBV 1'!$B$3:$C$34,2,FALSE))=TRUE,0,VLOOKUP(B211,'NÖBV 1'!$B$3:$C$34,2,FALSE)),IF(ISNA(VLOOKUP(B211,'NÖBV 1'!$F$3:$G$34,2,FALSE))=TRUE,0,VLOOKUP(B211,'NÖBV 1'!$F$3:$G$34,2,FALSE)),IF(ISNA(VLOOKUP(B211,'NÖBV 1'!$J$3:$K$34,2,FALSE))=TRUE,0,VLOOKUP(B211,'NÖBV 1'!$J$3:$K$34,2,FALSE)),IF(ISNA(VLOOKUP(B211,'NÖBV 1'!$N$3:$O$34,2,FALSE))=TRUE,0,VLOOKUP(B211,'NÖBV 1'!$N$3:$O$34,2,FALSE)))</f>
        <v>0</v>
      </c>
      <c r="M211" s="19">
        <f>MAX(IF(ISNA(VLOOKUP(B211,'NÖBV 2'!$B$3:$C$34,2,FALSE))=TRUE,0,VLOOKUP(B211,'NÖBV 2'!$B$3:$C$34,2,FALSE)),IF(ISNA(VLOOKUP(B211,'NÖBV 2'!$F$3:$G$34,2,FALSE))=TRUE,0,VLOOKUP(B211,'NÖBV 2'!$F$3:$G$34,2,FALSE)),IF(ISNA(VLOOKUP(B211,'NÖBV 2'!$J$3:$K$34,2,FALSE))=TRUE,0,VLOOKUP(B211,'NÖBV 2'!$J$3:$K$34,2,FALSE)),IF(ISNA(VLOOKUP(B211,'NÖBV 2'!$N$3:$O$34,2,FALSE))=TRUE,0,VLOOKUP(B211,'NÖBV 2'!$N$3:$O$34,2,FALSE)))</f>
        <v>0</v>
      </c>
      <c r="N211" s="19">
        <f>MAX(IF(ISNA(VLOOKUP(B211,'NÖBV 3'!$B$3:$C$34,2,FALSE))=TRUE,0,VLOOKUP(B211,'NÖBV 3'!$B$3:$C$34,2,FALSE)),IF(ISNA(VLOOKUP(B211,'NÖBV 3'!$F$3:$G$34,2,FALSE))=TRUE,0,VLOOKUP(B211,'NÖBV 3'!$F$3:$G$34,2,FALSE)),IF(ISNA(VLOOKUP(B211,'NÖBV 3'!$J$3:$K$34,2,FALSE))=TRUE,0,VLOOKUP(B211,'NÖBV 3'!$J$3:$K$34,2,FALSE)),IF(ISNA(VLOOKUP(B211,'NÖBV 3'!$N$3:$O$34,2,FALSE))=TRUE,0,VLOOKUP(B211,'NÖBV 3'!$N$3:$O$34,2,FALSE)))</f>
        <v>0</v>
      </c>
      <c r="O211" s="15">
        <f>MAX(IF(ISNA(VLOOKUP(B211,'Regioturnier 1'!$B$3:$C$34,2,FALSE))=TRUE,0,VLOOKUP(B211,'Regioturnier 1'!$B$3:$C$34,2,FALSE)),IF(ISNA(VLOOKUP(B211,'Regioturnier 1'!$F$3:$G$34,2,FALSE))=TRUE,0,VLOOKUP(B211,'Regioturnier 1'!$F$3:$G$34,2,FALSE)),IF(ISNA(VLOOKUP(B211,'Regioturnier 1'!$J$3:$K$34,2,FALSE))=TRUE,0,VLOOKUP(B211,'Regioturnier 1'!$J$3:$K$34,2,FALSE)),IF(ISNA(VLOOKUP(B211,'Regioturnier 1'!$N$3:$O$34,2,FALSE))=TRUE,0,VLOOKUP(B211,'Regioturnier 1'!$N$3:$O$34,2,FALSE)),IF(ISNA(VLOOKUP(B211,'Regioturnier 1'!$R$3:$S$34,2,FALSE))=TRUE,0,VLOOKUP(B211,'Regioturnier 1'!$R$3:$S$34,2,FALSE)), IF(ISNA(VLOOKUP(B211,'Regioturnier 1'!$V$3:$W$34,2,FALSE))=TRUE,0,VLOOKUP(B211,'Regioturnier 1'!$V$3:$W$34,2,FALSE)), IF(ISNA(VLOOKUP(B211,'Regioturnier 1'!$Z$3:$AA$34,2,FALSE))=TRUE,0,VLOOKUP(B211,'Regioturnier 1'!$Z$3:$AA$34,2,FALSE)))</f>
        <v>0</v>
      </c>
      <c r="P211" s="15">
        <f>MAX(IF(ISNA(VLOOKUP(B211,'Regioturnier 2'!$B$3:$C$34,2,FALSE))=TRUE,0,VLOOKUP(B211,'Regioturnier 2'!$B$3:$C$34,2,FALSE)),IF(ISNA(VLOOKUP(B211,'Regioturnier 2'!$F$3:$G$34,2,FALSE))=TRUE,0,VLOOKUP(B211,'Regioturnier 2'!$F$3:$G$34,2,FALSE)),IF(ISNA(VLOOKUP(B211,'Regioturnier 2'!$J$3:$K$34,2,FALSE))=TRUE,0,VLOOKUP(B211,'Regioturnier 2'!$J$3:$K$34,2,FALSE)),IF(ISNA(VLOOKUP(B211,'Regioturnier 2'!$N$3:$O$34,2,FALSE))=TRUE,0,VLOOKUP(B211,'Regioturnier 2'!$N$3:$O$34,2,FALSE)),IF(ISNA(VLOOKUP(B211,'Regioturnier 2'!$R$3:$S$34,2,FALSE))=TRUE,0,VLOOKUP(B211,'Regioturnier 2'!$R$3:$S$34,2,FALSE)), IF(ISNA(VLOOKUP(B211,'Regioturnier 2'!$V$3:$W$34,2,FALSE))=TRUE,0,VLOOKUP(B211,'Regioturnier 2'!$V$3:$W$34,2,FALSE)), IF(ISNA(VLOOKUP(B211,'Regioturnier 2'!$Z$3:$AA$34,2,FALSE))=TRUE,0,VLOOKUP(B211,'Regioturnier 2'!$Z$3:$AA$34,2,FALSE)))</f>
        <v>0</v>
      </c>
      <c r="Q211" s="15">
        <f>MAX(IF(ISNA(VLOOKUP(B211,'Regioturnier 3'!$B$3:$C$34,2,FALSE))=TRUE,0,VLOOKUP(B211,'Regioturnier 3'!$B$3:$C$34,2,FALSE)),IF(ISNA(VLOOKUP(B211,'Regioturnier 3'!$F$3:$G$34,2,FALSE))=TRUE,0,VLOOKUP(B211,'Regioturnier 3'!$F$3:$G$34,2,FALSE)),IF(ISNA(VLOOKUP(B211,'Regioturnier 3'!$J$3:$K$34,2,FALSE))=TRUE,0,VLOOKUP(B211,'Regioturnier 3'!$J$3:$K$34,2,FALSE)),IF(ISNA(VLOOKUP(B211,'Regioturnier 3'!$N$3:$O$34,2,FALSE))=TRUE,0,VLOOKUP(B211,'Regioturnier 3'!$N$3:$O$34,2,FALSE)),IF(ISNA(VLOOKUP(B211,'Regioturnier 3'!$R$3:$S$34,2,FALSE))=TRUE,0,VLOOKUP(B211,'Regioturnier 3'!$R$3:$S$34,2,FALSE)), IF(ISNA(VLOOKUP(B211,'Regioturnier 3'!$V$3:$W$34,2,FALSE))=TRUE,0,VLOOKUP(B211,'Regioturnier 3'!$V$3:$W$34,2,FALSE)), IF(ISNA(VLOOKUP(B211,'Regioturnier 3'!$Z$3:$AA$34,2,FALSE))=TRUE,0,VLOOKUP(B211,'Regioturnier 3'!$Z$3:$AA$34,2,FALSE)))</f>
        <v>0</v>
      </c>
      <c r="R211" s="20">
        <f>0.5*INDEX($H211:$N211,MATCH(LARGE($H211:$N211,1),$H211:$N211,0))+0.3*INDEX($H211:$N211,MATCH(LARGE($H211:$N211,2),$H211:$N211,0))+0.2*INDEX($H211:$N211,MATCH(LARGE($H211:$N211,3),$H211:$N211,0))</f>
        <v>0</v>
      </c>
      <c r="S211" s="20">
        <f>0.6*INDEX(O211:Q211,MATCH(LARGE(O211:Q211,1),O211:Q211,0))+0.4*INDEX(O211:Q211,MATCH(LARGE(O211:Q211,2),O211:Q211,0))+0*INDEX(O211:Q211,MATCH(LARGE(O211:Q211,3),O211:Q211,0))</f>
        <v>0</v>
      </c>
      <c r="T211" s="15">
        <f>1*INDEX(R211:S211,MATCH(LARGE(R211:S211,1),R211:S211,0))+0*INDEX(R211:S211,MATCH(LARGE(R211:S211,2),R211:S211,0))</f>
        <v>0</v>
      </c>
      <c r="U211" s="21"/>
      <c r="V211" s="21"/>
      <c r="W211" s="21"/>
      <c r="X211" s="21"/>
      <c r="Y211" s="21"/>
      <c r="Z211" s="21"/>
    </row>
    <row r="212" spans="1:26" ht="12.75" customHeight="1" x14ac:dyDescent="0.3">
      <c r="A212" s="15">
        <v>211</v>
      </c>
      <c r="B212" s="16" t="s">
        <v>211</v>
      </c>
      <c r="C212" s="17" t="s">
        <v>25</v>
      </c>
      <c r="D212" s="15" t="s">
        <v>26</v>
      </c>
      <c r="E212" s="18" t="s">
        <v>23</v>
      </c>
      <c r="F212" s="15">
        <v>17849</v>
      </c>
      <c r="G212" s="22">
        <v>2011</v>
      </c>
      <c r="H212" s="15">
        <f>MAX(IF(ISNA(VLOOKUP(B212,'WBV 1'!$B$3:$C$34,2,FALSE))=TRUE,0,VLOOKUP(B212,'WBV 1'!$B$3:$C$34,2,FALSE)),IF(ISNA(VLOOKUP(B212,'WBV 1'!$F$3:$G$34,2,FALSE))=TRUE,0,VLOOKUP(B212,'WBV 1'!$F$3:$G$34,2,FALSE)),IF(ISNA(VLOOKUP(B212,'WBV 1'!$J$3:$K$34,2,FALSE))=TRUE,0,VLOOKUP(B212,'WBV 1'!$J$3:$K$34,2,FALSE)),IF(ISNA(VLOOKUP(B212,'WBV 1'!$N$3:$O$34,2,FALSE))=TRUE,0,VLOOKUP(B212,'WBV 1'!$N$3:$O$34,2,FALSE)))</f>
        <v>0</v>
      </c>
      <c r="I212" s="15">
        <f>MAX(IF(ISNA(VLOOKUP(B212,'WBV 2'!$B$3:$C$34,2,FALSE))=TRUE,0,VLOOKUP(B212,'WBV 2'!$B$3:$C$34,2,FALSE)),IF(ISNA(VLOOKUP(B212,'WBV 2'!$F$3:$G$34,2,FALSE))=TRUE,0,VLOOKUP(B212,'WBV 2'!$F$3:$G$34,2,FALSE)),IF(ISNA(VLOOKUP(B212,'WBV 2'!$J$3:$K$34,2,FALSE))=TRUE,0,VLOOKUP(B212,'WBV 2'!$J$3:$K$34,2,FALSE)),IF(ISNA(VLOOKUP(B212,'WBV 2'!$N$3:$O$34,2,FALSE))=TRUE,0,VLOOKUP(B212,'WBV 2'!$N$3:$O$34,2,FALSE)))</f>
        <v>0</v>
      </c>
      <c r="J212" s="15">
        <f>MAX(IF(ISNA(VLOOKUP(B212,'WBV 3'!$B$3:$C$34,2,FALSE))=TRUE,0,VLOOKUP(B212,'WBV 3'!$B$3:$C$34,2,FALSE)),IF(ISNA(VLOOKUP(B212,'WBV 3'!$F$3:$G$34,2,FALSE))=TRUE,0,VLOOKUP(B212,'WBV 3'!$F$3:$G$34,2,FALSE)),IF(ISNA(VLOOKUP(B212,'WBV 3'!$J$3:$K$34,2,FALSE))=TRUE,0,VLOOKUP(B212,'WBV 3'!$J$3:$K$34,2,FALSE)),IF(ISNA(VLOOKUP(B212,'WBV 3'!$N$3:$O$34,2,FALSE))=TRUE,0,VLOOKUP(B212,'WBV 3'!$N$3:$O$34,2,FALSE)))</f>
        <v>0</v>
      </c>
      <c r="K212" s="15">
        <f>MAX(IF(ISNA(VLOOKUP(B212,'WBV 4'!$B$3:$C$34,2,FALSE))=TRUE,0,VLOOKUP(B212,'WBV 4'!$B$3:$C$34,2,FALSE)),IF(ISNA(VLOOKUP(B212,'WBV 4'!$F$3:$G$34,2,FALSE))=TRUE,0,VLOOKUP(B212,'WBV 4'!$F$3:$G$34,2,FALSE)),IF(ISNA(VLOOKUP(B212,'WBV 4'!$J$3:$K$34,2,FALSE))=TRUE,0,VLOOKUP(B212,'WBV 4'!$J$3:$K$34,2,FALSE)),IF(ISNA(VLOOKUP(B212,'WBV 4'!$N$3:$O$34,2,FALSE))=TRUE,0,VLOOKUP(B212,'WBV 4'!$N$3:$O$34,2,FALSE)))</f>
        <v>0</v>
      </c>
      <c r="L212" s="19">
        <f>MAX(IF(ISNA(VLOOKUP(B212,'NÖBV 1'!$B$3:$C$34,2,FALSE))=TRUE,0,VLOOKUP(B212,'NÖBV 1'!$B$3:$C$34,2,FALSE)),IF(ISNA(VLOOKUP(B212,'NÖBV 1'!$F$3:$G$34,2,FALSE))=TRUE,0,VLOOKUP(B212,'NÖBV 1'!$F$3:$G$34,2,FALSE)),IF(ISNA(VLOOKUP(B212,'NÖBV 1'!$J$3:$K$34,2,FALSE))=TRUE,0,VLOOKUP(B212,'NÖBV 1'!$J$3:$K$34,2,FALSE)),IF(ISNA(VLOOKUP(B212,'NÖBV 1'!$N$3:$O$34,2,FALSE))=TRUE,0,VLOOKUP(B212,'NÖBV 1'!$N$3:$O$34,2,FALSE)))</f>
        <v>0</v>
      </c>
      <c r="M212" s="19">
        <f>MAX(IF(ISNA(VLOOKUP(B212,'NÖBV 2'!$B$3:$C$34,2,FALSE))=TRUE,0,VLOOKUP(B212,'NÖBV 2'!$B$3:$C$34,2,FALSE)),IF(ISNA(VLOOKUP(B212,'NÖBV 2'!$F$3:$G$34,2,FALSE))=TRUE,0,VLOOKUP(B212,'NÖBV 2'!$F$3:$G$34,2,FALSE)),IF(ISNA(VLOOKUP(B212,'NÖBV 2'!$J$3:$K$34,2,FALSE))=TRUE,0,VLOOKUP(B212,'NÖBV 2'!$J$3:$K$34,2,FALSE)),IF(ISNA(VLOOKUP(B212,'NÖBV 2'!$N$3:$O$34,2,FALSE))=TRUE,0,VLOOKUP(B212,'NÖBV 2'!$N$3:$O$34,2,FALSE)))</f>
        <v>0</v>
      </c>
      <c r="N212" s="19">
        <f>MAX(IF(ISNA(VLOOKUP(B212,'NÖBV 3'!$B$3:$C$34,2,FALSE))=TRUE,0,VLOOKUP(B212,'NÖBV 3'!$B$3:$C$34,2,FALSE)),IF(ISNA(VLOOKUP(B212,'NÖBV 3'!$F$3:$G$34,2,FALSE))=TRUE,0,VLOOKUP(B212,'NÖBV 3'!$F$3:$G$34,2,FALSE)),IF(ISNA(VLOOKUP(B212,'NÖBV 3'!$J$3:$K$34,2,FALSE))=TRUE,0,VLOOKUP(B212,'NÖBV 3'!$J$3:$K$34,2,FALSE)),IF(ISNA(VLOOKUP(B212,'NÖBV 3'!$N$3:$O$34,2,FALSE))=TRUE,0,VLOOKUP(B212,'NÖBV 3'!$N$3:$O$34,2,FALSE)))</f>
        <v>0</v>
      </c>
      <c r="O212" s="15">
        <f>MAX(IF(ISNA(VLOOKUP(B212,'Regioturnier 1'!$B$3:$C$34,2,FALSE))=TRUE,0,VLOOKUP(B212,'Regioturnier 1'!$B$3:$C$34,2,FALSE)),IF(ISNA(VLOOKUP(B212,'Regioturnier 1'!$F$3:$G$34,2,FALSE))=TRUE,0,VLOOKUP(B212,'Regioturnier 1'!$F$3:$G$34,2,FALSE)),IF(ISNA(VLOOKUP(B212,'Regioturnier 1'!$J$3:$K$34,2,FALSE))=TRUE,0,VLOOKUP(B212,'Regioturnier 1'!$J$3:$K$34,2,FALSE)),IF(ISNA(VLOOKUP(B212,'Regioturnier 1'!$N$3:$O$34,2,FALSE))=TRUE,0,VLOOKUP(B212,'Regioturnier 1'!$N$3:$O$34,2,FALSE)),IF(ISNA(VLOOKUP(B212,'Regioturnier 1'!$R$3:$S$34,2,FALSE))=TRUE,0,VLOOKUP(B212,'Regioturnier 1'!$R$3:$S$34,2,FALSE)), IF(ISNA(VLOOKUP(B212,'Regioturnier 1'!$V$3:$W$34,2,FALSE))=TRUE,0,VLOOKUP(B212,'Regioturnier 1'!$V$3:$W$34,2,FALSE)), IF(ISNA(VLOOKUP(B212,'Regioturnier 1'!$Z$3:$AA$34,2,FALSE))=TRUE,0,VLOOKUP(B212,'Regioturnier 1'!$Z$3:$AA$34,2,FALSE)))</f>
        <v>0</v>
      </c>
      <c r="P212" s="15">
        <f>MAX(IF(ISNA(VLOOKUP(B212,'Regioturnier 2'!$B$3:$C$34,2,FALSE))=TRUE,0,VLOOKUP(B212,'Regioturnier 2'!$B$3:$C$34,2,FALSE)),IF(ISNA(VLOOKUP(B212,'Regioturnier 2'!$F$3:$G$34,2,FALSE))=TRUE,0,VLOOKUP(B212,'Regioturnier 2'!$F$3:$G$34,2,FALSE)),IF(ISNA(VLOOKUP(B212,'Regioturnier 2'!$J$3:$K$34,2,FALSE))=TRUE,0,VLOOKUP(B212,'Regioturnier 2'!$J$3:$K$34,2,FALSE)),IF(ISNA(VLOOKUP(B212,'Regioturnier 2'!$N$3:$O$34,2,FALSE))=TRUE,0,VLOOKUP(B212,'Regioturnier 2'!$N$3:$O$34,2,FALSE)),IF(ISNA(VLOOKUP(B212,'Regioturnier 2'!$R$3:$S$34,2,FALSE))=TRUE,0,VLOOKUP(B212,'Regioturnier 2'!$R$3:$S$34,2,FALSE)), IF(ISNA(VLOOKUP(B212,'Regioturnier 2'!$V$3:$W$34,2,FALSE))=TRUE,0,VLOOKUP(B212,'Regioturnier 2'!$V$3:$W$34,2,FALSE)), IF(ISNA(VLOOKUP(B212,'Regioturnier 2'!$Z$3:$AA$34,2,FALSE))=TRUE,0,VLOOKUP(B212,'Regioturnier 2'!$Z$3:$AA$34,2,FALSE)))</f>
        <v>0</v>
      </c>
      <c r="Q212" s="15">
        <f>MAX(IF(ISNA(VLOOKUP(B212,'Regioturnier 3'!$B$3:$C$34,2,FALSE))=TRUE,0,VLOOKUP(B212,'Regioturnier 3'!$B$3:$C$34,2,FALSE)),IF(ISNA(VLOOKUP(B212,'Regioturnier 3'!$F$3:$G$34,2,FALSE))=TRUE,0,VLOOKUP(B212,'Regioturnier 3'!$F$3:$G$34,2,FALSE)),IF(ISNA(VLOOKUP(B212,'Regioturnier 3'!$J$3:$K$34,2,FALSE))=TRUE,0,VLOOKUP(B212,'Regioturnier 3'!$J$3:$K$34,2,FALSE)),IF(ISNA(VLOOKUP(B212,'Regioturnier 3'!$N$3:$O$34,2,FALSE))=TRUE,0,VLOOKUP(B212,'Regioturnier 3'!$N$3:$O$34,2,FALSE)),IF(ISNA(VLOOKUP(B212,'Regioturnier 3'!$R$3:$S$34,2,FALSE))=TRUE,0,VLOOKUP(B212,'Regioturnier 3'!$R$3:$S$34,2,FALSE)), IF(ISNA(VLOOKUP(B212,'Regioturnier 3'!$V$3:$W$34,2,FALSE))=TRUE,0,VLOOKUP(B212,'Regioturnier 3'!$V$3:$W$34,2,FALSE)), IF(ISNA(VLOOKUP(B212,'Regioturnier 3'!$Z$3:$AA$34,2,FALSE))=TRUE,0,VLOOKUP(B212,'Regioturnier 3'!$Z$3:$AA$34,2,FALSE)))</f>
        <v>0</v>
      </c>
      <c r="R212" s="20">
        <f>0.5*INDEX($H212:$N212,MATCH(LARGE($H212:$N212,1),$H212:$N212,0))+0.3*INDEX($H212:$N212,MATCH(LARGE($H212:$N212,2),$H212:$N212,0))+0.2*INDEX($H212:$N212,MATCH(LARGE($H212:$N212,3),$H212:$N212,0))</f>
        <v>0</v>
      </c>
      <c r="S212" s="20">
        <f>0.6*INDEX(O212:Q212,MATCH(LARGE(O212:Q212,1),O212:Q212,0))+0.4*INDEX(O212:Q212,MATCH(LARGE(O212:Q212,2),O212:Q212,0))+0*INDEX(O212:Q212,MATCH(LARGE(O212:Q212,3),O212:Q212,0))</f>
        <v>0</v>
      </c>
      <c r="T212" s="15">
        <f>1*INDEX(R212:S212,MATCH(LARGE(R212:S212,1),R212:S212,0))+0*INDEX(R212:S212,MATCH(LARGE(R212:S212,2),R212:S212,0))</f>
        <v>0</v>
      </c>
      <c r="U212" s="21"/>
      <c r="V212" s="21"/>
      <c r="W212" s="21"/>
      <c r="X212" s="21"/>
      <c r="Y212" s="21"/>
      <c r="Z212" s="21"/>
    </row>
    <row r="213" spans="1:26" ht="12.75" customHeight="1" x14ac:dyDescent="0.3">
      <c r="A213" s="15">
        <v>212</v>
      </c>
      <c r="B213" s="16" t="s">
        <v>118</v>
      </c>
      <c r="C213" s="17" t="s">
        <v>43</v>
      </c>
      <c r="D213" s="15" t="s">
        <v>26</v>
      </c>
      <c r="E213" s="18" t="s">
        <v>40</v>
      </c>
      <c r="F213" s="15">
        <v>110411</v>
      </c>
      <c r="G213" s="22">
        <v>2014</v>
      </c>
      <c r="H213" s="15">
        <f>MAX(IF(ISNA(VLOOKUP(B213,'WBV 1'!$B$3:$C$34,2,FALSE))=TRUE,0,VLOOKUP(B213,'WBV 1'!$B$3:$C$34,2,FALSE)),IF(ISNA(VLOOKUP(B213,'WBV 1'!$F$3:$G$34,2,FALSE))=TRUE,0,VLOOKUP(B213,'WBV 1'!$F$3:$G$34,2,FALSE)),IF(ISNA(VLOOKUP(B213,'WBV 1'!$J$3:$K$34,2,FALSE))=TRUE,0,VLOOKUP(B213,'WBV 1'!$J$3:$K$34,2,FALSE)),IF(ISNA(VLOOKUP(B213,'WBV 1'!$N$3:$O$34,2,FALSE))=TRUE,0,VLOOKUP(B213,'WBV 1'!$N$3:$O$34,2,FALSE)))</f>
        <v>0</v>
      </c>
      <c r="I213" s="15">
        <f>MAX(IF(ISNA(VLOOKUP(B213,'WBV 2'!$B$3:$C$34,2,FALSE))=TRUE,0,VLOOKUP(B213,'WBV 2'!$B$3:$C$34,2,FALSE)),IF(ISNA(VLOOKUP(B213,'WBV 2'!$F$3:$G$34,2,FALSE))=TRUE,0,VLOOKUP(B213,'WBV 2'!$F$3:$G$34,2,FALSE)),IF(ISNA(VLOOKUP(B213,'WBV 2'!$J$3:$K$34,2,FALSE))=TRUE,0,VLOOKUP(B213,'WBV 2'!$J$3:$K$34,2,FALSE)),IF(ISNA(VLOOKUP(B213,'WBV 2'!$N$3:$O$34,2,FALSE))=TRUE,0,VLOOKUP(B213,'WBV 2'!$N$3:$O$34,2,FALSE)))</f>
        <v>0</v>
      </c>
      <c r="J213" s="15">
        <f>MAX(IF(ISNA(VLOOKUP(B213,'WBV 3'!$B$3:$C$34,2,FALSE))=TRUE,0,VLOOKUP(B213,'WBV 3'!$B$3:$C$34,2,FALSE)),IF(ISNA(VLOOKUP(B213,'WBV 3'!$F$3:$G$34,2,FALSE))=TRUE,0,VLOOKUP(B213,'WBV 3'!$F$3:$G$34,2,FALSE)),IF(ISNA(VLOOKUP(B213,'WBV 3'!$J$3:$K$34,2,FALSE))=TRUE,0,VLOOKUP(B213,'WBV 3'!$J$3:$K$34,2,FALSE)),IF(ISNA(VLOOKUP(B213,'WBV 3'!$N$3:$O$34,2,FALSE))=TRUE,0,VLOOKUP(B213,'WBV 3'!$N$3:$O$34,2,FALSE)))</f>
        <v>0</v>
      </c>
      <c r="K213" s="15">
        <f>MAX(IF(ISNA(VLOOKUP(B213,'WBV 4'!$B$3:$C$34,2,FALSE))=TRUE,0,VLOOKUP(B213,'WBV 4'!$B$3:$C$34,2,FALSE)),IF(ISNA(VLOOKUP(B213,'WBV 4'!$F$3:$G$34,2,FALSE))=TRUE,0,VLOOKUP(B213,'WBV 4'!$F$3:$G$34,2,FALSE)),IF(ISNA(VLOOKUP(B213,'WBV 4'!$J$3:$K$34,2,FALSE))=TRUE,0,VLOOKUP(B213,'WBV 4'!$J$3:$K$34,2,FALSE)),IF(ISNA(VLOOKUP(B213,'WBV 4'!$N$3:$O$34,2,FALSE))=TRUE,0,VLOOKUP(B213,'WBV 4'!$N$3:$O$34,2,FALSE)))</f>
        <v>0</v>
      </c>
      <c r="L213" s="19">
        <f>MAX(IF(ISNA(VLOOKUP(B213,'NÖBV 1'!$B$3:$C$34,2,FALSE))=TRUE,0,VLOOKUP(B213,'NÖBV 1'!$B$3:$C$34,2,FALSE)),IF(ISNA(VLOOKUP(B213,'NÖBV 1'!$F$3:$G$34,2,FALSE))=TRUE,0,VLOOKUP(B213,'NÖBV 1'!$F$3:$G$34,2,FALSE)),IF(ISNA(VLOOKUP(B213,'NÖBV 1'!$J$3:$K$34,2,FALSE))=TRUE,0,VLOOKUP(B213,'NÖBV 1'!$J$3:$K$34,2,FALSE)),IF(ISNA(VLOOKUP(B213,'NÖBV 1'!$N$3:$O$34,2,FALSE))=TRUE,0,VLOOKUP(B213,'NÖBV 1'!$N$3:$O$34,2,FALSE)))</f>
        <v>0</v>
      </c>
      <c r="M213" s="19">
        <f>MAX(IF(ISNA(VLOOKUP(B213,'NÖBV 2'!$B$3:$C$34,2,FALSE))=TRUE,0,VLOOKUP(B213,'NÖBV 2'!$B$3:$C$34,2,FALSE)),IF(ISNA(VLOOKUP(B213,'NÖBV 2'!$F$3:$G$34,2,FALSE))=TRUE,0,VLOOKUP(B213,'NÖBV 2'!$F$3:$G$34,2,FALSE)),IF(ISNA(VLOOKUP(B213,'NÖBV 2'!$J$3:$K$34,2,FALSE))=TRUE,0,VLOOKUP(B213,'NÖBV 2'!$J$3:$K$34,2,FALSE)),IF(ISNA(VLOOKUP(B213,'NÖBV 2'!$N$3:$O$34,2,FALSE))=TRUE,0,VLOOKUP(B213,'NÖBV 2'!$N$3:$O$34,2,FALSE)))</f>
        <v>0</v>
      </c>
      <c r="N213" s="19">
        <f>MAX(IF(ISNA(VLOOKUP(B213,'NÖBV 3'!$B$3:$C$34,2,FALSE))=TRUE,0,VLOOKUP(B213,'NÖBV 3'!$B$3:$C$34,2,FALSE)),IF(ISNA(VLOOKUP(B213,'NÖBV 3'!$F$3:$G$34,2,FALSE))=TRUE,0,VLOOKUP(B213,'NÖBV 3'!$F$3:$G$34,2,FALSE)),IF(ISNA(VLOOKUP(B213,'NÖBV 3'!$J$3:$K$34,2,FALSE))=TRUE,0,VLOOKUP(B213,'NÖBV 3'!$J$3:$K$34,2,FALSE)),IF(ISNA(VLOOKUP(B213,'NÖBV 3'!$N$3:$O$34,2,FALSE))=TRUE,0,VLOOKUP(B213,'NÖBV 3'!$N$3:$O$34,2,FALSE)))</f>
        <v>0</v>
      </c>
      <c r="O213" s="15">
        <f>MAX(IF(ISNA(VLOOKUP(B213,'Regioturnier 1'!$B$3:$C$34,2,FALSE))=TRUE,0,VLOOKUP(B213,'Regioturnier 1'!$B$3:$C$34,2,FALSE)),IF(ISNA(VLOOKUP(B213,'Regioturnier 1'!$F$3:$G$34,2,FALSE))=TRUE,0,VLOOKUP(B213,'Regioturnier 1'!$F$3:$G$34,2,FALSE)),IF(ISNA(VLOOKUP(B213,'Regioturnier 1'!$J$3:$K$34,2,FALSE))=TRUE,0,VLOOKUP(B213,'Regioturnier 1'!$J$3:$K$34,2,FALSE)),IF(ISNA(VLOOKUP(B213,'Regioturnier 1'!$N$3:$O$34,2,FALSE))=TRUE,0,VLOOKUP(B213,'Regioturnier 1'!$N$3:$O$34,2,FALSE)),IF(ISNA(VLOOKUP(B213,'Regioturnier 1'!$R$3:$S$34,2,FALSE))=TRUE,0,VLOOKUP(B213,'Regioturnier 1'!$R$3:$S$34,2,FALSE)), IF(ISNA(VLOOKUP(B213,'Regioturnier 1'!$V$3:$W$34,2,FALSE))=TRUE,0,VLOOKUP(B213,'Regioturnier 1'!$V$3:$W$34,2,FALSE)), IF(ISNA(VLOOKUP(B213,'Regioturnier 1'!$Z$3:$AA$34,2,FALSE))=TRUE,0,VLOOKUP(B213,'Regioturnier 1'!$Z$3:$AA$34,2,FALSE)))</f>
        <v>0</v>
      </c>
      <c r="P213" s="15">
        <f>MAX(IF(ISNA(VLOOKUP(B213,'Regioturnier 2'!$B$3:$C$34,2,FALSE))=TRUE,0,VLOOKUP(B213,'Regioturnier 2'!$B$3:$C$34,2,FALSE)),IF(ISNA(VLOOKUP(B213,'Regioturnier 2'!$F$3:$G$34,2,FALSE))=TRUE,0,VLOOKUP(B213,'Regioturnier 2'!$F$3:$G$34,2,FALSE)),IF(ISNA(VLOOKUP(B213,'Regioturnier 2'!$J$3:$K$34,2,FALSE))=TRUE,0,VLOOKUP(B213,'Regioturnier 2'!$J$3:$K$34,2,FALSE)),IF(ISNA(VLOOKUP(B213,'Regioturnier 2'!$N$3:$O$34,2,FALSE))=TRUE,0,VLOOKUP(B213,'Regioturnier 2'!$N$3:$O$34,2,FALSE)),IF(ISNA(VLOOKUP(B213,'Regioturnier 2'!$R$3:$S$34,2,FALSE))=TRUE,0,VLOOKUP(B213,'Regioturnier 2'!$R$3:$S$34,2,FALSE)), IF(ISNA(VLOOKUP(B213,'Regioturnier 2'!$V$3:$W$34,2,FALSE))=TRUE,0,VLOOKUP(B213,'Regioturnier 2'!$V$3:$W$34,2,FALSE)), IF(ISNA(VLOOKUP(B213,'Regioturnier 2'!$Z$3:$AA$34,2,FALSE))=TRUE,0,VLOOKUP(B213,'Regioturnier 2'!$Z$3:$AA$34,2,FALSE)))</f>
        <v>0</v>
      </c>
      <c r="Q213" s="15">
        <f>MAX(IF(ISNA(VLOOKUP(B213,'Regioturnier 3'!$B$3:$C$34,2,FALSE))=TRUE,0,VLOOKUP(B213,'Regioturnier 3'!$B$3:$C$34,2,FALSE)),IF(ISNA(VLOOKUP(B213,'Regioturnier 3'!$F$3:$G$34,2,FALSE))=TRUE,0,VLOOKUP(B213,'Regioturnier 3'!$F$3:$G$34,2,FALSE)),IF(ISNA(VLOOKUP(B213,'Regioturnier 3'!$J$3:$K$34,2,FALSE))=TRUE,0,VLOOKUP(B213,'Regioturnier 3'!$J$3:$K$34,2,FALSE)),IF(ISNA(VLOOKUP(B213,'Regioturnier 3'!$N$3:$O$34,2,FALSE))=TRUE,0,VLOOKUP(B213,'Regioturnier 3'!$N$3:$O$34,2,FALSE)),IF(ISNA(VLOOKUP(B213,'Regioturnier 3'!$R$3:$S$34,2,FALSE))=TRUE,0,VLOOKUP(B213,'Regioturnier 3'!$R$3:$S$34,2,FALSE)), IF(ISNA(VLOOKUP(B213,'Regioturnier 3'!$V$3:$W$34,2,FALSE))=TRUE,0,VLOOKUP(B213,'Regioturnier 3'!$V$3:$W$34,2,FALSE)), IF(ISNA(VLOOKUP(B213,'Regioturnier 3'!$Z$3:$AA$34,2,FALSE))=TRUE,0,VLOOKUP(B213,'Regioturnier 3'!$Z$3:$AA$34,2,FALSE)))</f>
        <v>0</v>
      </c>
      <c r="R213" s="20">
        <f>0.5*INDEX($H213:$N213,MATCH(LARGE($H213:$N213,1),$H213:$N213,0))+0.3*INDEX($H213:$N213,MATCH(LARGE($H213:$N213,2),$H213:$N213,0))+0.2*INDEX($H213:$N213,MATCH(LARGE($H213:$N213,3),$H213:$N213,0))</f>
        <v>0</v>
      </c>
      <c r="S213" s="20">
        <f>0.6*INDEX(O213:Q213,MATCH(LARGE(O213:Q213,1),O213:Q213,0))+0.4*INDEX(O213:Q213,MATCH(LARGE(O213:Q213,2),O213:Q213,0))+0*INDEX(O213:Q213,MATCH(LARGE(O213:Q213,3),O213:Q213,0))</f>
        <v>0</v>
      </c>
      <c r="T213" s="15">
        <f>1*INDEX(R213:S213,MATCH(LARGE(R213:S213,1),R213:S213,0))+0*INDEX(R213:S213,MATCH(LARGE(R213:S213,2),R213:S213,0))</f>
        <v>0</v>
      </c>
      <c r="U213" s="21"/>
      <c r="V213" s="21"/>
      <c r="W213" s="21"/>
      <c r="X213" s="21"/>
      <c r="Y213" s="21"/>
      <c r="Z213" s="21"/>
    </row>
    <row r="214" spans="1:26" ht="12.75" customHeight="1" x14ac:dyDescent="0.3">
      <c r="A214" s="15">
        <v>213</v>
      </c>
      <c r="B214" s="16" t="s">
        <v>98</v>
      </c>
      <c r="C214" s="17" t="s">
        <v>43</v>
      </c>
      <c r="D214" s="15" t="s">
        <v>26</v>
      </c>
      <c r="E214" s="18" t="s">
        <v>23</v>
      </c>
      <c r="F214" s="15"/>
      <c r="G214" s="22">
        <v>2009</v>
      </c>
      <c r="H214" s="15">
        <f>MAX(IF(ISNA(VLOOKUP(B214,'WBV 1'!$B$3:$C$34,2,FALSE))=TRUE,0,VLOOKUP(B214,'WBV 1'!$B$3:$C$34,2,FALSE)),IF(ISNA(VLOOKUP(B214,'WBV 1'!$F$3:$G$34,2,FALSE))=TRUE,0,VLOOKUP(B214,'WBV 1'!$F$3:$G$34,2,FALSE)),IF(ISNA(VLOOKUP(B214,'WBV 1'!$J$3:$K$34,2,FALSE))=TRUE,0,VLOOKUP(B214,'WBV 1'!$J$3:$K$34,2,FALSE)),IF(ISNA(VLOOKUP(B214,'WBV 1'!$N$3:$O$34,2,FALSE))=TRUE,0,VLOOKUP(B214,'WBV 1'!$N$3:$O$34,2,FALSE)))</f>
        <v>0</v>
      </c>
      <c r="I214" s="15">
        <f>MAX(IF(ISNA(VLOOKUP(B214,'WBV 2'!$B$3:$C$34,2,FALSE))=TRUE,0,VLOOKUP(B214,'WBV 2'!$B$3:$C$34,2,FALSE)),IF(ISNA(VLOOKUP(B214,'WBV 2'!$F$3:$G$34,2,FALSE))=TRUE,0,VLOOKUP(B214,'WBV 2'!$F$3:$G$34,2,FALSE)),IF(ISNA(VLOOKUP(B214,'WBV 2'!$J$3:$K$34,2,FALSE))=TRUE,0,VLOOKUP(B214,'WBV 2'!$J$3:$K$34,2,FALSE)),IF(ISNA(VLOOKUP(B214,'WBV 2'!$N$3:$O$34,2,FALSE))=TRUE,0,VLOOKUP(B214,'WBV 2'!$N$3:$O$34,2,FALSE)))</f>
        <v>0</v>
      </c>
      <c r="J214" s="15">
        <f>MAX(IF(ISNA(VLOOKUP(B214,'WBV 3'!$B$3:$C$34,2,FALSE))=TRUE,0,VLOOKUP(B214,'WBV 3'!$B$3:$C$34,2,FALSE)),IF(ISNA(VLOOKUP(B214,'WBV 3'!$F$3:$G$34,2,FALSE))=TRUE,0,VLOOKUP(B214,'WBV 3'!$F$3:$G$34,2,FALSE)),IF(ISNA(VLOOKUP(B214,'WBV 3'!$J$3:$K$34,2,FALSE))=TRUE,0,VLOOKUP(B214,'WBV 3'!$J$3:$K$34,2,FALSE)),IF(ISNA(VLOOKUP(B214,'WBV 3'!$N$3:$O$34,2,FALSE))=TRUE,0,VLOOKUP(B214,'WBV 3'!$N$3:$O$34,2,FALSE)))</f>
        <v>0</v>
      </c>
      <c r="K214" s="15">
        <f>MAX(IF(ISNA(VLOOKUP(B214,'WBV 4'!$B$3:$C$34,2,FALSE))=TRUE,0,VLOOKUP(B214,'WBV 4'!$B$3:$C$34,2,FALSE)),IF(ISNA(VLOOKUP(B214,'WBV 4'!$F$3:$G$34,2,FALSE))=TRUE,0,VLOOKUP(B214,'WBV 4'!$F$3:$G$34,2,FALSE)),IF(ISNA(VLOOKUP(B214,'WBV 4'!$J$3:$K$34,2,FALSE))=TRUE,0,VLOOKUP(B214,'WBV 4'!$J$3:$K$34,2,FALSE)),IF(ISNA(VLOOKUP(B214,'WBV 4'!$N$3:$O$34,2,FALSE))=TRUE,0,VLOOKUP(B214,'WBV 4'!$N$3:$O$34,2,FALSE)))</f>
        <v>0</v>
      </c>
      <c r="L214" s="19">
        <f>MAX(IF(ISNA(VLOOKUP(B214,'NÖBV 1'!$B$3:$C$34,2,FALSE))=TRUE,0,VLOOKUP(B214,'NÖBV 1'!$B$3:$C$34,2,FALSE)),IF(ISNA(VLOOKUP(B214,'NÖBV 1'!$F$3:$G$34,2,FALSE))=TRUE,0,VLOOKUP(B214,'NÖBV 1'!$F$3:$G$34,2,FALSE)),IF(ISNA(VLOOKUP(B214,'NÖBV 1'!$J$3:$K$34,2,FALSE))=TRUE,0,VLOOKUP(B214,'NÖBV 1'!$J$3:$K$34,2,FALSE)),IF(ISNA(VLOOKUP(B214,'NÖBV 1'!$N$3:$O$34,2,FALSE))=TRUE,0,VLOOKUP(B214,'NÖBV 1'!$N$3:$O$34,2,FALSE)))</f>
        <v>0</v>
      </c>
      <c r="M214" s="19">
        <f>MAX(IF(ISNA(VLOOKUP(B214,'NÖBV 2'!$B$3:$C$34,2,FALSE))=TRUE,0,VLOOKUP(B214,'NÖBV 2'!$B$3:$C$34,2,FALSE)),IF(ISNA(VLOOKUP(B214,'NÖBV 2'!$F$3:$G$34,2,FALSE))=TRUE,0,VLOOKUP(B214,'NÖBV 2'!$F$3:$G$34,2,FALSE)),IF(ISNA(VLOOKUP(B214,'NÖBV 2'!$J$3:$K$34,2,FALSE))=TRUE,0,VLOOKUP(B214,'NÖBV 2'!$J$3:$K$34,2,FALSE)),IF(ISNA(VLOOKUP(B214,'NÖBV 2'!$N$3:$O$34,2,FALSE))=TRUE,0,VLOOKUP(B214,'NÖBV 2'!$N$3:$O$34,2,FALSE)))</f>
        <v>0</v>
      </c>
      <c r="N214" s="19">
        <f>MAX(IF(ISNA(VLOOKUP(B214,'NÖBV 3'!$B$3:$C$34,2,FALSE))=TRUE,0,VLOOKUP(B214,'NÖBV 3'!$B$3:$C$34,2,FALSE)),IF(ISNA(VLOOKUP(B214,'NÖBV 3'!$F$3:$G$34,2,FALSE))=TRUE,0,VLOOKUP(B214,'NÖBV 3'!$F$3:$G$34,2,FALSE)),IF(ISNA(VLOOKUP(B214,'NÖBV 3'!$J$3:$K$34,2,FALSE))=TRUE,0,VLOOKUP(B214,'NÖBV 3'!$J$3:$K$34,2,FALSE)),IF(ISNA(VLOOKUP(B214,'NÖBV 3'!$N$3:$O$34,2,FALSE))=TRUE,0,VLOOKUP(B214,'NÖBV 3'!$N$3:$O$34,2,FALSE)))</f>
        <v>0</v>
      </c>
      <c r="O214" s="15">
        <f>MAX(IF(ISNA(VLOOKUP(B214,'Regioturnier 1'!$B$3:$C$34,2,FALSE))=TRUE,0,VLOOKUP(B214,'Regioturnier 1'!$B$3:$C$34,2,FALSE)),IF(ISNA(VLOOKUP(B214,'Regioturnier 1'!$F$3:$G$34,2,FALSE))=TRUE,0,VLOOKUP(B214,'Regioturnier 1'!$F$3:$G$34,2,FALSE)),IF(ISNA(VLOOKUP(B214,'Regioturnier 1'!$J$3:$K$34,2,FALSE))=TRUE,0,VLOOKUP(B214,'Regioturnier 1'!$J$3:$K$34,2,FALSE)),IF(ISNA(VLOOKUP(B214,'Regioturnier 1'!$N$3:$O$34,2,FALSE))=TRUE,0,VLOOKUP(B214,'Regioturnier 1'!$N$3:$O$34,2,FALSE)),IF(ISNA(VLOOKUP(B214,'Regioturnier 1'!$R$3:$S$34,2,FALSE))=TRUE,0,VLOOKUP(B214,'Regioturnier 1'!$R$3:$S$34,2,FALSE)), IF(ISNA(VLOOKUP(B214,'Regioturnier 1'!$V$3:$W$34,2,FALSE))=TRUE,0,VLOOKUP(B214,'Regioturnier 1'!$V$3:$W$34,2,FALSE)), IF(ISNA(VLOOKUP(B214,'Regioturnier 1'!$Z$3:$AA$34,2,FALSE))=TRUE,0,VLOOKUP(B214,'Regioturnier 1'!$Z$3:$AA$34,2,FALSE)))</f>
        <v>0</v>
      </c>
      <c r="P214" s="15">
        <f>MAX(IF(ISNA(VLOOKUP(B214,'Regioturnier 2'!$B$3:$C$34,2,FALSE))=TRUE,0,VLOOKUP(B214,'Regioturnier 2'!$B$3:$C$34,2,FALSE)),IF(ISNA(VLOOKUP(B214,'Regioturnier 2'!$F$3:$G$34,2,FALSE))=TRUE,0,VLOOKUP(B214,'Regioturnier 2'!$F$3:$G$34,2,FALSE)),IF(ISNA(VLOOKUP(B214,'Regioturnier 2'!$J$3:$K$34,2,FALSE))=TRUE,0,VLOOKUP(B214,'Regioturnier 2'!$J$3:$K$34,2,FALSE)),IF(ISNA(VLOOKUP(B214,'Regioturnier 2'!$N$3:$O$34,2,FALSE))=TRUE,0,VLOOKUP(B214,'Regioturnier 2'!$N$3:$O$34,2,FALSE)),IF(ISNA(VLOOKUP(B214,'Regioturnier 2'!$R$3:$S$34,2,FALSE))=TRUE,0,VLOOKUP(B214,'Regioturnier 2'!$R$3:$S$34,2,FALSE)), IF(ISNA(VLOOKUP(B214,'Regioturnier 2'!$V$3:$W$34,2,FALSE))=TRUE,0,VLOOKUP(B214,'Regioturnier 2'!$V$3:$W$34,2,FALSE)), IF(ISNA(VLOOKUP(B214,'Regioturnier 2'!$Z$3:$AA$34,2,FALSE))=TRUE,0,VLOOKUP(B214,'Regioturnier 2'!$Z$3:$AA$34,2,FALSE)))</f>
        <v>0</v>
      </c>
      <c r="Q214" s="15">
        <f>MAX(IF(ISNA(VLOOKUP(B214,'Regioturnier 3'!$B$3:$C$34,2,FALSE))=TRUE,0,VLOOKUP(B214,'Regioturnier 3'!$B$3:$C$34,2,FALSE)),IF(ISNA(VLOOKUP(B214,'Regioturnier 3'!$F$3:$G$34,2,FALSE))=TRUE,0,VLOOKUP(B214,'Regioturnier 3'!$F$3:$G$34,2,FALSE)),IF(ISNA(VLOOKUP(B214,'Regioturnier 3'!$J$3:$K$34,2,FALSE))=TRUE,0,VLOOKUP(B214,'Regioturnier 3'!$J$3:$K$34,2,FALSE)),IF(ISNA(VLOOKUP(B214,'Regioturnier 3'!$N$3:$O$34,2,FALSE))=TRUE,0,VLOOKUP(B214,'Regioturnier 3'!$N$3:$O$34,2,FALSE)),IF(ISNA(VLOOKUP(B214,'Regioturnier 3'!$R$3:$S$34,2,FALSE))=TRUE,0,VLOOKUP(B214,'Regioturnier 3'!$R$3:$S$34,2,FALSE)), IF(ISNA(VLOOKUP(B214,'Regioturnier 3'!$V$3:$W$34,2,FALSE))=TRUE,0,VLOOKUP(B214,'Regioturnier 3'!$V$3:$W$34,2,FALSE)), IF(ISNA(VLOOKUP(B214,'Regioturnier 3'!$Z$3:$AA$34,2,FALSE))=TRUE,0,VLOOKUP(B214,'Regioturnier 3'!$Z$3:$AA$34,2,FALSE)))</f>
        <v>0</v>
      </c>
      <c r="R214" s="20">
        <f>0.5*INDEX($H214:$N214,MATCH(LARGE($H214:$N214,1),$H214:$N214,0))+0.3*INDEX($H214:$N214,MATCH(LARGE($H214:$N214,2),$H214:$N214,0))+0.2*INDEX($H214:$N214,MATCH(LARGE($H214:$N214,3),$H214:$N214,0))</f>
        <v>0</v>
      </c>
      <c r="S214" s="20">
        <f>0.6*INDEX(O214:Q214,MATCH(LARGE(O214:Q214,1),O214:Q214,0))+0.4*INDEX(O214:Q214,MATCH(LARGE(O214:Q214,2),O214:Q214,0))+0*INDEX(O214:Q214,MATCH(LARGE(O214:Q214,3),O214:Q214,0))</f>
        <v>0</v>
      </c>
      <c r="T214" s="15">
        <f>1*INDEX(R214:S214,MATCH(LARGE(R214:S214,1),R214:S214,0))+0*INDEX(R214:S214,MATCH(LARGE(R214:S214,2),R214:S214,0))</f>
        <v>0</v>
      </c>
      <c r="U214" s="21"/>
      <c r="V214" s="21"/>
      <c r="W214" s="21"/>
      <c r="X214" s="21"/>
      <c r="Y214" s="21"/>
      <c r="Z214" s="21"/>
    </row>
    <row r="215" spans="1:26" ht="12.75" customHeight="1" x14ac:dyDescent="0.3">
      <c r="A215" s="15">
        <v>214</v>
      </c>
      <c r="B215" s="16" t="s">
        <v>109</v>
      </c>
      <c r="C215" s="17" t="s">
        <v>48</v>
      </c>
      <c r="D215" s="15" t="s">
        <v>26</v>
      </c>
      <c r="E215" s="18" t="s">
        <v>40</v>
      </c>
      <c r="F215" s="15">
        <v>110334</v>
      </c>
      <c r="G215" s="22">
        <v>2011</v>
      </c>
      <c r="H215" s="15">
        <f>MAX(IF(ISNA(VLOOKUP(B215,'WBV 1'!$B$3:$C$34,2,FALSE))=TRUE,0,VLOOKUP(B215,'WBV 1'!$B$3:$C$34,2,FALSE)),IF(ISNA(VLOOKUP(B215,'WBV 1'!$F$3:$G$34,2,FALSE))=TRUE,0,VLOOKUP(B215,'WBV 1'!$F$3:$G$34,2,FALSE)),IF(ISNA(VLOOKUP(B215,'WBV 1'!$J$3:$K$34,2,FALSE))=TRUE,0,VLOOKUP(B215,'WBV 1'!$J$3:$K$34,2,FALSE)),IF(ISNA(VLOOKUP(B215,'WBV 1'!$N$3:$O$34,2,FALSE))=TRUE,0,VLOOKUP(B215,'WBV 1'!$N$3:$O$34,2,FALSE)))</f>
        <v>0</v>
      </c>
      <c r="I215" s="15">
        <f>MAX(IF(ISNA(VLOOKUP(B215,'WBV 2'!$B$3:$C$34,2,FALSE))=TRUE,0,VLOOKUP(B215,'WBV 2'!$B$3:$C$34,2,FALSE)),IF(ISNA(VLOOKUP(B215,'WBV 2'!$F$3:$G$34,2,FALSE))=TRUE,0,VLOOKUP(B215,'WBV 2'!$F$3:$G$34,2,FALSE)),IF(ISNA(VLOOKUP(B215,'WBV 2'!$J$3:$K$34,2,FALSE))=TRUE,0,VLOOKUP(B215,'WBV 2'!$J$3:$K$34,2,FALSE)),IF(ISNA(VLOOKUP(B215,'WBV 2'!$N$3:$O$34,2,FALSE))=TRUE,0,VLOOKUP(B215,'WBV 2'!$N$3:$O$34,2,FALSE)))</f>
        <v>0</v>
      </c>
      <c r="J215" s="15">
        <f>MAX(IF(ISNA(VLOOKUP(B215,'WBV 3'!$B$3:$C$34,2,FALSE))=TRUE,0,VLOOKUP(B215,'WBV 3'!$B$3:$C$34,2,FALSE)),IF(ISNA(VLOOKUP(B215,'WBV 3'!$F$3:$G$34,2,FALSE))=TRUE,0,VLOOKUP(B215,'WBV 3'!$F$3:$G$34,2,FALSE)),IF(ISNA(VLOOKUP(B215,'WBV 3'!$J$3:$K$34,2,FALSE))=TRUE,0,VLOOKUP(B215,'WBV 3'!$J$3:$K$34,2,FALSE)),IF(ISNA(VLOOKUP(B215,'WBV 3'!$N$3:$O$34,2,FALSE))=TRUE,0,VLOOKUP(B215,'WBV 3'!$N$3:$O$34,2,FALSE)))</f>
        <v>0</v>
      </c>
      <c r="K215" s="15">
        <f>MAX(IF(ISNA(VLOOKUP(B215,'WBV 4'!$B$3:$C$34,2,FALSE))=TRUE,0,VLOOKUP(B215,'WBV 4'!$B$3:$C$34,2,FALSE)),IF(ISNA(VLOOKUP(B215,'WBV 4'!$F$3:$G$34,2,FALSE))=TRUE,0,VLOOKUP(B215,'WBV 4'!$F$3:$G$34,2,FALSE)),IF(ISNA(VLOOKUP(B215,'WBV 4'!$J$3:$K$34,2,FALSE))=TRUE,0,VLOOKUP(B215,'WBV 4'!$J$3:$K$34,2,FALSE)),IF(ISNA(VLOOKUP(B215,'WBV 4'!$N$3:$O$34,2,FALSE))=TRUE,0,VLOOKUP(B215,'WBV 4'!$N$3:$O$34,2,FALSE)))</f>
        <v>0</v>
      </c>
      <c r="L215" s="19">
        <f>MAX(IF(ISNA(VLOOKUP(B215,'NÖBV 1'!$B$3:$C$34,2,FALSE))=TRUE,0,VLOOKUP(B215,'NÖBV 1'!$B$3:$C$34,2,FALSE)),IF(ISNA(VLOOKUP(B215,'NÖBV 1'!$F$3:$G$34,2,FALSE))=TRUE,0,VLOOKUP(B215,'NÖBV 1'!$F$3:$G$34,2,FALSE)),IF(ISNA(VLOOKUP(B215,'NÖBV 1'!$J$3:$K$34,2,FALSE))=TRUE,0,VLOOKUP(B215,'NÖBV 1'!$J$3:$K$34,2,FALSE)),IF(ISNA(VLOOKUP(B215,'NÖBV 1'!$N$3:$O$34,2,FALSE))=TRUE,0,VLOOKUP(B215,'NÖBV 1'!$N$3:$O$34,2,FALSE)))</f>
        <v>0</v>
      </c>
      <c r="M215" s="19">
        <f>MAX(IF(ISNA(VLOOKUP(B215,'NÖBV 2'!$B$3:$C$34,2,FALSE))=TRUE,0,VLOOKUP(B215,'NÖBV 2'!$B$3:$C$34,2,FALSE)),IF(ISNA(VLOOKUP(B215,'NÖBV 2'!$F$3:$G$34,2,FALSE))=TRUE,0,VLOOKUP(B215,'NÖBV 2'!$F$3:$G$34,2,FALSE)),IF(ISNA(VLOOKUP(B215,'NÖBV 2'!$J$3:$K$34,2,FALSE))=TRUE,0,VLOOKUP(B215,'NÖBV 2'!$J$3:$K$34,2,FALSE)),IF(ISNA(VLOOKUP(B215,'NÖBV 2'!$N$3:$O$34,2,FALSE))=TRUE,0,VLOOKUP(B215,'NÖBV 2'!$N$3:$O$34,2,FALSE)))</f>
        <v>0</v>
      </c>
      <c r="N215" s="19">
        <f>MAX(IF(ISNA(VLOOKUP(B215,'NÖBV 3'!$B$3:$C$34,2,FALSE))=TRUE,0,VLOOKUP(B215,'NÖBV 3'!$B$3:$C$34,2,FALSE)),IF(ISNA(VLOOKUP(B215,'NÖBV 3'!$F$3:$G$34,2,FALSE))=TRUE,0,VLOOKUP(B215,'NÖBV 3'!$F$3:$G$34,2,FALSE)),IF(ISNA(VLOOKUP(B215,'NÖBV 3'!$J$3:$K$34,2,FALSE))=TRUE,0,VLOOKUP(B215,'NÖBV 3'!$J$3:$K$34,2,FALSE)),IF(ISNA(VLOOKUP(B215,'NÖBV 3'!$N$3:$O$34,2,FALSE))=TRUE,0,VLOOKUP(B215,'NÖBV 3'!$N$3:$O$34,2,FALSE)))</f>
        <v>0</v>
      </c>
      <c r="O215" s="15">
        <f>MAX(IF(ISNA(VLOOKUP(B215,'Regioturnier 1'!$B$3:$C$34,2,FALSE))=TRUE,0,VLOOKUP(B215,'Regioturnier 1'!$B$3:$C$34,2,FALSE)),IF(ISNA(VLOOKUP(B215,'Regioturnier 1'!$F$3:$G$34,2,FALSE))=TRUE,0,VLOOKUP(B215,'Regioturnier 1'!$F$3:$G$34,2,FALSE)),IF(ISNA(VLOOKUP(B215,'Regioturnier 1'!$J$3:$K$34,2,FALSE))=TRUE,0,VLOOKUP(B215,'Regioturnier 1'!$J$3:$K$34,2,FALSE)),IF(ISNA(VLOOKUP(B215,'Regioturnier 1'!$N$3:$O$34,2,FALSE))=TRUE,0,VLOOKUP(B215,'Regioturnier 1'!$N$3:$O$34,2,FALSE)),IF(ISNA(VLOOKUP(B215,'Regioturnier 1'!$R$3:$S$34,2,FALSE))=TRUE,0,VLOOKUP(B215,'Regioturnier 1'!$R$3:$S$34,2,FALSE)), IF(ISNA(VLOOKUP(B215,'Regioturnier 1'!$V$3:$W$34,2,FALSE))=TRUE,0,VLOOKUP(B215,'Regioturnier 1'!$V$3:$W$34,2,FALSE)), IF(ISNA(VLOOKUP(B215,'Regioturnier 1'!$Z$3:$AA$34,2,FALSE))=TRUE,0,VLOOKUP(B215,'Regioturnier 1'!$Z$3:$AA$34,2,FALSE)))</f>
        <v>0</v>
      </c>
      <c r="P215" s="15">
        <f>MAX(IF(ISNA(VLOOKUP(B215,'Regioturnier 2'!$B$3:$C$34,2,FALSE))=TRUE,0,VLOOKUP(B215,'Regioturnier 2'!$B$3:$C$34,2,FALSE)),IF(ISNA(VLOOKUP(B215,'Regioturnier 2'!$F$3:$G$34,2,FALSE))=TRUE,0,VLOOKUP(B215,'Regioturnier 2'!$F$3:$G$34,2,FALSE)),IF(ISNA(VLOOKUP(B215,'Regioturnier 2'!$J$3:$K$34,2,FALSE))=TRUE,0,VLOOKUP(B215,'Regioturnier 2'!$J$3:$K$34,2,FALSE)),IF(ISNA(VLOOKUP(B215,'Regioturnier 2'!$N$3:$O$34,2,FALSE))=TRUE,0,VLOOKUP(B215,'Regioturnier 2'!$N$3:$O$34,2,FALSE)),IF(ISNA(VLOOKUP(B215,'Regioturnier 2'!$R$3:$S$34,2,FALSE))=TRUE,0,VLOOKUP(B215,'Regioturnier 2'!$R$3:$S$34,2,FALSE)), IF(ISNA(VLOOKUP(B215,'Regioturnier 2'!$V$3:$W$34,2,FALSE))=TRUE,0,VLOOKUP(B215,'Regioturnier 2'!$V$3:$W$34,2,FALSE)), IF(ISNA(VLOOKUP(B215,'Regioturnier 2'!$Z$3:$AA$34,2,FALSE))=TRUE,0,VLOOKUP(B215,'Regioturnier 2'!$Z$3:$AA$34,2,FALSE)))</f>
        <v>0</v>
      </c>
      <c r="Q215" s="15">
        <f>MAX(IF(ISNA(VLOOKUP(B215,'Regioturnier 3'!$B$3:$C$34,2,FALSE))=TRUE,0,VLOOKUP(B215,'Regioturnier 3'!$B$3:$C$34,2,FALSE)),IF(ISNA(VLOOKUP(B215,'Regioturnier 3'!$F$3:$G$34,2,FALSE))=TRUE,0,VLOOKUP(B215,'Regioturnier 3'!$F$3:$G$34,2,FALSE)),IF(ISNA(VLOOKUP(B215,'Regioturnier 3'!$J$3:$K$34,2,FALSE))=TRUE,0,VLOOKUP(B215,'Regioturnier 3'!$J$3:$K$34,2,FALSE)),IF(ISNA(VLOOKUP(B215,'Regioturnier 3'!$N$3:$O$34,2,FALSE))=TRUE,0,VLOOKUP(B215,'Regioturnier 3'!$N$3:$O$34,2,FALSE)),IF(ISNA(VLOOKUP(B215,'Regioturnier 3'!$R$3:$S$34,2,FALSE))=TRUE,0,VLOOKUP(B215,'Regioturnier 3'!$R$3:$S$34,2,FALSE)), IF(ISNA(VLOOKUP(B215,'Regioturnier 3'!$V$3:$W$34,2,FALSE))=TRUE,0,VLOOKUP(B215,'Regioturnier 3'!$V$3:$W$34,2,FALSE)), IF(ISNA(VLOOKUP(B215,'Regioturnier 3'!$Z$3:$AA$34,2,FALSE))=TRUE,0,VLOOKUP(B215,'Regioturnier 3'!$Z$3:$AA$34,2,FALSE)))</f>
        <v>0</v>
      </c>
      <c r="R215" s="20">
        <f>0.5*INDEX($H215:$N215,MATCH(LARGE($H215:$N215,1),$H215:$N215,0))+0.3*INDEX($H215:$N215,MATCH(LARGE($H215:$N215,2),$H215:$N215,0))+0.2*INDEX($H215:$N215,MATCH(LARGE($H215:$N215,3),$H215:$N215,0))</f>
        <v>0</v>
      </c>
      <c r="S215" s="20">
        <f>0.6*INDEX(O215:Q215,MATCH(LARGE(O215:Q215,1),O215:Q215,0))+0.4*INDEX(O215:Q215,MATCH(LARGE(O215:Q215,2),O215:Q215,0))+0*INDEX(O215:Q215,MATCH(LARGE(O215:Q215,3),O215:Q215,0))</f>
        <v>0</v>
      </c>
      <c r="T215" s="15">
        <f>1*INDEX(R215:S215,MATCH(LARGE(R215:S215,1),R215:S215,0))+0*INDEX(R215:S215,MATCH(LARGE(R215:S215,2),R215:S215,0))</f>
        <v>0</v>
      </c>
      <c r="U215" s="21"/>
      <c r="V215" s="21"/>
      <c r="W215" s="21"/>
      <c r="X215" s="21"/>
      <c r="Y215" s="21"/>
      <c r="Z215" s="21"/>
    </row>
    <row r="216" spans="1:26" ht="12.75" customHeight="1" x14ac:dyDescent="0.3">
      <c r="A216" s="15">
        <v>215</v>
      </c>
      <c r="B216" s="16" t="s">
        <v>62</v>
      </c>
      <c r="C216" s="17" t="s">
        <v>25</v>
      </c>
      <c r="D216" s="15" t="s">
        <v>26</v>
      </c>
      <c r="E216" s="18" t="s">
        <v>23</v>
      </c>
      <c r="F216" s="15">
        <v>109647</v>
      </c>
      <c r="G216" s="22">
        <v>2013</v>
      </c>
      <c r="H216" s="15">
        <f>MAX(IF(ISNA(VLOOKUP(B216,'WBV 1'!$B$3:$C$34,2,FALSE))=TRUE,0,VLOOKUP(B216,'WBV 1'!$B$3:$C$34,2,FALSE)),IF(ISNA(VLOOKUP(B216,'WBV 1'!$F$3:$G$34,2,FALSE))=TRUE,0,VLOOKUP(B216,'WBV 1'!$F$3:$G$34,2,FALSE)),IF(ISNA(VLOOKUP(B216,'WBV 1'!$J$3:$K$34,2,FALSE))=TRUE,0,VLOOKUP(B216,'WBV 1'!$J$3:$K$34,2,FALSE)),IF(ISNA(VLOOKUP(B216,'WBV 1'!$N$3:$O$34,2,FALSE))=TRUE,0,VLOOKUP(B216,'WBV 1'!$N$3:$O$34,2,FALSE)))</f>
        <v>0</v>
      </c>
      <c r="I216" s="15">
        <f>MAX(IF(ISNA(VLOOKUP(B216,'WBV 2'!$B$3:$C$34,2,FALSE))=TRUE,0,VLOOKUP(B216,'WBV 2'!$B$3:$C$34,2,FALSE)),IF(ISNA(VLOOKUP(B216,'WBV 2'!$F$3:$G$34,2,FALSE))=TRUE,0,VLOOKUP(B216,'WBV 2'!$F$3:$G$34,2,FALSE)),IF(ISNA(VLOOKUP(B216,'WBV 2'!$J$3:$K$34,2,FALSE))=TRUE,0,VLOOKUP(B216,'WBV 2'!$J$3:$K$34,2,FALSE)),IF(ISNA(VLOOKUP(B216,'WBV 2'!$N$3:$O$34,2,FALSE))=TRUE,0,VLOOKUP(B216,'WBV 2'!$N$3:$O$34,2,FALSE)))</f>
        <v>0</v>
      </c>
      <c r="J216" s="15">
        <f>MAX(IF(ISNA(VLOOKUP(B216,'WBV 3'!$B$3:$C$34,2,FALSE))=TRUE,0,VLOOKUP(B216,'WBV 3'!$B$3:$C$34,2,FALSE)),IF(ISNA(VLOOKUP(B216,'WBV 3'!$F$3:$G$34,2,FALSE))=TRUE,0,VLOOKUP(B216,'WBV 3'!$F$3:$G$34,2,FALSE)),IF(ISNA(VLOOKUP(B216,'WBV 3'!$J$3:$K$34,2,FALSE))=TRUE,0,VLOOKUP(B216,'WBV 3'!$J$3:$K$34,2,FALSE)),IF(ISNA(VLOOKUP(B216,'WBV 3'!$N$3:$O$34,2,FALSE))=TRUE,0,VLOOKUP(B216,'WBV 3'!$N$3:$O$34,2,FALSE)))</f>
        <v>0</v>
      </c>
      <c r="K216" s="15">
        <f>MAX(IF(ISNA(VLOOKUP(B216,'WBV 4'!$B$3:$C$34,2,FALSE))=TRUE,0,VLOOKUP(B216,'WBV 4'!$B$3:$C$34,2,FALSE)),IF(ISNA(VLOOKUP(B216,'WBV 4'!$F$3:$G$34,2,FALSE))=TRUE,0,VLOOKUP(B216,'WBV 4'!$F$3:$G$34,2,FALSE)),IF(ISNA(VLOOKUP(B216,'WBV 4'!$J$3:$K$34,2,FALSE))=TRUE,0,VLOOKUP(B216,'WBV 4'!$J$3:$K$34,2,FALSE)),IF(ISNA(VLOOKUP(B216,'WBV 4'!$N$3:$O$34,2,FALSE))=TRUE,0,VLOOKUP(B216,'WBV 4'!$N$3:$O$34,2,FALSE)))</f>
        <v>0</v>
      </c>
      <c r="L216" s="19">
        <f>MAX(IF(ISNA(VLOOKUP(B216,'NÖBV 1'!$B$3:$C$34,2,FALSE))=TRUE,0,VLOOKUP(B216,'NÖBV 1'!$B$3:$C$34,2,FALSE)),IF(ISNA(VLOOKUP(B216,'NÖBV 1'!$F$3:$G$34,2,FALSE))=TRUE,0,VLOOKUP(B216,'NÖBV 1'!$F$3:$G$34,2,FALSE)),IF(ISNA(VLOOKUP(B216,'NÖBV 1'!$J$3:$K$34,2,FALSE))=TRUE,0,VLOOKUP(B216,'NÖBV 1'!$J$3:$K$34,2,FALSE)),IF(ISNA(VLOOKUP(B216,'NÖBV 1'!$N$3:$O$34,2,FALSE))=TRUE,0,VLOOKUP(B216,'NÖBV 1'!$N$3:$O$34,2,FALSE)))</f>
        <v>0</v>
      </c>
      <c r="M216" s="19">
        <f>MAX(IF(ISNA(VLOOKUP(B216,'NÖBV 2'!$B$3:$C$34,2,FALSE))=TRUE,0,VLOOKUP(B216,'NÖBV 2'!$B$3:$C$34,2,FALSE)),IF(ISNA(VLOOKUP(B216,'NÖBV 2'!$F$3:$G$34,2,FALSE))=TRUE,0,VLOOKUP(B216,'NÖBV 2'!$F$3:$G$34,2,FALSE)),IF(ISNA(VLOOKUP(B216,'NÖBV 2'!$J$3:$K$34,2,FALSE))=TRUE,0,VLOOKUP(B216,'NÖBV 2'!$J$3:$K$34,2,FALSE)),IF(ISNA(VLOOKUP(B216,'NÖBV 2'!$N$3:$O$34,2,FALSE))=TRUE,0,VLOOKUP(B216,'NÖBV 2'!$N$3:$O$34,2,FALSE)))</f>
        <v>0</v>
      </c>
      <c r="N216" s="19">
        <f>MAX(IF(ISNA(VLOOKUP(B216,'NÖBV 3'!$B$3:$C$34,2,FALSE))=TRUE,0,VLOOKUP(B216,'NÖBV 3'!$B$3:$C$34,2,FALSE)),IF(ISNA(VLOOKUP(B216,'NÖBV 3'!$F$3:$G$34,2,FALSE))=TRUE,0,VLOOKUP(B216,'NÖBV 3'!$F$3:$G$34,2,FALSE)),IF(ISNA(VLOOKUP(B216,'NÖBV 3'!$J$3:$K$34,2,FALSE))=TRUE,0,VLOOKUP(B216,'NÖBV 3'!$J$3:$K$34,2,FALSE)),IF(ISNA(VLOOKUP(B216,'NÖBV 3'!$N$3:$O$34,2,FALSE))=TRUE,0,VLOOKUP(B216,'NÖBV 3'!$N$3:$O$34,2,FALSE)))</f>
        <v>0</v>
      </c>
      <c r="O216" s="15">
        <f>MAX(IF(ISNA(VLOOKUP(B216,'Regioturnier 1'!$B$3:$C$34,2,FALSE))=TRUE,0,VLOOKUP(B216,'Regioturnier 1'!$B$3:$C$34,2,FALSE)),IF(ISNA(VLOOKUP(B216,'Regioturnier 1'!$F$3:$G$34,2,FALSE))=TRUE,0,VLOOKUP(B216,'Regioturnier 1'!$F$3:$G$34,2,FALSE)),IF(ISNA(VLOOKUP(B216,'Regioturnier 1'!$J$3:$K$34,2,FALSE))=TRUE,0,VLOOKUP(B216,'Regioturnier 1'!$J$3:$K$34,2,FALSE)),IF(ISNA(VLOOKUP(B216,'Regioturnier 1'!$N$3:$O$34,2,FALSE))=TRUE,0,VLOOKUP(B216,'Regioturnier 1'!$N$3:$O$34,2,FALSE)),IF(ISNA(VLOOKUP(B216,'Regioturnier 1'!$R$3:$S$34,2,FALSE))=TRUE,0,VLOOKUP(B216,'Regioturnier 1'!$R$3:$S$34,2,FALSE)), IF(ISNA(VLOOKUP(B216,'Regioturnier 1'!$V$3:$W$34,2,FALSE))=TRUE,0,VLOOKUP(B216,'Regioturnier 1'!$V$3:$W$34,2,FALSE)), IF(ISNA(VLOOKUP(B216,'Regioturnier 1'!$Z$3:$AA$34,2,FALSE))=TRUE,0,VLOOKUP(B216,'Regioturnier 1'!$Z$3:$AA$34,2,FALSE)))</f>
        <v>0</v>
      </c>
      <c r="P216" s="15">
        <f>MAX(IF(ISNA(VLOOKUP(B216,'Regioturnier 2'!$B$3:$C$34,2,FALSE))=TRUE,0,VLOOKUP(B216,'Regioturnier 2'!$B$3:$C$34,2,FALSE)),IF(ISNA(VLOOKUP(B216,'Regioturnier 2'!$F$3:$G$34,2,FALSE))=TRUE,0,VLOOKUP(B216,'Regioturnier 2'!$F$3:$G$34,2,FALSE)),IF(ISNA(VLOOKUP(B216,'Regioturnier 2'!$J$3:$K$34,2,FALSE))=TRUE,0,VLOOKUP(B216,'Regioturnier 2'!$J$3:$K$34,2,FALSE)),IF(ISNA(VLOOKUP(B216,'Regioturnier 2'!$N$3:$O$34,2,FALSE))=TRUE,0,VLOOKUP(B216,'Regioturnier 2'!$N$3:$O$34,2,FALSE)),IF(ISNA(VLOOKUP(B216,'Regioturnier 2'!$R$3:$S$34,2,FALSE))=TRUE,0,VLOOKUP(B216,'Regioturnier 2'!$R$3:$S$34,2,FALSE)), IF(ISNA(VLOOKUP(B216,'Regioturnier 2'!$V$3:$W$34,2,FALSE))=TRUE,0,VLOOKUP(B216,'Regioturnier 2'!$V$3:$W$34,2,FALSE)), IF(ISNA(VLOOKUP(B216,'Regioturnier 2'!$Z$3:$AA$34,2,FALSE))=TRUE,0,VLOOKUP(B216,'Regioturnier 2'!$Z$3:$AA$34,2,FALSE)))</f>
        <v>0</v>
      </c>
      <c r="Q216" s="15">
        <f>MAX(IF(ISNA(VLOOKUP(B216,'Regioturnier 3'!$B$3:$C$34,2,FALSE))=TRUE,0,VLOOKUP(B216,'Regioturnier 3'!$B$3:$C$34,2,FALSE)),IF(ISNA(VLOOKUP(B216,'Regioturnier 3'!$F$3:$G$34,2,FALSE))=TRUE,0,VLOOKUP(B216,'Regioturnier 3'!$F$3:$G$34,2,FALSE)),IF(ISNA(VLOOKUP(B216,'Regioturnier 3'!$J$3:$K$34,2,FALSE))=TRUE,0,VLOOKUP(B216,'Regioturnier 3'!$J$3:$K$34,2,FALSE)),IF(ISNA(VLOOKUP(B216,'Regioturnier 3'!$N$3:$O$34,2,FALSE))=TRUE,0,VLOOKUP(B216,'Regioturnier 3'!$N$3:$O$34,2,FALSE)),IF(ISNA(VLOOKUP(B216,'Regioturnier 3'!$R$3:$S$34,2,FALSE))=TRUE,0,VLOOKUP(B216,'Regioturnier 3'!$R$3:$S$34,2,FALSE)), IF(ISNA(VLOOKUP(B216,'Regioturnier 3'!$V$3:$W$34,2,FALSE))=TRUE,0,VLOOKUP(B216,'Regioturnier 3'!$V$3:$W$34,2,FALSE)), IF(ISNA(VLOOKUP(B216,'Regioturnier 3'!$Z$3:$AA$34,2,FALSE))=TRUE,0,VLOOKUP(B216,'Regioturnier 3'!$Z$3:$AA$34,2,FALSE)))</f>
        <v>0</v>
      </c>
      <c r="R216" s="20">
        <f>0.5*INDEX($H216:$N216,MATCH(LARGE($H216:$N216,1),$H216:$N216,0))+0.3*INDEX($H216:$N216,MATCH(LARGE($H216:$N216,2),$H216:$N216,0))+0.2*INDEX($H216:$N216,MATCH(LARGE($H216:$N216,3),$H216:$N216,0))</f>
        <v>0</v>
      </c>
      <c r="S216" s="20">
        <f>0.6*INDEX(O216:Q216,MATCH(LARGE(O216:Q216,1),O216:Q216,0))+0.4*INDEX(O216:Q216,MATCH(LARGE(O216:Q216,2),O216:Q216,0))+0*INDEX(O216:Q216,MATCH(LARGE(O216:Q216,3),O216:Q216,0))</f>
        <v>0</v>
      </c>
      <c r="T216" s="15">
        <f>1*INDEX(R216:S216,MATCH(LARGE(R216:S216,1),R216:S216,0))+0*INDEX(R216:S216,MATCH(LARGE(R216:S216,2),R216:S216,0))</f>
        <v>0</v>
      </c>
      <c r="U216" s="21"/>
      <c r="V216" s="21"/>
      <c r="W216" s="21"/>
      <c r="X216" s="21"/>
      <c r="Y216" s="21"/>
      <c r="Z216" s="21"/>
    </row>
    <row r="217" spans="1:26" ht="12.75" customHeight="1" x14ac:dyDescent="0.3">
      <c r="A217" s="15">
        <v>216</v>
      </c>
      <c r="B217" s="16" t="s">
        <v>131</v>
      </c>
      <c r="C217" s="17" t="s">
        <v>43</v>
      </c>
      <c r="D217" s="15" t="s">
        <v>26</v>
      </c>
      <c r="E217" s="18" t="s">
        <v>23</v>
      </c>
      <c r="F217" s="15">
        <v>109627</v>
      </c>
      <c r="G217" s="22">
        <v>2016</v>
      </c>
      <c r="H217" s="15">
        <f>MAX(IF(ISNA(VLOOKUP(B217,'WBV 1'!$B$3:$C$34,2,FALSE))=TRUE,0,VLOOKUP(B217,'WBV 1'!$B$3:$C$34,2,FALSE)),IF(ISNA(VLOOKUP(B217,'WBV 1'!$F$3:$G$34,2,FALSE))=TRUE,0,VLOOKUP(B217,'WBV 1'!$F$3:$G$34,2,FALSE)),IF(ISNA(VLOOKUP(B217,'WBV 1'!$J$3:$K$34,2,FALSE))=TRUE,0,VLOOKUP(B217,'WBV 1'!$J$3:$K$34,2,FALSE)),IF(ISNA(VLOOKUP(B217,'WBV 1'!$N$3:$O$34,2,FALSE))=TRUE,0,VLOOKUP(B217,'WBV 1'!$N$3:$O$34,2,FALSE)))</f>
        <v>0</v>
      </c>
      <c r="I217" s="15">
        <f>MAX(IF(ISNA(VLOOKUP(B217,'WBV 2'!$B$3:$C$34,2,FALSE))=TRUE,0,VLOOKUP(B217,'WBV 2'!$B$3:$C$34,2,FALSE)),IF(ISNA(VLOOKUP(B217,'WBV 2'!$F$3:$G$34,2,FALSE))=TRUE,0,VLOOKUP(B217,'WBV 2'!$F$3:$G$34,2,FALSE)),IF(ISNA(VLOOKUP(B217,'WBV 2'!$J$3:$K$34,2,FALSE))=TRUE,0,VLOOKUP(B217,'WBV 2'!$J$3:$K$34,2,FALSE)),IF(ISNA(VLOOKUP(B217,'WBV 2'!$N$3:$O$34,2,FALSE))=TRUE,0,VLOOKUP(B217,'WBV 2'!$N$3:$O$34,2,FALSE)))</f>
        <v>0</v>
      </c>
      <c r="J217" s="15">
        <f>MAX(IF(ISNA(VLOOKUP(B217,'WBV 3'!$B$3:$C$34,2,FALSE))=TRUE,0,VLOOKUP(B217,'WBV 3'!$B$3:$C$34,2,FALSE)),IF(ISNA(VLOOKUP(B217,'WBV 3'!$F$3:$G$34,2,FALSE))=TRUE,0,VLOOKUP(B217,'WBV 3'!$F$3:$G$34,2,FALSE)),IF(ISNA(VLOOKUP(B217,'WBV 3'!$J$3:$K$34,2,FALSE))=TRUE,0,VLOOKUP(B217,'WBV 3'!$J$3:$K$34,2,FALSE)),IF(ISNA(VLOOKUP(B217,'WBV 3'!$N$3:$O$34,2,FALSE))=TRUE,0,VLOOKUP(B217,'WBV 3'!$N$3:$O$34,2,FALSE)))</f>
        <v>0</v>
      </c>
      <c r="K217" s="15">
        <f>MAX(IF(ISNA(VLOOKUP(B217,'WBV 4'!$B$3:$C$34,2,FALSE))=TRUE,0,VLOOKUP(B217,'WBV 4'!$B$3:$C$34,2,FALSE)),IF(ISNA(VLOOKUP(B217,'WBV 4'!$F$3:$G$34,2,FALSE))=TRUE,0,VLOOKUP(B217,'WBV 4'!$F$3:$G$34,2,FALSE)),IF(ISNA(VLOOKUP(B217,'WBV 4'!$J$3:$K$34,2,FALSE))=TRUE,0,VLOOKUP(B217,'WBV 4'!$J$3:$K$34,2,FALSE)),IF(ISNA(VLOOKUP(B217,'WBV 4'!$N$3:$O$34,2,FALSE))=TRUE,0,VLOOKUP(B217,'WBV 4'!$N$3:$O$34,2,FALSE)))</f>
        <v>0</v>
      </c>
      <c r="L217" s="19">
        <f>MAX(IF(ISNA(VLOOKUP(B217,'NÖBV 1'!$B$3:$C$34,2,FALSE))=TRUE,0,VLOOKUP(B217,'NÖBV 1'!$B$3:$C$34,2,FALSE)),IF(ISNA(VLOOKUP(B217,'NÖBV 1'!$F$3:$G$34,2,FALSE))=TRUE,0,VLOOKUP(B217,'NÖBV 1'!$F$3:$G$34,2,FALSE)),IF(ISNA(VLOOKUP(B217,'NÖBV 1'!$J$3:$K$34,2,FALSE))=TRUE,0,VLOOKUP(B217,'NÖBV 1'!$J$3:$K$34,2,FALSE)),IF(ISNA(VLOOKUP(B217,'NÖBV 1'!$N$3:$O$34,2,FALSE))=TRUE,0,VLOOKUP(B217,'NÖBV 1'!$N$3:$O$34,2,FALSE)))</f>
        <v>0</v>
      </c>
      <c r="M217" s="19">
        <f>MAX(IF(ISNA(VLOOKUP(B217,'NÖBV 2'!$B$3:$C$34,2,FALSE))=TRUE,0,VLOOKUP(B217,'NÖBV 2'!$B$3:$C$34,2,FALSE)),IF(ISNA(VLOOKUP(B217,'NÖBV 2'!$F$3:$G$34,2,FALSE))=TRUE,0,VLOOKUP(B217,'NÖBV 2'!$F$3:$G$34,2,FALSE)),IF(ISNA(VLOOKUP(B217,'NÖBV 2'!$J$3:$K$34,2,FALSE))=TRUE,0,VLOOKUP(B217,'NÖBV 2'!$J$3:$K$34,2,FALSE)),IF(ISNA(VLOOKUP(B217,'NÖBV 2'!$N$3:$O$34,2,FALSE))=TRUE,0,VLOOKUP(B217,'NÖBV 2'!$N$3:$O$34,2,FALSE)))</f>
        <v>0</v>
      </c>
      <c r="N217" s="19">
        <f>MAX(IF(ISNA(VLOOKUP(B217,'NÖBV 3'!$B$3:$C$34,2,FALSE))=TRUE,0,VLOOKUP(B217,'NÖBV 3'!$B$3:$C$34,2,FALSE)),IF(ISNA(VLOOKUP(B217,'NÖBV 3'!$F$3:$G$34,2,FALSE))=TRUE,0,VLOOKUP(B217,'NÖBV 3'!$F$3:$G$34,2,FALSE)),IF(ISNA(VLOOKUP(B217,'NÖBV 3'!$J$3:$K$34,2,FALSE))=TRUE,0,VLOOKUP(B217,'NÖBV 3'!$J$3:$K$34,2,FALSE)),IF(ISNA(VLOOKUP(B217,'NÖBV 3'!$N$3:$O$34,2,FALSE))=TRUE,0,VLOOKUP(B217,'NÖBV 3'!$N$3:$O$34,2,FALSE)))</f>
        <v>0</v>
      </c>
      <c r="O217" s="15">
        <f>MAX(IF(ISNA(VLOOKUP(B217,'Regioturnier 1'!$B$3:$C$34,2,FALSE))=TRUE,0,VLOOKUP(B217,'Regioturnier 1'!$B$3:$C$34,2,FALSE)),IF(ISNA(VLOOKUP(B217,'Regioturnier 1'!$F$3:$G$34,2,FALSE))=TRUE,0,VLOOKUP(B217,'Regioturnier 1'!$F$3:$G$34,2,FALSE)),IF(ISNA(VLOOKUP(B217,'Regioturnier 1'!$J$3:$K$34,2,FALSE))=TRUE,0,VLOOKUP(B217,'Regioturnier 1'!$J$3:$K$34,2,FALSE)),IF(ISNA(VLOOKUP(B217,'Regioturnier 1'!$N$3:$O$34,2,FALSE))=TRUE,0,VLOOKUP(B217,'Regioturnier 1'!$N$3:$O$34,2,FALSE)),IF(ISNA(VLOOKUP(B217,'Regioturnier 1'!$R$3:$S$34,2,FALSE))=TRUE,0,VLOOKUP(B217,'Regioturnier 1'!$R$3:$S$34,2,FALSE)), IF(ISNA(VLOOKUP(B217,'Regioturnier 1'!$V$3:$W$34,2,FALSE))=TRUE,0,VLOOKUP(B217,'Regioturnier 1'!$V$3:$W$34,2,FALSE)), IF(ISNA(VLOOKUP(B217,'Regioturnier 1'!$Z$3:$AA$34,2,FALSE))=TRUE,0,VLOOKUP(B217,'Regioturnier 1'!$Z$3:$AA$34,2,FALSE)))</f>
        <v>0</v>
      </c>
      <c r="P217" s="15">
        <f>MAX(IF(ISNA(VLOOKUP(B217,'Regioturnier 2'!$B$3:$C$34,2,FALSE))=TRUE,0,VLOOKUP(B217,'Regioturnier 2'!$B$3:$C$34,2,FALSE)),IF(ISNA(VLOOKUP(B217,'Regioturnier 2'!$F$3:$G$34,2,FALSE))=TRUE,0,VLOOKUP(B217,'Regioturnier 2'!$F$3:$G$34,2,FALSE)),IF(ISNA(VLOOKUP(B217,'Regioturnier 2'!$J$3:$K$34,2,FALSE))=TRUE,0,VLOOKUP(B217,'Regioturnier 2'!$J$3:$K$34,2,FALSE)),IF(ISNA(VLOOKUP(B217,'Regioturnier 2'!$N$3:$O$34,2,FALSE))=TRUE,0,VLOOKUP(B217,'Regioturnier 2'!$N$3:$O$34,2,FALSE)),IF(ISNA(VLOOKUP(B217,'Regioturnier 2'!$R$3:$S$34,2,FALSE))=TRUE,0,VLOOKUP(B217,'Regioturnier 2'!$R$3:$S$34,2,FALSE)), IF(ISNA(VLOOKUP(B217,'Regioturnier 2'!$V$3:$W$34,2,FALSE))=TRUE,0,VLOOKUP(B217,'Regioturnier 2'!$V$3:$W$34,2,FALSE)), IF(ISNA(VLOOKUP(B217,'Regioturnier 2'!$Z$3:$AA$34,2,FALSE))=TRUE,0,VLOOKUP(B217,'Regioturnier 2'!$Z$3:$AA$34,2,FALSE)))</f>
        <v>0</v>
      </c>
      <c r="Q217" s="15">
        <f>MAX(IF(ISNA(VLOOKUP(B217,'Regioturnier 3'!$B$3:$C$34,2,FALSE))=TRUE,0,VLOOKUP(B217,'Regioturnier 3'!$B$3:$C$34,2,FALSE)),IF(ISNA(VLOOKUP(B217,'Regioturnier 3'!$F$3:$G$34,2,FALSE))=TRUE,0,VLOOKUP(B217,'Regioturnier 3'!$F$3:$G$34,2,FALSE)),IF(ISNA(VLOOKUP(B217,'Regioturnier 3'!$J$3:$K$34,2,FALSE))=TRUE,0,VLOOKUP(B217,'Regioturnier 3'!$J$3:$K$34,2,FALSE)),IF(ISNA(VLOOKUP(B217,'Regioturnier 3'!$N$3:$O$34,2,FALSE))=TRUE,0,VLOOKUP(B217,'Regioturnier 3'!$N$3:$O$34,2,FALSE)),IF(ISNA(VLOOKUP(B217,'Regioturnier 3'!$R$3:$S$34,2,FALSE))=TRUE,0,VLOOKUP(B217,'Regioturnier 3'!$R$3:$S$34,2,FALSE)), IF(ISNA(VLOOKUP(B217,'Regioturnier 3'!$V$3:$W$34,2,FALSE))=TRUE,0,VLOOKUP(B217,'Regioturnier 3'!$V$3:$W$34,2,FALSE)), IF(ISNA(VLOOKUP(B217,'Regioturnier 3'!$Z$3:$AA$34,2,FALSE))=TRUE,0,VLOOKUP(B217,'Regioturnier 3'!$Z$3:$AA$34,2,FALSE)))</f>
        <v>0</v>
      </c>
      <c r="R217" s="20">
        <f>0.5*INDEX($H217:$N217,MATCH(LARGE($H217:$N217,1),$H217:$N217,0))+0.3*INDEX($H217:$N217,MATCH(LARGE($H217:$N217,2),$H217:$N217,0))+0.2*INDEX($H217:$N217,MATCH(LARGE($H217:$N217,3),$H217:$N217,0))</f>
        <v>0</v>
      </c>
      <c r="S217" s="20">
        <f>0.6*INDEX(O217:Q217,MATCH(LARGE(O217:Q217,1),O217:Q217,0))+0.4*INDEX(O217:Q217,MATCH(LARGE(O217:Q217,2),O217:Q217,0))+0*INDEX(O217:Q217,MATCH(LARGE(O217:Q217,3),O217:Q217,0))</f>
        <v>0</v>
      </c>
      <c r="T217" s="15">
        <f>1*INDEX(R217:S217,MATCH(LARGE(R217:S217,1),R217:S217,0))+0*INDEX(R217:S217,MATCH(LARGE(R217:S217,2),R217:S217,0))</f>
        <v>0</v>
      </c>
      <c r="U217" s="21"/>
      <c r="V217" s="21"/>
      <c r="W217" s="21"/>
      <c r="X217" s="21"/>
      <c r="Y217" s="21"/>
      <c r="Z217" s="21"/>
    </row>
    <row r="218" spans="1:26" ht="12.75" customHeight="1" x14ac:dyDescent="0.3">
      <c r="A218" s="15">
        <v>217</v>
      </c>
      <c r="B218" s="16" t="s">
        <v>111</v>
      </c>
      <c r="C218" s="17" t="s">
        <v>31</v>
      </c>
      <c r="D218" s="15" t="s">
        <v>26</v>
      </c>
      <c r="E218" s="18" t="s">
        <v>23</v>
      </c>
      <c r="F218" s="15">
        <v>110027</v>
      </c>
      <c r="G218" s="22">
        <v>2010</v>
      </c>
      <c r="H218" s="15">
        <f>MAX(IF(ISNA(VLOOKUP(B218,'WBV 1'!$B$3:$C$34,2,FALSE))=TRUE,0,VLOOKUP(B218,'WBV 1'!$B$3:$C$34,2,FALSE)),IF(ISNA(VLOOKUP(B218,'WBV 1'!$F$3:$G$34,2,FALSE))=TRUE,0,VLOOKUP(B218,'WBV 1'!$F$3:$G$34,2,FALSE)),IF(ISNA(VLOOKUP(B218,'WBV 1'!$J$3:$K$34,2,FALSE))=TRUE,0,VLOOKUP(B218,'WBV 1'!$J$3:$K$34,2,FALSE)),IF(ISNA(VLOOKUP(B218,'WBV 1'!$N$3:$O$34,2,FALSE))=TRUE,0,VLOOKUP(B218,'WBV 1'!$N$3:$O$34,2,FALSE)))</f>
        <v>0</v>
      </c>
      <c r="I218" s="15">
        <f>MAX(IF(ISNA(VLOOKUP(B218,'WBV 2'!$B$3:$C$34,2,FALSE))=TRUE,0,VLOOKUP(B218,'WBV 2'!$B$3:$C$34,2,FALSE)),IF(ISNA(VLOOKUP(B218,'WBV 2'!$F$3:$G$34,2,FALSE))=TRUE,0,VLOOKUP(B218,'WBV 2'!$F$3:$G$34,2,FALSE)),IF(ISNA(VLOOKUP(B218,'WBV 2'!$J$3:$K$34,2,FALSE))=TRUE,0,VLOOKUP(B218,'WBV 2'!$J$3:$K$34,2,FALSE)),IF(ISNA(VLOOKUP(B218,'WBV 2'!$N$3:$O$34,2,FALSE))=TRUE,0,VLOOKUP(B218,'WBV 2'!$N$3:$O$34,2,FALSE)))</f>
        <v>0</v>
      </c>
      <c r="J218" s="15">
        <f>MAX(IF(ISNA(VLOOKUP(B218,'WBV 3'!$B$3:$C$34,2,FALSE))=TRUE,0,VLOOKUP(B218,'WBV 3'!$B$3:$C$34,2,FALSE)),IF(ISNA(VLOOKUP(B218,'WBV 3'!$F$3:$G$34,2,FALSE))=TRUE,0,VLOOKUP(B218,'WBV 3'!$F$3:$G$34,2,FALSE)),IF(ISNA(VLOOKUP(B218,'WBV 3'!$J$3:$K$34,2,FALSE))=TRUE,0,VLOOKUP(B218,'WBV 3'!$J$3:$K$34,2,FALSE)),IF(ISNA(VLOOKUP(B218,'WBV 3'!$N$3:$O$34,2,FALSE))=TRUE,0,VLOOKUP(B218,'WBV 3'!$N$3:$O$34,2,FALSE)))</f>
        <v>0</v>
      </c>
      <c r="K218" s="15">
        <f>MAX(IF(ISNA(VLOOKUP(B218,'WBV 4'!$B$3:$C$34,2,FALSE))=TRUE,0,VLOOKUP(B218,'WBV 4'!$B$3:$C$34,2,FALSE)),IF(ISNA(VLOOKUP(B218,'WBV 4'!$F$3:$G$34,2,FALSE))=TRUE,0,VLOOKUP(B218,'WBV 4'!$F$3:$G$34,2,FALSE)),IF(ISNA(VLOOKUP(B218,'WBV 4'!$J$3:$K$34,2,FALSE))=TRUE,0,VLOOKUP(B218,'WBV 4'!$J$3:$K$34,2,FALSE)),IF(ISNA(VLOOKUP(B218,'WBV 4'!$N$3:$O$34,2,FALSE))=TRUE,0,VLOOKUP(B218,'WBV 4'!$N$3:$O$34,2,FALSE)))</f>
        <v>0</v>
      </c>
      <c r="L218" s="19">
        <f>MAX(IF(ISNA(VLOOKUP(B218,'NÖBV 1'!$B$3:$C$34,2,FALSE))=TRUE,0,VLOOKUP(B218,'NÖBV 1'!$B$3:$C$34,2,FALSE)),IF(ISNA(VLOOKUP(B218,'NÖBV 1'!$F$3:$G$34,2,FALSE))=TRUE,0,VLOOKUP(B218,'NÖBV 1'!$F$3:$G$34,2,FALSE)),IF(ISNA(VLOOKUP(B218,'NÖBV 1'!$J$3:$K$34,2,FALSE))=TRUE,0,VLOOKUP(B218,'NÖBV 1'!$J$3:$K$34,2,FALSE)),IF(ISNA(VLOOKUP(B218,'NÖBV 1'!$N$3:$O$34,2,FALSE))=TRUE,0,VLOOKUP(B218,'NÖBV 1'!$N$3:$O$34,2,FALSE)))</f>
        <v>0</v>
      </c>
      <c r="M218" s="19">
        <f>MAX(IF(ISNA(VLOOKUP(B218,'NÖBV 2'!$B$3:$C$34,2,FALSE))=TRUE,0,VLOOKUP(B218,'NÖBV 2'!$B$3:$C$34,2,FALSE)),IF(ISNA(VLOOKUP(B218,'NÖBV 2'!$F$3:$G$34,2,FALSE))=TRUE,0,VLOOKUP(B218,'NÖBV 2'!$F$3:$G$34,2,FALSE)),IF(ISNA(VLOOKUP(B218,'NÖBV 2'!$J$3:$K$34,2,FALSE))=TRUE,0,VLOOKUP(B218,'NÖBV 2'!$J$3:$K$34,2,FALSE)),IF(ISNA(VLOOKUP(B218,'NÖBV 2'!$N$3:$O$34,2,FALSE))=TRUE,0,VLOOKUP(B218,'NÖBV 2'!$N$3:$O$34,2,FALSE)))</f>
        <v>0</v>
      </c>
      <c r="N218" s="19">
        <f>MAX(IF(ISNA(VLOOKUP(B218,'NÖBV 3'!$B$3:$C$34,2,FALSE))=TRUE,0,VLOOKUP(B218,'NÖBV 3'!$B$3:$C$34,2,FALSE)),IF(ISNA(VLOOKUP(B218,'NÖBV 3'!$F$3:$G$34,2,FALSE))=TRUE,0,VLOOKUP(B218,'NÖBV 3'!$F$3:$G$34,2,FALSE)),IF(ISNA(VLOOKUP(B218,'NÖBV 3'!$J$3:$K$34,2,FALSE))=TRUE,0,VLOOKUP(B218,'NÖBV 3'!$J$3:$K$34,2,FALSE)),IF(ISNA(VLOOKUP(B218,'NÖBV 3'!$N$3:$O$34,2,FALSE))=TRUE,0,VLOOKUP(B218,'NÖBV 3'!$N$3:$O$34,2,FALSE)))</f>
        <v>0</v>
      </c>
      <c r="O218" s="15">
        <f>MAX(IF(ISNA(VLOOKUP(B218,'Regioturnier 1'!$B$3:$C$34,2,FALSE))=TRUE,0,VLOOKUP(B218,'Regioturnier 1'!$B$3:$C$34,2,FALSE)),IF(ISNA(VLOOKUP(B218,'Regioturnier 1'!$F$3:$G$34,2,FALSE))=TRUE,0,VLOOKUP(B218,'Regioturnier 1'!$F$3:$G$34,2,FALSE)),IF(ISNA(VLOOKUP(B218,'Regioturnier 1'!$J$3:$K$34,2,FALSE))=TRUE,0,VLOOKUP(B218,'Regioturnier 1'!$J$3:$K$34,2,FALSE)),IF(ISNA(VLOOKUP(B218,'Regioturnier 1'!$N$3:$O$34,2,FALSE))=TRUE,0,VLOOKUP(B218,'Regioturnier 1'!$N$3:$O$34,2,FALSE)),IF(ISNA(VLOOKUP(B218,'Regioturnier 1'!$R$3:$S$34,2,FALSE))=TRUE,0,VLOOKUP(B218,'Regioturnier 1'!$R$3:$S$34,2,FALSE)), IF(ISNA(VLOOKUP(B218,'Regioturnier 1'!$V$3:$W$34,2,FALSE))=TRUE,0,VLOOKUP(B218,'Regioturnier 1'!$V$3:$W$34,2,FALSE)), IF(ISNA(VLOOKUP(B218,'Regioturnier 1'!$Z$3:$AA$34,2,FALSE))=TRUE,0,VLOOKUP(B218,'Regioturnier 1'!$Z$3:$AA$34,2,FALSE)))</f>
        <v>0</v>
      </c>
      <c r="P218" s="15">
        <f>MAX(IF(ISNA(VLOOKUP(B218,'Regioturnier 2'!$B$3:$C$34,2,FALSE))=TRUE,0,VLOOKUP(B218,'Regioturnier 2'!$B$3:$C$34,2,FALSE)),IF(ISNA(VLOOKUP(B218,'Regioturnier 2'!$F$3:$G$34,2,FALSE))=TRUE,0,VLOOKUP(B218,'Regioturnier 2'!$F$3:$G$34,2,FALSE)),IF(ISNA(VLOOKUP(B218,'Regioturnier 2'!$J$3:$K$34,2,FALSE))=TRUE,0,VLOOKUP(B218,'Regioturnier 2'!$J$3:$K$34,2,FALSE)),IF(ISNA(VLOOKUP(B218,'Regioturnier 2'!$N$3:$O$34,2,FALSE))=TRUE,0,VLOOKUP(B218,'Regioturnier 2'!$N$3:$O$34,2,FALSE)),IF(ISNA(VLOOKUP(B218,'Regioturnier 2'!$R$3:$S$34,2,FALSE))=TRUE,0,VLOOKUP(B218,'Regioturnier 2'!$R$3:$S$34,2,FALSE)), IF(ISNA(VLOOKUP(B218,'Regioturnier 2'!$V$3:$W$34,2,FALSE))=TRUE,0,VLOOKUP(B218,'Regioturnier 2'!$V$3:$W$34,2,FALSE)), IF(ISNA(VLOOKUP(B218,'Regioturnier 2'!$Z$3:$AA$34,2,FALSE))=TRUE,0,VLOOKUP(B218,'Regioturnier 2'!$Z$3:$AA$34,2,FALSE)))</f>
        <v>0</v>
      </c>
      <c r="Q218" s="15">
        <f>MAX(IF(ISNA(VLOOKUP(B218,'Regioturnier 3'!$B$3:$C$34,2,FALSE))=TRUE,0,VLOOKUP(B218,'Regioturnier 3'!$B$3:$C$34,2,FALSE)),IF(ISNA(VLOOKUP(B218,'Regioturnier 3'!$F$3:$G$34,2,FALSE))=TRUE,0,VLOOKUP(B218,'Regioturnier 3'!$F$3:$G$34,2,FALSE)),IF(ISNA(VLOOKUP(B218,'Regioturnier 3'!$J$3:$K$34,2,FALSE))=TRUE,0,VLOOKUP(B218,'Regioturnier 3'!$J$3:$K$34,2,FALSE)),IF(ISNA(VLOOKUP(B218,'Regioturnier 3'!$N$3:$O$34,2,FALSE))=TRUE,0,VLOOKUP(B218,'Regioturnier 3'!$N$3:$O$34,2,FALSE)),IF(ISNA(VLOOKUP(B218,'Regioturnier 3'!$R$3:$S$34,2,FALSE))=TRUE,0,VLOOKUP(B218,'Regioturnier 3'!$R$3:$S$34,2,FALSE)), IF(ISNA(VLOOKUP(B218,'Regioturnier 3'!$V$3:$W$34,2,FALSE))=TRUE,0,VLOOKUP(B218,'Regioturnier 3'!$V$3:$W$34,2,FALSE)), IF(ISNA(VLOOKUP(B218,'Regioturnier 3'!$Z$3:$AA$34,2,FALSE))=TRUE,0,VLOOKUP(B218,'Regioturnier 3'!$Z$3:$AA$34,2,FALSE)))</f>
        <v>0</v>
      </c>
      <c r="R218" s="20">
        <f>0.5*INDEX($H218:$N218,MATCH(LARGE($H218:$N218,1),$H218:$N218,0))+0.3*INDEX($H218:$N218,MATCH(LARGE($H218:$N218,2),$H218:$N218,0))+0.2*INDEX($H218:$N218,MATCH(LARGE($H218:$N218,3),$H218:$N218,0))</f>
        <v>0</v>
      </c>
      <c r="S218" s="20">
        <f>0.6*INDEX(O218:Q218,MATCH(LARGE(O218:Q218,1),O218:Q218,0))+0.4*INDEX(O218:Q218,MATCH(LARGE(O218:Q218,2),O218:Q218,0))+0*INDEX(O218:Q218,MATCH(LARGE(O218:Q218,3),O218:Q218,0))</f>
        <v>0</v>
      </c>
      <c r="T218" s="15">
        <f>1*INDEX(R218:S218,MATCH(LARGE(R218:S218,1),R218:S218,0))+0*INDEX(R218:S218,MATCH(LARGE(R218:S218,2),R218:S218,0))</f>
        <v>0</v>
      </c>
      <c r="U218" s="21"/>
      <c r="V218" s="21"/>
      <c r="W218" s="21"/>
      <c r="X218" s="21"/>
      <c r="Y218" s="21"/>
      <c r="Z218" s="21"/>
    </row>
    <row r="219" spans="1:26" ht="12.75" customHeight="1" x14ac:dyDescent="0.3">
      <c r="A219" s="15">
        <v>218</v>
      </c>
      <c r="B219" s="16" t="s">
        <v>223</v>
      </c>
      <c r="C219" s="17"/>
      <c r="D219" s="15" t="s">
        <v>26</v>
      </c>
      <c r="E219" s="18" t="s">
        <v>23</v>
      </c>
      <c r="F219" s="15"/>
      <c r="G219" s="22"/>
      <c r="H219" s="15">
        <f>MAX(IF(ISNA(VLOOKUP(B219,'WBV 1'!$B$3:$C$34,2,FALSE))=TRUE,0,VLOOKUP(B219,'WBV 1'!$B$3:$C$34,2,FALSE)),IF(ISNA(VLOOKUP(B219,'WBV 1'!$F$3:$G$34,2,FALSE))=TRUE,0,VLOOKUP(B219,'WBV 1'!$F$3:$G$34,2,FALSE)),IF(ISNA(VLOOKUP(B219,'WBV 1'!$J$3:$K$34,2,FALSE))=TRUE,0,VLOOKUP(B219,'WBV 1'!$J$3:$K$34,2,FALSE)),IF(ISNA(VLOOKUP(B219,'WBV 1'!$N$3:$O$34,2,FALSE))=TRUE,0,VLOOKUP(B219,'WBV 1'!$N$3:$O$34,2,FALSE)))</f>
        <v>0</v>
      </c>
      <c r="I219" s="15">
        <f>MAX(IF(ISNA(VLOOKUP(B219,'WBV 2'!$B$3:$C$34,2,FALSE))=TRUE,0,VLOOKUP(B219,'WBV 2'!$B$3:$C$34,2,FALSE)),IF(ISNA(VLOOKUP(B219,'WBV 2'!$F$3:$G$34,2,FALSE))=TRUE,0,VLOOKUP(B219,'WBV 2'!$F$3:$G$34,2,FALSE)),IF(ISNA(VLOOKUP(B219,'WBV 2'!$J$3:$K$34,2,FALSE))=TRUE,0,VLOOKUP(B219,'WBV 2'!$J$3:$K$34,2,FALSE)),IF(ISNA(VLOOKUP(B219,'WBV 2'!$N$3:$O$34,2,FALSE))=TRUE,0,VLOOKUP(B219,'WBV 2'!$N$3:$O$34,2,FALSE)))</f>
        <v>0</v>
      </c>
      <c r="J219" s="15">
        <f>MAX(IF(ISNA(VLOOKUP(B219,'WBV 3'!$B$3:$C$34,2,FALSE))=TRUE,0,VLOOKUP(B219,'WBV 3'!$B$3:$C$34,2,FALSE)),IF(ISNA(VLOOKUP(B219,'WBV 3'!$F$3:$G$34,2,FALSE))=TRUE,0,VLOOKUP(B219,'WBV 3'!$F$3:$G$34,2,FALSE)),IF(ISNA(VLOOKUP(B219,'WBV 3'!$J$3:$K$34,2,FALSE))=TRUE,0,VLOOKUP(B219,'WBV 3'!$J$3:$K$34,2,FALSE)),IF(ISNA(VLOOKUP(B219,'WBV 3'!$N$3:$O$34,2,FALSE))=TRUE,0,VLOOKUP(B219,'WBV 3'!$N$3:$O$34,2,FALSE)))</f>
        <v>0</v>
      </c>
      <c r="K219" s="15">
        <f>MAX(IF(ISNA(VLOOKUP(B219,'WBV 4'!$B$3:$C$34,2,FALSE))=TRUE,0,VLOOKUP(B219,'WBV 4'!$B$3:$C$34,2,FALSE)),IF(ISNA(VLOOKUP(B219,'WBV 4'!$F$3:$G$34,2,FALSE))=TRUE,0,VLOOKUP(B219,'WBV 4'!$F$3:$G$34,2,FALSE)),IF(ISNA(VLOOKUP(B219,'WBV 4'!$J$3:$K$34,2,FALSE))=TRUE,0,VLOOKUP(B219,'WBV 4'!$J$3:$K$34,2,FALSE)),IF(ISNA(VLOOKUP(B219,'WBV 4'!$N$3:$O$34,2,FALSE))=TRUE,0,VLOOKUP(B219,'WBV 4'!$N$3:$O$34,2,FALSE)))</f>
        <v>0</v>
      </c>
      <c r="L219" s="19">
        <f>MAX(IF(ISNA(VLOOKUP(B219,'NÖBV 1'!$B$3:$C$34,2,FALSE))=TRUE,0,VLOOKUP(B219,'NÖBV 1'!$B$3:$C$34,2,FALSE)),IF(ISNA(VLOOKUP(B219,'NÖBV 1'!$F$3:$G$34,2,FALSE))=TRUE,0,VLOOKUP(B219,'NÖBV 1'!$F$3:$G$34,2,FALSE)),IF(ISNA(VLOOKUP(B219,'NÖBV 1'!$J$3:$K$34,2,FALSE))=TRUE,0,VLOOKUP(B219,'NÖBV 1'!$J$3:$K$34,2,FALSE)),IF(ISNA(VLOOKUP(B219,'NÖBV 1'!$N$3:$O$34,2,FALSE))=TRUE,0,VLOOKUP(B219,'NÖBV 1'!$N$3:$O$34,2,FALSE)))</f>
        <v>0</v>
      </c>
      <c r="M219" s="19">
        <f>MAX(IF(ISNA(VLOOKUP(B219,'NÖBV 2'!$B$3:$C$34,2,FALSE))=TRUE,0,VLOOKUP(B219,'NÖBV 2'!$B$3:$C$34,2,FALSE)),IF(ISNA(VLOOKUP(B219,'NÖBV 2'!$F$3:$G$34,2,FALSE))=TRUE,0,VLOOKUP(B219,'NÖBV 2'!$F$3:$G$34,2,FALSE)),IF(ISNA(VLOOKUP(B219,'NÖBV 2'!$J$3:$K$34,2,FALSE))=TRUE,0,VLOOKUP(B219,'NÖBV 2'!$J$3:$K$34,2,FALSE)),IF(ISNA(VLOOKUP(B219,'NÖBV 2'!$N$3:$O$34,2,FALSE))=TRUE,0,VLOOKUP(B219,'NÖBV 2'!$N$3:$O$34,2,FALSE)))</f>
        <v>0</v>
      </c>
      <c r="N219" s="19">
        <f>MAX(IF(ISNA(VLOOKUP(B219,'NÖBV 3'!$B$3:$C$34,2,FALSE))=TRUE,0,VLOOKUP(B219,'NÖBV 3'!$B$3:$C$34,2,FALSE)),IF(ISNA(VLOOKUP(B219,'NÖBV 3'!$F$3:$G$34,2,FALSE))=TRUE,0,VLOOKUP(B219,'NÖBV 3'!$F$3:$G$34,2,FALSE)),IF(ISNA(VLOOKUP(B219,'NÖBV 3'!$J$3:$K$34,2,FALSE))=TRUE,0,VLOOKUP(B219,'NÖBV 3'!$J$3:$K$34,2,FALSE)),IF(ISNA(VLOOKUP(B219,'NÖBV 3'!$N$3:$O$34,2,FALSE))=TRUE,0,VLOOKUP(B219,'NÖBV 3'!$N$3:$O$34,2,FALSE)))</f>
        <v>0</v>
      </c>
      <c r="O219" s="15">
        <f>MAX(IF(ISNA(VLOOKUP(B219,'Regioturnier 1'!$B$3:$C$34,2,FALSE))=TRUE,0,VLOOKUP(B219,'Regioturnier 1'!$B$3:$C$34,2,FALSE)),IF(ISNA(VLOOKUP(B219,'Regioturnier 1'!$F$3:$G$34,2,FALSE))=TRUE,0,VLOOKUP(B219,'Regioturnier 1'!$F$3:$G$34,2,FALSE)),IF(ISNA(VLOOKUP(B219,'Regioturnier 1'!$J$3:$K$34,2,FALSE))=TRUE,0,VLOOKUP(B219,'Regioturnier 1'!$J$3:$K$34,2,FALSE)),IF(ISNA(VLOOKUP(B219,'Regioturnier 1'!$N$3:$O$34,2,FALSE))=TRUE,0,VLOOKUP(B219,'Regioturnier 1'!$N$3:$O$34,2,FALSE)),IF(ISNA(VLOOKUP(B219,'Regioturnier 1'!$R$3:$S$34,2,FALSE))=TRUE,0,VLOOKUP(B219,'Regioturnier 1'!$R$3:$S$34,2,FALSE)), IF(ISNA(VLOOKUP(B219,'Regioturnier 1'!$V$3:$W$34,2,FALSE))=TRUE,0,VLOOKUP(B219,'Regioturnier 1'!$V$3:$W$34,2,FALSE)), IF(ISNA(VLOOKUP(B219,'Regioturnier 1'!$Z$3:$AA$34,2,FALSE))=TRUE,0,VLOOKUP(B219,'Regioturnier 1'!$Z$3:$AA$34,2,FALSE)))</f>
        <v>0</v>
      </c>
      <c r="P219" s="15">
        <f>MAX(IF(ISNA(VLOOKUP(B219,'Regioturnier 2'!$B$3:$C$34,2,FALSE))=TRUE,0,VLOOKUP(B219,'Regioturnier 2'!$B$3:$C$34,2,FALSE)),IF(ISNA(VLOOKUP(B219,'Regioturnier 2'!$F$3:$G$34,2,FALSE))=TRUE,0,VLOOKUP(B219,'Regioturnier 2'!$F$3:$G$34,2,FALSE)),IF(ISNA(VLOOKUP(B219,'Regioturnier 2'!$J$3:$K$34,2,FALSE))=TRUE,0,VLOOKUP(B219,'Regioturnier 2'!$J$3:$K$34,2,FALSE)),IF(ISNA(VLOOKUP(B219,'Regioturnier 2'!$N$3:$O$34,2,FALSE))=TRUE,0,VLOOKUP(B219,'Regioturnier 2'!$N$3:$O$34,2,FALSE)),IF(ISNA(VLOOKUP(B219,'Regioturnier 2'!$R$3:$S$34,2,FALSE))=TRUE,0,VLOOKUP(B219,'Regioturnier 2'!$R$3:$S$34,2,FALSE)), IF(ISNA(VLOOKUP(B219,'Regioturnier 2'!$V$3:$W$34,2,FALSE))=TRUE,0,VLOOKUP(B219,'Regioturnier 2'!$V$3:$W$34,2,FALSE)), IF(ISNA(VLOOKUP(B219,'Regioturnier 2'!$Z$3:$AA$34,2,FALSE))=TRUE,0,VLOOKUP(B219,'Regioturnier 2'!$Z$3:$AA$34,2,FALSE)))</f>
        <v>0</v>
      </c>
      <c r="Q219" s="15">
        <f>MAX(IF(ISNA(VLOOKUP(B219,'Regioturnier 3'!$B$3:$C$34,2,FALSE))=TRUE,0,VLOOKUP(B219,'Regioturnier 3'!$B$3:$C$34,2,FALSE)),IF(ISNA(VLOOKUP(B219,'Regioturnier 3'!$F$3:$G$34,2,FALSE))=TRUE,0,VLOOKUP(B219,'Regioturnier 3'!$F$3:$G$34,2,FALSE)),IF(ISNA(VLOOKUP(B219,'Regioturnier 3'!$J$3:$K$34,2,FALSE))=TRUE,0,VLOOKUP(B219,'Regioturnier 3'!$J$3:$K$34,2,FALSE)),IF(ISNA(VLOOKUP(B219,'Regioturnier 3'!$N$3:$O$34,2,FALSE))=TRUE,0,VLOOKUP(B219,'Regioturnier 3'!$N$3:$O$34,2,FALSE)),IF(ISNA(VLOOKUP(B219,'Regioturnier 3'!$R$3:$S$34,2,FALSE))=TRUE,0,VLOOKUP(B219,'Regioturnier 3'!$R$3:$S$34,2,FALSE)), IF(ISNA(VLOOKUP(B219,'Regioturnier 3'!$V$3:$W$34,2,FALSE))=TRUE,0,VLOOKUP(B219,'Regioturnier 3'!$V$3:$W$34,2,FALSE)), IF(ISNA(VLOOKUP(B219,'Regioturnier 3'!$Z$3:$AA$34,2,FALSE))=TRUE,0,VLOOKUP(B219,'Regioturnier 3'!$Z$3:$AA$34,2,FALSE)))</f>
        <v>0</v>
      </c>
      <c r="R219" s="20">
        <f>0.5*INDEX($H219:$N219,MATCH(LARGE($H219:$N219,1),$H219:$N219,0))+0.3*INDEX($H219:$N219,MATCH(LARGE($H219:$N219,2),$H219:$N219,0))+0.2*INDEX($H219:$N219,MATCH(LARGE($H219:$N219,3),$H219:$N219,0))</f>
        <v>0</v>
      </c>
      <c r="S219" s="20">
        <f>0.6*INDEX(O219:Q219,MATCH(LARGE(O219:Q219,1),O219:Q219,0))+0.4*INDEX(O219:Q219,MATCH(LARGE(O219:Q219,2),O219:Q219,0))+0*INDEX(O219:Q219,MATCH(LARGE(O219:Q219,3),O219:Q219,0))</f>
        <v>0</v>
      </c>
      <c r="T219" s="15">
        <f>1*INDEX(R219:S219,MATCH(LARGE(R219:S219,1),R219:S219,0))+0*INDEX(R219:S219,MATCH(LARGE(R219:S219,2),R219:S219,0))</f>
        <v>0</v>
      </c>
      <c r="U219" s="21"/>
      <c r="V219" s="21"/>
      <c r="W219" s="21"/>
      <c r="X219" s="21"/>
      <c r="Y219" s="21"/>
      <c r="Z219" s="21"/>
    </row>
    <row r="220" spans="1:26" ht="12.75" customHeight="1" x14ac:dyDescent="0.3">
      <c r="A220" s="15">
        <v>219</v>
      </c>
      <c r="B220" s="16" t="s">
        <v>228</v>
      </c>
      <c r="C220" s="17" t="s">
        <v>25</v>
      </c>
      <c r="D220" s="15" t="s">
        <v>26</v>
      </c>
      <c r="E220" s="18" t="s">
        <v>23</v>
      </c>
      <c r="F220" s="15">
        <v>110909</v>
      </c>
      <c r="G220" s="22">
        <v>2013</v>
      </c>
      <c r="H220" s="15">
        <f>MAX(IF(ISNA(VLOOKUP(B220,'WBV 1'!$B$3:$C$34,2,FALSE))=TRUE,0,VLOOKUP(B220,'WBV 1'!$B$3:$C$34,2,FALSE)),IF(ISNA(VLOOKUP(B220,'WBV 1'!$F$3:$G$34,2,FALSE))=TRUE,0,VLOOKUP(B220,'WBV 1'!$F$3:$G$34,2,FALSE)),IF(ISNA(VLOOKUP(B220,'WBV 1'!$J$3:$K$34,2,FALSE))=TRUE,0,VLOOKUP(B220,'WBV 1'!$J$3:$K$34,2,FALSE)),IF(ISNA(VLOOKUP(B220,'WBV 1'!$N$3:$O$34,2,FALSE))=TRUE,0,VLOOKUP(B220,'WBV 1'!$N$3:$O$34,2,FALSE)))</f>
        <v>0</v>
      </c>
      <c r="I220" s="15">
        <f>MAX(IF(ISNA(VLOOKUP(B220,'WBV 2'!$B$3:$C$34,2,FALSE))=TRUE,0,VLOOKUP(B220,'WBV 2'!$B$3:$C$34,2,FALSE)),IF(ISNA(VLOOKUP(B220,'WBV 2'!$F$3:$G$34,2,FALSE))=TRUE,0,VLOOKUP(B220,'WBV 2'!$F$3:$G$34,2,FALSE)),IF(ISNA(VLOOKUP(B220,'WBV 2'!$J$3:$K$34,2,FALSE))=TRUE,0,VLOOKUP(B220,'WBV 2'!$J$3:$K$34,2,FALSE)),IF(ISNA(VLOOKUP(B220,'WBV 2'!$N$3:$O$34,2,FALSE))=TRUE,0,VLOOKUP(B220,'WBV 2'!$N$3:$O$34,2,FALSE)))</f>
        <v>0</v>
      </c>
      <c r="J220" s="15">
        <f>MAX(IF(ISNA(VLOOKUP(B220,'WBV 3'!$B$3:$C$34,2,FALSE))=TRUE,0,VLOOKUP(B220,'WBV 3'!$B$3:$C$34,2,FALSE)),IF(ISNA(VLOOKUP(B220,'WBV 3'!$F$3:$G$34,2,FALSE))=TRUE,0,VLOOKUP(B220,'WBV 3'!$F$3:$G$34,2,FALSE)),IF(ISNA(VLOOKUP(B220,'WBV 3'!$J$3:$K$34,2,FALSE))=TRUE,0,VLOOKUP(B220,'WBV 3'!$J$3:$K$34,2,FALSE)),IF(ISNA(VLOOKUP(B220,'WBV 3'!$N$3:$O$34,2,FALSE))=TRUE,0,VLOOKUP(B220,'WBV 3'!$N$3:$O$34,2,FALSE)))</f>
        <v>0</v>
      </c>
      <c r="K220" s="15">
        <f>MAX(IF(ISNA(VLOOKUP(B220,'WBV 4'!$B$3:$C$34,2,FALSE))=TRUE,0,VLOOKUP(B220,'WBV 4'!$B$3:$C$34,2,FALSE)),IF(ISNA(VLOOKUP(B220,'WBV 4'!$F$3:$G$34,2,FALSE))=TRUE,0,VLOOKUP(B220,'WBV 4'!$F$3:$G$34,2,FALSE)),IF(ISNA(VLOOKUP(B220,'WBV 4'!$J$3:$K$34,2,FALSE))=TRUE,0,VLOOKUP(B220,'WBV 4'!$J$3:$K$34,2,FALSE)),IF(ISNA(VLOOKUP(B220,'WBV 4'!$N$3:$O$34,2,FALSE))=TRUE,0,VLOOKUP(B220,'WBV 4'!$N$3:$O$34,2,FALSE)))</f>
        <v>0</v>
      </c>
      <c r="L220" s="19">
        <f>MAX(IF(ISNA(VLOOKUP(B220,'NÖBV 1'!$B$3:$C$34,2,FALSE))=TRUE,0,VLOOKUP(B220,'NÖBV 1'!$B$3:$C$34,2,FALSE)),IF(ISNA(VLOOKUP(B220,'NÖBV 1'!$F$3:$G$34,2,FALSE))=TRUE,0,VLOOKUP(B220,'NÖBV 1'!$F$3:$G$34,2,FALSE)),IF(ISNA(VLOOKUP(B220,'NÖBV 1'!$J$3:$K$34,2,FALSE))=TRUE,0,VLOOKUP(B220,'NÖBV 1'!$J$3:$K$34,2,FALSE)),IF(ISNA(VLOOKUP(B220,'NÖBV 1'!$N$3:$O$34,2,FALSE))=TRUE,0,VLOOKUP(B220,'NÖBV 1'!$N$3:$O$34,2,FALSE)))</f>
        <v>0</v>
      </c>
      <c r="M220" s="19">
        <f>MAX(IF(ISNA(VLOOKUP(B220,'NÖBV 2'!$B$3:$C$34,2,FALSE))=TRUE,0,VLOOKUP(B220,'NÖBV 2'!$B$3:$C$34,2,FALSE)),IF(ISNA(VLOOKUP(B220,'NÖBV 2'!$F$3:$G$34,2,FALSE))=TRUE,0,VLOOKUP(B220,'NÖBV 2'!$F$3:$G$34,2,FALSE)),IF(ISNA(VLOOKUP(B220,'NÖBV 2'!$J$3:$K$34,2,FALSE))=TRUE,0,VLOOKUP(B220,'NÖBV 2'!$J$3:$K$34,2,FALSE)),IF(ISNA(VLOOKUP(B220,'NÖBV 2'!$N$3:$O$34,2,FALSE))=TRUE,0,VLOOKUP(B220,'NÖBV 2'!$N$3:$O$34,2,FALSE)))</f>
        <v>0</v>
      </c>
      <c r="N220" s="19">
        <f>MAX(IF(ISNA(VLOOKUP(B220,'NÖBV 3'!$B$3:$C$34,2,FALSE))=TRUE,0,VLOOKUP(B220,'NÖBV 3'!$B$3:$C$34,2,FALSE)),IF(ISNA(VLOOKUP(B220,'NÖBV 3'!$F$3:$G$34,2,FALSE))=TRUE,0,VLOOKUP(B220,'NÖBV 3'!$F$3:$G$34,2,FALSE)),IF(ISNA(VLOOKUP(B220,'NÖBV 3'!$J$3:$K$34,2,FALSE))=TRUE,0,VLOOKUP(B220,'NÖBV 3'!$J$3:$K$34,2,FALSE)),IF(ISNA(VLOOKUP(B220,'NÖBV 3'!$N$3:$O$34,2,FALSE))=TRUE,0,VLOOKUP(B220,'NÖBV 3'!$N$3:$O$34,2,FALSE)))</f>
        <v>0</v>
      </c>
      <c r="O220" s="15">
        <f>MAX(IF(ISNA(VLOOKUP(B220,'Regioturnier 1'!$B$3:$C$34,2,FALSE))=TRUE,0,VLOOKUP(B220,'Regioturnier 1'!$B$3:$C$34,2,FALSE)),IF(ISNA(VLOOKUP(B220,'Regioturnier 1'!$F$3:$G$34,2,FALSE))=TRUE,0,VLOOKUP(B220,'Regioturnier 1'!$F$3:$G$34,2,FALSE)),IF(ISNA(VLOOKUP(B220,'Regioturnier 1'!$J$3:$K$34,2,FALSE))=TRUE,0,VLOOKUP(B220,'Regioturnier 1'!$J$3:$K$34,2,FALSE)),IF(ISNA(VLOOKUP(B220,'Regioturnier 1'!$N$3:$O$34,2,FALSE))=TRUE,0,VLOOKUP(B220,'Regioturnier 1'!$N$3:$O$34,2,FALSE)),IF(ISNA(VLOOKUP(B220,'Regioturnier 1'!$R$3:$S$34,2,FALSE))=TRUE,0,VLOOKUP(B220,'Regioturnier 1'!$R$3:$S$34,2,FALSE)), IF(ISNA(VLOOKUP(B220,'Regioturnier 1'!$V$3:$W$34,2,FALSE))=TRUE,0,VLOOKUP(B220,'Regioturnier 1'!$V$3:$W$34,2,FALSE)), IF(ISNA(VLOOKUP(B220,'Regioturnier 1'!$Z$3:$AA$34,2,FALSE))=TRUE,0,VLOOKUP(B220,'Regioturnier 1'!$Z$3:$AA$34,2,FALSE)))</f>
        <v>0</v>
      </c>
      <c r="P220" s="15">
        <f>MAX(IF(ISNA(VLOOKUP(B220,'Regioturnier 2'!$B$3:$C$34,2,FALSE))=TRUE,0,VLOOKUP(B220,'Regioturnier 2'!$B$3:$C$34,2,FALSE)),IF(ISNA(VLOOKUP(B220,'Regioturnier 2'!$F$3:$G$34,2,FALSE))=TRUE,0,VLOOKUP(B220,'Regioturnier 2'!$F$3:$G$34,2,FALSE)),IF(ISNA(VLOOKUP(B220,'Regioturnier 2'!$J$3:$K$34,2,FALSE))=TRUE,0,VLOOKUP(B220,'Regioturnier 2'!$J$3:$K$34,2,FALSE)),IF(ISNA(VLOOKUP(B220,'Regioturnier 2'!$N$3:$O$34,2,FALSE))=TRUE,0,VLOOKUP(B220,'Regioturnier 2'!$N$3:$O$34,2,FALSE)),IF(ISNA(VLOOKUP(B220,'Regioturnier 2'!$R$3:$S$34,2,FALSE))=TRUE,0,VLOOKUP(B220,'Regioturnier 2'!$R$3:$S$34,2,FALSE)), IF(ISNA(VLOOKUP(B220,'Regioturnier 2'!$V$3:$W$34,2,FALSE))=TRUE,0,VLOOKUP(B220,'Regioturnier 2'!$V$3:$W$34,2,FALSE)), IF(ISNA(VLOOKUP(B220,'Regioturnier 2'!$Z$3:$AA$34,2,FALSE))=TRUE,0,VLOOKUP(B220,'Regioturnier 2'!$Z$3:$AA$34,2,FALSE)))</f>
        <v>0</v>
      </c>
      <c r="Q220" s="15">
        <f>MAX(IF(ISNA(VLOOKUP(B220,'Regioturnier 3'!$B$3:$C$34,2,FALSE))=TRUE,0,VLOOKUP(B220,'Regioturnier 3'!$B$3:$C$34,2,FALSE)),IF(ISNA(VLOOKUP(B220,'Regioturnier 3'!$F$3:$G$34,2,FALSE))=TRUE,0,VLOOKUP(B220,'Regioturnier 3'!$F$3:$G$34,2,FALSE)),IF(ISNA(VLOOKUP(B220,'Regioturnier 3'!$J$3:$K$34,2,FALSE))=TRUE,0,VLOOKUP(B220,'Regioturnier 3'!$J$3:$K$34,2,FALSE)),IF(ISNA(VLOOKUP(B220,'Regioturnier 3'!$N$3:$O$34,2,FALSE))=TRUE,0,VLOOKUP(B220,'Regioturnier 3'!$N$3:$O$34,2,FALSE)),IF(ISNA(VLOOKUP(B220,'Regioturnier 3'!$R$3:$S$34,2,FALSE))=TRUE,0,VLOOKUP(B220,'Regioturnier 3'!$R$3:$S$34,2,FALSE)), IF(ISNA(VLOOKUP(B220,'Regioturnier 3'!$V$3:$W$34,2,FALSE))=TRUE,0,VLOOKUP(B220,'Regioturnier 3'!$V$3:$W$34,2,FALSE)), IF(ISNA(VLOOKUP(B220,'Regioturnier 3'!$Z$3:$AA$34,2,FALSE))=TRUE,0,VLOOKUP(B220,'Regioturnier 3'!$Z$3:$AA$34,2,FALSE)))</f>
        <v>0</v>
      </c>
      <c r="R220" s="20">
        <f>0.5*INDEX($H220:$N220,MATCH(LARGE($H220:$N220,1),$H220:$N220,0))+0.3*INDEX($H220:$N220,MATCH(LARGE($H220:$N220,2),$H220:$N220,0))+0.2*INDEX($H220:$N220,MATCH(LARGE($H220:$N220,3),$H220:$N220,0))</f>
        <v>0</v>
      </c>
      <c r="S220" s="20">
        <f>0.6*INDEX(O220:Q220,MATCH(LARGE(O220:Q220,1),O220:Q220,0))+0.4*INDEX(O220:Q220,MATCH(LARGE(O220:Q220,2),O220:Q220,0))+0*INDEX(O220:Q220,MATCH(LARGE(O220:Q220,3),O220:Q220,0))</f>
        <v>0</v>
      </c>
      <c r="T220" s="15">
        <f>1*INDEX(R220:S220,MATCH(LARGE(R220:S220,1),R220:S220,0))+0*INDEX(R220:S220,MATCH(LARGE(R220:S220,2),R220:S220,0))</f>
        <v>0</v>
      </c>
      <c r="U220" s="21"/>
      <c r="V220" s="21"/>
      <c r="W220" s="21"/>
      <c r="X220" s="21"/>
      <c r="Y220" s="21"/>
      <c r="Z220" s="21"/>
    </row>
    <row r="221" spans="1:26" ht="12.75" customHeight="1" x14ac:dyDescent="0.3">
      <c r="A221" s="15">
        <v>220</v>
      </c>
      <c r="B221" s="16" t="s">
        <v>36</v>
      </c>
      <c r="C221" s="17" t="s">
        <v>25</v>
      </c>
      <c r="D221" s="15" t="s">
        <v>26</v>
      </c>
      <c r="E221" s="18" t="s">
        <v>23</v>
      </c>
      <c r="F221" s="15">
        <v>110910</v>
      </c>
      <c r="G221" s="22">
        <v>2014</v>
      </c>
      <c r="H221" s="15">
        <f>MAX(IF(ISNA(VLOOKUP(B221,'WBV 1'!$B$3:$C$34,2,FALSE))=TRUE,0,VLOOKUP(B221,'WBV 1'!$B$3:$C$34,2,FALSE)),IF(ISNA(VLOOKUP(B221,'WBV 1'!$F$3:$G$34,2,FALSE))=TRUE,0,VLOOKUP(B221,'WBV 1'!$F$3:$G$34,2,FALSE)),IF(ISNA(VLOOKUP(B221,'WBV 1'!$J$3:$K$34,2,FALSE))=TRUE,0,VLOOKUP(B221,'WBV 1'!$J$3:$K$34,2,FALSE)),IF(ISNA(VLOOKUP(B221,'WBV 1'!$N$3:$O$34,2,FALSE))=TRUE,0,VLOOKUP(B221,'WBV 1'!$N$3:$O$34,2,FALSE)))</f>
        <v>0</v>
      </c>
      <c r="I221" s="15">
        <f>MAX(IF(ISNA(VLOOKUP(B221,'WBV 2'!$B$3:$C$34,2,FALSE))=TRUE,0,VLOOKUP(B221,'WBV 2'!$B$3:$C$34,2,FALSE)),IF(ISNA(VLOOKUP(B221,'WBV 2'!$F$3:$G$34,2,FALSE))=TRUE,0,VLOOKUP(B221,'WBV 2'!$F$3:$G$34,2,FALSE)),IF(ISNA(VLOOKUP(B221,'WBV 2'!$J$3:$K$34,2,FALSE))=TRUE,0,VLOOKUP(B221,'WBV 2'!$J$3:$K$34,2,FALSE)),IF(ISNA(VLOOKUP(B221,'WBV 2'!$N$3:$O$34,2,FALSE))=TRUE,0,VLOOKUP(B221,'WBV 2'!$N$3:$O$34,2,FALSE)))</f>
        <v>0</v>
      </c>
      <c r="J221" s="15">
        <f>MAX(IF(ISNA(VLOOKUP(B221,'WBV 3'!$B$3:$C$34,2,FALSE))=TRUE,0,VLOOKUP(B221,'WBV 3'!$B$3:$C$34,2,FALSE)),IF(ISNA(VLOOKUP(B221,'WBV 3'!$F$3:$G$34,2,FALSE))=TRUE,0,VLOOKUP(B221,'WBV 3'!$F$3:$G$34,2,FALSE)),IF(ISNA(VLOOKUP(B221,'WBV 3'!$J$3:$K$34,2,FALSE))=TRUE,0,VLOOKUP(B221,'WBV 3'!$J$3:$K$34,2,FALSE)),IF(ISNA(VLOOKUP(B221,'WBV 3'!$N$3:$O$34,2,FALSE))=TRUE,0,VLOOKUP(B221,'WBV 3'!$N$3:$O$34,2,FALSE)))</f>
        <v>0</v>
      </c>
      <c r="K221" s="15">
        <f>MAX(IF(ISNA(VLOOKUP(B221,'WBV 4'!$B$3:$C$34,2,FALSE))=TRUE,0,VLOOKUP(B221,'WBV 4'!$B$3:$C$34,2,FALSE)),IF(ISNA(VLOOKUP(B221,'WBV 4'!$F$3:$G$34,2,FALSE))=TRUE,0,VLOOKUP(B221,'WBV 4'!$F$3:$G$34,2,FALSE)),IF(ISNA(VLOOKUP(B221,'WBV 4'!$J$3:$K$34,2,FALSE))=TRUE,0,VLOOKUP(B221,'WBV 4'!$J$3:$K$34,2,FALSE)),IF(ISNA(VLOOKUP(B221,'WBV 4'!$N$3:$O$34,2,FALSE))=TRUE,0,VLOOKUP(B221,'WBV 4'!$N$3:$O$34,2,FALSE)))</f>
        <v>0</v>
      </c>
      <c r="L221" s="19">
        <f>MAX(IF(ISNA(VLOOKUP(B221,'NÖBV 1'!$B$3:$C$34,2,FALSE))=TRUE,0,VLOOKUP(B221,'NÖBV 1'!$B$3:$C$34,2,FALSE)),IF(ISNA(VLOOKUP(B221,'NÖBV 1'!$F$3:$G$34,2,FALSE))=TRUE,0,VLOOKUP(B221,'NÖBV 1'!$F$3:$G$34,2,FALSE)),IF(ISNA(VLOOKUP(B221,'NÖBV 1'!$J$3:$K$34,2,FALSE))=TRUE,0,VLOOKUP(B221,'NÖBV 1'!$J$3:$K$34,2,FALSE)),IF(ISNA(VLOOKUP(B221,'NÖBV 1'!$N$3:$O$34,2,FALSE))=TRUE,0,VLOOKUP(B221,'NÖBV 1'!$N$3:$O$34,2,FALSE)))</f>
        <v>0</v>
      </c>
      <c r="M221" s="19">
        <f>MAX(IF(ISNA(VLOOKUP(B221,'NÖBV 2'!$B$3:$C$34,2,FALSE))=TRUE,0,VLOOKUP(B221,'NÖBV 2'!$B$3:$C$34,2,FALSE)),IF(ISNA(VLOOKUP(B221,'NÖBV 2'!$F$3:$G$34,2,FALSE))=TRUE,0,VLOOKUP(B221,'NÖBV 2'!$F$3:$G$34,2,FALSE)),IF(ISNA(VLOOKUP(B221,'NÖBV 2'!$J$3:$K$34,2,FALSE))=TRUE,0,VLOOKUP(B221,'NÖBV 2'!$J$3:$K$34,2,FALSE)),IF(ISNA(VLOOKUP(B221,'NÖBV 2'!$N$3:$O$34,2,FALSE))=TRUE,0,VLOOKUP(B221,'NÖBV 2'!$N$3:$O$34,2,FALSE)))</f>
        <v>0</v>
      </c>
      <c r="N221" s="19">
        <f>MAX(IF(ISNA(VLOOKUP(B221,'NÖBV 3'!$B$3:$C$34,2,FALSE))=TRUE,0,VLOOKUP(B221,'NÖBV 3'!$B$3:$C$34,2,FALSE)),IF(ISNA(VLOOKUP(B221,'NÖBV 3'!$F$3:$G$34,2,FALSE))=TRUE,0,VLOOKUP(B221,'NÖBV 3'!$F$3:$G$34,2,FALSE)),IF(ISNA(VLOOKUP(B221,'NÖBV 3'!$J$3:$K$34,2,FALSE))=TRUE,0,VLOOKUP(B221,'NÖBV 3'!$J$3:$K$34,2,FALSE)),IF(ISNA(VLOOKUP(B221,'NÖBV 3'!$N$3:$O$34,2,FALSE))=TRUE,0,VLOOKUP(B221,'NÖBV 3'!$N$3:$O$34,2,FALSE)))</f>
        <v>0</v>
      </c>
      <c r="O221" s="15">
        <f>MAX(IF(ISNA(VLOOKUP(B221,'Regioturnier 1'!$B$3:$C$34,2,FALSE))=TRUE,0,VLOOKUP(B221,'Regioturnier 1'!$B$3:$C$34,2,FALSE)),IF(ISNA(VLOOKUP(B221,'Regioturnier 1'!$F$3:$G$34,2,FALSE))=TRUE,0,VLOOKUP(B221,'Regioturnier 1'!$F$3:$G$34,2,FALSE)),IF(ISNA(VLOOKUP(B221,'Regioturnier 1'!$J$3:$K$34,2,FALSE))=TRUE,0,VLOOKUP(B221,'Regioturnier 1'!$J$3:$K$34,2,FALSE)),IF(ISNA(VLOOKUP(B221,'Regioturnier 1'!$N$3:$O$34,2,FALSE))=TRUE,0,VLOOKUP(B221,'Regioturnier 1'!$N$3:$O$34,2,FALSE)),IF(ISNA(VLOOKUP(B221,'Regioturnier 1'!$R$3:$S$34,2,FALSE))=TRUE,0,VLOOKUP(B221,'Regioturnier 1'!$R$3:$S$34,2,FALSE)), IF(ISNA(VLOOKUP(B221,'Regioturnier 1'!$V$3:$W$34,2,FALSE))=TRUE,0,VLOOKUP(B221,'Regioturnier 1'!$V$3:$W$34,2,FALSE)), IF(ISNA(VLOOKUP(B221,'Regioturnier 1'!$Z$3:$AA$34,2,FALSE))=TRUE,0,VLOOKUP(B221,'Regioturnier 1'!$Z$3:$AA$34,2,FALSE)))</f>
        <v>0</v>
      </c>
      <c r="P221" s="15">
        <f>MAX(IF(ISNA(VLOOKUP(B221,'Regioturnier 2'!$B$3:$C$34,2,FALSE))=TRUE,0,VLOOKUP(B221,'Regioturnier 2'!$B$3:$C$34,2,FALSE)),IF(ISNA(VLOOKUP(B221,'Regioturnier 2'!$F$3:$G$34,2,FALSE))=TRUE,0,VLOOKUP(B221,'Regioturnier 2'!$F$3:$G$34,2,FALSE)),IF(ISNA(VLOOKUP(B221,'Regioturnier 2'!$J$3:$K$34,2,FALSE))=TRUE,0,VLOOKUP(B221,'Regioturnier 2'!$J$3:$K$34,2,FALSE)),IF(ISNA(VLOOKUP(B221,'Regioturnier 2'!$N$3:$O$34,2,FALSE))=TRUE,0,VLOOKUP(B221,'Regioturnier 2'!$N$3:$O$34,2,FALSE)),IF(ISNA(VLOOKUP(B221,'Regioturnier 2'!$R$3:$S$34,2,FALSE))=TRUE,0,VLOOKUP(B221,'Regioturnier 2'!$R$3:$S$34,2,FALSE)), IF(ISNA(VLOOKUP(B221,'Regioturnier 2'!$V$3:$W$34,2,FALSE))=TRUE,0,VLOOKUP(B221,'Regioturnier 2'!$V$3:$W$34,2,FALSE)), IF(ISNA(VLOOKUP(B221,'Regioturnier 2'!$Z$3:$AA$34,2,FALSE))=TRUE,0,VLOOKUP(B221,'Regioturnier 2'!$Z$3:$AA$34,2,FALSE)))</f>
        <v>0</v>
      </c>
      <c r="Q221" s="15">
        <f>MAX(IF(ISNA(VLOOKUP(B221,'Regioturnier 3'!$B$3:$C$34,2,FALSE))=TRUE,0,VLOOKUP(B221,'Regioturnier 3'!$B$3:$C$34,2,FALSE)),IF(ISNA(VLOOKUP(B221,'Regioturnier 3'!$F$3:$G$34,2,FALSE))=TRUE,0,VLOOKUP(B221,'Regioturnier 3'!$F$3:$G$34,2,FALSE)),IF(ISNA(VLOOKUP(B221,'Regioturnier 3'!$J$3:$K$34,2,FALSE))=TRUE,0,VLOOKUP(B221,'Regioturnier 3'!$J$3:$K$34,2,FALSE)),IF(ISNA(VLOOKUP(B221,'Regioturnier 3'!$N$3:$O$34,2,FALSE))=TRUE,0,VLOOKUP(B221,'Regioturnier 3'!$N$3:$O$34,2,FALSE)),IF(ISNA(VLOOKUP(B221,'Regioturnier 3'!$R$3:$S$34,2,FALSE))=TRUE,0,VLOOKUP(B221,'Regioturnier 3'!$R$3:$S$34,2,FALSE)), IF(ISNA(VLOOKUP(B221,'Regioturnier 3'!$V$3:$W$34,2,FALSE))=TRUE,0,VLOOKUP(B221,'Regioturnier 3'!$V$3:$W$34,2,FALSE)), IF(ISNA(VLOOKUP(B221,'Regioturnier 3'!$Z$3:$AA$34,2,FALSE))=TRUE,0,VLOOKUP(B221,'Regioturnier 3'!$Z$3:$AA$34,2,FALSE)))</f>
        <v>0</v>
      </c>
      <c r="R221" s="20">
        <f>0.5*INDEX($H221:$N221,MATCH(LARGE($H221:$N221,1),$H221:$N221,0))+0.3*INDEX($H221:$N221,MATCH(LARGE($H221:$N221,2),$H221:$N221,0))+0.2*INDEX($H221:$N221,MATCH(LARGE($H221:$N221,3),$H221:$N221,0))</f>
        <v>0</v>
      </c>
      <c r="S221" s="20">
        <f>0.6*INDEX(O221:Q221,MATCH(LARGE(O221:Q221,1),O221:Q221,0))+0.4*INDEX(O221:Q221,MATCH(LARGE(O221:Q221,2),O221:Q221,0))+0*INDEX(O221:Q221,MATCH(LARGE(O221:Q221,3),O221:Q221,0))</f>
        <v>0</v>
      </c>
      <c r="T221" s="15">
        <f>1*INDEX(R221:S221,MATCH(LARGE(R221:S221,1),R221:S221,0))+0*INDEX(R221:S221,MATCH(LARGE(R221:S221,2),R221:S221,0))</f>
        <v>0</v>
      </c>
      <c r="U221" s="21"/>
      <c r="V221" s="21"/>
      <c r="W221" s="21"/>
      <c r="X221" s="21"/>
      <c r="Y221" s="21"/>
      <c r="Z221" s="21"/>
    </row>
    <row r="222" spans="1:26" ht="12.75" customHeight="1" x14ac:dyDescent="0.3">
      <c r="A222" s="15">
        <v>221</v>
      </c>
      <c r="B222" s="16" t="s">
        <v>234</v>
      </c>
      <c r="C222" s="17"/>
      <c r="D222" s="15" t="s">
        <v>26</v>
      </c>
      <c r="E222" s="18" t="s">
        <v>23</v>
      </c>
      <c r="F222" s="15">
        <v>111867</v>
      </c>
      <c r="G222" s="22">
        <v>2009</v>
      </c>
      <c r="H222" s="15">
        <f>MAX(IF(ISNA(VLOOKUP(B222,'WBV 1'!$B$3:$C$34,2,FALSE))=TRUE,0,VLOOKUP(B222,'WBV 1'!$B$3:$C$34,2,FALSE)),IF(ISNA(VLOOKUP(B222,'WBV 1'!$F$3:$G$34,2,FALSE))=TRUE,0,VLOOKUP(B222,'WBV 1'!$F$3:$G$34,2,FALSE)),IF(ISNA(VLOOKUP(B222,'WBV 1'!$J$3:$K$34,2,FALSE))=TRUE,0,VLOOKUP(B222,'WBV 1'!$J$3:$K$34,2,FALSE)),IF(ISNA(VLOOKUP(B222,'WBV 1'!$N$3:$O$34,2,FALSE))=TRUE,0,VLOOKUP(B222,'WBV 1'!$N$3:$O$34,2,FALSE)))</f>
        <v>0</v>
      </c>
      <c r="I222" s="15">
        <f>MAX(IF(ISNA(VLOOKUP(B222,'WBV 2'!$B$3:$C$34,2,FALSE))=TRUE,0,VLOOKUP(B222,'WBV 2'!$B$3:$C$34,2,FALSE)),IF(ISNA(VLOOKUP(B222,'WBV 2'!$F$3:$G$34,2,FALSE))=TRUE,0,VLOOKUP(B222,'WBV 2'!$F$3:$G$34,2,FALSE)),IF(ISNA(VLOOKUP(B222,'WBV 2'!$J$3:$K$34,2,FALSE))=TRUE,0,VLOOKUP(B222,'WBV 2'!$J$3:$K$34,2,FALSE)),IF(ISNA(VLOOKUP(B222,'WBV 2'!$N$3:$O$34,2,FALSE))=TRUE,0,VLOOKUP(B222,'WBV 2'!$N$3:$O$34,2,FALSE)))</f>
        <v>0</v>
      </c>
      <c r="J222" s="15">
        <f>MAX(IF(ISNA(VLOOKUP(B222,'WBV 3'!$B$3:$C$34,2,FALSE))=TRUE,0,VLOOKUP(B222,'WBV 3'!$B$3:$C$34,2,FALSE)),IF(ISNA(VLOOKUP(B222,'WBV 3'!$F$3:$G$34,2,FALSE))=TRUE,0,VLOOKUP(B222,'WBV 3'!$F$3:$G$34,2,FALSE)),IF(ISNA(VLOOKUP(B222,'WBV 3'!$J$3:$K$34,2,FALSE))=TRUE,0,VLOOKUP(B222,'WBV 3'!$J$3:$K$34,2,FALSE)),IF(ISNA(VLOOKUP(B222,'WBV 3'!$N$3:$O$34,2,FALSE))=TRUE,0,VLOOKUP(B222,'WBV 3'!$N$3:$O$34,2,FALSE)))</f>
        <v>0</v>
      </c>
      <c r="K222" s="15">
        <f>MAX(IF(ISNA(VLOOKUP(B222,'WBV 4'!$B$3:$C$34,2,FALSE))=TRUE,0,VLOOKUP(B222,'WBV 4'!$B$3:$C$34,2,FALSE)),IF(ISNA(VLOOKUP(B222,'WBV 4'!$F$3:$G$34,2,FALSE))=TRUE,0,VLOOKUP(B222,'WBV 4'!$F$3:$G$34,2,FALSE)),IF(ISNA(VLOOKUP(B222,'WBV 4'!$J$3:$K$34,2,FALSE))=TRUE,0,VLOOKUP(B222,'WBV 4'!$J$3:$K$34,2,FALSE)),IF(ISNA(VLOOKUP(B222,'WBV 4'!$N$3:$O$34,2,FALSE))=TRUE,0,VLOOKUP(B222,'WBV 4'!$N$3:$O$34,2,FALSE)))</f>
        <v>0</v>
      </c>
      <c r="L222" s="19">
        <f>MAX(IF(ISNA(VLOOKUP(B222,'NÖBV 1'!$B$3:$C$34,2,FALSE))=TRUE,0,VLOOKUP(B222,'NÖBV 1'!$B$3:$C$34,2,FALSE)),IF(ISNA(VLOOKUP(B222,'NÖBV 1'!$F$3:$G$34,2,FALSE))=TRUE,0,VLOOKUP(B222,'NÖBV 1'!$F$3:$G$34,2,FALSE)),IF(ISNA(VLOOKUP(B222,'NÖBV 1'!$J$3:$K$34,2,FALSE))=TRUE,0,VLOOKUP(B222,'NÖBV 1'!$J$3:$K$34,2,FALSE)),IF(ISNA(VLOOKUP(B222,'NÖBV 1'!$N$3:$O$34,2,FALSE))=TRUE,0,VLOOKUP(B222,'NÖBV 1'!$N$3:$O$34,2,FALSE)))</f>
        <v>0</v>
      </c>
      <c r="M222" s="19">
        <f>MAX(IF(ISNA(VLOOKUP(B222,'NÖBV 2'!$B$3:$C$34,2,FALSE))=TRUE,0,VLOOKUP(B222,'NÖBV 2'!$B$3:$C$34,2,FALSE)),IF(ISNA(VLOOKUP(B222,'NÖBV 2'!$F$3:$G$34,2,FALSE))=TRUE,0,VLOOKUP(B222,'NÖBV 2'!$F$3:$G$34,2,FALSE)),IF(ISNA(VLOOKUP(B222,'NÖBV 2'!$J$3:$K$34,2,FALSE))=TRUE,0,VLOOKUP(B222,'NÖBV 2'!$J$3:$K$34,2,FALSE)),IF(ISNA(VLOOKUP(B222,'NÖBV 2'!$N$3:$O$34,2,FALSE))=TRUE,0,VLOOKUP(B222,'NÖBV 2'!$N$3:$O$34,2,FALSE)))</f>
        <v>0</v>
      </c>
      <c r="N222" s="19">
        <f>MAX(IF(ISNA(VLOOKUP(B222,'NÖBV 3'!$B$3:$C$34,2,FALSE))=TRUE,0,VLOOKUP(B222,'NÖBV 3'!$B$3:$C$34,2,FALSE)),IF(ISNA(VLOOKUP(B222,'NÖBV 3'!$F$3:$G$34,2,FALSE))=TRUE,0,VLOOKUP(B222,'NÖBV 3'!$F$3:$G$34,2,FALSE)),IF(ISNA(VLOOKUP(B222,'NÖBV 3'!$J$3:$K$34,2,FALSE))=TRUE,0,VLOOKUP(B222,'NÖBV 3'!$J$3:$K$34,2,FALSE)),IF(ISNA(VLOOKUP(B222,'NÖBV 3'!$N$3:$O$34,2,FALSE))=TRUE,0,VLOOKUP(B222,'NÖBV 3'!$N$3:$O$34,2,FALSE)))</f>
        <v>0</v>
      </c>
      <c r="O222" s="15">
        <f>MAX(IF(ISNA(VLOOKUP(B222,'Regioturnier 1'!$B$3:$C$34,2,FALSE))=TRUE,0,VLOOKUP(B222,'Regioturnier 1'!$B$3:$C$34,2,FALSE)),IF(ISNA(VLOOKUP(B222,'Regioturnier 1'!$F$3:$G$34,2,FALSE))=TRUE,0,VLOOKUP(B222,'Regioturnier 1'!$F$3:$G$34,2,FALSE)),IF(ISNA(VLOOKUP(B222,'Regioturnier 1'!$J$3:$K$34,2,FALSE))=TRUE,0,VLOOKUP(B222,'Regioturnier 1'!$J$3:$K$34,2,FALSE)),IF(ISNA(VLOOKUP(B222,'Regioturnier 1'!$N$3:$O$34,2,FALSE))=TRUE,0,VLOOKUP(B222,'Regioturnier 1'!$N$3:$O$34,2,FALSE)),IF(ISNA(VLOOKUP(B222,'Regioturnier 1'!$R$3:$S$34,2,FALSE))=TRUE,0,VLOOKUP(B222,'Regioturnier 1'!$R$3:$S$34,2,FALSE)), IF(ISNA(VLOOKUP(B222,'Regioturnier 1'!$V$3:$W$34,2,FALSE))=TRUE,0,VLOOKUP(B222,'Regioturnier 1'!$V$3:$W$34,2,FALSE)), IF(ISNA(VLOOKUP(B222,'Regioturnier 1'!$Z$3:$AA$34,2,FALSE))=TRUE,0,VLOOKUP(B222,'Regioturnier 1'!$Z$3:$AA$34,2,FALSE)))</f>
        <v>0</v>
      </c>
      <c r="P222" s="15">
        <f>MAX(IF(ISNA(VLOOKUP(B222,'Regioturnier 2'!$B$3:$C$34,2,FALSE))=TRUE,0,VLOOKUP(B222,'Regioturnier 2'!$B$3:$C$34,2,FALSE)),IF(ISNA(VLOOKUP(B222,'Regioturnier 2'!$F$3:$G$34,2,FALSE))=TRUE,0,VLOOKUP(B222,'Regioturnier 2'!$F$3:$G$34,2,FALSE)),IF(ISNA(VLOOKUP(B222,'Regioturnier 2'!$J$3:$K$34,2,FALSE))=TRUE,0,VLOOKUP(B222,'Regioturnier 2'!$J$3:$K$34,2,FALSE)),IF(ISNA(VLOOKUP(B222,'Regioturnier 2'!$N$3:$O$34,2,FALSE))=TRUE,0,VLOOKUP(B222,'Regioturnier 2'!$N$3:$O$34,2,FALSE)),IF(ISNA(VLOOKUP(B222,'Regioturnier 2'!$R$3:$S$34,2,FALSE))=TRUE,0,VLOOKUP(B222,'Regioturnier 2'!$R$3:$S$34,2,FALSE)), IF(ISNA(VLOOKUP(B222,'Regioturnier 2'!$V$3:$W$34,2,FALSE))=TRUE,0,VLOOKUP(B222,'Regioturnier 2'!$V$3:$W$34,2,FALSE)), IF(ISNA(VLOOKUP(B222,'Regioturnier 2'!$Z$3:$AA$34,2,FALSE))=TRUE,0,VLOOKUP(B222,'Regioturnier 2'!$Z$3:$AA$34,2,FALSE)))</f>
        <v>0</v>
      </c>
      <c r="Q222" s="15">
        <f>MAX(IF(ISNA(VLOOKUP(B222,'Regioturnier 3'!$B$3:$C$34,2,FALSE))=TRUE,0,VLOOKUP(B222,'Regioturnier 3'!$B$3:$C$34,2,FALSE)),IF(ISNA(VLOOKUP(B222,'Regioturnier 3'!$F$3:$G$34,2,FALSE))=TRUE,0,VLOOKUP(B222,'Regioturnier 3'!$F$3:$G$34,2,FALSE)),IF(ISNA(VLOOKUP(B222,'Regioturnier 3'!$J$3:$K$34,2,FALSE))=TRUE,0,VLOOKUP(B222,'Regioturnier 3'!$J$3:$K$34,2,FALSE)),IF(ISNA(VLOOKUP(B222,'Regioturnier 3'!$N$3:$O$34,2,FALSE))=TRUE,0,VLOOKUP(B222,'Regioturnier 3'!$N$3:$O$34,2,FALSE)),IF(ISNA(VLOOKUP(B222,'Regioturnier 3'!$R$3:$S$34,2,FALSE))=TRUE,0,VLOOKUP(B222,'Regioturnier 3'!$R$3:$S$34,2,FALSE)), IF(ISNA(VLOOKUP(B222,'Regioturnier 3'!$V$3:$W$34,2,FALSE))=TRUE,0,VLOOKUP(B222,'Regioturnier 3'!$V$3:$W$34,2,FALSE)), IF(ISNA(VLOOKUP(B222,'Regioturnier 3'!$Z$3:$AA$34,2,FALSE))=TRUE,0,VLOOKUP(B222,'Regioturnier 3'!$Z$3:$AA$34,2,FALSE)))</f>
        <v>0</v>
      </c>
      <c r="R222" s="20">
        <f>0.5*INDEX($H222:$N222,MATCH(LARGE($H222:$N222,1),$H222:$N222,0))+0.3*INDEX($H222:$N222,MATCH(LARGE($H222:$N222,2),$H222:$N222,0))+0.2*INDEX($H222:$N222,MATCH(LARGE($H222:$N222,3),$H222:$N222,0))</f>
        <v>0</v>
      </c>
      <c r="S222" s="20">
        <f>0.6*INDEX(O222:Q222,MATCH(LARGE(O222:Q222,1),O222:Q222,0))+0.4*INDEX(O222:Q222,MATCH(LARGE(O222:Q222,2),O222:Q222,0))+0*INDEX(O222:Q222,MATCH(LARGE(O222:Q222,3),O222:Q222,0))</f>
        <v>0</v>
      </c>
      <c r="T222" s="15">
        <f>1*INDEX(R222:S222,MATCH(LARGE(R222:S222,1),R222:S222,0))+0*INDEX(R222:S222,MATCH(LARGE(R222:S222,2),R222:S222,0))</f>
        <v>0</v>
      </c>
      <c r="U222" s="21"/>
      <c r="V222" s="21"/>
      <c r="W222" s="21"/>
      <c r="X222" s="21"/>
      <c r="Y222" s="21"/>
      <c r="Z222" s="21"/>
    </row>
    <row r="223" spans="1:26" ht="12.75" customHeight="1" x14ac:dyDescent="0.3">
      <c r="A223" s="15">
        <v>222</v>
      </c>
      <c r="B223" s="16" t="s">
        <v>236</v>
      </c>
      <c r="C223" s="17" t="s">
        <v>31</v>
      </c>
      <c r="D223" s="15" t="s">
        <v>26</v>
      </c>
      <c r="E223" s="18" t="s">
        <v>23</v>
      </c>
      <c r="F223" s="15">
        <v>109069</v>
      </c>
      <c r="G223" s="22">
        <v>2012</v>
      </c>
      <c r="H223" s="15">
        <f>MAX(IF(ISNA(VLOOKUP(B223,'WBV 1'!$B$3:$C$34,2,FALSE))=TRUE,0,VLOOKUP(B223,'WBV 1'!$B$3:$C$34,2,FALSE)),IF(ISNA(VLOOKUP(B223,'WBV 1'!$F$3:$G$34,2,FALSE))=TRUE,0,VLOOKUP(B223,'WBV 1'!$F$3:$G$34,2,FALSE)),IF(ISNA(VLOOKUP(B223,'WBV 1'!$J$3:$K$34,2,FALSE))=TRUE,0,VLOOKUP(B223,'WBV 1'!$J$3:$K$34,2,FALSE)),IF(ISNA(VLOOKUP(B223,'WBV 1'!$N$3:$O$34,2,FALSE))=TRUE,0,VLOOKUP(B223,'WBV 1'!$N$3:$O$34,2,FALSE)))</f>
        <v>0</v>
      </c>
      <c r="I223" s="15">
        <f>MAX(IF(ISNA(VLOOKUP(B223,'WBV 2'!$B$3:$C$34,2,FALSE))=TRUE,0,VLOOKUP(B223,'WBV 2'!$B$3:$C$34,2,FALSE)),IF(ISNA(VLOOKUP(B223,'WBV 2'!$F$3:$G$34,2,FALSE))=TRUE,0,VLOOKUP(B223,'WBV 2'!$F$3:$G$34,2,FALSE)),IF(ISNA(VLOOKUP(B223,'WBV 2'!$J$3:$K$34,2,FALSE))=TRUE,0,VLOOKUP(B223,'WBV 2'!$J$3:$K$34,2,FALSE)),IF(ISNA(VLOOKUP(B223,'WBV 2'!$N$3:$O$34,2,FALSE))=TRUE,0,VLOOKUP(B223,'WBV 2'!$N$3:$O$34,2,FALSE)))</f>
        <v>0</v>
      </c>
      <c r="J223" s="15">
        <f>MAX(IF(ISNA(VLOOKUP(B223,'WBV 3'!$B$3:$C$34,2,FALSE))=TRUE,0,VLOOKUP(B223,'WBV 3'!$B$3:$C$34,2,FALSE)),IF(ISNA(VLOOKUP(B223,'WBV 3'!$F$3:$G$34,2,FALSE))=TRUE,0,VLOOKUP(B223,'WBV 3'!$F$3:$G$34,2,FALSE)),IF(ISNA(VLOOKUP(B223,'WBV 3'!$J$3:$K$34,2,FALSE))=TRUE,0,VLOOKUP(B223,'WBV 3'!$J$3:$K$34,2,FALSE)),IF(ISNA(VLOOKUP(B223,'WBV 3'!$N$3:$O$34,2,FALSE))=TRUE,0,VLOOKUP(B223,'WBV 3'!$N$3:$O$34,2,FALSE)))</f>
        <v>0</v>
      </c>
      <c r="K223" s="15">
        <f>MAX(IF(ISNA(VLOOKUP(B223,'WBV 4'!$B$3:$C$34,2,FALSE))=TRUE,0,VLOOKUP(B223,'WBV 4'!$B$3:$C$34,2,FALSE)),IF(ISNA(VLOOKUP(B223,'WBV 4'!$F$3:$G$34,2,FALSE))=TRUE,0,VLOOKUP(B223,'WBV 4'!$F$3:$G$34,2,FALSE)),IF(ISNA(VLOOKUP(B223,'WBV 4'!$J$3:$K$34,2,FALSE))=TRUE,0,VLOOKUP(B223,'WBV 4'!$J$3:$K$34,2,FALSE)),IF(ISNA(VLOOKUP(B223,'WBV 4'!$N$3:$O$34,2,FALSE))=TRUE,0,VLOOKUP(B223,'WBV 4'!$N$3:$O$34,2,FALSE)))</f>
        <v>0</v>
      </c>
      <c r="L223" s="19">
        <f>MAX(IF(ISNA(VLOOKUP(B223,'NÖBV 1'!$B$3:$C$34,2,FALSE))=TRUE,0,VLOOKUP(B223,'NÖBV 1'!$B$3:$C$34,2,FALSE)),IF(ISNA(VLOOKUP(B223,'NÖBV 1'!$F$3:$G$34,2,FALSE))=TRUE,0,VLOOKUP(B223,'NÖBV 1'!$F$3:$G$34,2,FALSE)),IF(ISNA(VLOOKUP(B223,'NÖBV 1'!$J$3:$K$34,2,FALSE))=TRUE,0,VLOOKUP(B223,'NÖBV 1'!$J$3:$K$34,2,FALSE)),IF(ISNA(VLOOKUP(B223,'NÖBV 1'!$N$3:$O$34,2,FALSE))=TRUE,0,VLOOKUP(B223,'NÖBV 1'!$N$3:$O$34,2,FALSE)))</f>
        <v>0</v>
      </c>
      <c r="M223" s="19">
        <f>MAX(IF(ISNA(VLOOKUP(B223,'NÖBV 2'!$B$3:$C$34,2,FALSE))=TRUE,0,VLOOKUP(B223,'NÖBV 2'!$B$3:$C$34,2,FALSE)),IF(ISNA(VLOOKUP(B223,'NÖBV 2'!$F$3:$G$34,2,FALSE))=TRUE,0,VLOOKUP(B223,'NÖBV 2'!$F$3:$G$34,2,FALSE)),IF(ISNA(VLOOKUP(B223,'NÖBV 2'!$J$3:$K$34,2,FALSE))=TRUE,0,VLOOKUP(B223,'NÖBV 2'!$J$3:$K$34,2,FALSE)),IF(ISNA(VLOOKUP(B223,'NÖBV 2'!$N$3:$O$34,2,FALSE))=TRUE,0,VLOOKUP(B223,'NÖBV 2'!$N$3:$O$34,2,FALSE)))</f>
        <v>0</v>
      </c>
      <c r="N223" s="19">
        <f>MAX(IF(ISNA(VLOOKUP(B223,'NÖBV 3'!$B$3:$C$34,2,FALSE))=TRUE,0,VLOOKUP(B223,'NÖBV 3'!$B$3:$C$34,2,FALSE)),IF(ISNA(VLOOKUP(B223,'NÖBV 3'!$F$3:$G$34,2,FALSE))=TRUE,0,VLOOKUP(B223,'NÖBV 3'!$F$3:$G$34,2,FALSE)),IF(ISNA(VLOOKUP(B223,'NÖBV 3'!$J$3:$K$34,2,FALSE))=TRUE,0,VLOOKUP(B223,'NÖBV 3'!$J$3:$K$34,2,FALSE)),IF(ISNA(VLOOKUP(B223,'NÖBV 3'!$N$3:$O$34,2,FALSE))=TRUE,0,VLOOKUP(B223,'NÖBV 3'!$N$3:$O$34,2,FALSE)))</f>
        <v>0</v>
      </c>
      <c r="O223" s="15">
        <f>MAX(IF(ISNA(VLOOKUP(B223,'Regioturnier 1'!$B$3:$C$34,2,FALSE))=TRUE,0,VLOOKUP(B223,'Regioturnier 1'!$B$3:$C$34,2,FALSE)),IF(ISNA(VLOOKUP(B223,'Regioturnier 1'!$F$3:$G$34,2,FALSE))=TRUE,0,VLOOKUP(B223,'Regioturnier 1'!$F$3:$G$34,2,FALSE)),IF(ISNA(VLOOKUP(B223,'Regioturnier 1'!$J$3:$K$34,2,FALSE))=TRUE,0,VLOOKUP(B223,'Regioturnier 1'!$J$3:$K$34,2,FALSE)),IF(ISNA(VLOOKUP(B223,'Regioturnier 1'!$N$3:$O$34,2,FALSE))=TRUE,0,VLOOKUP(B223,'Regioturnier 1'!$N$3:$O$34,2,FALSE)),IF(ISNA(VLOOKUP(B223,'Regioturnier 1'!$R$3:$S$34,2,FALSE))=TRUE,0,VLOOKUP(B223,'Regioturnier 1'!$R$3:$S$34,2,FALSE)), IF(ISNA(VLOOKUP(B223,'Regioturnier 1'!$V$3:$W$34,2,FALSE))=TRUE,0,VLOOKUP(B223,'Regioturnier 1'!$V$3:$W$34,2,FALSE)), IF(ISNA(VLOOKUP(B223,'Regioturnier 1'!$Z$3:$AA$34,2,FALSE))=TRUE,0,VLOOKUP(B223,'Regioturnier 1'!$Z$3:$AA$34,2,FALSE)))</f>
        <v>0</v>
      </c>
      <c r="P223" s="15">
        <f>MAX(IF(ISNA(VLOOKUP(B223,'Regioturnier 2'!$B$3:$C$34,2,FALSE))=TRUE,0,VLOOKUP(B223,'Regioturnier 2'!$B$3:$C$34,2,FALSE)),IF(ISNA(VLOOKUP(B223,'Regioturnier 2'!$F$3:$G$34,2,FALSE))=TRUE,0,VLOOKUP(B223,'Regioturnier 2'!$F$3:$G$34,2,FALSE)),IF(ISNA(VLOOKUP(B223,'Regioturnier 2'!$J$3:$K$34,2,FALSE))=TRUE,0,VLOOKUP(B223,'Regioturnier 2'!$J$3:$K$34,2,FALSE)),IF(ISNA(VLOOKUP(B223,'Regioturnier 2'!$N$3:$O$34,2,FALSE))=TRUE,0,VLOOKUP(B223,'Regioturnier 2'!$N$3:$O$34,2,FALSE)),IF(ISNA(VLOOKUP(B223,'Regioturnier 2'!$R$3:$S$34,2,FALSE))=TRUE,0,VLOOKUP(B223,'Regioturnier 2'!$R$3:$S$34,2,FALSE)), IF(ISNA(VLOOKUP(B223,'Regioturnier 2'!$V$3:$W$34,2,FALSE))=TRUE,0,VLOOKUP(B223,'Regioturnier 2'!$V$3:$W$34,2,FALSE)), IF(ISNA(VLOOKUP(B223,'Regioturnier 2'!$Z$3:$AA$34,2,FALSE))=TRUE,0,VLOOKUP(B223,'Regioturnier 2'!$Z$3:$AA$34,2,FALSE)))</f>
        <v>0</v>
      </c>
      <c r="Q223" s="15">
        <f>MAX(IF(ISNA(VLOOKUP(B223,'Regioturnier 3'!$B$3:$C$34,2,FALSE))=TRUE,0,VLOOKUP(B223,'Regioturnier 3'!$B$3:$C$34,2,FALSE)),IF(ISNA(VLOOKUP(B223,'Regioturnier 3'!$F$3:$G$34,2,FALSE))=TRUE,0,VLOOKUP(B223,'Regioturnier 3'!$F$3:$G$34,2,FALSE)),IF(ISNA(VLOOKUP(B223,'Regioturnier 3'!$J$3:$K$34,2,FALSE))=TRUE,0,VLOOKUP(B223,'Regioturnier 3'!$J$3:$K$34,2,FALSE)),IF(ISNA(VLOOKUP(B223,'Regioturnier 3'!$N$3:$O$34,2,FALSE))=TRUE,0,VLOOKUP(B223,'Regioturnier 3'!$N$3:$O$34,2,FALSE)),IF(ISNA(VLOOKUP(B223,'Regioturnier 3'!$R$3:$S$34,2,FALSE))=TRUE,0,VLOOKUP(B223,'Regioturnier 3'!$R$3:$S$34,2,FALSE)), IF(ISNA(VLOOKUP(B223,'Regioturnier 3'!$V$3:$W$34,2,FALSE))=TRUE,0,VLOOKUP(B223,'Regioturnier 3'!$V$3:$W$34,2,FALSE)), IF(ISNA(VLOOKUP(B223,'Regioturnier 3'!$Z$3:$AA$34,2,FALSE))=TRUE,0,VLOOKUP(B223,'Regioturnier 3'!$Z$3:$AA$34,2,FALSE)))</f>
        <v>0</v>
      </c>
      <c r="R223" s="20">
        <f>0.5*INDEX($H223:$N223,MATCH(LARGE($H223:$N223,1),$H223:$N223,0))+0.3*INDEX($H223:$N223,MATCH(LARGE($H223:$N223,2),$H223:$N223,0))+0.2*INDEX($H223:$N223,MATCH(LARGE($H223:$N223,3),$H223:$N223,0))</f>
        <v>0</v>
      </c>
      <c r="S223" s="20">
        <f>0.6*INDEX(O223:Q223,MATCH(LARGE(O223:Q223,1),O223:Q223,0))+0.4*INDEX(O223:Q223,MATCH(LARGE(O223:Q223,2),O223:Q223,0))+0*INDEX(O223:Q223,MATCH(LARGE(O223:Q223,3),O223:Q223,0))</f>
        <v>0</v>
      </c>
      <c r="T223" s="15">
        <f>1*INDEX(R223:S223,MATCH(LARGE(R223:S223,1),R223:S223,0))+0*INDEX(R223:S223,MATCH(LARGE(R223:S223,2),R223:S223,0))</f>
        <v>0</v>
      </c>
      <c r="U223" s="21"/>
      <c r="V223" s="21"/>
      <c r="W223" s="21"/>
      <c r="X223" s="21"/>
      <c r="Y223" s="21"/>
      <c r="Z223" s="21"/>
    </row>
    <row r="224" spans="1:26" ht="12.75" customHeight="1" x14ac:dyDescent="0.3">
      <c r="A224" s="15">
        <v>223</v>
      </c>
      <c r="B224" s="16" t="s">
        <v>124</v>
      </c>
      <c r="C224" s="17" t="s">
        <v>43</v>
      </c>
      <c r="D224" s="15" t="s">
        <v>26</v>
      </c>
      <c r="E224" s="18" t="s">
        <v>23</v>
      </c>
      <c r="F224" s="15">
        <v>110414</v>
      </c>
      <c r="G224" s="22">
        <v>2014</v>
      </c>
      <c r="H224" s="15">
        <f>MAX(IF(ISNA(VLOOKUP(B224,'WBV 1'!$B$3:$C$34,2,FALSE))=TRUE,0,VLOOKUP(B224,'WBV 1'!$B$3:$C$34,2,FALSE)),IF(ISNA(VLOOKUP(B224,'WBV 1'!$F$3:$G$34,2,FALSE))=TRUE,0,VLOOKUP(B224,'WBV 1'!$F$3:$G$34,2,FALSE)),IF(ISNA(VLOOKUP(B224,'WBV 1'!$J$3:$K$34,2,FALSE))=TRUE,0,VLOOKUP(B224,'WBV 1'!$J$3:$K$34,2,FALSE)),IF(ISNA(VLOOKUP(B224,'WBV 1'!$N$3:$O$34,2,FALSE))=TRUE,0,VLOOKUP(B224,'WBV 1'!$N$3:$O$34,2,FALSE)))</f>
        <v>0</v>
      </c>
      <c r="I224" s="15">
        <f>MAX(IF(ISNA(VLOOKUP(B224,'WBV 2'!$B$3:$C$34,2,FALSE))=TRUE,0,VLOOKUP(B224,'WBV 2'!$B$3:$C$34,2,FALSE)),IF(ISNA(VLOOKUP(B224,'WBV 2'!$F$3:$G$34,2,FALSE))=TRUE,0,VLOOKUP(B224,'WBV 2'!$F$3:$G$34,2,FALSE)),IF(ISNA(VLOOKUP(B224,'WBV 2'!$J$3:$K$34,2,FALSE))=TRUE,0,VLOOKUP(B224,'WBV 2'!$J$3:$K$34,2,FALSE)),IF(ISNA(VLOOKUP(B224,'WBV 2'!$N$3:$O$34,2,FALSE))=TRUE,0,VLOOKUP(B224,'WBV 2'!$N$3:$O$34,2,FALSE)))</f>
        <v>0</v>
      </c>
      <c r="J224" s="15">
        <f>MAX(IF(ISNA(VLOOKUP(B224,'WBV 3'!$B$3:$C$34,2,FALSE))=TRUE,0,VLOOKUP(B224,'WBV 3'!$B$3:$C$34,2,FALSE)),IF(ISNA(VLOOKUP(B224,'WBV 3'!$F$3:$G$34,2,FALSE))=TRUE,0,VLOOKUP(B224,'WBV 3'!$F$3:$G$34,2,FALSE)),IF(ISNA(VLOOKUP(B224,'WBV 3'!$J$3:$K$34,2,FALSE))=TRUE,0,VLOOKUP(B224,'WBV 3'!$J$3:$K$34,2,FALSE)),IF(ISNA(VLOOKUP(B224,'WBV 3'!$N$3:$O$34,2,FALSE))=TRUE,0,VLOOKUP(B224,'WBV 3'!$N$3:$O$34,2,FALSE)))</f>
        <v>0</v>
      </c>
      <c r="K224" s="15">
        <f>MAX(IF(ISNA(VLOOKUP(B224,'WBV 4'!$B$3:$C$34,2,FALSE))=TRUE,0,VLOOKUP(B224,'WBV 4'!$B$3:$C$34,2,FALSE)),IF(ISNA(VLOOKUP(B224,'WBV 4'!$F$3:$G$34,2,FALSE))=TRUE,0,VLOOKUP(B224,'WBV 4'!$F$3:$G$34,2,FALSE)),IF(ISNA(VLOOKUP(B224,'WBV 4'!$J$3:$K$34,2,FALSE))=TRUE,0,VLOOKUP(B224,'WBV 4'!$J$3:$K$34,2,FALSE)),IF(ISNA(VLOOKUP(B224,'WBV 4'!$N$3:$O$34,2,FALSE))=TRUE,0,VLOOKUP(B224,'WBV 4'!$N$3:$O$34,2,FALSE)))</f>
        <v>0</v>
      </c>
      <c r="L224" s="19">
        <f>MAX(IF(ISNA(VLOOKUP(B224,'NÖBV 1'!$B$3:$C$34,2,FALSE))=TRUE,0,VLOOKUP(B224,'NÖBV 1'!$B$3:$C$34,2,FALSE)),IF(ISNA(VLOOKUP(B224,'NÖBV 1'!$F$3:$G$34,2,FALSE))=TRUE,0,VLOOKUP(B224,'NÖBV 1'!$F$3:$G$34,2,FALSE)),IF(ISNA(VLOOKUP(B224,'NÖBV 1'!$J$3:$K$34,2,FALSE))=TRUE,0,VLOOKUP(B224,'NÖBV 1'!$J$3:$K$34,2,FALSE)),IF(ISNA(VLOOKUP(B224,'NÖBV 1'!$N$3:$O$34,2,FALSE))=TRUE,0,VLOOKUP(B224,'NÖBV 1'!$N$3:$O$34,2,FALSE)))</f>
        <v>0</v>
      </c>
      <c r="M224" s="19">
        <f>MAX(IF(ISNA(VLOOKUP(B224,'NÖBV 2'!$B$3:$C$34,2,FALSE))=TRUE,0,VLOOKUP(B224,'NÖBV 2'!$B$3:$C$34,2,FALSE)),IF(ISNA(VLOOKUP(B224,'NÖBV 2'!$F$3:$G$34,2,FALSE))=TRUE,0,VLOOKUP(B224,'NÖBV 2'!$F$3:$G$34,2,FALSE)),IF(ISNA(VLOOKUP(B224,'NÖBV 2'!$J$3:$K$34,2,FALSE))=TRUE,0,VLOOKUP(B224,'NÖBV 2'!$J$3:$K$34,2,FALSE)),IF(ISNA(VLOOKUP(B224,'NÖBV 2'!$N$3:$O$34,2,FALSE))=TRUE,0,VLOOKUP(B224,'NÖBV 2'!$N$3:$O$34,2,FALSE)))</f>
        <v>0</v>
      </c>
      <c r="N224" s="19">
        <f>MAX(IF(ISNA(VLOOKUP(B224,'NÖBV 3'!$B$3:$C$34,2,FALSE))=TRUE,0,VLOOKUP(B224,'NÖBV 3'!$B$3:$C$34,2,FALSE)),IF(ISNA(VLOOKUP(B224,'NÖBV 3'!$F$3:$G$34,2,FALSE))=TRUE,0,VLOOKUP(B224,'NÖBV 3'!$F$3:$G$34,2,FALSE)),IF(ISNA(VLOOKUP(B224,'NÖBV 3'!$J$3:$K$34,2,FALSE))=TRUE,0,VLOOKUP(B224,'NÖBV 3'!$J$3:$K$34,2,FALSE)),IF(ISNA(VLOOKUP(B224,'NÖBV 3'!$N$3:$O$34,2,FALSE))=TRUE,0,VLOOKUP(B224,'NÖBV 3'!$N$3:$O$34,2,FALSE)))</f>
        <v>0</v>
      </c>
      <c r="O224" s="15">
        <f>MAX(IF(ISNA(VLOOKUP(B224,'Regioturnier 1'!$B$3:$C$34,2,FALSE))=TRUE,0,VLOOKUP(B224,'Regioturnier 1'!$B$3:$C$34,2,FALSE)),IF(ISNA(VLOOKUP(B224,'Regioturnier 1'!$F$3:$G$34,2,FALSE))=TRUE,0,VLOOKUP(B224,'Regioturnier 1'!$F$3:$G$34,2,FALSE)),IF(ISNA(VLOOKUP(B224,'Regioturnier 1'!$J$3:$K$34,2,FALSE))=TRUE,0,VLOOKUP(B224,'Regioturnier 1'!$J$3:$K$34,2,FALSE)),IF(ISNA(VLOOKUP(B224,'Regioturnier 1'!$N$3:$O$34,2,FALSE))=TRUE,0,VLOOKUP(B224,'Regioturnier 1'!$N$3:$O$34,2,FALSE)),IF(ISNA(VLOOKUP(B224,'Regioturnier 1'!$R$3:$S$34,2,FALSE))=TRUE,0,VLOOKUP(B224,'Regioturnier 1'!$R$3:$S$34,2,FALSE)), IF(ISNA(VLOOKUP(B224,'Regioturnier 1'!$V$3:$W$34,2,FALSE))=TRUE,0,VLOOKUP(B224,'Regioturnier 1'!$V$3:$W$34,2,FALSE)), IF(ISNA(VLOOKUP(B224,'Regioturnier 1'!$Z$3:$AA$34,2,FALSE))=TRUE,0,VLOOKUP(B224,'Regioturnier 1'!$Z$3:$AA$34,2,FALSE)))</f>
        <v>0</v>
      </c>
      <c r="P224" s="15">
        <f>MAX(IF(ISNA(VLOOKUP(B224,'Regioturnier 2'!$B$3:$C$34,2,FALSE))=TRUE,0,VLOOKUP(B224,'Regioturnier 2'!$B$3:$C$34,2,FALSE)),IF(ISNA(VLOOKUP(B224,'Regioturnier 2'!$F$3:$G$34,2,FALSE))=TRUE,0,VLOOKUP(B224,'Regioturnier 2'!$F$3:$G$34,2,FALSE)),IF(ISNA(VLOOKUP(B224,'Regioturnier 2'!$J$3:$K$34,2,FALSE))=TRUE,0,VLOOKUP(B224,'Regioturnier 2'!$J$3:$K$34,2,FALSE)),IF(ISNA(VLOOKUP(B224,'Regioturnier 2'!$N$3:$O$34,2,FALSE))=TRUE,0,VLOOKUP(B224,'Regioturnier 2'!$N$3:$O$34,2,FALSE)),IF(ISNA(VLOOKUP(B224,'Regioturnier 2'!$R$3:$S$34,2,FALSE))=TRUE,0,VLOOKUP(B224,'Regioturnier 2'!$R$3:$S$34,2,FALSE)), IF(ISNA(VLOOKUP(B224,'Regioturnier 2'!$V$3:$W$34,2,FALSE))=TRUE,0,VLOOKUP(B224,'Regioturnier 2'!$V$3:$W$34,2,FALSE)), IF(ISNA(VLOOKUP(B224,'Regioturnier 2'!$Z$3:$AA$34,2,FALSE))=TRUE,0,VLOOKUP(B224,'Regioturnier 2'!$Z$3:$AA$34,2,FALSE)))</f>
        <v>0</v>
      </c>
      <c r="Q224" s="15">
        <f>MAX(IF(ISNA(VLOOKUP(B224,'Regioturnier 3'!$B$3:$C$34,2,FALSE))=TRUE,0,VLOOKUP(B224,'Regioturnier 3'!$B$3:$C$34,2,FALSE)),IF(ISNA(VLOOKUP(B224,'Regioturnier 3'!$F$3:$G$34,2,FALSE))=TRUE,0,VLOOKUP(B224,'Regioturnier 3'!$F$3:$G$34,2,FALSE)),IF(ISNA(VLOOKUP(B224,'Regioturnier 3'!$J$3:$K$34,2,FALSE))=TRUE,0,VLOOKUP(B224,'Regioturnier 3'!$J$3:$K$34,2,FALSE)),IF(ISNA(VLOOKUP(B224,'Regioturnier 3'!$N$3:$O$34,2,FALSE))=TRUE,0,VLOOKUP(B224,'Regioturnier 3'!$N$3:$O$34,2,FALSE)),IF(ISNA(VLOOKUP(B224,'Regioturnier 3'!$R$3:$S$34,2,FALSE))=TRUE,0,VLOOKUP(B224,'Regioturnier 3'!$R$3:$S$34,2,FALSE)), IF(ISNA(VLOOKUP(B224,'Regioturnier 3'!$V$3:$W$34,2,FALSE))=TRUE,0,VLOOKUP(B224,'Regioturnier 3'!$V$3:$W$34,2,FALSE)), IF(ISNA(VLOOKUP(B224,'Regioturnier 3'!$Z$3:$AA$34,2,FALSE))=TRUE,0,VLOOKUP(B224,'Regioturnier 3'!$Z$3:$AA$34,2,FALSE)))</f>
        <v>0</v>
      </c>
      <c r="R224" s="20">
        <f>0.5*INDEX($H224:$N224,MATCH(LARGE($H224:$N224,1),$H224:$N224,0))+0.3*INDEX($H224:$N224,MATCH(LARGE($H224:$N224,2),$H224:$N224,0))+0.2*INDEX($H224:$N224,MATCH(LARGE($H224:$N224,3),$H224:$N224,0))</f>
        <v>0</v>
      </c>
      <c r="S224" s="20">
        <f>0.6*INDEX(O224:Q224,MATCH(LARGE(O224:Q224,1),O224:Q224,0))+0.4*INDEX(O224:Q224,MATCH(LARGE(O224:Q224,2),O224:Q224,0))+0*INDEX(O224:Q224,MATCH(LARGE(O224:Q224,3),O224:Q224,0))</f>
        <v>0</v>
      </c>
      <c r="T224" s="15">
        <f>1*INDEX(R224:S224,MATCH(LARGE(R224:S224,1),R224:S224,0))+0*INDEX(R224:S224,MATCH(LARGE(R224:S224,2),R224:S224,0))</f>
        <v>0</v>
      </c>
      <c r="U224" s="21"/>
      <c r="V224" s="21"/>
      <c r="W224" s="21"/>
      <c r="X224" s="21"/>
      <c r="Y224" s="21"/>
      <c r="Z224" s="21"/>
    </row>
    <row r="225" spans="1:26" ht="12.75" customHeight="1" x14ac:dyDescent="0.3">
      <c r="A225" s="15">
        <v>224</v>
      </c>
      <c r="B225" s="16" t="s">
        <v>241</v>
      </c>
      <c r="C225" s="17" t="s">
        <v>31</v>
      </c>
      <c r="D225" s="15" t="s">
        <v>26</v>
      </c>
      <c r="E225" s="18" t="s">
        <v>23</v>
      </c>
      <c r="F225" s="15">
        <v>109551</v>
      </c>
      <c r="G225" s="22">
        <v>2014</v>
      </c>
      <c r="H225" s="15">
        <f>MAX(IF(ISNA(VLOOKUP(B225,'WBV 1'!$B$3:$C$34,2,FALSE))=TRUE,0,VLOOKUP(B225,'WBV 1'!$B$3:$C$34,2,FALSE)),IF(ISNA(VLOOKUP(B225,'WBV 1'!$F$3:$G$34,2,FALSE))=TRUE,0,VLOOKUP(B225,'WBV 1'!$F$3:$G$34,2,FALSE)),IF(ISNA(VLOOKUP(B225,'WBV 1'!$J$3:$K$34,2,FALSE))=TRUE,0,VLOOKUP(B225,'WBV 1'!$J$3:$K$34,2,FALSE)),IF(ISNA(VLOOKUP(B225,'WBV 1'!$N$3:$O$34,2,FALSE))=TRUE,0,VLOOKUP(B225,'WBV 1'!$N$3:$O$34,2,FALSE)))</f>
        <v>0</v>
      </c>
      <c r="I225" s="15">
        <f>MAX(IF(ISNA(VLOOKUP(B225,'WBV 2'!$B$3:$C$34,2,FALSE))=TRUE,0,VLOOKUP(B225,'WBV 2'!$B$3:$C$34,2,FALSE)),IF(ISNA(VLOOKUP(B225,'WBV 2'!$F$3:$G$34,2,FALSE))=TRUE,0,VLOOKUP(B225,'WBV 2'!$F$3:$G$34,2,FALSE)),IF(ISNA(VLOOKUP(B225,'WBV 2'!$J$3:$K$34,2,FALSE))=TRUE,0,VLOOKUP(B225,'WBV 2'!$J$3:$K$34,2,FALSE)),IF(ISNA(VLOOKUP(B225,'WBV 2'!$N$3:$O$34,2,FALSE))=TRUE,0,VLOOKUP(B225,'WBV 2'!$N$3:$O$34,2,FALSE)))</f>
        <v>0</v>
      </c>
      <c r="J225" s="15">
        <f>MAX(IF(ISNA(VLOOKUP(B225,'WBV 3'!$B$3:$C$34,2,FALSE))=TRUE,0,VLOOKUP(B225,'WBV 3'!$B$3:$C$34,2,FALSE)),IF(ISNA(VLOOKUP(B225,'WBV 3'!$F$3:$G$34,2,FALSE))=TRUE,0,VLOOKUP(B225,'WBV 3'!$F$3:$G$34,2,FALSE)),IF(ISNA(VLOOKUP(B225,'WBV 3'!$J$3:$K$34,2,FALSE))=TRUE,0,VLOOKUP(B225,'WBV 3'!$J$3:$K$34,2,FALSE)),IF(ISNA(VLOOKUP(B225,'WBV 3'!$N$3:$O$34,2,FALSE))=TRUE,0,VLOOKUP(B225,'WBV 3'!$N$3:$O$34,2,FALSE)))</f>
        <v>0</v>
      </c>
      <c r="K225" s="15">
        <f>MAX(IF(ISNA(VLOOKUP(B225,'WBV 4'!$B$3:$C$34,2,FALSE))=TRUE,0,VLOOKUP(B225,'WBV 4'!$B$3:$C$34,2,FALSE)),IF(ISNA(VLOOKUP(B225,'WBV 4'!$F$3:$G$34,2,FALSE))=TRUE,0,VLOOKUP(B225,'WBV 4'!$F$3:$G$34,2,FALSE)),IF(ISNA(VLOOKUP(B225,'WBV 4'!$J$3:$K$34,2,FALSE))=TRUE,0,VLOOKUP(B225,'WBV 4'!$J$3:$K$34,2,FALSE)),IF(ISNA(VLOOKUP(B225,'WBV 4'!$N$3:$O$34,2,FALSE))=TRUE,0,VLOOKUP(B225,'WBV 4'!$N$3:$O$34,2,FALSE)))</f>
        <v>0</v>
      </c>
      <c r="L225" s="19">
        <f>MAX(IF(ISNA(VLOOKUP(B225,'NÖBV 1'!$B$3:$C$34,2,FALSE))=TRUE,0,VLOOKUP(B225,'NÖBV 1'!$B$3:$C$34,2,FALSE)),IF(ISNA(VLOOKUP(B225,'NÖBV 1'!$F$3:$G$34,2,FALSE))=TRUE,0,VLOOKUP(B225,'NÖBV 1'!$F$3:$G$34,2,FALSE)),IF(ISNA(VLOOKUP(B225,'NÖBV 1'!$J$3:$K$34,2,FALSE))=TRUE,0,VLOOKUP(B225,'NÖBV 1'!$J$3:$K$34,2,FALSE)),IF(ISNA(VLOOKUP(B225,'NÖBV 1'!$N$3:$O$34,2,FALSE))=TRUE,0,VLOOKUP(B225,'NÖBV 1'!$N$3:$O$34,2,FALSE)))</f>
        <v>0</v>
      </c>
      <c r="M225" s="19">
        <f>MAX(IF(ISNA(VLOOKUP(B225,'NÖBV 2'!$B$3:$C$34,2,FALSE))=TRUE,0,VLOOKUP(B225,'NÖBV 2'!$B$3:$C$34,2,FALSE)),IF(ISNA(VLOOKUP(B225,'NÖBV 2'!$F$3:$G$34,2,FALSE))=TRUE,0,VLOOKUP(B225,'NÖBV 2'!$F$3:$G$34,2,FALSE)),IF(ISNA(VLOOKUP(B225,'NÖBV 2'!$J$3:$K$34,2,FALSE))=TRUE,0,VLOOKUP(B225,'NÖBV 2'!$J$3:$K$34,2,FALSE)),IF(ISNA(VLOOKUP(B225,'NÖBV 2'!$N$3:$O$34,2,FALSE))=TRUE,0,VLOOKUP(B225,'NÖBV 2'!$N$3:$O$34,2,FALSE)))</f>
        <v>0</v>
      </c>
      <c r="N225" s="19">
        <f>MAX(IF(ISNA(VLOOKUP(B225,'NÖBV 3'!$B$3:$C$34,2,FALSE))=TRUE,0,VLOOKUP(B225,'NÖBV 3'!$B$3:$C$34,2,FALSE)),IF(ISNA(VLOOKUP(B225,'NÖBV 3'!$F$3:$G$34,2,FALSE))=TRUE,0,VLOOKUP(B225,'NÖBV 3'!$F$3:$G$34,2,FALSE)),IF(ISNA(VLOOKUP(B225,'NÖBV 3'!$J$3:$K$34,2,FALSE))=TRUE,0,VLOOKUP(B225,'NÖBV 3'!$J$3:$K$34,2,FALSE)),IF(ISNA(VLOOKUP(B225,'NÖBV 3'!$N$3:$O$34,2,FALSE))=TRUE,0,VLOOKUP(B225,'NÖBV 3'!$N$3:$O$34,2,FALSE)))</f>
        <v>0</v>
      </c>
      <c r="O225" s="15">
        <f>MAX(IF(ISNA(VLOOKUP(B225,'Regioturnier 1'!$B$3:$C$34,2,FALSE))=TRUE,0,VLOOKUP(B225,'Regioturnier 1'!$B$3:$C$34,2,FALSE)),IF(ISNA(VLOOKUP(B225,'Regioturnier 1'!$F$3:$G$34,2,FALSE))=TRUE,0,VLOOKUP(B225,'Regioturnier 1'!$F$3:$G$34,2,FALSE)),IF(ISNA(VLOOKUP(B225,'Regioturnier 1'!$J$3:$K$34,2,FALSE))=TRUE,0,VLOOKUP(B225,'Regioturnier 1'!$J$3:$K$34,2,FALSE)),IF(ISNA(VLOOKUP(B225,'Regioturnier 1'!$N$3:$O$34,2,FALSE))=TRUE,0,VLOOKUP(B225,'Regioturnier 1'!$N$3:$O$34,2,FALSE)),IF(ISNA(VLOOKUP(B225,'Regioturnier 1'!$R$3:$S$34,2,FALSE))=TRUE,0,VLOOKUP(B225,'Regioturnier 1'!$R$3:$S$34,2,FALSE)), IF(ISNA(VLOOKUP(B225,'Regioturnier 1'!$V$3:$W$34,2,FALSE))=TRUE,0,VLOOKUP(B225,'Regioturnier 1'!$V$3:$W$34,2,FALSE)), IF(ISNA(VLOOKUP(B225,'Regioturnier 1'!$Z$3:$AA$34,2,FALSE))=TRUE,0,VLOOKUP(B225,'Regioturnier 1'!$Z$3:$AA$34,2,FALSE)))</f>
        <v>0</v>
      </c>
      <c r="P225" s="15">
        <f>MAX(IF(ISNA(VLOOKUP(B225,'Regioturnier 2'!$B$3:$C$34,2,FALSE))=TRUE,0,VLOOKUP(B225,'Regioturnier 2'!$B$3:$C$34,2,FALSE)),IF(ISNA(VLOOKUP(B225,'Regioturnier 2'!$F$3:$G$34,2,FALSE))=TRUE,0,VLOOKUP(B225,'Regioturnier 2'!$F$3:$G$34,2,FALSE)),IF(ISNA(VLOOKUP(B225,'Regioturnier 2'!$J$3:$K$34,2,FALSE))=TRUE,0,VLOOKUP(B225,'Regioturnier 2'!$J$3:$K$34,2,FALSE)),IF(ISNA(VLOOKUP(B225,'Regioturnier 2'!$N$3:$O$34,2,FALSE))=TRUE,0,VLOOKUP(B225,'Regioturnier 2'!$N$3:$O$34,2,FALSE)),IF(ISNA(VLOOKUP(B225,'Regioturnier 2'!$R$3:$S$34,2,FALSE))=TRUE,0,VLOOKUP(B225,'Regioturnier 2'!$R$3:$S$34,2,FALSE)), IF(ISNA(VLOOKUP(B225,'Regioturnier 2'!$V$3:$W$34,2,FALSE))=TRUE,0,VLOOKUP(B225,'Regioturnier 2'!$V$3:$W$34,2,FALSE)), IF(ISNA(VLOOKUP(B225,'Regioturnier 2'!$Z$3:$AA$34,2,FALSE))=TRUE,0,VLOOKUP(B225,'Regioturnier 2'!$Z$3:$AA$34,2,FALSE)))</f>
        <v>0</v>
      </c>
      <c r="Q225" s="15">
        <f>MAX(IF(ISNA(VLOOKUP(B225,'Regioturnier 3'!$B$3:$C$34,2,FALSE))=TRUE,0,VLOOKUP(B225,'Regioturnier 3'!$B$3:$C$34,2,FALSE)),IF(ISNA(VLOOKUP(B225,'Regioturnier 3'!$F$3:$G$34,2,FALSE))=TRUE,0,VLOOKUP(B225,'Regioturnier 3'!$F$3:$G$34,2,FALSE)),IF(ISNA(VLOOKUP(B225,'Regioturnier 3'!$J$3:$K$34,2,FALSE))=TRUE,0,VLOOKUP(B225,'Regioturnier 3'!$J$3:$K$34,2,FALSE)),IF(ISNA(VLOOKUP(B225,'Regioturnier 3'!$N$3:$O$34,2,FALSE))=TRUE,0,VLOOKUP(B225,'Regioturnier 3'!$N$3:$O$34,2,FALSE)),IF(ISNA(VLOOKUP(B225,'Regioturnier 3'!$R$3:$S$34,2,FALSE))=TRUE,0,VLOOKUP(B225,'Regioturnier 3'!$R$3:$S$34,2,FALSE)), IF(ISNA(VLOOKUP(B225,'Regioturnier 3'!$V$3:$W$34,2,FALSE))=TRUE,0,VLOOKUP(B225,'Regioturnier 3'!$V$3:$W$34,2,FALSE)), IF(ISNA(VLOOKUP(B225,'Regioturnier 3'!$Z$3:$AA$34,2,FALSE))=TRUE,0,VLOOKUP(B225,'Regioturnier 3'!$Z$3:$AA$34,2,FALSE)))</f>
        <v>0</v>
      </c>
      <c r="R225" s="20">
        <f>0.5*INDEX($H225:$N225,MATCH(LARGE($H225:$N225,1),$H225:$N225,0))+0.3*INDEX($H225:$N225,MATCH(LARGE($H225:$N225,2),$H225:$N225,0))+0.2*INDEX($H225:$N225,MATCH(LARGE($H225:$N225,3),$H225:$N225,0))</f>
        <v>0</v>
      </c>
      <c r="S225" s="20">
        <f>0.6*INDEX(O225:Q225,MATCH(LARGE(O225:Q225,1),O225:Q225,0))+0.4*INDEX(O225:Q225,MATCH(LARGE(O225:Q225,2),O225:Q225,0))+0*INDEX(O225:Q225,MATCH(LARGE(O225:Q225,3),O225:Q225,0))</f>
        <v>0</v>
      </c>
      <c r="T225" s="15">
        <f>1*INDEX(R225:S225,MATCH(LARGE(R225:S225,1),R225:S225,0))+0*INDEX(R225:S225,MATCH(LARGE(R225:S225,2),R225:S225,0))</f>
        <v>0</v>
      </c>
      <c r="U225" s="21"/>
      <c r="V225" s="21"/>
      <c r="W225" s="21"/>
      <c r="X225" s="21"/>
      <c r="Y225" s="21"/>
      <c r="Z225" s="21"/>
    </row>
    <row r="226" spans="1:26" ht="12.75" customHeight="1" x14ac:dyDescent="0.3">
      <c r="A226" s="15">
        <v>225</v>
      </c>
      <c r="B226" s="16" t="s">
        <v>171</v>
      </c>
      <c r="C226" s="17" t="s">
        <v>172</v>
      </c>
      <c r="D226" s="15" t="s">
        <v>26</v>
      </c>
      <c r="E226" s="18" t="s">
        <v>40</v>
      </c>
      <c r="F226" s="15" t="s">
        <v>173</v>
      </c>
      <c r="G226" s="22">
        <v>2009</v>
      </c>
      <c r="H226" s="15">
        <f>MAX(IF(ISNA(VLOOKUP(B226,'WBV 1'!$B$3:$C$34,2,FALSE))=TRUE,0,VLOOKUP(B226,'WBV 1'!$B$3:$C$34,2,FALSE)),IF(ISNA(VLOOKUP(B226,'WBV 1'!$F$3:$G$34,2,FALSE))=TRUE,0,VLOOKUP(B226,'WBV 1'!$F$3:$G$34,2,FALSE)),IF(ISNA(VLOOKUP(B226,'WBV 1'!$J$3:$K$34,2,FALSE))=TRUE,0,VLOOKUP(B226,'WBV 1'!$J$3:$K$34,2,FALSE)),IF(ISNA(VLOOKUP(B226,'WBV 1'!$N$3:$O$34,2,FALSE))=TRUE,0,VLOOKUP(B226,'WBV 1'!$N$3:$O$34,2,FALSE)))</f>
        <v>0</v>
      </c>
      <c r="I226" s="15">
        <f>MAX(IF(ISNA(VLOOKUP(B226,'WBV 2'!$B$3:$C$34,2,FALSE))=TRUE,0,VLOOKUP(B226,'WBV 2'!$B$3:$C$34,2,FALSE)),IF(ISNA(VLOOKUP(B226,'WBV 2'!$F$3:$G$34,2,FALSE))=TRUE,0,VLOOKUP(B226,'WBV 2'!$F$3:$G$34,2,FALSE)),IF(ISNA(VLOOKUP(B226,'WBV 2'!$J$3:$K$34,2,FALSE))=TRUE,0,VLOOKUP(B226,'WBV 2'!$J$3:$K$34,2,FALSE)),IF(ISNA(VLOOKUP(B226,'WBV 2'!$N$3:$O$34,2,FALSE))=TRUE,0,VLOOKUP(B226,'WBV 2'!$N$3:$O$34,2,FALSE)))</f>
        <v>0</v>
      </c>
      <c r="J226" s="15">
        <f>MAX(IF(ISNA(VLOOKUP(B226,'WBV 3'!$B$3:$C$34,2,FALSE))=TRUE,0,VLOOKUP(B226,'WBV 3'!$B$3:$C$34,2,FALSE)),IF(ISNA(VLOOKUP(B226,'WBV 3'!$F$3:$G$34,2,FALSE))=TRUE,0,VLOOKUP(B226,'WBV 3'!$F$3:$G$34,2,FALSE)),IF(ISNA(VLOOKUP(B226,'WBV 3'!$J$3:$K$34,2,FALSE))=TRUE,0,VLOOKUP(B226,'WBV 3'!$J$3:$K$34,2,FALSE)),IF(ISNA(VLOOKUP(B226,'WBV 3'!$N$3:$O$34,2,FALSE))=TRUE,0,VLOOKUP(B226,'WBV 3'!$N$3:$O$34,2,FALSE)))</f>
        <v>0</v>
      </c>
      <c r="K226" s="15">
        <f>MAX(IF(ISNA(VLOOKUP(B226,'WBV 4'!$B$3:$C$34,2,FALSE))=TRUE,0,VLOOKUP(B226,'WBV 4'!$B$3:$C$34,2,FALSE)),IF(ISNA(VLOOKUP(B226,'WBV 4'!$F$3:$G$34,2,FALSE))=TRUE,0,VLOOKUP(B226,'WBV 4'!$F$3:$G$34,2,FALSE)),IF(ISNA(VLOOKUP(B226,'WBV 4'!$J$3:$K$34,2,FALSE))=TRUE,0,VLOOKUP(B226,'WBV 4'!$J$3:$K$34,2,FALSE)),IF(ISNA(VLOOKUP(B226,'WBV 4'!$N$3:$O$34,2,FALSE))=TRUE,0,VLOOKUP(B226,'WBV 4'!$N$3:$O$34,2,FALSE)))</f>
        <v>0</v>
      </c>
      <c r="L226" s="19">
        <f>MAX(IF(ISNA(VLOOKUP(B226,'NÖBV 1'!$B$3:$C$34,2,FALSE))=TRUE,0,VLOOKUP(B226,'NÖBV 1'!$B$3:$C$34,2,FALSE)),IF(ISNA(VLOOKUP(B226,'NÖBV 1'!$F$3:$G$34,2,FALSE))=TRUE,0,VLOOKUP(B226,'NÖBV 1'!$F$3:$G$34,2,FALSE)),IF(ISNA(VLOOKUP(B226,'NÖBV 1'!$J$3:$K$34,2,FALSE))=TRUE,0,VLOOKUP(B226,'NÖBV 1'!$J$3:$K$34,2,FALSE)),IF(ISNA(VLOOKUP(B226,'NÖBV 1'!$N$3:$O$34,2,FALSE))=TRUE,0,VLOOKUP(B226,'NÖBV 1'!$N$3:$O$34,2,FALSE)))</f>
        <v>0</v>
      </c>
      <c r="M226" s="19">
        <f>MAX(IF(ISNA(VLOOKUP(B226,'NÖBV 2'!$B$3:$C$34,2,FALSE))=TRUE,0,VLOOKUP(B226,'NÖBV 2'!$B$3:$C$34,2,FALSE)),IF(ISNA(VLOOKUP(B226,'NÖBV 2'!$F$3:$G$34,2,FALSE))=TRUE,0,VLOOKUP(B226,'NÖBV 2'!$F$3:$G$34,2,FALSE)),IF(ISNA(VLOOKUP(B226,'NÖBV 2'!$J$3:$K$34,2,FALSE))=TRUE,0,VLOOKUP(B226,'NÖBV 2'!$J$3:$K$34,2,FALSE)),IF(ISNA(VLOOKUP(B226,'NÖBV 2'!$N$3:$O$34,2,FALSE))=TRUE,0,VLOOKUP(B226,'NÖBV 2'!$N$3:$O$34,2,FALSE)))</f>
        <v>0</v>
      </c>
      <c r="N226" s="19">
        <f>MAX(IF(ISNA(VLOOKUP(B226,'NÖBV 3'!$B$3:$C$34,2,FALSE))=TRUE,0,VLOOKUP(B226,'NÖBV 3'!$B$3:$C$34,2,FALSE)),IF(ISNA(VLOOKUP(B226,'NÖBV 3'!$F$3:$G$34,2,FALSE))=TRUE,0,VLOOKUP(B226,'NÖBV 3'!$F$3:$G$34,2,FALSE)),IF(ISNA(VLOOKUP(B226,'NÖBV 3'!$J$3:$K$34,2,FALSE))=TRUE,0,VLOOKUP(B226,'NÖBV 3'!$J$3:$K$34,2,FALSE)),IF(ISNA(VLOOKUP(B226,'NÖBV 3'!$N$3:$O$34,2,FALSE))=TRUE,0,VLOOKUP(B226,'NÖBV 3'!$N$3:$O$34,2,FALSE)))</f>
        <v>0</v>
      </c>
      <c r="O226" s="15">
        <f>MAX(IF(ISNA(VLOOKUP(B226,'Regioturnier 1'!$B$3:$C$34,2,FALSE))=TRUE,0,VLOOKUP(B226,'Regioturnier 1'!$B$3:$C$34,2,FALSE)),IF(ISNA(VLOOKUP(B226,'Regioturnier 1'!$F$3:$G$34,2,FALSE))=TRUE,0,VLOOKUP(B226,'Regioturnier 1'!$F$3:$G$34,2,FALSE)),IF(ISNA(VLOOKUP(B226,'Regioturnier 1'!$J$3:$K$34,2,FALSE))=TRUE,0,VLOOKUP(B226,'Regioturnier 1'!$J$3:$K$34,2,FALSE)),IF(ISNA(VLOOKUP(B226,'Regioturnier 1'!$N$3:$O$34,2,FALSE))=TRUE,0,VLOOKUP(B226,'Regioturnier 1'!$N$3:$O$34,2,FALSE)),IF(ISNA(VLOOKUP(B226,'Regioturnier 1'!$R$3:$S$34,2,FALSE))=TRUE,0,VLOOKUP(B226,'Regioturnier 1'!$R$3:$S$34,2,FALSE)), IF(ISNA(VLOOKUP(B226,'Regioturnier 1'!$V$3:$W$34,2,FALSE))=TRUE,0,VLOOKUP(B226,'Regioturnier 1'!$V$3:$W$34,2,FALSE)), IF(ISNA(VLOOKUP(B226,'Regioturnier 1'!$Z$3:$AA$34,2,FALSE))=TRUE,0,VLOOKUP(B226,'Regioturnier 1'!$Z$3:$AA$34,2,FALSE)))</f>
        <v>0</v>
      </c>
      <c r="P226" s="15">
        <f>MAX(IF(ISNA(VLOOKUP(B226,'Regioturnier 2'!$B$3:$C$34,2,FALSE))=TRUE,0,VLOOKUP(B226,'Regioturnier 2'!$B$3:$C$34,2,FALSE)),IF(ISNA(VLOOKUP(B226,'Regioturnier 2'!$F$3:$G$34,2,FALSE))=TRUE,0,VLOOKUP(B226,'Regioturnier 2'!$F$3:$G$34,2,FALSE)),IF(ISNA(VLOOKUP(B226,'Regioturnier 2'!$J$3:$K$34,2,FALSE))=TRUE,0,VLOOKUP(B226,'Regioturnier 2'!$J$3:$K$34,2,FALSE)),IF(ISNA(VLOOKUP(B226,'Regioturnier 2'!$N$3:$O$34,2,FALSE))=TRUE,0,VLOOKUP(B226,'Regioturnier 2'!$N$3:$O$34,2,FALSE)),IF(ISNA(VLOOKUP(B226,'Regioturnier 2'!$R$3:$S$34,2,FALSE))=TRUE,0,VLOOKUP(B226,'Regioturnier 2'!$R$3:$S$34,2,FALSE)), IF(ISNA(VLOOKUP(B226,'Regioturnier 2'!$V$3:$W$34,2,FALSE))=TRUE,0,VLOOKUP(B226,'Regioturnier 2'!$V$3:$W$34,2,FALSE)), IF(ISNA(VLOOKUP(B226,'Regioturnier 2'!$Z$3:$AA$34,2,FALSE))=TRUE,0,VLOOKUP(B226,'Regioturnier 2'!$Z$3:$AA$34,2,FALSE)))</f>
        <v>0</v>
      </c>
      <c r="Q226" s="15">
        <f>MAX(IF(ISNA(VLOOKUP(B226,'Regioturnier 3'!$B$3:$C$34,2,FALSE))=TRUE,0,VLOOKUP(B226,'Regioturnier 3'!$B$3:$C$34,2,FALSE)),IF(ISNA(VLOOKUP(B226,'Regioturnier 3'!$F$3:$G$34,2,FALSE))=TRUE,0,VLOOKUP(B226,'Regioturnier 3'!$F$3:$G$34,2,FALSE)),IF(ISNA(VLOOKUP(B226,'Regioturnier 3'!$J$3:$K$34,2,FALSE))=TRUE,0,VLOOKUP(B226,'Regioturnier 3'!$J$3:$K$34,2,FALSE)),IF(ISNA(VLOOKUP(B226,'Regioturnier 3'!$N$3:$O$34,2,FALSE))=TRUE,0,VLOOKUP(B226,'Regioturnier 3'!$N$3:$O$34,2,FALSE)),IF(ISNA(VLOOKUP(B226,'Regioturnier 3'!$R$3:$S$34,2,FALSE))=TRUE,0,VLOOKUP(B226,'Regioturnier 3'!$R$3:$S$34,2,FALSE)), IF(ISNA(VLOOKUP(B226,'Regioturnier 3'!$V$3:$W$34,2,FALSE))=TRUE,0,VLOOKUP(B226,'Regioturnier 3'!$V$3:$W$34,2,FALSE)), IF(ISNA(VLOOKUP(B226,'Regioturnier 3'!$Z$3:$AA$34,2,FALSE))=TRUE,0,VLOOKUP(B226,'Regioturnier 3'!$Z$3:$AA$34,2,FALSE)))</f>
        <v>0</v>
      </c>
      <c r="R226" s="20">
        <f>0.5*INDEX($H226:$N226,MATCH(LARGE($H226:$N226,1),$H226:$N226,0))+0.3*INDEX($H226:$N226,MATCH(LARGE($H226:$N226,2),$H226:$N226,0))+0.2*INDEX($H226:$N226,MATCH(LARGE($H226:$N226,3),$H226:$N226,0))</f>
        <v>0</v>
      </c>
      <c r="S226" s="20">
        <f>0.6*INDEX(O226:Q226,MATCH(LARGE(O226:Q226,1),O226:Q226,0))+0.4*INDEX(O226:Q226,MATCH(LARGE(O226:Q226,2),O226:Q226,0))+0*INDEX(O226:Q226,MATCH(LARGE(O226:Q226,3),O226:Q226,0))</f>
        <v>0</v>
      </c>
      <c r="T226" s="15">
        <f>1*INDEX(R226:S226,MATCH(LARGE(R226:S226,1),R226:S226,0))+0*INDEX(R226:S226,MATCH(LARGE(R226:S226,2),R226:S226,0))</f>
        <v>0</v>
      </c>
      <c r="U226" s="21"/>
      <c r="V226" s="21"/>
      <c r="W226" s="21"/>
      <c r="X226" s="21"/>
      <c r="Y226" s="21"/>
      <c r="Z226" s="21"/>
    </row>
    <row r="227" spans="1:26" ht="12.75" customHeight="1" x14ac:dyDescent="0.3">
      <c r="A227" s="15">
        <v>226</v>
      </c>
      <c r="B227" s="16" t="s">
        <v>147</v>
      </c>
      <c r="C227" s="17" t="s">
        <v>25</v>
      </c>
      <c r="D227" s="15" t="s">
        <v>26</v>
      </c>
      <c r="E227" s="18" t="s">
        <v>23</v>
      </c>
      <c r="F227" s="15">
        <v>109447</v>
      </c>
      <c r="G227" s="22">
        <v>2013</v>
      </c>
      <c r="H227" s="15">
        <f>MAX(IF(ISNA(VLOOKUP(B227,'WBV 1'!$B$3:$C$34,2,FALSE))=TRUE,0,VLOOKUP(B227,'WBV 1'!$B$3:$C$34,2,FALSE)),IF(ISNA(VLOOKUP(B227,'WBV 1'!$F$3:$G$34,2,FALSE))=TRUE,0,VLOOKUP(B227,'WBV 1'!$F$3:$G$34,2,FALSE)),IF(ISNA(VLOOKUP(B227,'WBV 1'!$J$3:$K$34,2,FALSE))=TRUE,0,VLOOKUP(B227,'WBV 1'!$J$3:$K$34,2,FALSE)),IF(ISNA(VLOOKUP(B227,'WBV 1'!$N$3:$O$34,2,FALSE))=TRUE,0,VLOOKUP(B227,'WBV 1'!$N$3:$O$34,2,FALSE)))</f>
        <v>0</v>
      </c>
      <c r="I227" s="15">
        <f>MAX(IF(ISNA(VLOOKUP(B227,'WBV 2'!$B$3:$C$34,2,FALSE))=TRUE,0,VLOOKUP(B227,'WBV 2'!$B$3:$C$34,2,FALSE)),IF(ISNA(VLOOKUP(B227,'WBV 2'!$F$3:$G$34,2,FALSE))=TRUE,0,VLOOKUP(B227,'WBV 2'!$F$3:$G$34,2,FALSE)),IF(ISNA(VLOOKUP(B227,'WBV 2'!$J$3:$K$34,2,FALSE))=TRUE,0,VLOOKUP(B227,'WBV 2'!$J$3:$K$34,2,FALSE)),IF(ISNA(VLOOKUP(B227,'WBV 2'!$N$3:$O$34,2,FALSE))=TRUE,0,VLOOKUP(B227,'WBV 2'!$N$3:$O$34,2,FALSE)))</f>
        <v>0</v>
      </c>
      <c r="J227" s="15">
        <f>MAX(IF(ISNA(VLOOKUP(B227,'WBV 3'!$B$3:$C$34,2,FALSE))=TRUE,0,VLOOKUP(B227,'WBV 3'!$B$3:$C$34,2,FALSE)),IF(ISNA(VLOOKUP(B227,'WBV 3'!$F$3:$G$34,2,FALSE))=TRUE,0,VLOOKUP(B227,'WBV 3'!$F$3:$G$34,2,FALSE)),IF(ISNA(VLOOKUP(B227,'WBV 3'!$J$3:$K$34,2,FALSE))=TRUE,0,VLOOKUP(B227,'WBV 3'!$J$3:$K$34,2,FALSE)),IF(ISNA(VLOOKUP(B227,'WBV 3'!$N$3:$O$34,2,FALSE))=TRUE,0,VLOOKUP(B227,'WBV 3'!$N$3:$O$34,2,FALSE)))</f>
        <v>0</v>
      </c>
      <c r="K227" s="15">
        <f>MAX(IF(ISNA(VLOOKUP(B227,'WBV 4'!$B$3:$C$34,2,FALSE))=TRUE,0,VLOOKUP(B227,'WBV 4'!$B$3:$C$34,2,FALSE)),IF(ISNA(VLOOKUP(B227,'WBV 4'!$F$3:$G$34,2,FALSE))=TRUE,0,VLOOKUP(B227,'WBV 4'!$F$3:$G$34,2,FALSE)),IF(ISNA(VLOOKUP(B227,'WBV 4'!$J$3:$K$34,2,FALSE))=TRUE,0,VLOOKUP(B227,'WBV 4'!$J$3:$K$34,2,FALSE)),IF(ISNA(VLOOKUP(B227,'WBV 4'!$N$3:$O$34,2,FALSE))=TRUE,0,VLOOKUP(B227,'WBV 4'!$N$3:$O$34,2,FALSE)))</f>
        <v>0</v>
      </c>
      <c r="L227" s="19">
        <f>MAX(IF(ISNA(VLOOKUP(B227,'NÖBV 1'!$B$3:$C$34,2,FALSE))=TRUE,0,VLOOKUP(B227,'NÖBV 1'!$B$3:$C$34,2,FALSE)),IF(ISNA(VLOOKUP(B227,'NÖBV 1'!$F$3:$G$34,2,FALSE))=TRUE,0,VLOOKUP(B227,'NÖBV 1'!$F$3:$G$34,2,FALSE)),IF(ISNA(VLOOKUP(B227,'NÖBV 1'!$J$3:$K$34,2,FALSE))=TRUE,0,VLOOKUP(B227,'NÖBV 1'!$J$3:$K$34,2,FALSE)),IF(ISNA(VLOOKUP(B227,'NÖBV 1'!$N$3:$O$34,2,FALSE))=TRUE,0,VLOOKUP(B227,'NÖBV 1'!$N$3:$O$34,2,FALSE)))</f>
        <v>0</v>
      </c>
      <c r="M227" s="19">
        <f>MAX(IF(ISNA(VLOOKUP(B227,'NÖBV 2'!$B$3:$C$34,2,FALSE))=TRUE,0,VLOOKUP(B227,'NÖBV 2'!$B$3:$C$34,2,FALSE)),IF(ISNA(VLOOKUP(B227,'NÖBV 2'!$F$3:$G$34,2,FALSE))=TRUE,0,VLOOKUP(B227,'NÖBV 2'!$F$3:$G$34,2,FALSE)),IF(ISNA(VLOOKUP(B227,'NÖBV 2'!$J$3:$K$34,2,FALSE))=TRUE,0,VLOOKUP(B227,'NÖBV 2'!$J$3:$K$34,2,FALSE)),IF(ISNA(VLOOKUP(B227,'NÖBV 2'!$N$3:$O$34,2,FALSE))=TRUE,0,VLOOKUP(B227,'NÖBV 2'!$N$3:$O$34,2,FALSE)))</f>
        <v>0</v>
      </c>
      <c r="N227" s="19">
        <f>MAX(IF(ISNA(VLOOKUP(B227,'NÖBV 3'!$B$3:$C$34,2,FALSE))=TRUE,0,VLOOKUP(B227,'NÖBV 3'!$B$3:$C$34,2,FALSE)),IF(ISNA(VLOOKUP(B227,'NÖBV 3'!$F$3:$G$34,2,FALSE))=TRUE,0,VLOOKUP(B227,'NÖBV 3'!$F$3:$G$34,2,FALSE)),IF(ISNA(VLOOKUP(B227,'NÖBV 3'!$J$3:$K$34,2,FALSE))=TRUE,0,VLOOKUP(B227,'NÖBV 3'!$J$3:$K$34,2,FALSE)),IF(ISNA(VLOOKUP(B227,'NÖBV 3'!$N$3:$O$34,2,FALSE))=TRUE,0,VLOOKUP(B227,'NÖBV 3'!$N$3:$O$34,2,FALSE)))</f>
        <v>0</v>
      </c>
      <c r="O227" s="15">
        <f>MAX(IF(ISNA(VLOOKUP(B227,'Regioturnier 1'!$B$3:$C$34,2,FALSE))=TRUE,0,VLOOKUP(B227,'Regioturnier 1'!$B$3:$C$34,2,FALSE)),IF(ISNA(VLOOKUP(B227,'Regioturnier 1'!$F$3:$G$34,2,FALSE))=TRUE,0,VLOOKUP(B227,'Regioturnier 1'!$F$3:$G$34,2,FALSE)),IF(ISNA(VLOOKUP(B227,'Regioturnier 1'!$J$3:$K$34,2,FALSE))=TRUE,0,VLOOKUP(B227,'Regioturnier 1'!$J$3:$K$34,2,FALSE)),IF(ISNA(VLOOKUP(B227,'Regioturnier 1'!$N$3:$O$34,2,FALSE))=TRUE,0,VLOOKUP(B227,'Regioturnier 1'!$N$3:$O$34,2,FALSE)),IF(ISNA(VLOOKUP(B227,'Regioturnier 1'!$R$3:$S$34,2,FALSE))=TRUE,0,VLOOKUP(B227,'Regioturnier 1'!$R$3:$S$34,2,FALSE)), IF(ISNA(VLOOKUP(B227,'Regioturnier 1'!$V$3:$W$34,2,FALSE))=TRUE,0,VLOOKUP(B227,'Regioturnier 1'!$V$3:$W$34,2,FALSE)), IF(ISNA(VLOOKUP(B227,'Regioturnier 1'!$Z$3:$AA$34,2,FALSE))=TRUE,0,VLOOKUP(B227,'Regioturnier 1'!$Z$3:$AA$34,2,FALSE)))</f>
        <v>0</v>
      </c>
      <c r="P227" s="15">
        <f>MAX(IF(ISNA(VLOOKUP(B227,'Regioturnier 2'!$B$3:$C$34,2,FALSE))=TRUE,0,VLOOKUP(B227,'Regioturnier 2'!$B$3:$C$34,2,FALSE)),IF(ISNA(VLOOKUP(B227,'Regioturnier 2'!$F$3:$G$34,2,FALSE))=TRUE,0,VLOOKUP(B227,'Regioturnier 2'!$F$3:$G$34,2,FALSE)),IF(ISNA(VLOOKUP(B227,'Regioturnier 2'!$J$3:$K$34,2,FALSE))=TRUE,0,VLOOKUP(B227,'Regioturnier 2'!$J$3:$K$34,2,FALSE)),IF(ISNA(VLOOKUP(B227,'Regioturnier 2'!$N$3:$O$34,2,FALSE))=TRUE,0,VLOOKUP(B227,'Regioturnier 2'!$N$3:$O$34,2,FALSE)),IF(ISNA(VLOOKUP(B227,'Regioturnier 2'!$R$3:$S$34,2,FALSE))=TRUE,0,VLOOKUP(B227,'Regioturnier 2'!$R$3:$S$34,2,FALSE)), IF(ISNA(VLOOKUP(B227,'Regioturnier 2'!$V$3:$W$34,2,FALSE))=TRUE,0,VLOOKUP(B227,'Regioturnier 2'!$V$3:$W$34,2,FALSE)), IF(ISNA(VLOOKUP(B227,'Regioturnier 2'!$Z$3:$AA$34,2,FALSE))=TRUE,0,VLOOKUP(B227,'Regioturnier 2'!$Z$3:$AA$34,2,FALSE)))</f>
        <v>0</v>
      </c>
      <c r="Q227" s="15">
        <f>MAX(IF(ISNA(VLOOKUP(B227,'Regioturnier 3'!$B$3:$C$34,2,FALSE))=TRUE,0,VLOOKUP(B227,'Regioturnier 3'!$B$3:$C$34,2,FALSE)),IF(ISNA(VLOOKUP(B227,'Regioturnier 3'!$F$3:$G$34,2,FALSE))=TRUE,0,VLOOKUP(B227,'Regioturnier 3'!$F$3:$G$34,2,FALSE)),IF(ISNA(VLOOKUP(B227,'Regioturnier 3'!$J$3:$K$34,2,FALSE))=TRUE,0,VLOOKUP(B227,'Regioturnier 3'!$J$3:$K$34,2,FALSE)),IF(ISNA(VLOOKUP(B227,'Regioturnier 3'!$N$3:$O$34,2,FALSE))=TRUE,0,VLOOKUP(B227,'Regioturnier 3'!$N$3:$O$34,2,FALSE)),IF(ISNA(VLOOKUP(B227,'Regioturnier 3'!$R$3:$S$34,2,FALSE))=TRUE,0,VLOOKUP(B227,'Regioturnier 3'!$R$3:$S$34,2,FALSE)), IF(ISNA(VLOOKUP(B227,'Regioturnier 3'!$V$3:$W$34,2,FALSE))=TRUE,0,VLOOKUP(B227,'Regioturnier 3'!$V$3:$W$34,2,FALSE)), IF(ISNA(VLOOKUP(B227,'Regioturnier 3'!$Z$3:$AA$34,2,FALSE))=TRUE,0,VLOOKUP(B227,'Regioturnier 3'!$Z$3:$AA$34,2,FALSE)))</f>
        <v>0</v>
      </c>
      <c r="R227" s="20">
        <f>0.5*INDEX($H227:$N227,MATCH(LARGE($H227:$N227,1),$H227:$N227,0))+0.3*INDEX($H227:$N227,MATCH(LARGE($H227:$N227,2),$H227:$N227,0))+0.2*INDEX($H227:$N227,MATCH(LARGE($H227:$N227,3),$H227:$N227,0))</f>
        <v>0</v>
      </c>
      <c r="S227" s="20">
        <f>0.6*INDEX(O227:Q227,MATCH(LARGE(O227:Q227,1),O227:Q227,0))+0.4*INDEX(O227:Q227,MATCH(LARGE(O227:Q227,2),O227:Q227,0))+0*INDEX(O227:Q227,MATCH(LARGE(O227:Q227,3),O227:Q227,0))</f>
        <v>0</v>
      </c>
      <c r="T227" s="15">
        <f>1*INDEX(R227:S227,MATCH(LARGE(R227:S227,1),R227:S227,0))+0*INDEX(R227:S227,MATCH(LARGE(R227:S227,2),R227:S227,0))</f>
        <v>0</v>
      </c>
      <c r="U227" s="21"/>
      <c r="V227" s="21"/>
      <c r="W227" s="21"/>
      <c r="X227" s="21"/>
      <c r="Y227" s="21"/>
      <c r="Z227" s="21"/>
    </row>
    <row r="228" spans="1:26" ht="12.75" customHeight="1" x14ac:dyDescent="0.3">
      <c r="A228" s="15">
        <v>227</v>
      </c>
      <c r="B228" s="16" t="s">
        <v>245</v>
      </c>
      <c r="C228" s="17" t="s">
        <v>48</v>
      </c>
      <c r="D228" s="15" t="s">
        <v>26</v>
      </c>
      <c r="E228" s="18" t="s">
        <v>23</v>
      </c>
      <c r="F228" s="15"/>
      <c r="G228" s="22"/>
      <c r="H228" s="15">
        <f>MAX(IF(ISNA(VLOOKUP(B228,'WBV 1'!$B$3:$C$34,2,FALSE))=TRUE,0,VLOOKUP(B228,'WBV 1'!$B$3:$C$34,2,FALSE)),IF(ISNA(VLOOKUP(B228,'WBV 1'!$F$3:$G$34,2,FALSE))=TRUE,0,VLOOKUP(B228,'WBV 1'!$F$3:$G$34,2,FALSE)),IF(ISNA(VLOOKUP(B228,'WBV 1'!$J$3:$K$34,2,FALSE))=TRUE,0,VLOOKUP(B228,'WBV 1'!$J$3:$K$34,2,FALSE)),IF(ISNA(VLOOKUP(B228,'WBV 1'!$N$3:$O$34,2,FALSE))=TRUE,0,VLOOKUP(B228,'WBV 1'!$N$3:$O$34,2,FALSE)))</f>
        <v>0</v>
      </c>
      <c r="I228" s="15">
        <f>MAX(IF(ISNA(VLOOKUP(B228,'WBV 2'!$B$3:$C$34,2,FALSE))=TRUE,0,VLOOKUP(B228,'WBV 2'!$B$3:$C$34,2,FALSE)),IF(ISNA(VLOOKUP(B228,'WBV 2'!$F$3:$G$34,2,FALSE))=TRUE,0,VLOOKUP(B228,'WBV 2'!$F$3:$G$34,2,FALSE)),IF(ISNA(VLOOKUP(B228,'WBV 2'!$J$3:$K$34,2,FALSE))=TRUE,0,VLOOKUP(B228,'WBV 2'!$J$3:$K$34,2,FALSE)),IF(ISNA(VLOOKUP(B228,'WBV 2'!$N$3:$O$34,2,FALSE))=TRUE,0,VLOOKUP(B228,'WBV 2'!$N$3:$O$34,2,FALSE)))</f>
        <v>0</v>
      </c>
      <c r="J228" s="15">
        <f>MAX(IF(ISNA(VLOOKUP(B228,'WBV 3'!$B$3:$C$34,2,FALSE))=TRUE,0,VLOOKUP(B228,'WBV 3'!$B$3:$C$34,2,FALSE)),IF(ISNA(VLOOKUP(B228,'WBV 3'!$F$3:$G$34,2,FALSE))=TRUE,0,VLOOKUP(B228,'WBV 3'!$F$3:$G$34,2,FALSE)),IF(ISNA(VLOOKUP(B228,'WBV 3'!$J$3:$K$34,2,FALSE))=TRUE,0,VLOOKUP(B228,'WBV 3'!$J$3:$K$34,2,FALSE)),IF(ISNA(VLOOKUP(B228,'WBV 3'!$N$3:$O$34,2,FALSE))=TRUE,0,VLOOKUP(B228,'WBV 3'!$N$3:$O$34,2,FALSE)))</f>
        <v>0</v>
      </c>
      <c r="K228" s="15">
        <f>MAX(IF(ISNA(VLOOKUP(B228,'WBV 4'!$B$3:$C$34,2,FALSE))=TRUE,0,VLOOKUP(B228,'WBV 4'!$B$3:$C$34,2,FALSE)),IF(ISNA(VLOOKUP(B228,'WBV 4'!$F$3:$G$34,2,FALSE))=TRUE,0,VLOOKUP(B228,'WBV 4'!$F$3:$G$34,2,FALSE)),IF(ISNA(VLOOKUP(B228,'WBV 4'!$J$3:$K$34,2,FALSE))=TRUE,0,VLOOKUP(B228,'WBV 4'!$J$3:$K$34,2,FALSE)),IF(ISNA(VLOOKUP(B228,'WBV 4'!$N$3:$O$34,2,FALSE))=TRUE,0,VLOOKUP(B228,'WBV 4'!$N$3:$O$34,2,FALSE)))</f>
        <v>0</v>
      </c>
      <c r="L228" s="19">
        <f>MAX(IF(ISNA(VLOOKUP(B228,'NÖBV 1'!$B$3:$C$34,2,FALSE))=TRUE,0,VLOOKUP(B228,'NÖBV 1'!$B$3:$C$34,2,FALSE)),IF(ISNA(VLOOKUP(B228,'NÖBV 1'!$F$3:$G$34,2,FALSE))=TRUE,0,VLOOKUP(B228,'NÖBV 1'!$F$3:$G$34,2,FALSE)),IF(ISNA(VLOOKUP(B228,'NÖBV 1'!$J$3:$K$34,2,FALSE))=TRUE,0,VLOOKUP(B228,'NÖBV 1'!$J$3:$K$34,2,FALSE)),IF(ISNA(VLOOKUP(B228,'NÖBV 1'!$N$3:$O$34,2,FALSE))=TRUE,0,VLOOKUP(B228,'NÖBV 1'!$N$3:$O$34,2,FALSE)))</f>
        <v>0</v>
      </c>
      <c r="M228" s="19">
        <f>MAX(IF(ISNA(VLOOKUP(B228,'NÖBV 2'!$B$3:$C$34,2,FALSE))=TRUE,0,VLOOKUP(B228,'NÖBV 2'!$B$3:$C$34,2,FALSE)),IF(ISNA(VLOOKUP(B228,'NÖBV 2'!$F$3:$G$34,2,FALSE))=TRUE,0,VLOOKUP(B228,'NÖBV 2'!$F$3:$G$34,2,FALSE)),IF(ISNA(VLOOKUP(B228,'NÖBV 2'!$J$3:$K$34,2,FALSE))=TRUE,0,VLOOKUP(B228,'NÖBV 2'!$J$3:$K$34,2,FALSE)),IF(ISNA(VLOOKUP(B228,'NÖBV 2'!$N$3:$O$34,2,FALSE))=TRUE,0,VLOOKUP(B228,'NÖBV 2'!$N$3:$O$34,2,FALSE)))</f>
        <v>0</v>
      </c>
      <c r="N228" s="19">
        <f>MAX(IF(ISNA(VLOOKUP(B228,'NÖBV 3'!$B$3:$C$34,2,FALSE))=TRUE,0,VLOOKUP(B228,'NÖBV 3'!$B$3:$C$34,2,FALSE)),IF(ISNA(VLOOKUP(B228,'NÖBV 3'!$F$3:$G$34,2,FALSE))=TRUE,0,VLOOKUP(B228,'NÖBV 3'!$F$3:$G$34,2,FALSE)),IF(ISNA(VLOOKUP(B228,'NÖBV 3'!$J$3:$K$34,2,FALSE))=TRUE,0,VLOOKUP(B228,'NÖBV 3'!$J$3:$K$34,2,FALSE)),IF(ISNA(VLOOKUP(B228,'NÖBV 3'!$N$3:$O$34,2,FALSE))=TRUE,0,VLOOKUP(B228,'NÖBV 3'!$N$3:$O$34,2,FALSE)))</f>
        <v>0</v>
      </c>
      <c r="O228" s="15">
        <f>MAX(IF(ISNA(VLOOKUP(B228,'Regioturnier 1'!$B$3:$C$34,2,FALSE))=TRUE,0,VLOOKUP(B228,'Regioturnier 1'!$B$3:$C$34,2,FALSE)),IF(ISNA(VLOOKUP(B228,'Regioturnier 1'!$F$3:$G$34,2,FALSE))=TRUE,0,VLOOKUP(B228,'Regioturnier 1'!$F$3:$G$34,2,FALSE)),IF(ISNA(VLOOKUP(B228,'Regioturnier 1'!$J$3:$K$34,2,FALSE))=TRUE,0,VLOOKUP(B228,'Regioturnier 1'!$J$3:$K$34,2,FALSE)),IF(ISNA(VLOOKUP(B228,'Regioturnier 1'!$N$3:$O$34,2,FALSE))=TRUE,0,VLOOKUP(B228,'Regioturnier 1'!$N$3:$O$34,2,FALSE)),IF(ISNA(VLOOKUP(B228,'Regioturnier 1'!$R$3:$S$34,2,FALSE))=TRUE,0,VLOOKUP(B228,'Regioturnier 1'!$R$3:$S$34,2,FALSE)), IF(ISNA(VLOOKUP(B228,'Regioturnier 1'!$V$3:$W$34,2,FALSE))=TRUE,0,VLOOKUP(B228,'Regioturnier 1'!$V$3:$W$34,2,FALSE)), IF(ISNA(VLOOKUP(B228,'Regioturnier 1'!$Z$3:$AA$34,2,FALSE))=TRUE,0,VLOOKUP(B228,'Regioturnier 1'!$Z$3:$AA$34,2,FALSE)))</f>
        <v>0</v>
      </c>
      <c r="P228" s="15">
        <f>MAX(IF(ISNA(VLOOKUP(B228,'Regioturnier 2'!$B$3:$C$34,2,FALSE))=TRUE,0,VLOOKUP(B228,'Regioturnier 2'!$B$3:$C$34,2,FALSE)),IF(ISNA(VLOOKUP(B228,'Regioturnier 2'!$F$3:$G$34,2,FALSE))=TRUE,0,VLOOKUP(B228,'Regioturnier 2'!$F$3:$G$34,2,FALSE)),IF(ISNA(VLOOKUP(B228,'Regioturnier 2'!$J$3:$K$34,2,FALSE))=TRUE,0,VLOOKUP(B228,'Regioturnier 2'!$J$3:$K$34,2,FALSE)),IF(ISNA(VLOOKUP(B228,'Regioturnier 2'!$N$3:$O$34,2,FALSE))=TRUE,0,VLOOKUP(B228,'Regioturnier 2'!$N$3:$O$34,2,FALSE)),IF(ISNA(VLOOKUP(B228,'Regioturnier 2'!$R$3:$S$34,2,FALSE))=TRUE,0,VLOOKUP(B228,'Regioturnier 2'!$R$3:$S$34,2,FALSE)), IF(ISNA(VLOOKUP(B228,'Regioturnier 2'!$V$3:$W$34,2,FALSE))=TRUE,0,VLOOKUP(B228,'Regioturnier 2'!$V$3:$W$34,2,FALSE)), IF(ISNA(VLOOKUP(B228,'Regioturnier 2'!$Z$3:$AA$34,2,FALSE))=TRUE,0,VLOOKUP(B228,'Regioturnier 2'!$Z$3:$AA$34,2,FALSE)))</f>
        <v>0</v>
      </c>
      <c r="Q228" s="15">
        <f>MAX(IF(ISNA(VLOOKUP(B228,'Regioturnier 3'!$B$3:$C$34,2,FALSE))=TRUE,0,VLOOKUP(B228,'Regioturnier 3'!$B$3:$C$34,2,FALSE)),IF(ISNA(VLOOKUP(B228,'Regioturnier 3'!$F$3:$G$34,2,FALSE))=TRUE,0,VLOOKUP(B228,'Regioturnier 3'!$F$3:$G$34,2,FALSE)),IF(ISNA(VLOOKUP(B228,'Regioturnier 3'!$J$3:$K$34,2,FALSE))=TRUE,0,VLOOKUP(B228,'Regioturnier 3'!$J$3:$K$34,2,FALSE)),IF(ISNA(VLOOKUP(B228,'Regioturnier 3'!$N$3:$O$34,2,FALSE))=TRUE,0,VLOOKUP(B228,'Regioturnier 3'!$N$3:$O$34,2,FALSE)),IF(ISNA(VLOOKUP(B228,'Regioturnier 3'!$R$3:$S$34,2,FALSE))=TRUE,0,VLOOKUP(B228,'Regioturnier 3'!$R$3:$S$34,2,FALSE)), IF(ISNA(VLOOKUP(B228,'Regioturnier 3'!$V$3:$W$34,2,FALSE))=TRUE,0,VLOOKUP(B228,'Regioturnier 3'!$V$3:$W$34,2,FALSE)), IF(ISNA(VLOOKUP(B228,'Regioturnier 3'!$Z$3:$AA$34,2,FALSE))=TRUE,0,VLOOKUP(B228,'Regioturnier 3'!$Z$3:$AA$34,2,FALSE)))</f>
        <v>0</v>
      </c>
      <c r="R228" s="20">
        <f>0.5*INDEX($H228:$N228,MATCH(LARGE($H228:$N228,1),$H228:$N228,0))+0.3*INDEX($H228:$N228,MATCH(LARGE($H228:$N228,2),$H228:$N228,0))+0.2*INDEX($H228:$N228,MATCH(LARGE($H228:$N228,3),$H228:$N228,0))</f>
        <v>0</v>
      </c>
      <c r="S228" s="20">
        <f>0.6*INDEX(O228:Q228,MATCH(LARGE(O228:Q228,1),O228:Q228,0))+0.4*INDEX(O228:Q228,MATCH(LARGE(O228:Q228,2),O228:Q228,0))+0*INDEX(O228:Q228,MATCH(LARGE(O228:Q228,3),O228:Q228,0))</f>
        <v>0</v>
      </c>
      <c r="T228" s="15">
        <f>1*INDEX(R228:S228,MATCH(LARGE(R228:S228,1),R228:S228,0))+0*INDEX(R228:S228,MATCH(LARGE(R228:S228,2),R228:S228,0))</f>
        <v>0</v>
      </c>
      <c r="U228" s="21"/>
      <c r="V228" s="21"/>
      <c r="W228" s="21"/>
      <c r="X228" s="21"/>
      <c r="Y228" s="21"/>
      <c r="Z228" s="21"/>
    </row>
    <row r="229" spans="1:26" ht="12.75" customHeight="1" x14ac:dyDescent="0.3">
      <c r="A229" s="15">
        <v>228</v>
      </c>
      <c r="B229" s="16" t="s">
        <v>248</v>
      </c>
      <c r="C229" s="17" t="s">
        <v>43</v>
      </c>
      <c r="D229" s="15" t="s">
        <v>26</v>
      </c>
      <c r="E229" s="18" t="s">
        <v>23</v>
      </c>
      <c r="F229" s="15">
        <v>110428</v>
      </c>
      <c r="G229" s="22">
        <v>2014</v>
      </c>
      <c r="H229" s="15">
        <f>MAX(IF(ISNA(VLOOKUP(B229,'WBV 1'!$B$3:$C$34,2,FALSE))=TRUE,0,VLOOKUP(B229,'WBV 1'!$B$3:$C$34,2,FALSE)),IF(ISNA(VLOOKUP(B229,'WBV 1'!$F$3:$G$34,2,FALSE))=TRUE,0,VLOOKUP(B229,'WBV 1'!$F$3:$G$34,2,FALSE)),IF(ISNA(VLOOKUP(B229,'WBV 1'!$J$3:$K$34,2,FALSE))=TRUE,0,VLOOKUP(B229,'WBV 1'!$J$3:$K$34,2,FALSE)),IF(ISNA(VLOOKUP(B229,'WBV 1'!$N$3:$O$34,2,FALSE))=TRUE,0,VLOOKUP(B229,'WBV 1'!$N$3:$O$34,2,FALSE)))</f>
        <v>0</v>
      </c>
      <c r="I229" s="15">
        <f>MAX(IF(ISNA(VLOOKUP(B229,'WBV 2'!$B$3:$C$34,2,FALSE))=TRUE,0,VLOOKUP(B229,'WBV 2'!$B$3:$C$34,2,FALSE)),IF(ISNA(VLOOKUP(B229,'WBV 2'!$F$3:$G$34,2,FALSE))=TRUE,0,VLOOKUP(B229,'WBV 2'!$F$3:$G$34,2,FALSE)),IF(ISNA(VLOOKUP(B229,'WBV 2'!$J$3:$K$34,2,FALSE))=TRUE,0,VLOOKUP(B229,'WBV 2'!$J$3:$K$34,2,FALSE)),IF(ISNA(VLOOKUP(B229,'WBV 2'!$N$3:$O$34,2,FALSE))=TRUE,0,VLOOKUP(B229,'WBV 2'!$N$3:$O$34,2,FALSE)))</f>
        <v>0</v>
      </c>
      <c r="J229" s="15">
        <f>MAX(IF(ISNA(VLOOKUP(B229,'WBV 3'!$B$3:$C$34,2,FALSE))=TRUE,0,VLOOKUP(B229,'WBV 3'!$B$3:$C$34,2,FALSE)),IF(ISNA(VLOOKUP(B229,'WBV 3'!$F$3:$G$34,2,FALSE))=TRUE,0,VLOOKUP(B229,'WBV 3'!$F$3:$G$34,2,FALSE)),IF(ISNA(VLOOKUP(B229,'WBV 3'!$J$3:$K$34,2,FALSE))=TRUE,0,VLOOKUP(B229,'WBV 3'!$J$3:$K$34,2,FALSE)),IF(ISNA(VLOOKUP(B229,'WBV 3'!$N$3:$O$34,2,FALSE))=TRUE,0,VLOOKUP(B229,'WBV 3'!$N$3:$O$34,2,FALSE)))</f>
        <v>0</v>
      </c>
      <c r="K229" s="15">
        <f>MAX(IF(ISNA(VLOOKUP(B229,'WBV 4'!$B$3:$C$34,2,FALSE))=TRUE,0,VLOOKUP(B229,'WBV 4'!$B$3:$C$34,2,FALSE)),IF(ISNA(VLOOKUP(B229,'WBV 4'!$F$3:$G$34,2,FALSE))=TRUE,0,VLOOKUP(B229,'WBV 4'!$F$3:$G$34,2,FALSE)),IF(ISNA(VLOOKUP(B229,'WBV 4'!$J$3:$K$34,2,FALSE))=TRUE,0,VLOOKUP(B229,'WBV 4'!$J$3:$K$34,2,FALSE)),IF(ISNA(VLOOKUP(B229,'WBV 4'!$N$3:$O$34,2,FALSE))=TRUE,0,VLOOKUP(B229,'WBV 4'!$N$3:$O$34,2,FALSE)))</f>
        <v>0</v>
      </c>
      <c r="L229" s="19">
        <f>MAX(IF(ISNA(VLOOKUP(B229,'NÖBV 1'!$B$3:$C$34,2,FALSE))=TRUE,0,VLOOKUP(B229,'NÖBV 1'!$B$3:$C$34,2,FALSE)),IF(ISNA(VLOOKUP(B229,'NÖBV 1'!$F$3:$G$34,2,FALSE))=TRUE,0,VLOOKUP(B229,'NÖBV 1'!$F$3:$G$34,2,FALSE)),IF(ISNA(VLOOKUP(B229,'NÖBV 1'!$J$3:$K$34,2,FALSE))=TRUE,0,VLOOKUP(B229,'NÖBV 1'!$J$3:$K$34,2,FALSE)),IF(ISNA(VLOOKUP(B229,'NÖBV 1'!$N$3:$O$34,2,FALSE))=TRUE,0,VLOOKUP(B229,'NÖBV 1'!$N$3:$O$34,2,FALSE)))</f>
        <v>0</v>
      </c>
      <c r="M229" s="19">
        <f>MAX(IF(ISNA(VLOOKUP(B229,'NÖBV 2'!$B$3:$C$34,2,FALSE))=TRUE,0,VLOOKUP(B229,'NÖBV 2'!$B$3:$C$34,2,FALSE)),IF(ISNA(VLOOKUP(B229,'NÖBV 2'!$F$3:$G$34,2,FALSE))=TRUE,0,VLOOKUP(B229,'NÖBV 2'!$F$3:$G$34,2,FALSE)),IF(ISNA(VLOOKUP(B229,'NÖBV 2'!$J$3:$K$34,2,FALSE))=TRUE,0,VLOOKUP(B229,'NÖBV 2'!$J$3:$K$34,2,FALSE)),IF(ISNA(VLOOKUP(B229,'NÖBV 2'!$N$3:$O$34,2,FALSE))=TRUE,0,VLOOKUP(B229,'NÖBV 2'!$N$3:$O$34,2,FALSE)))</f>
        <v>0</v>
      </c>
      <c r="N229" s="19">
        <f>MAX(IF(ISNA(VLOOKUP(B229,'NÖBV 3'!$B$3:$C$34,2,FALSE))=TRUE,0,VLOOKUP(B229,'NÖBV 3'!$B$3:$C$34,2,FALSE)),IF(ISNA(VLOOKUP(B229,'NÖBV 3'!$F$3:$G$34,2,FALSE))=TRUE,0,VLOOKUP(B229,'NÖBV 3'!$F$3:$G$34,2,FALSE)),IF(ISNA(VLOOKUP(B229,'NÖBV 3'!$J$3:$K$34,2,FALSE))=TRUE,0,VLOOKUP(B229,'NÖBV 3'!$J$3:$K$34,2,FALSE)),IF(ISNA(VLOOKUP(B229,'NÖBV 3'!$N$3:$O$34,2,FALSE))=TRUE,0,VLOOKUP(B229,'NÖBV 3'!$N$3:$O$34,2,FALSE)))</f>
        <v>0</v>
      </c>
      <c r="O229" s="15">
        <f>MAX(IF(ISNA(VLOOKUP(B229,'Regioturnier 1'!$B$3:$C$34,2,FALSE))=TRUE,0,VLOOKUP(B229,'Regioturnier 1'!$B$3:$C$34,2,FALSE)),IF(ISNA(VLOOKUP(B229,'Regioturnier 1'!$F$3:$G$34,2,FALSE))=TRUE,0,VLOOKUP(B229,'Regioturnier 1'!$F$3:$G$34,2,FALSE)),IF(ISNA(VLOOKUP(B229,'Regioturnier 1'!$J$3:$K$34,2,FALSE))=TRUE,0,VLOOKUP(B229,'Regioturnier 1'!$J$3:$K$34,2,FALSE)),IF(ISNA(VLOOKUP(B229,'Regioturnier 1'!$N$3:$O$34,2,FALSE))=TRUE,0,VLOOKUP(B229,'Regioturnier 1'!$N$3:$O$34,2,FALSE)),IF(ISNA(VLOOKUP(B229,'Regioturnier 1'!$R$3:$S$34,2,FALSE))=TRUE,0,VLOOKUP(B229,'Regioturnier 1'!$R$3:$S$34,2,FALSE)), IF(ISNA(VLOOKUP(B229,'Regioturnier 1'!$V$3:$W$34,2,FALSE))=TRUE,0,VLOOKUP(B229,'Regioturnier 1'!$V$3:$W$34,2,FALSE)), IF(ISNA(VLOOKUP(B229,'Regioturnier 1'!$Z$3:$AA$34,2,FALSE))=TRUE,0,VLOOKUP(B229,'Regioturnier 1'!$Z$3:$AA$34,2,FALSE)))</f>
        <v>0</v>
      </c>
      <c r="P229" s="15">
        <f>MAX(IF(ISNA(VLOOKUP(B229,'Regioturnier 2'!$B$3:$C$34,2,FALSE))=TRUE,0,VLOOKUP(B229,'Regioturnier 2'!$B$3:$C$34,2,FALSE)),IF(ISNA(VLOOKUP(B229,'Regioturnier 2'!$F$3:$G$34,2,FALSE))=TRUE,0,VLOOKUP(B229,'Regioturnier 2'!$F$3:$G$34,2,FALSE)),IF(ISNA(VLOOKUP(B229,'Regioturnier 2'!$J$3:$K$34,2,FALSE))=TRUE,0,VLOOKUP(B229,'Regioturnier 2'!$J$3:$K$34,2,FALSE)),IF(ISNA(VLOOKUP(B229,'Regioturnier 2'!$N$3:$O$34,2,FALSE))=TRUE,0,VLOOKUP(B229,'Regioturnier 2'!$N$3:$O$34,2,FALSE)),IF(ISNA(VLOOKUP(B229,'Regioturnier 2'!$R$3:$S$34,2,FALSE))=TRUE,0,VLOOKUP(B229,'Regioturnier 2'!$R$3:$S$34,2,FALSE)), IF(ISNA(VLOOKUP(B229,'Regioturnier 2'!$V$3:$W$34,2,FALSE))=TRUE,0,VLOOKUP(B229,'Regioturnier 2'!$V$3:$W$34,2,FALSE)), IF(ISNA(VLOOKUP(B229,'Regioturnier 2'!$Z$3:$AA$34,2,FALSE))=TRUE,0,VLOOKUP(B229,'Regioturnier 2'!$Z$3:$AA$34,2,FALSE)))</f>
        <v>0</v>
      </c>
      <c r="Q229" s="15">
        <f>MAX(IF(ISNA(VLOOKUP(B229,'Regioturnier 3'!$B$3:$C$34,2,FALSE))=TRUE,0,VLOOKUP(B229,'Regioturnier 3'!$B$3:$C$34,2,FALSE)),IF(ISNA(VLOOKUP(B229,'Regioturnier 3'!$F$3:$G$34,2,FALSE))=TRUE,0,VLOOKUP(B229,'Regioturnier 3'!$F$3:$G$34,2,FALSE)),IF(ISNA(VLOOKUP(B229,'Regioturnier 3'!$J$3:$K$34,2,FALSE))=TRUE,0,VLOOKUP(B229,'Regioturnier 3'!$J$3:$K$34,2,FALSE)),IF(ISNA(VLOOKUP(B229,'Regioturnier 3'!$N$3:$O$34,2,FALSE))=TRUE,0,VLOOKUP(B229,'Regioturnier 3'!$N$3:$O$34,2,FALSE)),IF(ISNA(VLOOKUP(B229,'Regioturnier 3'!$R$3:$S$34,2,FALSE))=TRUE,0,VLOOKUP(B229,'Regioturnier 3'!$R$3:$S$34,2,FALSE)), IF(ISNA(VLOOKUP(B229,'Regioturnier 3'!$V$3:$W$34,2,FALSE))=TRUE,0,VLOOKUP(B229,'Regioturnier 3'!$V$3:$W$34,2,FALSE)), IF(ISNA(VLOOKUP(B229,'Regioturnier 3'!$Z$3:$AA$34,2,FALSE))=TRUE,0,VLOOKUP(B229,'Regioturnier 3'!$Z$3:$AA$34,2,FALSE)))</f>
        <v>0</v>
      </c>
      <c r="R229" s="20">
        <f>0.5*INDEX($H229:$N229,MATCH(LARGE($H229:$N229,1),$H229:$N229,0))+0.3*INDEX($H229:$N229,MATCH(LARGE($H229:$N229,2),$H229:$N229,0))+0.2*INDEX($H229:$N229,MATCH(LARGE($H229:$N229,3),$H229:$N229,0))</f>
        <v>0</v>
      </c>
      <c r="S229" s="20">
        <f>0.6*INDEX(O229:Q229,MATCH(LARGE(O229:Q229,1),O229:Q229,0))+0.4*INDEX(O229:Q229,MATCH(LARGE(O229:Q229,2),O229:Q229,0))+0*INDEX(O229:Q229,MATCH(LARGE(O229:Q229,3),O229:Q229,0))</f>
        <v>0</v>
      </c>
      <c r="T229" s="15">
        <f>1*INDEX(R229:S229,MATCH(LARGE(R229:S229,1),R229:S229,0))+0*INDEX(R229:S229,MATCH(LARGE(R229:S229,2),R229:S229,0))</f>
        <v>0</v>
      </c>
      <c r="U229" s="21"/>
      <c r="V229" s="21"/>
      <c r="W229" s="21"/>
      <c r="X229" s="21"/>
      <c r="Y229" s="21"/>
      <c r="Z229" s="21"/>
    </row>
    <row r="230" spans="1:26" ht="12.75" customHeight="1" x14ac:dyDescent="0.3">
      <c r="A230" s="15">
        <v>229</v>
      </c>
      <c r="B230" s="16" t="s">
        <v>249</v>
      </c>
      <c r="C230" s="17" t="s">
        <v>25</v>
      </c>
      <c r="D230" s="15" t="s">
        <v>26</v>
      </c>
      <c r="E230" s="18" t="s">
        <v>23</v>
      </c>
      <c r="F230" s="15">
        <v>110907</v>
      </c>
      <c r="G230" s="22">
        <v>2015</v>
      </c>
      <c r="H230" s="15">
        <f>MAX(IF(ISNA(VLOOKUP(B230,'WBV 1'!$B$3:$C$34,2,FALSE))=TRUE,0,VLOOKUP(B230,'WBV 1'!$B$3:$C$34,2,FALSE)),IF(ISNA(VLOOKUP(B230,'WBV 1'!$F$3:$G$34,2,FALSE))=TRUE,0,VLOOKUP(B230,'WBV 1'!$F$3:$G$34,2,FALSE)),IF(ISNA(VLOOKUP(B230,'WBV 1'!$J$3:$K$34,2,FALSE))=TRUE,0,VLOOKUP(B230,'WBV 1'!$J$3:$K$34,2,FALSE)),IF(ISNA(VLOOKUP(B230,'WBV 1'!$N$3:$O$34,2,FALSE))=TRUE,0,VLOOKUP(B230,'WBV 1'!$N$3:$O$34,2,FALSE)))</f>
        <v>0</v>
      </c>
      <c r="I230" s="15">
        <f>MAX(IF(ISNA(VLOOKUP(B230,'WBV 2'!$B$3:$C$34,2,FALSE))=TRUE,0,VLOOKUP(B230,'WBV 2'!$B$3:$C$34,2,FALSE)),IF(ISNA(VLOOKUP(B230,'WBV 2'!$F$3:$G$34,2,FALSE))=TRUE,0,VLOOKUP(B230,'WBV 2'!$F$3:$G$34,2,FALSE)),IF(ISNA(VLOOKUP(B230,'WBV 2'!$J$3:$K$34,2,FALSE))=TRUE,0,VLOOKUP(B230,'WBV 2'!$J$3:$K$34,2,FALSE)),IF(ISNA(VLOOKUP(B230,'WBV 2'!$N$3:$O$34,2,FALSE))=TRUE,0,VLOOKUP(B230,'WBV 2'!$N$3:$O$34,2,FALSE)))</f>
        <v>0</v>
      </c>
      <c r="J230" s="15">
        <f>MAX(IF(ISNA(VLOOKUP(B230,'WBV 3'!$B$3:$C$34,2,FALSE))=TRUE,0,VLOOKUP(B230,'WBV 3'!$B$3:$C$34,2,FALSE)),IF(ISNA(VLOOKUP(B230,'WBV 3'!$F$3:$G$34,2,FALSE))=TRUE,0,VLOOKUP(B230,'WBV 3'!$F$3:$G$34,2,FALSE)),IF(ISNA(VLOOKUP(B230,'WBV 3'!$J$3:$K$34,2,FALSE))=TRUE,0,VLOOKUP(B230,'WBV 3'!$J$3:$K$34,2,FALSE)),IF(ISNA(VLOOKUP(B230,'WBV 3'!$N$3:$O$34,2,FALSE))=TRUE,0,VLOOKUP(B230,'WBV 3'!$N$3:$O$34,2,FALSE)))</f>
        <v>0</v>
      </c>
      <c r="K230" s="15">
        <f>MAX(IF(ISNA(VLOOKUP(B230,'WBV 4'!$B$3:$C$34,2,FALSE))=TRUE,0,VLOOKUP(B230,'WBV 4'!$B$3:$C$34,2,FALSE)),IF(ISNA(VLOOKUP(B230,'WBV 4'!$F$3:$G$34,2,FALSE))=TRUE,0,VLOOKUP(B230,'WBV 4'!$F$3:$G$34,2,FALSE)),IF(ISNA(VLOOKUP(B230,'WBV 4'!$J$3:$K$34,2,FALSE))=TRUE,0,VLOOKUP(B230,'WBV 4'!$J$3:$K$34,2,FALSE)),IF(ISNA(VLOOKUP(B230,'WBV 4'!$N$3:$O$34,2,FALSE))=TRUE,0,VLOOKUP(B230,'WBV 4'!$N$3:$O$34,2,FALSE)))</f>
        <v>0</v>
      </c>
      <c r="L230" s="19">
        <f>MAX(IF(ISNA(VLOOKUP(B230,'NÖBV 1'!$B$3:$C$34,2,FALSE))=TRUE,0,VLOOKUP(B230,'NÖBV 1'!$B$3:$C$34,2,FALSE)),IF(ISNA(VLOOKUP(B230,'NÖBV 1'!$F$3:$G$34,2,FALSE))=TRUE,0,VLOOKUP(B230,'NÖBV 1'!$F$3:$G$34,2,FALSE)),IF(ISNA(VLOOKUP(B230,'NÖBV 1'!$J$3:$K$34,2,FALSE))=TRUE,0,VLOOKUP(B230,'NÖBV 1'!$J$3:$K$34,2,FALSE)),IF(ISNA(VLOOKUP(B230,'NÖBV 1'!$N$3:$O$34,2,FALSE))=TRUE,0,VLOOKUP(B230,'NÖBV 1'!$N$3:$O$34,2,FALSE)))</f>
        <v>0</v>
      </c>
      <c r="M230" s="19">
        <f>MAX(IF(ISNA(VLOOKUP(B230,'NÖBV 2'!$B$3:$C$34,2,FALSE))=TRUE,0,VLOOKUP(B230,'NÖBV 2'!$B$3:$C$34,2,FALSE)),IF(ISNA(VLOOKUP(B230,'NÖBV 2'!$F$3:$G$34,2,FALSE))=TRUE,0,VLOOKUP(B230,'NÖBV 2'!$F$3:$G$34,2,FALSE)),IF(ISNA(VLOOKUP(B230,'NÖBV 2'!$J$3:$K$34,2,FALSE))=TRUE,0,VLOOKUP(B230,'NÖBV 2'!$J$3:$K$34,2,FALSE)),IF(ISNA(VLOOKUP(B230,'NÖBV 2'!$N$3:$O$34,2,FALSE))=TRUE,0,VLOOKUP(B230,'NÖBV 2'!$N$3:$O$34,2,FALSE)))</f>
        <v>0</v>
      </c>
      <c r="N230" s="19">
        <f>MAX(IF(ISNA(VLOOKUP(B230,'NÖBV 3'!$B$3:$C$34,2,FALSE))=TRUE,0,VLOOKUP(B230,'NÖBV 3'!$B$3:$C$34,2,FALSE)),IF(ISNA(VLOOKUP(B230,'NÖBV 3'!$F$3:$G$34,2,FALSE))=TRUE,0,VLOOKUP(B230,'NÖBV 3'!$F$3:$G$34,2,FALSE)),IF(ISNA(VLOOKUP(B230,'NÖBV 3'!$J$3:$K$34,2,FALSE))=TRUE,0,VLOOKUP(B230,'NÖBV 3'!$J$3:$K$34,2,FALSE)),IF(ISNA(VLOOKUP(B230,'NÖBV 3'!$N$3:$O$34,2,FALSE))=TRUE,0,VLOOKUP(B230,'NÖBV 3'!$N$3:$O$34,2,FALSE)))</f>
        <v>0</v>
      </c>
      <c r="O230" s="15">
        <f>MAX(IF(ISNA(VLOOKUP(B230,'Regioturnier 1'!$B$3:$C$34,2,FALSE))=TRUE,0,VLOOKUP(B230,'Regioturnier 1'!$B$3:$C$34,2,FALSE)),IF(ISNA(VLOOKUP(B230,'Regioturnier 1'!$F$3:$G$34,2,FALSE))=TRUE,0,VLOOKUP(B230,'Regioturnier 1'!$F$3:$G$34,2,FALSE)),IF(ISNA(VLOOKUP(B230,'Regioturnier 1'!$J$3:$K$34,2,FALSE))=TRUE,0,VLOOKUP(B230,'Regioturnier 1'!$J$3:$K$34,2,FALSE)),IF(ISNA(VLOOKUP(B230,'Regioturnier 1'!$N$3:$O$34,2,FALSE))=TRUE,0,VLOOKUP(B230,'Regioturnier 1'!$N$3:$O$34,2,FALSE)),IF(ISNA(VLOOKUP(B230,'Regioturnier 1'!$R$3:$S$34,2,FALSE))=TRUE,0,VLOOKUP(B230,'Regioturnier 1'!$R$3:$S$34,2,FALSE)), IF(ISNA(VLOOKUP(B230,'Regioturnier 1'!$V$3:$W$34,2,FALSE))=TRUE,0,VLOOKUP(B230,'Regioturnier 1'!$V$3:$W$34,2,FALSE)), IF(ISNA(VLOOKUP(B230,'Regioturnier 1'!$Z$3:$AA$34,2,FALSE))=TRUE,0,VLOOKUP(B230,'Regioturnier 1'!$Z$3:$AA$34,2,FALSE)))</f>
        <v>0</v>
      </c>
      <c r="P230" s="15">
        <f>MAX(IF(ISNA(VLOOKUP(B230,'Regioturnier 2'!$B$3:$C$34,2,FALSE))=TRUE,0,VLOOKUP(B230,'Regioturnier 2'!$B$3:$C$34,2,FALSE)),IF(ISNA(VLOOKUP(B230,'Regioturnier 2'!$F$3:$G$34,2,FALSE))=TRUE,0,VLOOKUP(B230,'Regioturnier 2'!$F$3:$G$34,2,FALSE)),IF(ISNA(VLOOKUP(B230,'Regioturnier 2'!$J$3:$K$34,2,FALSE))=TRUE,0,VLOOKUP(B230,'Regioturnier 2'!$J$3:$K$34,2,FALSE)),IF(ISNA(VLOOKUP(B230,'Regioturnier 2'!$N$3:$O$34,2,FALSE))=TRUE,0,VLOOKUP(B230,'Regioturnier 2'!$N$3:$O$34,2,FALSE)),IF(ISNA(VLOOKUP(B230,'Regioturnier 2'!$R$3:$S$34,2,FALSE))=TRUE,0,VLOOKUP(B230,'Regioturnier 2'!$R$3:$S$34,2,FALSE)), IF(ISNA(VLOOKUP(B230,'Regioturnier 2'!$V$3:$W$34,2,FALSE))=TRUE,0,VLOOKUP(B230,'Regioturnier 2'!$V$3:$W$34,2,FALSE)), IF(ISNA(VLOOKUP(B230,'Regioturnier 2'!$Z$3:$AA$34,2,FALSE))=TRUE,0,VLOOKUP(B230,'Regioturnier 2'!$Z$3:$AA$34,2,FALSE)))</f>
        <v>0</v>
      </c>
      <c r="Q230" s="15">
        <f>MAX(IF(ISNA(VLOOKUP(B230,'Regioturnier 3'!$B$3:$C$34,2,FALSE))=TRUE,0,VLOOKUP(B230,'Regioturnier 3'!$B$3:$C$34,2,FALSE)),IF(ISNA(VLOOKUP(B230,'Regioturnier 3'!$F$3:$G$34,2,FALSE))=TRUE,0,VLOOKUP(B230,'Regioturnier 3'!$F$3:$G$34,2,FALSE)),IF(ISNA(VLOOKUP(B230,'Regioturnier 3'!$J$3:$K$34,2,FALSE))=TRUE,0,VLOOKUP(B230,'Regioturnier 3'!$J$3:$K$34,2,FALSE)),IF(ISNA(VLOOKUP(B230,'Regioturnier 3'!$N$3:$O$34,2,FALSE))=TRUE,0,VLOOKUP(B230,'Regioturnier 3'!$N$3:$O$34,2,FALSE)),IF(ISNA(VLOOKUP(B230,'Regioturnier 3'!$R$3:$S$34,2,FALSE))=TRUE,0,VLOOKUP(B230,'Regioturnier 3'!$R$3:$S$34,2,FALSE)), IF(ISNA(VLOOKUP(B230,'Regioturnier 3'!$V$3:$W$34,2,FALSE))=TRUE,0,VLOOKUP(B230,'Regioturnier 3'!$V$3:$W$34,2,FALSE)), IF(ISNA(VLOOKUP(B230,'Regioturnier 3'!$Z$3:$AA$34,2,FALSE))=TRUE,0,VLOOKUP(B230,'Regioturnier 3'!$Z$3:$AA$34,2,FALSE)))</f>
        <v>0</v>
      </c>
      <c r="R230" s="20">
        <f>0.5*INDEX($H230:$N230,MATCH(LARGE($H230:$N230,1),$H230:$N230,0))+0.3*INDEX($H230:$N230,MATCH(LARGE($H230:$N230,2),$H230:$N230,0))+0.2*INDEX($H230:$N230,MATCH(LARGE($H230:$N230,3),$H230:$N230,0))</f>
        <v>0</v>
      </c>
      <c r="S230" s="20">
        <f>0.6*INDEX(O230:Q230,MATCH(LARGE(O230:Q230,1),O230:Q230,0))+0.4*INDEX(O230:Q230,MATCH(LARGE(O230:Q230,2),O230:Q230,0))+0*INDEX(O230:Q230,MATCH(LARGE(O230:Q230,3),O230:Q230,0))</f>
        <v>0</v>
      </c>
      <c r="T230" s="15">
        <f>1*INDEX(R230:S230,MATCH(LARGE(R230:S230,1),R230:S230,0))+0*INDEX(R230:S230,MATCH(LARGE(R230:S230,2),R230:S230,0))</f>
        <v>0</v>
      </c>
      <c r="U230" s="21"/>
      <c r="V230" s="21"/>
      <c r="W230" s="21"/>
      <c r="X230" s="21"/>
      <c r="Y230" s="21"/>
      <c r="Z230" s="21"/>
    </row>
    <row r="231" spans="1:26" ht="12.75" customHeight="1" x14ac:dyDescent="0.3">
      <c r="A231" s="15">
        <v>230</v>
      </c>
      <c r="B231" s="16" t="s">
        <v>251</v>
      </c>
      <c r="C231" s="17" t="s">
        <v>72</v>
      </c>
      <c r="D231" s="15" t="s">
        <v>22</v>
      </c>
      <c r="E231" s="18" t="s">
        <v>40</v>
      </c>
      <c r="F231" s="15"/>
      <c r="G231" s="22">
        <v>2014</v>
      </c>
      <c r="H231" s="15">
        <f>MAX(IF(ISNA(VLOOKUP(B231,'WBV 1'!$B$3:$C$34,2,FALSE))=TRUE,0,VLOOKUP(B231,'WBV 1'!$B$3:$C$34,2,FALSE)),IF(ISNA(VLOOKUP(B231,'WBV 1'!$F$3:$G$34,2,FALSE))=TRUE,0,VLOOKUP(B231,'WBV 1'!$F$3:$G$34,2,FALSE)),IF(ISNA(VLOOKUP(B231,'WBV 1'!$J$3:$K$34,2,FALSE))=TRUE,0,VLOOKUP(B231,'WBV 1'!$J$3:$K$34,2,FALSE)),IF(ISNA(VLOOKUP(B231,'WBV 1'!$N$3:$O$34,2,FALSE))=TRUE,0,VLOOKUP(B231,'WBV 1'!$N$3:$O$34,2,FALSE)))</f>
        <v>0</v>
      </c>
      <c r="I231" s="15">
        <f>MAX(IF(ISNA(VLOOKUP(B231,'WBV 2'!$B$3:$C$34,2,FALSE))=TRUE,0,VLOOKUP(B231,'WBV 2'!$B$3:$C$34,2,FALSE)),IF(ISNA(VLOOKUP(B231,'WBV 2'!$F$3:$G$34,2,FALSE))=TRUE,0,VLOOKUP(B231,'WBV 2'!$F$3:$G$34,2,FALSE)),IF(ISNA(VLOOKUP(B231,'WBV 2'!$J$3:$K$34,2,FALSE))=TRUE,0,VLOOKUP(B231,'WBV 2'!$J$3:$K$34,2,FALSE)),IF(ISNA(VLOOKUP(B231,'WBV 2'!$N$3:$O$34,2,FALSE))=TRUE,0,VLOOKUP(B231,'WBV 2'!$N$3:$O$34,2,FALSE)))</f>
        <v>0</v>
      </c>
      <c r="J231" s="15">
        <f>MAX(IF(ISNA(VLOOKUP(B231,'WBV 3'!$B$3:$C$34,2,FALSE))=TRUE,0,VLOOKUP(B231,'WBV 3'!$B$3:$C$34,2,FALSE)),IF(ISNA(VLOOKUP(B231,'WBV 3'!$F$3:$G$34,2,FALSE))=TRUE,0,VLOOKUP(B231,'WBV 3'!$F$3:$G$34,2,FALSE)),IF(ISNA(VLOOKUP(B231,'WBV 3'!$J$3:$K$34,2,FALSE))=TRUE,0,VLOOKUP(B231,'WBV 3'!$J$3:$K$34,2,FALSE)),IF(ISNA(VLOOKUP(B231,'WBV 3'!$N$3:$O$34,2,FALSE))=TRUE,0,VLOOKUP(B231,'WBV 3'!$N$3:$O$34,2,FALSE)))</f>
        <v>0</v>
      </c>
      <c r="K231" s="15">
        <f>MAX(IF(ISNA(VLOOKUP(B231,'WBV 4'!$B$3:$C$34,2,FALSE))=TRUE,0,VLOOKUP(B231,'WBV 4'!$B$3:$C$34,2,FALSE)),IF(ISNA(VLOOKUP(B231,'WBV 4'!$F$3:$G$34,2,FALSE))=TRUE,0,VLOOKUP(B231,'WBV 4'!$F$3:$G$34,2,FALSE)),IF(ISNA(VLOOKUP(B231,'WBV 4'!$J$3:$K$34,2,FALSE))=TRUE,0,VLOOKUP(B231,'WBV 4'!$J$3:$K$34,2,FALSE)),IF(ISNA(VLOOKUP(B231,'WBV 4'!$N$3:$O$34,2,FALSE))=TRUE,0,VLOOKUP(B231,'WBV 4'!$N$3:$O$34,2,FALSE)))</f>
        <v>0</v>
      </c>
      <c r="L231" s="19">
        <f>MAX(IF(ISNA(VLOOKUP(B231,'NÖBV 1'!$B$3:$C$34,2,FALSE))=TRUE,0,VLOOKUP(B231,'NÖBV 1'!$B$3:$C$34,2,FALSE)),IF(ISNA(VLOOKUP(B231,'NÖBV 1'!$F$3:$G$34,2,FALSE))=TRUE,0,VLOOKUP(B231,'NÖBV 1'!$F$3:$G$34,2,FALSE)),IF(ISNA(VLOOKUP(B231,'NÖBV 1'!$J$3:$K$34,2,FALSE))=TRUE,0,VLOOKUP(B231,'NÖBV 1'!$J$3:$K$34,2,FALSE)),IF(ISNA(VLOOKUP(B231,'NÖBV 1'!$N$3:$O$34,2,FALSE))=TRUE,0,VLOOKUP(B231,'NÖBV 1'!$N$3:$O$34,2,FALSE)))</f>
        <v>0</v>
      </c>
      <c r="M231" s="19">
        <f>MAX(IF(ISNA(VLOOKUP(B231,'NÖBV 2'!$B$3:$C$34,2,FALSE))=TRUE,0,VLOOKUP(B231,'NÖBV 2'!$B$3:$C$34,2,FALSE)),IF(ISNA(VLOOKUP(B231,'NÖBV 2'!$F$3:$G$34,2,FALSE))=TRUE,0,VLOOKUP(B231,'NÖBV 2'!$F$3:$G$34,2,FALSE)),IF(ISNA(VLOOKUP(B231,'NÖBV 2'!$J$3:$K$34,2,FALSE))=TRUE,0,VLOOKUP(B231,'NÖBV 2'!$J$3:$K$34,2,FALSE)),IF(ISNA(VLOOKUP(B231,'NÖBV 2'!$N$3:$O$34,2,FALSE))=TRUE,0,VLOOKUP(B231,'NÖBV 2'!$N$3:$O$34,2,FALSE)))</f>
        <v>0</v>
      </c>
      <c r="N231" s="19">
        <f>MAX(IF(ISNA(VLOOKUP(B231,'NÖBV 3'!$B$3:$C$34,2,FALSE))=TRUE,0,VLOOKUP(B231,'NÖBV 3'!$B$3:$C$34,2,FALSE)),IF(ISNA(VLOOKUP(B231,'NÖBV 3'!$F$3:$G$34,2,FALSE))=TRUE,0,VLOOKUP(B231,'NÖBV 3'!$F$3:$G$34,2,FALSE)),IF(ISNA(VLOOKUP(B231,'NÖBV 3'!$J$3:$K$34,2,FALSE))=TRUE,0,VLOOKUP(B231,'NÖBV 3'!$J$3:$K$34,2,FALSE)),IF(ISNA(VLOOKUP(B231,'NÖBV 3'!$N$3:$O$34,2,FALSE))=TRUE,0,VLOOKUP(B231,'NÖBV 3'!$N$3:$O$34,2,FALSE)))</f>
        <v>0</v>
      </c>
      <c r="O231" s="15">
        <f>MAX(IF(ISNA(VLOOKUP(B231,'Regioturnier 1'!$B$3:$C$34,2,FALSE))=TRUE,0,VLOOKUP(B231,'Regioturnier 1'!$B$3:$C$34,2,FALSE)),IF(ISNA(VLOOKUP(B231,'Regioturnier 1'!$F$3:$G$34,2,FALSE))=TRUE,0,VLOOKUP(B231,'Regioturnier 1'!$F$3:$G$34,2,FALSE)),IF(ISNA(VLOOKUP(B231,'Regioturnier 1'!$J$3:$K$34,2,FALSE))=TRUE,0,VLOOKUP(B231,'Regioturnier 1'!$J$3:$K$34,2,FALSE)),IF(ISNA(VLOOKUP(B231,'Regioturnier 1'!$N$3:$O$34,2,FALSE))=TRUE,0,VLOOKUP(B231,'Regioturnier 1'!$N$3:$O$34,2,FALSE)),IF(ISNA(VLOOKUP(B231,'Regioturnier 1'!$R$3:$S$34,2,FALSE))=TRUE,0,VLOOKUP(B231,'Regioturnier 1'!$R$3:$S$34,2,FALSE)), IF(ISNA(VLOOKUP(B231,'Regioturnier 1'!$V$3:$W$34,2,FALSE))=TRUE,0,VLOOKUP(B231,'Regioturnier 1'!$V$3:$W$34,2,FALSE)), IF(ISNA(VLOOKUP(B231,'Regioturnier 1'!$Z$3:$AA$34,2,FALSE))=TRUE,0,VLOOKUP(B231,'Regioturnier 1'!$Z$3:$AA$34,2,FALSE)))</f>
        <v>0</v>
      </c>
      <c r="P231" s="15">
        <f>MAX(IF(ISNA(VLOOKUP(B231,'Regioturnier 2'!$B$3:$C$34,2,FALSE))=TRUE,0,VLOOKUP(B231,'Regioturnier 2'!$B$3:$C$34,2,FALSE)),IF(ISNA(VLOOKUP(B231,'Regioturnier 2'!$F$3:$G$34,2,FALSE))=TRUE,0,VLOOKUP(B231,'Regioturnier 2'!$F$3:$G$34,2,FALSE)),IF(ISNA(VLOOKUP(B231,'Regioturnier 2'!$J$3:$K$34,2,FALSE))=TRUE,0,VLOOKUP(B231,'Regioturnier 2'!$J$3:$K$34,2,FALSE)),IF(ISNA(VLOOKUP(B231,'Regioturnier 2'!$N$3:$O$34,2,FALSE))=TRUE,0,VLOOKUP(B231,'Regioturnier 2'!$N$3:$O$34,2,FALSE)),IF(ISNA(VLOOKUP(B231,'Regioturnier 2'!$R$3:$S$34,2,FALSE))=TRUE,0,VLOOKUP(B231,'Regioturnier 2'!$R$3:$S$34,2,FALSE)), IF(ISNA(VLOOKUP(B231,'Regioturnier 2'!$V$3:$W$34,2,FALSE))=TRUE,0,VLOOKUP(B231,'Regioturnier 2'!$V$3:$W$34,2,FALSE)), IF(ISNA(VLOOKUP(B231,'Regioturnier 2'!$Z$3:$AA$34,2,FALSE))=TRUE,0,VLOOKUP(B231,'Regioturnier 2'!$Z$3:$AA$34,2,FALSE)))</f>
        <v>0</v>
      </c>
      <c r="Q231" s="15">
        <f>MAX(IF(ISNA(VLOOKUP(B231,'Regioturnier 3'!$B$3:$C$34,2,FALSE))=TRUE,0,VLOOKUP(B231,'Regioturnier 3'!$B$3:$C$34,2,FALSE)),IF(ISNA(VLOOKUP(B231,'Regioturnier 3'!$F$3:$G$34,2,FALSE))=TRUE,0,VLOOKUP(B231,'Regioturnier 3'!$F$3:$G$34,2,FALSE)),IF(ISNA(VLOOKUP(B231,'Regioturnier 3'!$J$3:$K$34,2,FALSE))=TRUE,0,VLOOKUP(B231,'Regioturnier 3'!$J$3:$K$34,2,FALSE)),IF(ISNA(VLOOKUP(B231,'Regioturnier 3'!$N$3:$O$34,2,FALSE))=TRUE,0,VLOOKUP(B231,'Regioturnier 3'!$N$3:$O$34,2,FALSE)),IF(ISNA(VLOOKUP(B231,'Regioturnier 3'!$R$3:$S$34,2,FALSE))=TRUE,0,VLOOKUP(B231,'Regioturnier 3'!$R$3:$S$34,2,FALSE)), IF(ISNA(VLOOKUP(B231,'Regioturnier 3'!$V$3:$W$34,2,FALSE))=TRUE,0,VLOOKUP(B231,'Regioturnier 3'!$V$3:$W$34,2,FALSE)), IF(ISNA(VLOOKUP(B231,'Regioturnier 3'!$Z$3:$AA$34,2,FALSE))=TRUE,0,VLOOKUP(B231,'Regioturnier 3'!$Z$3:$AA$34,2,FALSE)))</f>
        <v>0</v>
      </c>
      <c r="R231" s="20">
        <f>0.5*INDEX($H231:$N231,MATCH(LARGE($H231:$N231,1),$H231:$N231,0))+0.3*INDEX($H231:$N231,MATCH(LARGE($H231:$N231,2),$H231:$N231,0))+0.2*INDEX($H231:$N231,MATCH(LARGE($H231:$N231,3),$H231:$N231,0))</f>
        <v>0</v>
      </c>
      <c r="S231" s="20">
        <f>0.6*INDEX(O231:Q231,MATCH(LARGE(O231:Q231,1),O231:Q231,0))+0.4*INDEX(O231:Q231,MATCH(LARGE(O231:Q231,2),O231:Q231,0))+0*INDEX(O231:Q231,MATCH(LARGE(O231:Q231,3),O231:Q231,0))</f>
        <v>0</v>
      </c>
      <c r="T231" s="15">
        <f>1*INDEX(R231:S231,MATCH(LARGE(R231:S231,1),R231:S231,0))+0*INDEX(R231:S231,MATCH(LARGE(R231:S231,2),R231:S231,0))</f>
        <v>0</v>
      </c>
      <c r="U231" s="21"/>
      <c r="V231" s="21"/>
      <c r="W231" s="21"/>
      <c r="X231" s="21"/>
      <c r="Y231" s="21"/>
      <c r="Z231" s="21"/>
    </row>
    <row r="232" spans="1:26" ht="12.75" customHeight="1" x14ac:dyDescent="0.3">
      <c r="A232" s="15">
        <v>231</v>
      </c>
      <c r="B232" s="16" t="s">
        <v>252</v>
      </c>
      <c r="C232" s="17" t="s">
        <v>72</v>
      </c>
      <c r="D232" s="15" t="s">
        <v>22</v>
      </c>
      <c r="E232" s="18" t="s">
        <v>40</v>
      </c>
      <c r="F232" s="15"/>
      <c r="G232" s="22">
        <v>2016</v>
      </c>
      <c r="H232" s="15">
        <f>MAX(IF(ISNA(VLOOKUP(B232,'WBV 1'!$B$3:$C$34,2,FALSE))=TRUE,0,VLOOKUP(B232,'WBV 1'!$B$3:$C$34,2,FALSE)),IF(ISNA(VLOOKUP(B232,'WBV 1'!$F$3:$G$34,2,FALSE))=TRUE,0,VLOOKUP(B232,'WBV 1'!$F$3:$G$34,2,FALSE)),IF(ISNA(VLOOKUP(B232,'WBV 1'!$J$3:$K$34,2,FALSE))=TRUE,0,VLOOKUP(B232,'WBV 1'!$J$3:$K$34,2,FALSE)),IF(ISNA(VLOOKUP(B232,'WBV 1'!$N$3:$O$34,2,FALSE))=TRUE,0,VLOOKUP(B232,'WBV 1'!$N$3:$O$34,2,FALSE)))</f>
        <v>0</v>
      </c>
      <c r="I232" s="15">
        <f>MAX(IF(ISNA(VLOOKUP(B232,'WBV 2'!$B$3:$C$34,2,FALSE))=TRUE,0,VLOOKUP(B232,'WBV 2'!$B$3:$C$34,2,FALSE)),IF(ISNA(VLOOKUP(B232,'WBV 2'!$F$3:$G$34,2,FALSE))=TRUE,0,VLOOKUP(B232,'WBV 2'!$F$3:$G$34,2,FALSE)),IF(ISNA(VLOOKUP(B232,'WBV 2'!$J$3:$K$34,2,FALSE))=TRUE,0,VLOOKUP(B232,'WBV 2'!$J$3:$K$34,2,FALSE)),IF(ISNA(VLOOKUP(B232,'WBV 2'!$N$3:$O$34,2,FALSE))=TRUE,0,VLOOKUP(B232,'WBV 2'!$N$3:$O$34,2,FALSE)))</f>
        <v>0</v>
      </c>
      <c r="J232" s="15">
        <f>MAX(IF(ISNA(VLOOKUP(B232,'WBV 3'!$B$3:$C$34,2,FALSE))=TRUE,0,VLOOKUP(B232,'WBV 3'!$B$3:$C$34,2,FALSE)),IF(ISNA(VLOOKUP(B232,'WBV 3'!$F$3:$G$34,2,FALSE))=TRUE,0,VLOOKUP(B232,'WBV 3'!$F$3:$G$34,2,FALSE)),IF(ISNA(VLOOKUP(B232,'WBV 3'!$J$3:$K$34,2,FALSE))=TRUE,0,VLOOKUP(B232,'WBV 3'!$J$3:$K$34,2,FALSE)),IF(ISNA(VLOOKUP(B232,'WBV 3'!$N$3:$O$34,2,FALSE))=TRUE,0,VLOOKUP(B232,'WBV 3'!$N$3:$O$34,2,FALSE)))</f>
        <v>0</v>
      </c>
      <c r="K232" s="15">
        <f>MAX(IF(ISNA(VLOOKUP(B232,'WBV 4'!$B$3:$C$34,2,FALSE))=TRUE,0,VLOOKUP(B232,'WBV 4'!$B$3:$C$34,2,FALSE)),IF(ISNA(VLOOKUP(B232,'WBV 4'!$F$3:$G$34,2,FALSE))=TRUE,0,VLOOKUP(B232,'WBV 4'!$F$3:$G$34,2,FALSE)),IF(ISNA(VLOOKUP(B232,'WBV 4'!$J$3:$K$34,2,FALSE))=TRUE,0,VLOOKUP(B232,'WBV 4'!$J$3:$K$34,2,FALSE)),IF(ISNA(VLOOKUP(B232,'WBV 4'!$N$3:$O$34,2,FALSE))=TRUE,0,VLOOKUP(B232,'WBV 4'!$N$3:$O$34,2,FALSE)))</f>
        <v>0</v>
      </c>
      <c r="L232" s="19">
        <f>MAX(IF(ISNA(VLOOKUP(B232,'NÖBV 1'!$B$3:$C$34,2,FALSE))=TRUE,0,VLOOKUP(B232,'NÖBV 1'!$B$3:$C$34,2,FALSE)),IF(ISNA(VLOOKUP(B232,'NÖBV 1'!$F$3:$G$34,2,FALSE))=TRUE,0,VLOOKUP(B232,'NÖBV 1'!$F$3:$G$34,2,FALSE)),IF(ISNA(VLOOKUP(B232,'NÖBV 1'!$J$3:$K$34,2,FALSE))=TRUE,0,VLOOKUP(B232,'NÖBV 1'!$J$3:$K$34,2,FALSE)),IF(ISNA(VLOOKUP(B232,'NÖBV 1'!$N$3:$O$34,2,FALSE))=TRUE,0,VLOOKUP(B232,'NÖBV 1'!$N$3:$O$34,2,FALSE)))</f>
        <v>0</v>
      </c>
      <c r="M232" s="19">
        <f>MAX(IF(ISNA(VLOOKUP(B232,'NÖBV 2'!$B$3:$C$34,2,FALSE))=TRUE,0,VLOOKUP(B232,'NÖBV 2'!$B$3:$C$34,2,FALSE)),IF(ISNA(VLOOKUP(B232,'NÖBV 2'!$F$3:$G$34,2,FALSE))=TRUE,0,VLOOKUP(B232,'NÖBV 2'!$F$3:$G$34,2,FALSE)),IF(ISNA(VLOOKUP(B232,'NÖBV 2'!$J$3:$K$34,2,FALSE))=TRUE,0,VLOOKUP(B232,'NÖBV 2'!$J$3:$K$34,2,FALSE)),IF(ISNA(VLOOKUP(B232,'NÖBV 2'!$N$3:$O$34,2,FALSE))=TRUE,0,VLOOKUP(B232,'NÖBV 2'!$N$3:$O$34,2,FALSE)))</f>
        <v>0</v>
      </c>
      <c r="N232" s="19">
        <f>MAX(IF(ISNA(VLOOKUP(B232,'NÖBV 3'!$B$3:$C$34,2,FALSE))=TRUE,0,VLOOKUP(B232,'NÖBV 3'!$B$3:$C$34,2,FALSE)),IF(ISNA(VLOOKUP(B232,'NÖBV 3'!$F$3:$G$34,2,FALSE))=TRUE,0,VLOOKUP(B232,'NÖBV 3'!$F$3:$G$34,2,FALSE)),IF(ISNA(VLOOKUP(B232,'NÖBV 3'!$J$3:$K$34,2,FALSE))=TRUE,0,VLOOKUP(B232,'NÖBV 3'!$J$3:$K$34,2,FALSE)),IF(ISNA(VLOOKUP(B232,'NÖBV 3'!$N$3:$O$34,2,FALSE))=TRUE,0,VLOOKUP(B232,'NÖBV 3'!$N$3:$O$34,2,FALSE)))</f>
        <v>0</v>
      </c>
      <c r="O232" s="15">
        <f>MAX(IF(ISNA(VLOOKUP(B232,'Regioturnier 1'!$B$3:$C$34,2,FALSE))=TRUE,0,VLOOKUP(B232,'Regioturnier 1'!$B$3:$C$34,2,FALSE)),IF(ISNA(VLOOKUP(B232,'Regioturnier 1'!$F$3:$G$34,2,FALSE))=TRUE,0,VLOOKUP(B232,'Regioturnier 1'!$F$3:$G$34,2,FALSE)),IF(ISNA(VLOOKUP(B232,'Regioturnier 1'!$J$3:$K$34,2,FALSE))=TRUE,0,VLOOKUP(B232,'Regioturnier 1'!$J$3:$K$34,2,FALSE)),IF(ISNA(VLOOKUP(B232,'Regioturnier 1'!$N$3:$O$34,2,FALSE))=TRUE,0,VLOOKUP(B232,'Regioturnier 1'!$N$3:$O$34,2,FALSE)),IF(ISNA(VLOOKUP(B232,'Regioturnier 1'!$R$3:$S$34,2,FALSE))=TRUE,0,VLOOKUP(B232,'Regioturnier 1'!$R$3:$S$34,2,FALSE)), IF(ISNA(VLOOKUP(B232,'Regioturnier 1'!$V$3:$W$34,2,FALSE))=TRUE,0,VLOOKUP(B232,'Regioturnier 1'!$V$3:$W$34,2,FALSE)), IF(ISNA(VLOOKUP(B232,'Regioturnier 1'!$Z$3:$AA$34,2,FALSE))=TRUE,0,VLOOKUP(B232,'Regioturnier 1'!$Z$3:$AA$34,2,FALSE)))</f>
        <v>0</v>
      </c>
      <c r="P232" s="15">
        <f>MAX(IF(ISNA(VLOOKUP(B232,'Regioturnier 2'!$B$3:$C$34,2,FALSE))=TRUE,0,VLOOKUP(B232,'Regioturnier 2'!$B$3:$C$34,2,FALSE)),IF(ISNA(VLOOKUP(B232,'Regioturnier 2'!$F$3:$G$34,2,FALSE))=TRUE,0,VLOOKUP(B232,'Regioturnier 2'!$F$3:$G$34,2,FALSE)),IF(ISNA(VLOOKUP(B232,'Regioturnier 2'!$J$3:$K$34,2,FALSE))=TRUE,0,VLOOKUP(B232,'Regioturnier 2'!$J$3:$K$34,2,FALSE)),IF(ISNA(VLOOKUP(B232,'Regioturnier 2'!$N$3:$O$34,2,FALSE))=TRUE,0,VLOOKUP(B232,'Regioturnier 2'!$N$3:$O$34,2,FALSE)),IF(ISNA(VLOOKUP(B232,'Regioturnier 2'!$R$3:$S$34,2,FALSE))=TRUE,0,VLOOKUP(B232,'Regioturnier 2'!$R$3:$S$34,2,FALSE)), IF(ISNA(VLOOKUP(B232,'Regioturnier 2'!$V$3:$W$34,2,FALSE))=TRUE,0,VLOOKUP(B232,'Regioturnier 2'!$V$3:$W$34,2,FALSE)), IF(ISNA(VLOOKUP(B232,'Regioturnier 2'!$Z$3:$AA$34,2,FALSE))=TRUE,0,VLOOKUP(B232,'Regioturnier 2'!$Z$3:$AA$34,2,FALSE)))</f>
        <v>0</v>
      </c>
      <c r="Q232" s="15">
        <f>MAX(IF(ISNA(VLOOKUP(B232,'Regioturnier 3'!$B$3:$C$34,2,FALSE))=TRUE,0,VLOOKUP(B232,'Regioturnier 3'!$B$3:$C$34,2,FALSE)),IF(ISNA(VLOOKUP(B232,'Regioturnier 3'!$F$3:$G$34,2,FALSE))=TRUE,0,VLOOKUP(B232,'Regioturnier 3'!$F$3:$G$34,2,FALSE)),IF(ISNA(VLOOKUP(B232,'Regioturnier 3'!$J$3:$K$34,2,FALSE))=TRUE,0,VLOOKUP(B232,'Regioturnier 3'!$J$3:$K$34,2,FALSE)),IF(ISNA(VLOOKUP(B232,'Regioturnier 3'!$N$3:$O$34,2,FALSE))=TRUE,0,VLOOKUP(B232,'Regioturnier 3'!$N$3:$O$34,2,FALSE)),IF(ISNA(VLOOKUP(B232,'Regioturnier 3'!$R$3:$S$34,2,FALSE))=TRUE,0,VLOOKUP(B232,'Regioturnier 3'!$R$3:$S$34,2,FALSE)), IF(ISNA(VLOOKUP(B232,'Regioturnier 3'!$V$3:$W$34,2,FALSE))=TRUE,0,VLOOKUP(B232,'Regioturnier 3'!$V$3:$W$34,2,FALSE)), IF(ISNA(VLOOKUP(B232,'Regioturnier 3'!$Z$3:$AA$34,2,FALSE))=TRUE,0,VLOOKUP(B232,'Regioturnier 3'!$Z$3:$AA$34,2,FALSE)))</f>
        <v>0</v>
      </c>
      <c r="R232" s="20">
        <f>0.5*INDEX($H232:$N232,MATCH(LARGE($H232:$N232,1),$H232:$N232,0))+0.3*INDEX($H232:$N232,MATCH(LARGE($H232:$N232,2),$H232:$N232,0))+0.2*INDEX($H232:$N232,MATCH(LARGE($H232:$N232,3),$H232:$N232,0))</f>
        <v>0</v>
      </c>
      <c r="S232" s="20">
        <f>0.6*INDEX(O232:Q232,MATCH(LARGE(O232:Q232,1),O232:Q232,0))+0.4*INDEX(O232:Q232,MATCH(LARGE(O232:Q232,2),O232:Q232,0))+0*INDEX(O232:Q232,MATCH(LARGE(O232:Q232,3),O232:Q232,0))</f>
        <v>0</v>
      </c>
      <c r="T232" s="15">
        <f>1*INDEX(R232:S232,MATCH(LARGE(R232:S232,1),R232:S232,0))+0*INDEX(R232:S232,MATCH(LARGE(R232:S232,2),R232:S232,0))</f>
        <v>0</v>
      </c>
      <c r="U232" s="21"/>
      <c r="V232" s="21"/>
      <c r="W232" s="21"/>
      <c r="X232" s="21"/>
      <c r="Y232" s="21"/>
      <c r="Z232" s="21"/>
    </row>
    <row r="233" spans="1:26" ht="12.75" customHeight="1" x14ac:dyDescent="0.3">
      <c r="A233" s="15">
        <v>232</v>
      </c>
      <c r="B233" s="16" t="s">
        <v>117</v>
      </c>
      <c r="C233" s="17"/>
      <c r="D233" s="15"/>
      <c r="E233" s="18" t="s">
        <v>23</v>
      </c>
      <c r="F233" s="15"/>
      <c r="G233" s="22"/>
      <c r="H233" s="15">
        <f>MAX(IF(ISNA(VLOOKUP(B233,'WBV 1'!$B$3:$C$34,2,FALSE))=TRUE,0,VLOOKUP(B233,'WBV 1'!$B$3:$C$34,2,FALSE)),IF(ISNA(VLOOKUP(B233,'WBV 1'!$F$3:$G$34,2,FALSE))=TRUE,0,VLOOKUP(B233,'WBV 1'!$F$3:$G$34,2,FALSE)),IF(ISNA(VLOOKUP(B233,'WBV 1'!$J$3:$K$34,2,FALSE))=TRUE,0,VLOOKUP(B233,'WBV 1'!$J$3:$K$34,2,FALSE)),IF(ISNA(VLOOKUP(B233,'WBV 1'!$N$3:$O$34,2,FALSE))=TRUE,0,VLOOKUP(B233,'WBV 1'!$N$3:$O$34,2,FALSE)))</f>
        <v>0</v>
      </c>
      <c r="I233" s="15">
        <f>MAX(IF(ISNA(VLOOKUP(B233,'WBV 2'!$B$3:$C$34,2,FALSE))=TRUE,0,VLOOKUP(B233,'WBV 2'!$B$3:$C$34,2,FALSE)),IF(ISNA(VLOOKUP(B233,'WBV 2'!$F$3:$G$34,2,FALSE))=TRUE,0,VLOOKUP(B233,'WBV 2'!$F$3:$G$34,2,FALSE)),IF(ISNA(VLOOKUP(B233,'WBV 2'!$J$3:$K$34,2,FALSE))=TRUE,0,VLOOKUP(B233,'WBV 2'!$J$3:$K$34,2,FALSE)),IF(ISNA(VLOOKUP(B233,'WBV 2'!$N$3:$O$34,2,FALSE))=TRUE,0,VLOOKUP(B233,'WBV 2'!$N$3:$O$34,2,FALSE)))</f>
        <v>0</v>
      </c>
      <c r="J233" s="15">
        <f>MAX(IF(ISNA(VLOOKUP(B233,'WBV 3'!$B$3:$C$34,2,FALSE))=TRUE,0,VLOOKUP(B233,'WBV 3'!$B$3:$C$34,2,FALSE)),IF(ISNA(VLOOKUP(B233,'WBV 3'!$F$3:$G$34,2,FALSE))=TRUE,0,VLOOKUP(B233,'WBV 3'!$F$3:$G$34,2,FALSE)),IF(ISNA(VLOOKUP(B233,'WBV 3'!$J$3:$K$34,2,FALSE))=TRUE,0,VLOOKUP(B233,'WBV 3'!$J$3:$K$34,2,FALSE)),IF(ISNA(VLOOKUP(B233,'WBV 3'!$N$3:$O$34,2,FALSE))=TRUE,0,VLOOKUP(B233,'WBV 3'!$N$3:$O$34,2,FALSE)))</f>
        <v>0</v>
      </c>
      <c r="K233" s="15">
        <f>MAX(IF(ISNA(VLOOKUP(B233,'WBV 4'!$B$3:$C$34,2,FALSE))=TRUE,0,VLOOKUP(B233,'WBV 4'!$B$3:$C$34,2,FALSE)),IF(ISNA(VLOOKUP(B233,'WBV 4'!$F$3:$G$34,2,FALSE))=TRUE,0,VLOOKUP(B233,'WBV 4'!$F$3:$G$34,2,FALSE)),IF(ISNA(VLOOKUP(B233,'WBV 4'!$J$3:$K$34,2,FALSE))=TRUE,0,VLOOKUP(B233,'WBV 4'!$J$3:$K$34,2,FALSE)),IF(ISNA(VLOOKUP(B233,'WBV 4'!$N$3:$O$34,2,FALSE))=TRUE,0,VLOOKUP(B233,'WBV 4'!$N$3:$O$34,2,FALSE)))</f>
        <v>0</v>
      </c>
      <c r="L233" s="19">
        <f>MAX(IF(ISNA(VLOOKUP(B233,'NÖBV 1'!$B$3:$C$34,2,FALSE))=TRUE,0,VLOOKUP(B233,'NÖBV 1'!$B$3:$C$34,2,FALSE)),IF(ISNA(VLOOKUP(B233,'NÖBV 1'!$F$3:$G$34,2,FALSE))=TRUE,0,VLOOKUP(B233,'NÖBV 1'!$F$3:$G$34,2,FALSE)),IF(ISNA(VLOOKUP(B233,'NÖBV 1'!$J$3:$K$34,2,FALSE))=TRUE,0,VLOOKUP(B233,'NÖBV 1'!$J$3:$K$34,2,FALSE)),IF(ISNA(VLOOKUP(B233,'NÖBV 1'!$N$3:$O$34,2,FALSE))=TRUE,0,VLOOKUP(B233,'NÖBV 1'!$N$3:$O$34,2,FALSE)))</f>
        <v>0</v>
      </c>
      <c r="M233" s="19">
        <f>MAX(IF(ISNA(VLOOKUP(B233,'NÖBV 2'!$B$3:$C$34,2,FALSE))=TRUE,0,VLOOKUP(B233,'NÖBV 2'!$B$3:$C$34,2,FALSE)),IF(ISNA(VLOOKUP(B233,'NÖBV 2'!$F$3:$G$34,2,FALSE))=TRUE,0,VLOOKUP(B233,'NÖBV 2'!$F$3:$G$34,2,FALSE)),IF(ISNA(VLOOKUP(B233,'NÖBV 2'!$J$3:$K$34,2,FALSE))=TRUE,0,VLOOKUP(B233,'NÖBV 2'!$J$3:$K$34,2,FALSE)),IF(ISNA(VLOOKUP(B233,'NÖBV 2'!$N$3:$O$34,2,FALSE))=TRUE,0,VLOOKUP(B233,'NÖBV 2'!$N$3:$O$34,2,FALSE)))</f>
        <v>0</v>
      </c>
      <c r="N233" s="19">
        <f>MAX(IF(ISNA(VLOOKUP(B233,'NÖBV 3'!$B$3:$C$34,2,FALSE))=TRUE,0,VLOOKUP(B233,'NÖBV 3'!$B$3:$C$34,2,FALSE)),IF(ISNA(VLOOKUP(B233,'NÖBV 3'!$F$3:$G$34,2,FALSE))=TRUE,0,VLOOKUP(B233,'NÖBV 3'!$F$3:$G$34,2,FALSE)),IF(ISNA(VLOOKUP(B233,'NÖBV 3'!$J$3:$K$34,2,FALSE))=TRUE,0,VLOOKUP(B233,'NÖBV 3'!$J$3:$K$34,2,FALSE)),IF(ISNA(VLOOKUP(B233,'NÖBV 3'!$N$3:$O$34,2,FALSE))=TRUE,0,VLOOKUP(B233,'NÖBV 3'!$N$3:$O$34,2,FALSE)))</f>
        <v>0</v>
      </c>
      <c r="O233" s="15">
        <f>MAX(IF(ISNA(VLOOKUP(B233,'Regioturnier 1'!$B$3:$C$34,2,FALSE))=TRUE,0,VLOOKUP(B233,'Regioturnier 1'!$B$3:$C$34,2,FALSE)),IF(ISNA(VLOOKUP(B233,'Regioturnier 1'!$F$3:$G$34,2,FALSE))=TRUE,0,VLOOKUP(B233,'Regioturnier 1'!$F$3:$G$34,2,FALSE)),IF(ISNA(VLOOKUP(B233,'Regioturnier 1'!$J$3:$K$34,2,FALSE))=TRUE,0,VLOOKUP(B233,'Regioturnier 1'!$J$3:$K$34,2,FALSE)),IF(ISNA(VLOOKUP(B233,'Regioturnier 1'!$N$3:$O$34,2,FALSE))=TRUE,0,VLOOKUP(B233,'Regioturnier 1'!$N$3:$O$34,2,FALSE)),IF(ISNA(VLOOKUP(B233,'Regioturnier 1'!$R$3:$S$34,2,FALSE))=TRUE,0,VLOOKUP(B233,'Regioturnier 1'!$R$3:$S$34,2,FALSE)), IF(ISNA(VLOOKUP(B233,'Regioturnier 1'!$V$3:$W$34,2,FALSE))=TRUE,0,VLOOKUP(B233,'Regioturnier 1'!$V$3:$W$34,2,FALSE)), IF(ISNA(VLOOKUP(B233,'Regioturnier 1'!$Z$3:$AA$34,2,FALSE))=TRUE,0,VLOOKUP(B233,'Regioturnier 1'!$Z$3:$AA$34,2,FALSE)))</f>
        <v>0</v>
      </c>
      <c r="P233" s="15">
        <f>MAX(IF(ISNA(VLOOKUP(B233,'Regioturnier 2'!$B$3:$C$34,2,FALSE))=TRUE,0,VLOOKUP(B233,'Regioturnier 2'!$B$3:$C$34,2,FALSE)),IF(ISNA(VLOOKUP(B233,'Regioturnier 2'!$F$3:$G$34,2,FALSE))=TRUE,0,VLOOKUP(B233,'Regioturnier 2'!$F$3:$G$34,2,FALSE)),IF(ISNA(VLOOKUP(B233,'Regioturnier 2'!$J$3:$K$34,2,FALSE))=TRUE,0,VLOOKUP(B233,'Regioturnier 2'!$J$3:$K$34,2,FALSE)),IF(ISNA(VLOOKUP(B233,'Regioturnier 2'!$N$3:$O$34,2,FALSE))=TRUE,0,VLOOKUP(B233,'Regioturnier 2'!$N$3:$O$34,2,FALSE)),IF(ISNA(VLOOKUP(B233,'Regioturnier 2'!$R$3:$S$34,2,FALSE))=TRUE,0,VLOOKUP(B233,'Regioturnier 2'!$R$3:$S$34,2,FALSE)), IF(ISNA(VLOOKUP(B233,'Regioturnier 2'!$V$3:$W$34,2,FALSE))=TRUE,0,VLOOKUP(B233,'Regioturnier 2'!$V$3:$W$34,2,FALSE)), IF(ISNA(VLOOKUP(B233,'Regioturnier 2'!$Z$3:$AA$34,2,FALSE))=TRUE,0,VLOOKUP(B233,'Regioturnier 2'!$Z$3:$AA$34,2,FALSE)))</f>
        <v>0</v>
      </c>
      <c r="Q233" s="15">
        <f>MAX(IF(ISNA(VLOOKUP(B233,'Regioturnier 3'!$B$3:$C$34,2,FALSE))=TRUE,0,VLOOKUP(B233,'Regioturnier 3'!$B$3:$C$34,2,FALSE)),IF(ISNA(VLOOKUP(B233,'Regioturnier 3'!$F$3:$G$34,2,FALSE))=TRUE,0,VLOOKUP(B233,'Regioturnier 3'!$F$3:$G$34,2,FALSE)),IF(ISNA(VLOOKUP(B233,'Regioturnier 3'!$J$3:$K$34,2,FALSE))=TRUE,0,VLOOKUP(B233,'Regioturnier 3'!$J$3:$K$34,2,FALSE)),IF(ISNA(VLOOKUP(B233,'Regioturnier 3'!$N$3:$O$34,2,FALSE))=TRUE,0,VLOOKUP(B233,'Regioturnier 3'!$N$3:$O$34,2,FALSE)),IF(ISNA(VLOOKUP(B233,'Regioturnier 3'!$R$3:$S$34,2,FALSE))=TRUE,0,VLOOKUP(B233,'Regioturnier 3'!$R$3:$S$34,2,FALSE)), IF(ISNA(VLOOKUP(B233,'Regioturnier 3'!$V$3:$W$34,2,FALSE))=TRUE,0,VLOOKUP(B233,'Regioturnier 3'!$V$3:$W$34,2,FALSE)), IF(ISNA(VLOOKUP(B233,'Regioturnier 3'!$Z$3:$AA$34,2,FALSE))=TRUE,0,VLOOKUP(B233,'Regioturnier 3'!$Z$3:$AA$34,2,FALSE)))</f>
        <v>0</v>
      </c>
      <c r="R233" s="20">
        <f>0.5*INDEX($H233:$N233,MATCH(LARGE($H233:$N233,1),$H233:$N233,0))+0.3*INDEX($H233:$N233,MATCH(LARGE($H233:$N233,2),$H233:$N233,0))+0.2*INDEX($H233:$N233,MATCH(LARGE($H233:$N233,3),$H233:$N233,0))</f>
        <v>0</v>
      </c>
      <c r="S233" s="20">
        <f>0.6*INDEX(O233:Q233,MATCH(LARGE(O233:Q233,1),O233:Q233,0))+0.4*INDEX(O233:Q233,MATCH(LARGE(O233:Q233,2),O233:Q233,0))+0*INDEX(O233:Q233,MATCH(LARGE(O233:Q233,3),O233:Q233,0))</f>
        <v>0</v>
      </c>
      <c r="T233" s="15">
        <f>1*INDEX(R233:S233,MATCH(LARGE(R233:S233,1),R233:S233,0))+0*INDEX(R233:S233,MATCH(LARGE(R233:S233,2),R233:S233,0))</f>
        <v>0</v>
      </c>
      <c r="U233" s="21"/>
      <c r="V233" s="21"/>
      <c r="W233" s="21"/>
      <c r="X233" s="21"/>
      <c r="Y233" s="21"/>
      <c r="Z233" s="21"/>
    </row>
    <row r="234" spans="1:26" ht="12.75" customHeight="1" x14ac:dyDescent="0.3">
      <c r="A234" s="15">
        <v>233</v>
      </c>
      <c r="B234" s="16" t="s">
        <v>123</v>
      </c>
      <c r="C234" s="17" t="s">
        <v>54</v>
      </c>
      <c r="D234" s="15" t="s">
        <v>22</v>
      </c>
      <c r="E234" s="18" t="s">
        <v>23</v>
      </c>
      <c r="F234" s="15">
        <v>26513</v>
      </c>
      <c r="G234" s="22">
        <v>2010</v>
      </c>
      <c r="H234" s="15">
        <f>MAX(IF(ISNA(VLOOKUP(B234,'WBV 1'!$B$3:$C$34,2,FALSE))=TRUE,0,VLOOKUP(B234,'WBV 1'!$B$3:$C$34,2,FALSE)),IF(ISNA(VLOOKUP(B234,'WBV 1'!$F$3:$G$34,2,FALSE))=TRUE,0,VLOOKUP(B234,'WBV 1'!$F$3:$G$34,2,FALSE)),IF(ISNA(VLOOKUP(B234,'WBV 1'!$J$3:$K$34,2,FALSE))=TRUE,0,VLOOKUP(B234,'WBV 1'!$J$3:$K$34,2,FALSE)),IF(ISNA(VLOOKUP(B234,'WBV 1'!$N$3:$O$34,2,FALSE))=TRUE,0,VLOOKUP(B234,'WBV 1'!$N$3:$O$34,2,FALSE)))</f>
        <v>0</v>
      </c>
      <c r="I234" s="15">
        <f>MAX(IF(ISNA(VLOOKUP(B234,'WBV 2'!$B$3:$C$34,2,FALSE))=TRUE,0,VLOOKUP(B234,'WBV 2'!$B$3:$C$34,2,FALSE)),IF(ISNA(VLOOKUP(B234,'WBV 2'!$F$3:$G$34,2,FALSE))=TRUE,0,VLOOKUP(B234,'WBV 2'!$F$3:$G$34,2,FALSE)),IF(ISNA(VLOOKUP(B234,'WBV 2'!$J$3:$K$34,2,FALSE))=TRUE,0,VLOOKUP(B234,'WBV 2'!$J$3:$K$34,2,FALSE)),IF(ISNA(VLOOKUP(B234,'WBV 2'!$N$3:$O$34,2,FALSE))=TRUE,0,VLOOKUP(B234,'WBV 2'!$N$3:$O$34,2,FALSE)))</f>
        <v>0</v>
      </c>
      <c r="J234" s="15">
        <f>MAX(IF(ISNA(VLOOKUP(B234,'WBV 3'!$B$3:$C$34,2,FALSE))=TRUE,0,VLOOKUP(B234,'WBV 3'!$B$3:$C$34,2,FALSE)),IF(ISNA(VLOOKUP(B234,'WBV 3'!$F$3:$G$34,2,FALSE))=TRUE,0,VLOOKUP(B234,'WBV 3'!$F$3:$G$34,2,FALSE)),IF(ISNA(VLOOKUP(B234,'WBV 3'!$J$3:$K$34,2,FALSE))=TRUE,0,VLOOKUP(B234,'WBV 3'!$J$3:$K$34,2,FALSE)),IF(ISNA(VLOOKUP(B234,'WBV 3'!$N$3:$O$34,2,FALSE))=TRUE,0,VLOOKUP(B234,'WBV 3'!$N$3:$O$34,2,FALSE)))</f>
        <v>0</v>
      </c>
      <c r="K234" s="15">
        <f>MAX(IF(ISNA(VLOOKUP(B234,'WBV 4'!$B$3:$C$34,2,FALSE))=TRUE,0,VLOOKUP(B234,'WBV 4'!$B$3:$C$34,2,FALSE)),IF(ISNA(VLOOKUP(B234,'WBV 4'!$F$3:$G$34,2,FALSE))=TRUE,0,VLOOKUP(B234,'WBV 4'!$F$3:$G$34,2,FALSE)),IF(ISNA(VLOOKUP(B234,'WBV 4'!$J$3:$K$34,2,FALSE))=TRUE,0,VLOOKUP(B234,'WBV 4'!$J$3:$K$34,2,FALSE)),IF(ISNA(VLOOKUP(B234,'WBV 4'!$N$3:$O$34,2,FALSE))=TRUE,0,VLOOKUP(B234,'WBV 4'!$N$3:$O$34,2,FALSE)))</f>
        <v>0</v>
      </c>
      <c r="L234" s="19">
        <f>MAX(IF(ISNA(VLOOKUP(B234,'NÖBV 1'!$B$3:$C$34,2,FALSE))=TRUE,0,VLOOKUP(B234,'NÖBV 1'!$B$3:$C$34,2,FALSE)),IF(ISNA(VLOOKUP(B234,'NÖBV 1'!$F$3:$G$34,2,FALSE))=TRUE,0,VLOOKUP(B234,'NÖBV 1'!$F$3:$G$34,2,FALSE)),IF(ISNA(VLOOKUP(B234,'NÖBV 1'!$J$3:$K$34,2,FALSE))=TRUE,0,VLOOKUP(B234,'NÖBV 1'!$J$3:$K$34,2,FALSE)),IF(ISNA(VLOOKUP(B234,'NÖBV 1'!$N$3:$O$34,2,FALSE))=TRUE,0,VLOOKUP(B234,'NÖBV 1'!$N$3:$O$34,2,FALSE)))</f>
        <v>0</v>
      </c>
      <c r="M234" s="19">
        <f>MAX(IF(ISNA(VLOOKUP(B234,'NÖBV 2'!$B$3:$C$34,2,FALSE))=TRUE,0,VLOOKUP(B234,'NÖBV 2'!$B$3:$C$34,2,FALSE)),IF(ISNA(VLOOKUP(B234,'NÖBV 2'!$F$3:$G$34,2,FALSE))=TRUE,0,VLOOKUP(B234,'NÖBV 2'!$F$3:$G$34,2,FALSE)),IF(ISNA(VLOOKUP(B234,'NÖBV 2'!$J$3:$K$34,2,FALSE))=TRUE,0,VLOOKUP(B234,'NÖBV 2'!$J$3:$K$34,2,FALSE)),IF(ISNA(VLOOKUP(B234,'NÖBV 2'!$N$3:$O$34,2,FALSE))=TRUE,0,VLOOKUP(B234,'NÖBV 2'!$N$3:$O$34,2,FALSE)))</f>
        <v>0</v>
      </c>
      <c r="N234" s="19">
        <f>MAX(IF(ISNA(VLOOKUP(B234,'NÖBV 3'!$B$3:$C$34,2,FALSE))=TRUE,0,VLOOKUP(B234,'NÖBV 3'!$B$3:$C$34,2,FALSE)),IF(ISNA(VLOOKUP(B234,'NÖBV 3'!$F$3:$G$34,2,FALSE))=TRUE,0,VLOOKUP(B234,'NÖBV 3'!$F$3:$G$34,2,FALSE)),IF(ISNA(VLOOKUP(B234,'NÖBV 3'!$J$3:$K$34,2,FALSE))=TRUE,0,VLOOKUP(B234,'NÖBV 3'!$J$3:$K$34,2,FALSE)),IF(ISNA(VLOOKUP(B234,'NÖBV 3'!$N$3:$O$34,2,FALSE))=TRUE,0,VLOOKUP(B234,'NÖBV 3'!$N$3:$O$34,2,FALSE)))</f>
        <v>0</v>
      </c>
      <c r="O234" s="15">
        <f>MAX(IF(ISNA(VLOOKUP(B234,'Regioturnier 1'!$B$3:$C$34,2,FALSE))=TRUE,0,VLOOKUP(B234,'Regioturnier 1'!$B$3:$C$34,2,FALSE)),IF(ISNA(VLOOKUP(B234,'Regioturnier 1'!$F$3:$G$34,2,FALSE))=TRUE,0,VLOOKUP(B234,'Regioturnier 1'!$F$3:$G$34,2,FALSE)),IF(ISNA(VLOOKUP(B234,'Regioturnier 1'!$J$3:$K$34,2,FALSE))=TRUE,0,VLOOKUP(B234,'Regioturnier 1'!$J$3:$K$34,2,FALSE)),IF(ISNA(VLOOKUP(B234,'Regioturnier 1'!$N$3:$O$34,2,FALSE))=TRUE,0,VLOOKUP(B234,'Regioturnier 1'!$N$3:$O$34,2,FALSE)),IF(ISNA(VLOOKUP(B234,'Regioturnier 1'!$R$3:$S$34,2,FALSE))=TRUE,0,VLOOKUP(B234,'Regioturnier 1'!$R$3:$S$34,2,FALSE)), IF(ISNA(VLOOKUP(B234,'Regioturnier 1'!$V$3:$W$34,2,FALSE))=TRUE,0,VLOOKUP(B234,'Regioturnier 1'!$V$3:$W$34,2,FALSE)), IF(ISNA(VLOOKUP(B234,'Regioturnier 1'!$Z$3:$AA$34,2,FALSE))=TRUE,0,VLOOKUP(B234,'Regioturnier 1'!$Z$3:$AA$34,2,FALSE)))</f>
        <v>0</v>
      </c>
      <c r="P234" s="15">
        <f>MAX(IF(ISNA(VLOOKUP(B234,'Regioturnier 2'!$B$3:$C$34,2,FALSE))=TRUE,0,VLOOKUP(B234,'Regioturnier 2'!$B$3:$C$34,2,FALSE)),IF(ISNA(VLOOKUP(B234,'Regioturnier 2'!$F$3:$G$34,2,FALSE))=TRUE,0,VLOOKUP(B234,'Regioturnier 2'!$F$3:$G$34,2,FALSE)),IF(ISNA(VLOOKUP(B234,'Regioturnier 2'!$J$3:$K$34,2,FALSE))=TRUE,0,VLOOKUP(B234,'Regioturnier 2'!$J$3:$K$34,2,FALSE)),IF(ISNA(VLOOKUP(B234,'Regioturnier 2'!$N$3:$O$34,2,FALSE))=TRUE,0,VLOOKUP(B234,'Regioturnier 2'!$N$3:$O$34,2,FALSE)),IF(ISNA(VLOOKUP(B234,'Regioturnier 2'!$R$3:$S$34,2,FALSE))=TRUE,0,VLOOKUP(B234,'Regioturnier 2'!$R$3:$S$34,2,FALSE)), IF(ISNA(VLOOKUP(B234,'Regioturnier 2'!$V$3:$W$34,2,FALSE))=TRUE,0,VLOOKUP(B234,'Regioturnier 2'!$V$3:$W$34,2,FALSE)), IF(ISNA(VLOOKUP(B234,'Regioturnier 2'!$Z$3:$AA$34,2,FALSE))=TRUE,0,VLOOKUP(B234,'Regioturnier 2'!$Z$3:$AA$34,2,FALSE)))</f>
        <v>0</v>
      </c>
      <c r="Q234" s="15">
        <f>MAX(IF(ISNA(VLOOKUP(B234,'Regioturnier 3'!$B$3:$C$34,2,FALSE))=TRUE,0,VLOOKUP(B234,'Regioturnier 3'!$B$3:$C$34,2,FALSE)),IF(ISNA(VLOOKUP(B234,'Regioturnier 3'!$F$3:$G$34,2,FALSE))=TRUE,0,VLOOKUP(B234,'Regioturnier 3'!$F$3:$G$34,2,FALSE)),IF(ISNA(VLOOKUP(B234,'Regioturnier 3'!$J$3:$K$34,2,FALSE))=TRUE,0,VLOOKUP(B234,'Regioturnier 3'!$J$3:$K$34,2,FALSE)),IF(ISNA(VLOOKUP(B234,'Regioturnier 3'!$N$3:$O$34,2,FALSE))=TRUE,0,VLOOKUP(B234,'Regioturnier 3'!$N$3:$O$34,2,FALSE)),IF(ISNA(VLOOKUP(B234,'Regioturnier 3'!$R$3:$S$34,2,FALSE))=TRUE,0,VLOOKUP(B234,'Regioturnier 3'!$R$3:$S$34,2,FALSE)), IF(ISNA(VLOOKUP(B234,'Regioturnier 3'!$V$3:$W$34,2,FALSE))=TRUE,0,VLOOKUP(B234,'Regioturnier 3'!$V$3:$W$34,2,FALSE)), IF(ISNA(VLOOKUP(B234,'Regioturnier 3'!$Z$3:$AA$34,2,FALSE))=TRUE,0,VLOOKUP(B234,'Regioturnier 3'!$Z$3:$AA$34,2,FALSE)))</f>
        <v>0</v>
      </c>
      <c r="R234" s="20">
        <f>0.5*INDEX($H234:$N234,MATCH(LARGE($H234:$N234,1),$H234:$N234,0))+0.3*INDEX($H234:$N234,MATCH(LARGE($H234:$N234,2),$H234:$N234,0))+0.2*INDEX($H234:$N234,MATCH(LARGE($H234:$N234,3),$H234:$N234,0))</f>
        <v>0</v>
      </c>
      <c r="S234" s="20">
        <f>0.6*INDEX(O234:Q234,MATCH(LARGE(O234:Q234,1),O234:Q234,0))+0.4*INDEX(O234:Q234,MATCH(LARGE(O234:Q234,2),O234:Q234,0))+0*INDEX(O234:Q234,MATCH(LARGE(O234:Q234,3),O234:Q234,0))</f>
        <v>0</v>
      </c>
      <c r="T234" s="15">
        <f>1*INDEX(R234:S234,MATCH(LARGE(R234:S234,1),R234:S234,0))+0*INDEX(R234:S234,MATCH(LARGE(R234:S234,2),R234:S234,0))</f>
        <v>0</v>
      </c>
      <c r="U234" s="21"/>
      <c r="V234" s="21"/>
      <c r="W234" s="21"/>
      <c r="X234" s="21"/>
      <c r="Y234" s="21"/>
      <c r="Z234" s="21"/>
    </row>
    <row r="235" spans="1:26" ht="12.75" customHeight="1" x14ac:dyDescent="0.3">
      <c r="A235" s="15">
        <v>234</v>
      </c>
      <c r="B235" s="16" t="s">
        <v>125</v>
      </c>
      <c r="C235" s="17"/>
      <c r="D235" s="15"/>
      <c r="E235" s="18" t="s">
        <v>23</v>
      </c>
      <c r="F235" s="15"/>
      <c r="G235" s="22"/>
      <c r="H235" s="15">
        <f>MAX(IF(ISNA(VLOOKUP(B235,'WBV 1'!$B$3:$C$34,2,FALSE))=TRUE,0,VLOOKUP(B235,'WBV 1'!$B$3:$C$34,2,FALSE)),IF(ISNA(VLOOKUP(B235,'WBV 1'!$F$3:$G$34,2,FALSE))=TRUE,0,VLOOKUP(B235,'WBV 1'!$F$3:$G$34,2,FALSE)),IF(ISNA(VLOOKUP(B235,'WBV 1'!$J$3:$K$34,2,FALSE))=TRUE,0,VLOOKUP(B235,'WBV 1'!$J$3:$K$34,2,FALSE)),IF(ISNA(VLOOKUP(B235,'WBV 1'!$N$3:$O$34,2,FALSE))=TRUE,0,VLOOKUP(B235,'WBV 1'!$N$3:$O$34,2,FALSE)))</f>
        <v>0</v>
      </c>
      <c r="I235" s="15">
        <f>MAX(IF(ISNA(VLOOKUP(B235,'WBV 2'!$B$3:$C$34,2,FALSE))=TRUE,0,VLOOKUP(B235,'WBV 2'!$B$3:$C$34,2,FALSE)),IF(ISNA(VLOOKUP(B235,'WBV 2'!$F$3:$G$34,2,FALSE))=TRUE,0,VLOOKUP(B235,'WBV 2'!$F$3:$G$34,2,FALSE)),IF(ISNA(VLOOKUP(B235,'WBV 2'!$J$3:$K$34,2,FALSE))=TRUE,0,VLOOKUP(B235,'WBV 2'!$J$3:$K$34,2,FALSE)),IF(ISNA(VLOOKUP(B235,'WBV 2'!$N$3:$O$34,2,FALSE))=TRUE,0,VLOOKUP(B235,'WBV 2'!$N$3:$O$34,2,FALSE)))</f>
        <v>0</v>
      </c>
      <c r="J235" s="15">
        <f>MAX(IF(ISNA(VLOOKUP(B235,'WBV 3'!$B$3:$C$34,2,FALSE))=TRUE,0,VLOOKUP(B235,'WBV 3'!$B$3:$C$34,2,FALSE)),IF(ISNA(VLOOKUP(B235,'WBV 3'!$F$3:$G$34,2,FALSE))=TRUE,0,VLOOKUP(B235,'WBV 3'!$F$3:$G$34,2,FALSE)),IF(ISNA(VLOOKUP(B235,'WBV 3'!$J$3:$K$34,2,FALSE))=TRUE,0,VLOOKUP(B235,'WBV 3'!$J$3:$K$34,2,FALSE)),IF(ISNA(VLOOKUP(B235,'WBV 3'!$N$3:$O$34,2,FALSE))=TRUE,0,VLOOKUP(B235,'WBV 3'!$N$3:$O$34,2,FALSE)))</f>
        <v>0</v>
      </c>
      <c r="K235" s="15">
        <f>MAX(IF(ISNA(VLOOKUP(B235,'WBV 4'!$B$3:$C$34,2,FALSE))=TRUE,0,VLOOKUP(B235,'WBV 4'!$B$3:$C$34,2,FALSE)),IF(ISNA(VLOOKUP(B235,'WBV 4'!$F$3:$G$34,2,FALSE))=TRUE,0,VLOOKUP(B235,'WBV 4'!$F$3:$G$34,2,FALSE)),IF(ISNA(VLOOKUP(B235,'WBV 4'!$J$3:$K$34,2,FALSE))=TRUE,0,VLOOKUP(B235,'WBV 4'!$J$3:$K$34,2,FALSE)),IF(ISNA(VLOOKUP(B235,'WBV 4'!$N$3:$O$34,2,FALSE))=TRUE,0,VLOOKUP(B235,'WBV 4'!$N$3:$O$34,2,FALSE)))</f>
        <v>0</v>
      </c>
      <c r="L235" s="19">
        <f>MAX(IF(ISNA(VLOOKUP(B235,'NÖBV 1'!$B$3:$C$34,2,FALSE))=TRUE,0,VLOOKUP(B235,'NÖBV 1'!$B$3:$C$34,2,FALSE)),IF(ISNA(VLOOKUP(B235,'NÖBV 1'!$F$3:$G$34,2,FALSE))=TRUE,0,VLOOKUP(B235,'NÖBV 1'!$F$3:$G$34,2,FALSE)),IF(ISNA(VLOOKUP(B235,'NÖBV 1'!$J$3:$K$34,2,FALSE))=TRUE,0,VLOOKUP(B235,'NÖBV 1'!$J$3:$K$34,2,FALSE)),IF(ISNA(VLOOKUP(B235,'NÖBV 1'!$N$3:$O$34,2,FALSE))=TRUE,0,VLOOKUP(B235,'NÖBV 1'!$N$3:$O$34,2,FALSE)))</f>
        <v>0</v>
      </c>
      <c r="M235" s="19">
        <f>MAX(IF(ISNA(VLOOKUP(B235,'NÖBV 2'!$B$3:$C$34,2,FALSE))=TRUE,0,VLOOKUP(B235,'NÖBV 2'!$B$3:$C$34,2,FALSE)),IF(ISNA(VLOOKUP(B235,'NÖBV 2'!$F$3:$G$34,2,FALSE))=TRUE,0,VLOOKUP(B235,'NÖBV 2'!$F$3:$G$34,2,FALSE)),IF(ISNA(VLOOKUP(B235,'NÖBV 2'!$J$3:$K$34,2,FALSE))=TRUE,0,VLOOKUP(B235,'NÖBV 2'!$J$3:$K$34,2,FALSE)),IF(ISNA(VLOOKUP(B235,'NÖBV 2'!$N$3:$O$34,2,FALSE))=TRUE,0,VLOOKUP(B235,'NÖBV 2'!$N$3:$O$34,2,FALSE)))</f>
        <v>0</v>
      </c>
      <c r="N235" s="19">
        <f>MAX(IF(ISNA(VLOOKUP(B235,'NÖBV 3'!$B$3:$C$34,2,FALSE))=TRUE,0,VLOOKUP(B235,'NÖBV 3'!$B$3:$C$34,2,FALSE)),IF(ISNA(VLOOKUP(B235,'NÖBV 3'!$F$3:$G$34,2,FALSE))=TRUE,0,VLOOKUP(B235,'NÖBV 3'!$F$3:$G$34,2,FALSE)),IF(ISNA(VLOOKUP(B235,'NÖBV 3'!$J$3:$K$34,2,FALSE))=TRUE,0,VLOOKUP(B235,'NÖBV 3'!$J$3:$K$34,2,FALSE)),IF(ISNA(VLOOKUP(B235,'NÖBV 3'!$N$3:$O$34,2,FALSE))=TRUE,0,VLOOKUP(B235,'NÖBV 3'!$N$3:$O$34,2,FALSE)))</f>
        <v>0</v>
      </c>
      <c r="O235" s="15">
        <f>MAX(IF(ISNA(VLOOKUP(B235,'Regioturnier 1'!$B$3:$C$34,2,FALSE))=TRUE,0,VLOOKUP(B235,'Regioturnier 1'!$B$3:$C$34,2,FALSE)),IF(ISNA(VLOOKUP(B235,'Regioturnier 1'!$F$3:$G$34,2,FALSE))=TRUE,0,VLOOKUP(B235,'Regioturnier 1'!$F$3:$G$34,2,FALSE)),IF(ISNA(VLOOKUP(B235,'Regioturnier 1'!$J$3:$K$34,2,FALSE))=TRUE,0,VLOOKUP(B235,'Regioturnier 1'!$J$3:$K$34,2,FALSE)),IF(ISNA(VLOOKUP(B235,'Regioturnier 1'!$N$3:$O$34,2,FALSE))=TRUE,0,VLOOKUP(B235,'Regioturnier 1'!$N$3:$O$34,2,FALSE)),IF(ISNA(VLOOKUP(B235,'Regioturnier 1'!$R$3:$S$34,2,FALSE))=TRUE,0,VLOOKUP(B235,'Regioturnier 1'!$R$3:$S$34,2,FALSE)), IF(ISNA(VLOOKUP(B235,'Regioturnier 1'!$V$3:$W$34,2,FALSE))=TRUE,0,VLOOKUP(B235,'Regioturnier 1'!$V$3:$W$34,2,FALSE)), IF(ISNA(VLOOKUP(B235,'Regioturnier 1'!$Z$3:$AA$34,2,FALSE))=TRUE,0,VLOOKUP(B235,'Regioturnier 1'!$Z$3:$AA$34,2,FALSE)))</f>
        <v>0</v>
      </c>
      <c r="P235" s="15">
        <f>MAX(IF(ISNA(VLOOKUP(B235,'Regioturnier 2'!$B$3:$C$34,2,FALSE))=TRUE,0,VLOOKUP(B235,'Regioturnier 2'!$B$3:$C$34,2,FALSE)),IF(ISNA(VLOOKUP(B235,'Regioturnier 2'!$F$3:$G$34,2,FALSE))=TRUE,0,VLOOKUP(B235,'Regioturnier 2'!$F$3:$G$34,2,FALSE)),IF(ISNA(VLOOKUP(B235,'Regioturnier 2'!$J$3:$K$34,2,FALSE))=TRUE,0,VLOOKUP(B235,'Regioturnier 2'!$J$3:$K$34,2,FALSE)),IF(ISNA(VLOOKUP(B235,'Regioturnier 2'!$N$3:$O$34,2,FALSE))=TRUE,0,VLOOKUP(B235,'Regioturnier 2'!$N$3:$O$34,2,FALSE)),IF(ISNA(VLOOKUP(B235,'Regioturnier 2'!$R$3:$S$34,2,FALSE))=TRUE,0,VLOOKUP(B235,'Regioturnier 2'!$R$3:$S$34,2,FALSE)), IF(ISNA(VLOOKUP(B235,'Regioturnier 2'!$V$3:$W$34,2,FALSE))=TRUE,0,VLOOKUP(B235,'Regioturnier 2'!$V$3:$W$34,2,FALSE)), IF(ISNA(VLOOKUP(B235,'Regioturnier 2'!$Z$3:$AA$34,2,FALSE))=TRUE,0,VLOOKUP(B235,'Regioturnier 2'!$Z$3:$AA$34,2,FALSE)))</f>
        <v>0</v>
      </c>
      <c r="Q235" s="15">
        <f>MAX(IF(ISNA(VLOOKUP(B235,'Regioturnier 3'!$B$3:$C$34,2,FALSE))=TRUE,0,VLOOKUP(B235,'Regioturnier 3'!$B$3:$C$34,2,FALSE)),IF(ISNA(VLOOKUP(B235,'Regioturnier 3'!$F$3:$G$34,2,FALSE))=TRUE,0,VLOOKUP(B235,'Regioturnier 3'!$F$3:$G$34,2,FALSE)),IF(ISNA(VLOOKUP(B235,'Regioturnier 3'!$J$3:$K$34,2,FALSE))=TRUE,0,VLOOKUP(B235,'Regioturnier 3'!$J$3:$K$34,2,FALSE)),IF(ISNA(VLOOKUP(B235,'Regioturnier 3'!$N$3:$O$34,2,FALSE))=TRUE,0,VLOOKUP(B235,'Regioturnier 3'!$N$3:$O$34,2,FALSE)),IF(ISNA(VLOOKUP(B235,'Regioturnier 3'!$R$3:$S$34,2,FALSE))=TRUE,0,VLOOKUP(B235,'Regioturnier 3'!$R$3:$S$34,2,FALSE)), IF(ISNA(VLOOKUP(B235,'Regioturnier 3'!$V$3:$W$34,2,FALSE))=TRUE,0,VLOOKUP(B235,'Regioturnier 3'!$V$3:$W$34,2,FALSE)), IF(ISNA(VLOOKUP(B235,'Regioturnier 3'!$Z$3:$AA$34,2,FALSE))=TRUE,0,VLOOKUP(B235,'Regioturnier 3'!$Z$3:$AA$34,2,FALSE)))</f>
        <v>0</v>
      </c>
      <c r="R235" s="20">
        <f>0.5*INDEX($H235:$N235,MATCH(LARGE($H235:$N235,1),$H235:$N235,0))+0.3*INDEX($H235:$N235,MATCH(LARGE($H235:$N235,2),$H235:$N235,0))+0.2*INDEX($H235:$N235,MATCH(LARGE($H235:$N235,3),$H235:$N235,0))</f>
        <v>0</v>
      </c>
      <c r="S235" s="20">
        <f>0.6*INDEX(O235:Q235,MATCH(LARGE(O235:Q235,1),O235:Q235,0))+0.4*INDEX(O235:Q235,MATCH(LARGE(O235:Q235,2),O235:Q235,0))+0*INDEX(O235:Q235,MATCH(LARGE(O235:Q235,3),O235:Q235,0))</f>
        <v>0</v>
      </c>
      <c r="T235" s="15">
        <f>1*INDEX(R235:S235,MATCH(LARGE(R235:S235,1),R235:S235,0))+0*INDEX(R235:S235,MATCH(LARGE(R235:S235,2),R235:S235,0))</f>
        <v>0</v>
      </c>
      <c r="U235" s="21"/>
      <c r="V235" s="21"/>
      <c r="W235" s="21"/>
      <c r="X235" s="21"/>
      <c r="Y235" s="21"/>
      <c r="Z235" s="21"/>
    </row>
    <row r="236" spans="1:26" ht="12.75" customHeight="1" x14ac:dyDescent="0.3">
      <c r="A236" s="15">
        <v>235</v>
      </c>
      <c r="B236" s="16" t="s">
        <v>140</v>
      </c>
      <c r="C236" s="17" t="s">
        <v>31</v>
      </c>
      <c r="D236" s="15" t="s">
        <v>26</v>
      </c>
      <c r="E236" s="18" t="s">
        <v>40</v>
      </c>
      <c r="F236" s="15">
        <v>109070</v>
      </c>
      <c r="G236" s="22">
        <v>2009</v>
      </c>
      <c r="H236" s="15">
        <f>MAX(IF(ISNA(VLOOKUP(B236,'WBV 1'!$B$3:$C$34,2,FALSE))=TRUE,0,VLOOKUP(B236,'WBV 1'!$B$3:$C$34,2,FALSE)),IF(ISNA(VLOOKUP(B236,'WBV 1'!$F$3:$G$34,2,FALSE))=TRUE,0,VLOOKUP(B236,'WBV 1'!$F$3:$G$34,2,FALSE)),IF(ISNA(VLOOKUP(B236,'WBV 1'!$J$3:$K$34,2,FALSE))=TRUE,0,VLOOKUP(B236,'WBV 1'!$J$3:$K$34,2,FALSE)),IF(ISNA(VLOOKUP(B236,'WBV 1'!$N$3:$O$34,2,FALSE))=TRUE,0,VLOOKUP(B236,'WBV 1'!$N$3:$O$34,2,FALSE)))</f>
        <v>0</v>
      </c>
      <c r="I236" s="15">
        <f>MAX(IF(ISNA(VLOOKUP(B236,'WBV 2'!$B$3:$C$34,2,FALSE))=TRUE,0,VLOOKUP(B236,'WBV 2'!$B$3:$C$34,2,FALSE)),IF(ISNA(VLOOKUP(B236,'WBV 2'!$F$3:$G$34,2,FALSE))=TRUE,0,VLOOKUP(B236,'WBV 2'!$F$3:$G$34,2,FALSE)),IF(ISNA(VLOOKUP(B236,'WBV 2'!$J$3:$K$34,2,FALSE))=TRUE,0,VLOOKUP(B236,'WBV 2'!$J$3:$K$34,2,FALSE)),IF(ISNA(VLOOKUP(B236,'WBV 2'!$N$3:$O$34,2,FALSE))=TRUE,0,VLOOKUP(B236,'WBV 2'!$N$3:$O$34,2,FALSE)))</f>
        <v>0</v>
      </c>
      <c r="J236" s="15">
        <f>MAX(IF(ISNA(VLOOKUP(B236,'WBV 3'!$B$3:$C$34,2,FALSE))=TRUE,0,VLOOKUP(B236,'WBV 3'!$B$3:$C$34,2,FALSE)),IF(ISNA(VLOOKUP(B236,'WBV 3'!$F$3:$G$34,2,FALSE))=TRUE,0,VLOOKUP(B236,'WBV 3'!$F$3:$G$34,2,FALSE)),IF(ISNA(VLOOKUP(B236,'WBV 3'!$J$3:$K$34,2,FALSE))=TRUE,0,VLOOKUP(B236,'WBV 3'!$J$3:$K$34,2,FALSE)),IF(ISNA(VLOOKUP(B236,'WBV 3'!$N$3:$O$34,2,FALSE))=TRUE,0,VLOOKUP(B236,'WBV 3'!$N$3:$O$34,2,FALSE)))</f>
        <v>0</v>
      </c>
      <c r="K236" s="15">
        <f>MAX(IF(ISNA(VLOOKUP(B236,'WBV 4'!$B$3:$C$34,2,FALSE))=TRUE,0,VLOOKUP(B236,'WBV 4'!$B$3:$C$34,2,FALSE)),IF(ISNA(VLOOKUP(B236,'WBV 4'!$F$3:$G$34,2,FALSE))=TRUE,0,VLOOKUP(B236,'WBV 4'!$F$3:$G$34,2,FALSE)),IF(ISNA(VLOOKUP(B236,'WBV 4'!$J$3:$K$34,2,FALSE))=TRUE,0,VLOOKUP(B236,'WBV 4'!$J$3:$K$34,2,FALSE)),IF(ISNA(VLOOKUP(B236,'WBV 4'!$N$3:$O$34,2,FALSE))=TRUE,0,VLOOKUP(B236,'WBV 4'!$N$3:$O$34,2,FALSE)))</f>
        <v>0</v>
      </c>
      <c r="L236" s="19">
        <f>MAX(IF(ISNA(VLOOKUP(B236,'NÖBV 1'!$B$3:$C$34,2,FALSE))=TRUE,0,VLOOKUP(B236,'NÖBV 1'!$B$3:$C$34,2,FALSE)),IF(ISNA(VLOOKUP(B236,'NÖBV 1'!$F$3:$G$34,2,FALSE))=TRUE,0,VLOOKUP(B236,'NÖBV 1'!$F$3:$G$34,2,FALSE)),IF(ISNA(VLOOKUP(B236,'NÖBV 1'!$J$3:$K$34,2,FALSE))=TRUE,0,VLOOKUP(B236,'NÖBV 1'!$J$3:$K$34,2,FALSE)),IF(ISNA(VLOOKUP(B236,'NÖBV 1'!$N$3:$O$34,2,FALSE))=TRUE,0,VLOOKUP(B236,'NÖBV 1'!$N$3:$O$34,2,FALSE)))</f>
        <v>0</v>
      </c>
      <c r="M236" s="19">
        <f>MAX(IF(ISNA(VLOOKUP(B236,'NÖBV 2'!$B$3:$C$34,2,FALSE))=TRUE,0,VLOOKUP(B236,'NÖBV 2'!$B$3:$C$34,2,FALSE)),IF(ISNA(VLOOKUP(B236,'NÖBV 2'!$F$3:$G$34,2,FALSE))=TRUE,0,VLOOKUP(B236,'NÖBV 2'!$F$3:$G$34,2,FALSE)),IF(ISNA(VLOOKUP(B236,'NÖBV 2'!$J$3:$K$34,2,FALSE))=TRUE,0,VLOOKUP(B236,'NÖBV 2'!$J$3:$K$34,2,FALSE)),IF(ISNA(VLOOKUP(B236,'NÖBV 2'!$N$3:$O$34,2,FALSE))=TRUE,0,VLOOKUP(B236,'NÖBV 2'!$N$3:$O$34,2,FALSE)))</f>
        <v>0</v>
      </c>
      <c r="N236" s="19">
        <f>MAX(IF(ISNA(VLOOKUP(B236,'NÖBV 3'!$B$3:$C$34,2,FALSE))=TRUE,0,VLOOKUP(B236,'NÖBV 3'!$B$3:$C$34,2,FALSE)),IF(ISNA(VLOOKUP(B236,'NÖBV 3'!$F$3:$G$34,2,FALSE))=TRUE,0,VLOOKUP(B236,'NÖBV 3'!$F$3:$G$34,2,FALSE)),IF(ISNA(VLOOKUP(B236,'NÖBV 3'!$J$3:$K$34,2,FALSE))=TRUE,0,VLOOKUP(B236,'NÖBV 3'!$J$3:$K$34,2,FALSE)),IF(ISNA(VLOOKUP(B236,'NÖBV 3'!$N$3:$O$34,2,FALSE))=TRUE,0,VLOOKUP(B236,'NÖBV 3'!$N$3:$O$34,2,FALSE)))</f>
        <v>0</v>
      </c>
      <c r="O236" s="15">
        <f>MAX(IF(ISNA(VLOOKUP(B236,'Regioturnier 1'!$B$3:$C$34,2,FALSE))=TRUE,0,VLOOKUP(B236,'Regioturnier 1'!$B$3:$C$34,2,FALSE)),IF(ISNA(VLOOKUP(B236,'Regioturnier 1'!$F$3:$G$34,2,FALSE))=TRUE,0,VLOOKUP(B236,'Regioturnier 1'!$F$3:$G$34,2,FALSE)),IF(ISNA(VLOOKUP(B236,'Regioturnier 1'!$J$3:$K$34,2,FALSE))=TRUE,0,VLOOKUP(B236,'Regioturnier 1'!$J$3:$K$34,2,FALSE)),IF(ISNA(VLOOKUP(B236,'Regioturnier 1'!$N$3:$O$34,2,FALSE))=TRUE,0,VLOOKUP(B236,'Regioturnier 1'!$N$3:$O$34,2,FALSE)),IF(ISNA(VLOOKUP(B236,'Regioturnier 1'!$R$3:$S$34,2,FALSE))=TRUE,0,VLOOKUP(B236,'Regioturnier 1'!$R$3:$S$34,2,FALSE)), IF(ISNA(VLOOKUP(B236,'Regioturnier 1'!$V$3:$W$34,2,FALSE))=TRUE,0,VLOOKUP(B236,'Regioturnier 1'!$V$3:$W$34,2,FALSE)), IF(ISNA(VLOOKUP(B236,'Regioturnier 1'!$Z$3:$AA$34,2,FALSE))=TRUE,0,VLOOKUP(B236,'Regioturnier 1'!$Z$3:$AA$34,2,FALSE)))</f>
        <v>0</v>
      </c>
      <c r="P236" s="15">
        <f>MAX(IF(ISNA(VLOOKUP(B236,'Regioturnier 2'!$B$3:$C$34,2,FALSE))=TRUE,0,VLOOKUP(B236,'Regioturnier 2'!$B$3:$C$34,2,FALSE)),IF(ISNA(VLOOKUP(B236,'Regioturnier 2'!$F$3:$G$34,2,FALSE))=TRUE,0,VLOOKUP(B236,'Regioturnier 2'!$F$3:$G$34,2,FALSE)),IF(ISNA(VLOOKUP(B236,'Regioturnier 2'!$J$3:$K$34,2,FALSE))=TRUE,0,VLOOKUP(B236,'Regioturnier 2'!$J$3:$K$34,2,FALSE)),IF(ISNA(VLOOKUP(B236,'Regioturnier 2'!$N$3:$O$34,2,FALSE))=TRUE,0,VLOOKUP(B236,'Regioturnier 2'!$N$3:$O$34,2,FALSE)),IF(ISNA(VLOOKUP(B236,'Regioturnier 2'!$R$3:$S$34,2,FALSE))=TRUE,0,VLOOKUP(B236,'Regioturnier 2'!$R$3:$S$34,2,FALSE)), IF(ISNA(VLOOKUP(B236,'Regioturnier 2'!$V$3:$W$34,2,FALSE))=TRUE,0,VLOOKUP(B236,'Regioturnier 2'!$V$3:$W$34,2,FALSE)), IF(ISNA(VLOOKUP(B236,'Regioturnier 2'!$Z$3:$AA$34,2,FALSE))=TRUE,0,VLOOKUP(B236,'Regioturnier 2'!$Z$3:$AA$34,2,FALSE)))</f>
        <v>0</v>
      </c>
      <c r="Q236" s="15">
        <f>MAX(IF(ISNA(VLOOKUP(B236,'Regioturnier 3'!$B$3:$C$34,2,FALSE))=TRUE,0,VLOOKUP(B236,'Regioturnier 3'!$B$3:$C$34,2,FALSE)),IF(ISNA(VLOOKUP(B236,'Regioturnier 3'!$F$3:$G$34,2,FALSE))=TRUE,0,VLOOKUP(B236,'Regioturnier 3'!$F$3:$G$34,2,FALSE)),IF(ISNA(VLOOKUP(B236,'Regioturnier 3'!$J$3:$K$34,2,FALSE))=TRUE,0,VLOOKUP(B236,'Regioturnier 3'!$J$3:$K$34,2,FALSE)),IF(ISNA(VLOOKUP(B236,'Regioturnier 3'!$N$3:$O$34,2,FALSE))=TRUE,0,VLOOKUP(B236,'Regioturnier 3'!$N$3:$O$34,2,FALSE)),IF(ISNA(VLOOKUP(B236,'Regioturnier 3'!$R$3:$S$34,2,FALSE))=TRUE,0,VLOOKUP(B236,'Regioturnier 3'!$R$3:$S$34,2,FALSE)), IF(ISNA(VLOOKUP(B236,'Regioturnier 3'!$V$3:$W$34,2,FALSE))=TRUE,0,VLOOKUP(B236,'Regioturnier 3'!$V$3:$W$34,2,FALSE)), IF(ISNA(VLOOKUP(B236,'Regioturnier 3'!$Z$3:$AA$34,2,FALSE))=TRUE,0,VLOOKUP(B236,'Regioturnier 3'!$Z$3:$AA$34,2,FALSE)))</f>
        <v>0</v>
      </c>
      <c r="R236" s="20">
        <f>0.5*INDEX($H236:$N236,MATCH(LARGE($H236:$N236,1),$H236:$N236,0))+0.3*INDEX($H236:$N236,MATCH(LARGE($H236:$N236,2),$H236:$N236,0))+0.2*INDEX($H236:$N236,MATCH(LARGE($H236:$N236,3),$H236:$N236,0))</f>
        <v>0</v>
      </c>
      <c r="S236" s="20">
        <f>0.6*INDEX(O236:Q236,MATCH(LARGE(O236:Q236,1),O236:Q236,0))+0.4*INDEX(O236:Q236,MATCH(LARGE(O236:Q236,2),O236:Q236,0))+0*INDEX(O236:Q236,MATCH(LARGE(O236:Q236,3),O236:Q236,0))</f>
        <v>0</v>
      </c>
      <c r="T236" s="15">
        <f>1*INDEX(R236:S236,MATCH(LARGE(R236:S236,1),R236:S236,0))+0*INDEX(R236:S236,MATCH(LARGE(R236:S236,2),R236:S236,0))</f>
        <v>0</v>
      </c>
      <c r="U236" s="21"/>
      <c r="V236" s="21"/>
      <c r="W236" s="21"/>
      <c r="X236" s="21"/>
      <c r="Y236" s="21"/>
      <c r="Z236" s="21"/>
    </row>
    <row r="237" spans="1:26" ht="12.75" customHeight="1" x14ac:dyDescent="0.3">
      <c r="A237" s="15">
        <v>236</v>
      </c>
      <c r="B237" s="16" t="s">
        <v>141</v>
      </c>
      <c r="C237" s="17" t="s">
        <v>28</v>
      </c>
      <c r="D237" s="15" t="s">
        <v>22</v>
      </c>
      <c r="E237" s="18" t="s">
        <v>23</v>
      </c>
      <c r="F237" s="15">
        <v>207074</v>
      </c>
      <c r="G237" s="22">
        <v>2013</v>
      </c>
      <c r="H237" s="15">
        <f>MAX(IF(ISNA(VLOOKUP(B237,'WBV 1'!$B$3:$C$34,2,FALSE))=TRUE,0,VLOOKUP(B237,'WBV 1'!$B$3:$C$34,2,FALSE)),IF(ISNA(VLOOKUP(B237,'WBV 1'!$F$3:$G$34,2,FALSE))=TRUE,0,VLOOKUP(B237,'WBV 1'!$F$3:$G$34,2,FALSE)),IF(ISNA(VLOOKUP(B237,'WBV 1'!$J$3:$K$34,2,FALSE))=TRUE,0,VLOOKUP(B237,'WBV 1'!$J$3:$K$34,2,FALSE)),IF(ISNA(VLOOKUP(B237,'WBV 1'!$N$3:$O$34,2,FALSE))=TRUE,0,VLOOKUP(B237,'WBV 1'!$N$3:$O$34,2,FALSE)))</f>
        <v>0</v>
      </c>
      <c r="I237" s="15">
        <f>MAX(IF(ISNA(VLOOKUP(B237,'WBV 2'!$B$3:$C$34,2,FALSE))=TRUE,0,VLOOKUP(B237,'WBV 2'!$B$3:$C$34,2,FALSE)),IF(ISNA(VLOOKUP(B237,'WBV 2'!$F$3:$G$34,2,FALSE))=TRUE,0,VLOOKUP(B237,'WBV 2'!$F$3:$G$34,2,FALSE)),IF(ISNA(VLOOKUP(B237,'WBV 2'!$J$3:$K$34,2,FALSE))=TRUE,0,VLOOKUP(B237,'WBV 2'!$J$3:$K$34,2,FALSE)),IF(ISNA(VLOOKUP(B237,'WBV 2'!$N$3:$O$34,2,FALSE))=TRUE,0,VLOOKUP(B237,'WBV 2'!$N$3:$O$34,2,FALSE)))</f>
        <v>0</v>
      </c>
      <c r="J237" s="15">
        <f>MAX(IF(ISNA(VLOOKUP(B237,'WBV 3'!$B$3:$C$34,2,FALSE))=TRUE,0,VLOOKUP(B237,'WBV 3'!$B$3:$C$34,2,FALSE)),IF(ISNA(VLOOKUP(B237,'WBV 3'!$F$3:$G$34,2,FALSE))=TRUE,0,VLOOKUP(B237,'WBV 3'!$F$3:$G$34,2,FALSE)),IF(ISNA(VLOOKUP(B237,'WBV 3'!$J$3:$K$34,2,FALSE))=TRUE,0,VLOOKUP(B237,'WBV 3'!$J$3:$K$34,2,FALSE)),IF(ISNA(VLOOKUP(B237,'WBV 3'!$N$3:$O$34,2,FALSE))=TRUE,0,VLOOKUP(B237,'WBV 3'!$N$3:$O$34,2,FALSE)))</f>
        <v>0</v>
      </c>
      <c r="K237" s="15">
        <f>MAX(IF(ISNA(VLOOKUP(B237,'WBV 4'!$B$3:$C$34,2,FALSE))=TRUE,0,VLOOKUP(B237,'WBV 4'!$B$3:$C$34,2,FALSE)),IF(ISNA(VLOOKUP(B237,'WBV 4'!$F$3:$G$34,2,FALSE))=TRUE,0,VLOOKUP(B237,'WBV 4'!$F$3:$G$34,2,FALSE)),IF(ISNA(VLOOKUP(B237,'WBV 4'!$J$3:$K$34,2,FALSE))=TRUE,0,VLOOKUP(B237,'WBV 4'!$J$3:$K$34,2,FALSE)),IF(ISNA(VLOOKUP(B237,'WBV 4'!$N$3:$O$34,2,FALSE))=TRUE,0,VLOOKUP(B237,'WBV 4'!$N$3:$O$34,2,FALSE)))</f>
        <v>0</v>
      </c>
      <c r="L237" s="19">
        <f>MAX(IF(ISNA(VLOOKUP(B237,'NÖBV 1'!$B$3:$C$34,2,FALSE))=TRUE,0,VLOOKUP(B237,'NÖBV 1'!$B$3:$C$34,2,FALSE)),IF(ISNA(VLOOKUP(B237,'NÖBV 1'!$F$3:$G$34,2,FALSE))=TRUE,0,VLOOKUP(B237,'NÖBV 1'!$F$3:$G$34,2,FALSE)),IF(ISNA(VLOOKUP(B237,'NÖBV 1'!$J$3:$K$34,2,FALSE))=TRUE,0,VLOOKUP(B237,'NÖBV 1'!$J$3:$K$34,2,FALSE)),IF(ISNA(VLOOKUP(B237,'NÖBV 1'!$N$3:$O$34,2,FALSE))=TRUE,0,VLOOKUP(B237,'NÖBV 1'!$N$3:$O$34,2,FALSE)))</f>
        <v>0</v>
      </c>
      <c r="M237" s="19">
        <f>MAX(IF(ISNA(VLOOKUP(B237,'NÖBV 2'!$B$3:$C$34,2,FALSE))=TRUE,0,VLOOKUP(B237,'NÖBV 2'!$B$3:$C$34,2,FALSE)),IF(ISNA(VLOOKUP(B237,'NÖBV 2'!$F$3:$G$34,2,FALSE))=TRUE,0,VLOOKUP(B237,'NÖBV 2'!$F$3:$G$34,2,FALSE)),IF(ISNA(VLOOKUP(B237,'NÖBV 2'!$J$3:$K$34,2,FALSE))=TRUE,0,VLOOKUP(B237,'NÖBV 2'!$J$3:$K$34,2,FALSE)),IF(ISNA(VLOOKUP(B237,'NÖBV 2'!$N$3:$O$34,2,FALSE))=TRUE,0,VLOOKUP(B237,'NÖBV 2'!$N$3:$O$34,2,FALSE)))</f>
        <v>0</v>
      </c>
      <c r="N237" s="19">
        <f>MAX(IF(ISNA(VLOOKUP(B237,'NÖBV 3'!$B$3:$C$34,2,FALSE))=TRUE,0,VLOOKUP(B237,'NÖBV 3'!$B$3:$C$34,2,FALSE)),IF(ISNA(VLOOKUP(B237,'NÖBV 3'!$F$3:$G$34,2,FALSE))=TRUE,0,VLOOKUP(B237,'NÖBV 3'!$F$3:$G$34,2,FALSE)),IF(ISNA(VLOOKUP(B237,'NÖBV 3'!$J$3:$K$34,2,FALSE))=TRUE,0,VLOOKUP(B237,'NÖBV 3'!$J$3:$K$34,2,FALSE)),IF(ISNA(VLOOKUP(B237,'NÖBV 3'!$N$3:$O$34,2,FALSE))=TRUE,0,VLOOKUP(B237,'NÖBV 3'!$N$3:$O$34,2,FALSE)))</f>
        <v>0</v>
      </c>
      <c r="O237" s="15">
        <f>MAX(IF(ISNA(VLOOKUP(B237,'Regioturnier 1'!$B$3:$C$34,2,FALSE))=TRUE,0,VLOOKUP(B237,'Regioturnier 1'!$B$3:$C$34,2,FALSE)),IF(ISNA(VLOOKUP(B237,'Regioturnier 1'!$F$3:$G$34,2,FALSE))=TRUE,0,VLOOKUP(B237,'Regioturnier 1'!$F$3:$G$34,2,FALSE)),IF(ISNA(VLOOKUP(B237,'Regioturnier 1'!$J$3:$K$34,2,FALSE))=TRUE,0,VLOOKUP(B237,'Regioturnier 1'!$J$3:$K$34,2,FALSE)),IF(ISNA(VLOOKUP(B237,'Regioturnier 1'!$N$3:$O$34,2,FALSE))=TRUE,0,VLOOKUP(B237,'Regioturnier 1'!$N$3:$O$34,2,FALSE)),IF(ISNA(VLOOKUP(B237,'Regioturnier 1'!$R$3:$S$34,2,FALSE))=TRUE,0,VLOOKUP(B237,'Regioturnier 1'!$R$3:$S$34,2,FALSE)), IF(ISNA(VLOOKUP(B237,'Regioturnier 1'!$V$3:$W$34,2,FALSE))=TRUE,0,VLOOKUP(B237,'Regioturnier 1'!$V$3:$W$34,2,FALSE)), IF(ISNA(VLOOKUP(B237,'Regioturnier 1'!$Z$3:$AA$34,2,FALSE))=TRUE,0,VLOOKUP(B237,'Regioturnier 1'!$Z$3:$AA$34,2,FALSE)))</f>
        <v>0</v>
      </c>
      <c r="P237" s="15">
        <f>MAX(IF(ISNA(VLOOKUP(B237,'Regioturnier 2'!$B$3:$C$34,2,FALSE))=TRUE,0,VLOOKUP(B237,'Regioturnier 2'!$B$3:$C$34,2,FALSE)),IF(ISNA(VLOOKUP(B237,'Regioturnier 2'!$F$3:$G$34,2,FALSE))=TRUE,0,VLOOKUP(B237,'Regioturnier 2'!$F$3:$G$34,2,FALSE)),IF(ISNA(VLOOKUP(B237,'Regioturnier 2'!$J$3:$K$34,2,FALSE))=TRUE,0,VLOOKUP(B237,'Regioturnier 2'!$J$3:$K$34,2,FALSE)),IF(ISNA(VLOOKUP(B237,'Regioturnier 2'!$N$3:$O$34,2,FALSE))=TRUE,0,VLOOKUP(B237,'Regioturnier 2'!$N$3:$O$34,2,FALSE)),IF(ISNA(VLOOKUP(B237,'Regioturnier 2'!$R$3:$S$34,2,FALSE))=TRUE,0,VLOOKUP(B237,'Regioturnier 2'!$R$3:$S$34,2,FALSE)), IF(ISNA(VLOOKUP(B237,'Regioturnier 2'!$V$3:$W$34,2,FALSE))=TRUE,0,VLOOKUP(B237,'Regioturnier 2'!$V$3:$W$34,2,FALSE)), IF(ISNA(VLOOKUP(B237,'Regioturnier 2'!$Z$3:$AA$34,2,FALSE))=TRUE,0,VLOOKUP(B237,'Regioturnier 2'!$Z$3:$AA$34,2,FALSE)))</f>
        <v>0</v>
      </c>
      <c r="Q237" s="15">
        <f>MAX(IF(ISNA(VLOOKUP(B237,'Regioturnier 3'!$B$3:$C$34,2,FALSE))=TRUE,0,VLOOKUP(B237,'Regioturnier 3'!$B$3:$C$34,2,FALSE)),IF(ISNA(VLOOKUP(B237,'Regioturnier 3'!$F$3:$G$34,2,FALSE))=TRUE,0,VLOOKUP(B237,'Regioturnier 3'!$F$3:$G$34,2,FALSE)),IF(ISNA(VLOOKUP(B237,'Regioturnier 3'!$J$3:$K$34,2,FALSE))=TRUE,0,VLOOKUP(B237,'Regioturnier 3'!$J$3:$K$34,2,FALSE)),IF(ISNA(VLOOKUP(B237,'Regioturnier 3'!$N$3:$O$34,2,FALSE))=TRUE,0,VLOOKUP(B237,'Regioturnier 3'!$N$3:$O$34,2,FALSE)),IF(ISNA(VLOOKUP(B237,'Regioturnier 3'!$R$3:$S$34,2,FALSE))=TRUE,0,VLOOKUP(B237,'Regioturnier 3'!$R$3:$S$34,2,FALSE)), IF(ISNA(VLOOKUP(B237,'Regioturnier 3'!$V$3:$W$34,2,FALSE))=TRUE,0,VLOOKUP(B237,'Regioturnier 3'!$V$3:$W$34,2,FALSE)), IF(ISNA(VLOOKUP(B237,'Regioturnier 3'!$Z$3:$AA$34,2,FALSE))=TRUE,0,VLOOKUP(B237,'Regioturnier 3'!$Z$3:$AA$34,2,FALSE)))</f>
        <v>0</v>
      </c>
      <c r="R237" s="20">
        <f>0.5*INDEX($H237:$N237,MATCH(LARGE($H237:$N237,1),$H237:$N237,0))+0.3*INDEX($H237:$N237,MATCH(LARGE($H237:$N237,2),$H237:$N237,0))+0.2*INDEX($H237:$N237,MATCH(LARGE($H237:$N237,3),$H237:$N237,0))</f>
        <v>0</v>
      </c>
      <c r="S237" s="20">
        <f>0.6*INDEX(O237:Q237,MATCH(LARGE(O237:Q237,1),O237:Q237,0))+0.4*INDEX(O237:Q237,MATCH(LARGE(O237:Q237,2),O237:Q237,0))+0*INDEX(O237:Q237,MATCH(LARGE(O237:Q237,3),O237:Q237,0))</f>
        <v>0</v>
      </c>
      <c r="T237" s="15">
        <f>1*INDEX(R237:S237,MATCH(LARGE(R237:S237,1),R237:S237,0))+0*INDEX(R237:S237,MATCH(LARGE(R237:S237,2),R237:S237,0))</f>
        <v>0</v>
      </c>
      <c r="U237" s="21"/>
      <c r="V237" s="21"/>
      <c r="W237" s="21"/>
      <c r="X237" s="21"/>
      <c r="Y237" s="21"/>
      <c r="Z237" s="21"/>
    </row>
    <row r="238" spans="1:26" ht="12.75" customHeight="1" x14ac:dyDescent="0.3">
      <c r="A238" s="15">
        <v>237</v>
      </c>
      <c r="B238" s="16" t="s">
        <v>142</v>
      </c>
      <c r="C238" s="17" t="s">
        <v>25</v>
      </c>
      <c r="D238" s="15" t="s">
        <v>26</v>
      </c>
      <c r="E238" s="18" t="s">
        <v>23</v>
      </c>
      <c r="F238" s="15">
        <v>108370</v>
      </c>
      <c r="G238" s="22">
        <v>2009</v>
      </c>
      <c r="H238" s="15">
        <f>MAX(IF(ISNA(VLOOKUP(B238,'WBV 1'!$B$3:$C$34,2,FALSE))=TRUE,0,VLOOKUP(B238,'WBV 1'!$B$3:$C$34,2,FALSE)),IF(ISNA(VLOOKUP(B238,'WBV 1'!$F$3:$G$34,2,FALSE))=TRUE,0,VLOOKUP(B238,'WBV 1'!$F$3:$G$34,2,FALSE)),IF(ISNA(VLOOKUP(B238,'WBV 1'!$J$3:$K$34,2,FALSE))=TRUE,0,VLOOKUP(B238,'WBV 1'!$J$3:$K$34,2,FALSE)),IF(ISNA(VLOOKUP(B238,'WBV 1'!$N$3:$O$34,2,FALSE))=TRUE,0,VLOOKUP(B238,'WBV 1'!$N$3:$O$34,2,FALSE)))</f>
        <v>0</v>
      </c>
      <c r="I238" s="15">
        <f>MAX(IF(ISNA(VLOOKUP(B238,'WBV 2'!$B$3:$C$34,2,FALSE))=TRUE,0,VLOOKUP(B238,'WBV 2'!$B$3:$C$34,2,FALSE)),IF(ISNA(VLOOKUP(B238,'WBV 2'!$F$3:$G$34,2,FALSE))=TRUE,0,VLOOKUP(B238,'WBV 2'!$F$3:$G$34,2,FALSE)),IF(ISNA(VLOOKUP(B238,'WBV 2'!$J$3:$K$34,2,FALSE))=TRUE,0,VLOOKUP(B238,'WBV 2'!$J$3:$K$34,2,FALSE)),IF(ISNA(VLOOKUP(B238,'WBV 2'!$N$3:$O$34,2,FALSE))=TRUE,0,VLOOKUP(B238,'WBV 2'!$N$3:$O$34,2,FALSE)))</f>
        <v>0</v>
      </c>
      <c r="J238" s="15">
        <f>MAX(IF(ISNA(VLOOKUP(B238,'WBV 3'!$B$3:$C$34,2,FALSE))=TRUE,0,VLOOKUP(B238,'WBV 3'!$B$3:$C$34,2,FALSE)),IF(ISNA(VLOOKUP(B238,'WBV 3'!$F$3:$G$34,2,FALSE))=TRUE,0,VLOOKUP(B238,'WBV 3'!$F$3:$G$34,2,FALSE)),IF(ISNA(VLOOKUP(B238,'WBV 3'!$J$3:$K$34,2,FALSE))=TRUE,0,VLOOKUP(B238,'WBV 3'!$J$3:$K$34,2,FALSE)),IF(ISNA(VLOOKUP(B238,'WBV 3'!$N$3:$O$34,2,FALSE))=TRUE,0,VLOOKUP(B238,'WBV 3'!$N$3:$O$34,2,FALSE)))</f>
        <v>0</v>
      </c>
      <c r="K238" s="15">
        <f>MAX(IF(ISNA(VLOOKUP(B238,'WBV 4'!$B$3:$C$34,2,FALSE))=TRUE,0,VLOOKUP(B238,'WBV 4'!$B$3:$C$34,2,FALSE)),IF(ISNA(VLOOKUP(B238,'WBV 4'!$F$3:$G$34,2,FALSE))=TRUE,0,VLOOKUP(B238,'WBV 4'!$F$3:$G$34,2,FALSE)),IF(ISNA(VLOOKUP(B238,'WBV 4'!$J$3:$K$34,2,FALSE))=TRUE,0,VLOOKUP(B238,'WBV 4'!$J$3:$K$34,2,FALSE)),IF(ISNA(VLOOKUP(B238,'WBV 4'!$N$3:$O$34,2,FALSE))=TRUE,0,VLOOKUP(B238,'WBV 4'!$N$3:$O$34,2,FALSE)))</f>
        <v>0</v>
      </c>
      <c r="L238" s="19">
        <f>MAX(IF(ISNA(VLOOKUP(B238,'NÖBV 1'!$B$3:$C$34,2,FALSE))=TRUE,0,VLOOKUP(B238,'NÖBV 1'!$B$3:$C$34,2,FALSE)),IF(ISNA(VLOOKUP(B238,'NÖBV 1'!$F$3:$G$34,2,FALSE))=TRUE,0,VLOOKUP(B238,'NÖBV 1'!$F$3:$G$34,2,FALSE)),IF(ISNA(VLOOKUP(B238,'NÖBV 1'!$J$3:$K$34,2,FALSE))=TRUE,0,VLOOKUP(B238,'NÖBV 1'!$J$3:$K$34,2,FALSE)),IF(ISNA(VLOOKUP(B238,'NÖBV 1'!$N$3:$O$34,2,FALSE))=TRUE,0,VLOOKUP(B238,'NÖBV 1'!$N$3:$O$34,2,FALSE)))</f>
        <v>0</v>
      </c>
      <c r="M238" s="19">
        <f>MAX(IF(ISNA(VLOOKUP(B238,'NÖBV 2'!$B$3:$C$34,2,FALSE))=TRUE,0,VLOOKUP(B238,'NÖBV 2'!$B$3:$C$34,2,FALSE)),IF(ISNA(VLOOKUP(B238,'NÖBV 2'!$F$3:$G$34,2,FALSE))=TRUE,0,VLOOKUP(B238,'NÖBV 2'!$F$3:$G$34,2,FALSE)),IF(ISNA(VLOOKUP(B238,'NÖBV 2'!$J$3:$K$34,2,FALSE))=TRUE,0,VLOOKUP(B238,'NÖBV 2'!$J$3:$K$34,2,FALSE)),IF(ISNA(VLOOKUP(B238,'NÖBV 2'!$N$3:$O$34,2,FALSE))=TRUE,0,VLOOKUP(B238,'NÖBV 2'!$N$3:$O$34,2,FALSE)))</f>
        <v>0</v>
      </c>
      <c r="N238" s="19">
        <f>MAX(IF(ISNA(VLOOKUP(B238,'NÖBV 3'!$B$3:$C$34,2,FALSE))=TRUE,0,VLOOKUP(B238,'NÖBV 3'!$B$3:$C$34,2,FALSE)),IF(ISNA(VLOOKUP(B238,'NÖBV 3'!$F$3:$G$34,2,FALSE))=TRUE,0,VLOOKUP(B238,'NÖBV 3'!$F$3:$G$34,2,FALSE)),IF(ISNA(VLOOKUP(B238,'NÖBV 3'!$J$3:$K$34,2,FALSE))=TRUE,0,VLOOKUP(B238,'NÖBV 3'!$J$3:$K$34,2,FALSE)),IF(ISNA(VLOOKUP(B238,'NÖBV 3'!$N$3:$O$34,2,FALSE))=TRUE,0,VLOOKUP(B238,'NÖBV 3'!$N$3:$O$34,2,FALSE)))</f>
        <v>0</v>
      </c>
      <c r="O238" s="15">
        <f>MAX(IF(ISNA(VLOOKUP(B238,'Regioturnier 1'!$B$3:$C$34,2,FALSE))=TRUE,0,VLOOKUP(B238,'Regioturnier 1'!$B$3:$C$34,2,FALSE)),IF(ISNA(VLOOKUP(B238,'Regioturnier 1'!$F$3:$G$34,2,FALSE))=TRUE,0,VLOOKUP(B238,'Regioturnier 1'!$F$3:$G$34,2,FALSE)),IF(ISNA(VLOOKUP(B238,'Regioturnier 1'!$J$3:$K$34,2,FALSE))=TRUE,0,VLOOKUP(B238,'Regioturnier 1'!$J$3:$K$34,2,FALSE)),IF(ISNA(VLOOKUP(B238,'Regioturnier 1'!$N$3:$O$34,2,FALSE))=TRUE,0,VLOOKUP(B238,'Regioturnier 1'!$N$3:$O$34,2,FALSE)),IF(ISNA(VLOOKUP(B238,'Regioturnier 1'!$R$3:$S$34,2,FALSE))=TRUE,0,VLOOKUP(B238,'Regioturnier 1'!$R$3:$S$34,2,FALSE)), IF(ISNA(VLOOKUP(B238,'Regioturnier 1'!$V$3:$W$34,2,FALSE))=TRUE,0,VLOOKUP(B238,'Regioturnier 1'!$V$3:$W$34,2,FALSE)), IF(ISNA(VLOOKUP(B238,'Regioturnier 1'!$Z$3:$AA$34,2,FALSE))=TRUE,0,VLOOKUP(B238,'Regioturnier 1'!$Z$3:$AA$34,2,FALSE)))</f>
        <v>0</v>
      </c>
      <c r="P238" s="15">
        <f>MAX(IF(ISNA(VLOOKUP(B238,'Regioturnier 2'!$B$3:$C$34,2,FALSE))=TRUE,0,VLOOKUP(B238,'Regioturnier 2'!$B$3:$C$34,2,FALSE)),IF(ISNA(VLOOKUP(B238,'Regioturnier 2'!$F$3:$G$34,2,FALSE))=TRUE,0,VLOOKUP(B238,'Regioturnier 2'!$F$3:$G$34,2,FALSE)),IF(ISNA(VLOOKUP(B238,'Regioturnier 2'!$J$3:$K$34,2,FALSE))=TRUE,0,VLOOKUP(B238,'Regioturnier 2'!$J$3:$K$34,2,FALSE)),IF(ISNA(VLOOKUP(B238,'Regioturnier 2'!$N$3:$O$34,2,FALSE))=TRUE,0,VLOOKUP(B238,'Regioturnier 2'!$N$3:$O$34,2,FALSE)),IF(ISNA(VLOOKUP(B238,'Regioturnier 2'!$R$3:$S$34,2,FALSE))=TRUE,0,VLOOKUP(B238,'Regioturnier 2'!$R$3:$S$34,2,FALSE)), IF(ISNA(VLOOKUP(B238,'Regioturnier 2'!$V$3:$W$34,2,FALSE))=TRUE,0,VLOOKUP(B238,'Regioturnier 2'!$V$3:$W$34,2,FALSE)), IF(ISNA(VLOOKUP(B238,'Regioturnier 2'!$Z$3:$AA$34,2,FALSE))=TRUE,0,VLOOKUP(B238,'Regioturnier 2'!$Z$3:$AA$34,2,FALSE)))</f>
        <v>0</v>
      </c>
      <c r="Q238" s="15">
        <f>MAX(IF(ISNA(VLOOKUP(B238,'Regioturnier 3'!$B$3:$C$34,2,FALSE))=TRUE,0,VLOOKUP(B238,'Regioturnier 3'!$B$3:$C$34,2,FALSE)),IF(ISNA(VLOOKUP(B238,'Regioturnier 3'!$F$3:$G$34,2,FALSE))=TRUE,0,VLOOKUP(B238,'Regioturnier 3'!$F$3:$G$34,2,FALSE)),IF(ISNA(VLOOKUP(B238,'Regioturnier 3'!$J$3:$K$34,2,FALSE))=TRUE,0,VLOOKUP(B238,'Regioturnier 3'!$J$3:$K$34,2,FALSE)),IF(ISNA(VLOOKUP(B238,'Regioturnier 3'!$N$3:$O$34,2,FALSE))=TRUE,0,VLOOKUP(B238,'Regioturnier 3'!$N$3:$O$34,2,FALSE)),IF(ISNA(VLOOKUP(B238,'Regioturnier 3'!$R$3:$S$34,2,FALSE))=TRUE,0,VLOOKUP(B238,'Regioturnier 3'!$R$3:$S$34,2,FALSE)), IF(ISNA(VLOOKUP(B238,'Regioturnier 3'!$V$3:$W$34,2,FALSE))=TRUE,0,VLOOKUP(B238,'Regioturnier 3'!$V$3:$W$34,2,FALSE)), IF(ISNA(VLOOKUP(B238,'Regioturnier 3'!$Z$3:$AA$34,2,FALSE))=TRUE,0,VLOOKUP(B238,'Regioturnier 3'!$Z$3:$AA$34,2,FALSE)))</f>
        <v>0</v>
      </c>
      <c r="R238" s="20">
        <f>0.5*INDEX($H238:$N238,MATCH(LARGE($H238:$N238,1),$H238:$N238,0))+0.3*INDEX($H238:$N238,MATCH(LARGE($H238:$N238,2),$H238:$N238,0))+0.2*INDEX($H238:$N238,MATCH(LARGE($H238:$N238,3),$H238:$N238,0))</f>
        <v>0</v>
      </c>
      <c r="S238" s="20">
        <f>0.6*INDEX(O238:Q238,MATCH(LARGE(O238:Q238,1),O238:Q238,0))+0.4*INDEX(O238:Q238,MATCH(LARGE(O238:Q238,2),O238:Q238,0))+0*INDEX(O238:Q238,MATCH(LARGE(O238:Q238,3),O238:Q238,0))</f>
        <v>0</v>
      </c>
      <c r="T238" s="15">
        <f>1*INDEX(R238:S238,MATCH(LARGE(R238:S238,1),R238:S238,0))+0*INDEX(R238:S238,MATCH(LARGE(R238:S238,2),R238:S238,0))</f>
        <v>0</v>
      </c>
      <c r="U238" s="21"/>
      <c r="V238" s="21"/>
      <c r="W238" s="21"/>
      <c r="X238" s="21"/>
      <c r="Y238" s="21"/>
      <c r="Z238" s="21"/>
    </row>
    <row r="239" spans="1:26" ht="12.75" customHeight="1" x14ac:dyDescent="0.3">
      <c r="A239" s="15">
        <v>238</v>
      </c>
      <c r="B239" s="16" t="s">
        <v>83</v>
      </c>
      <c r="C239" s="17" t="s">
        <v>54</v>
      </c>
      <c r="D239" s="15" t="s">
        <v>22</v>
      </c>
      <c r="E239" s="18" t="s">
        <v>23</v>
      </c>
      <c r="F239" s="15">
        <v>207033</v>
      </c>
      <c r="G239" s="22">
        <v>2014</v>
      </c>
      <c r="H239" s="15">
        <f>MAX(IF(ISNA(VLOOKUP(B239,'WBV 1'!$B$3:$C$34,2,FALSE))=TRUE,0,VLOOKUP(B239,'WBV 1'!$B$3:$C$34,2,FALSE)),IF(ISNA(VLOOKUP(B239,'WBV 1'!$F$3:$G$34,2,FALSE))=TRUE,0,VLOOKUP(B239,'WBV 1'!$F$3:$G$34,2,FALSE)),IF(ISNA(VLOOKUP(B239,'WBV 1'!$J$3:$K$34,2,FALSE))=TRUE,0,VLOOKUP(B239,'WBV 1'!$J$3:$K$34,2,FALSE)),IF(ISNA(VLOOKUP(B239,'WBV 1'!$N$3:$O$34,2,FALSE))=TRUE,0,VLOOKUP(B239,'WBV 1'!$N$3:$O$34,2,FALSE)))</f>
        <v>0</v>
      </c>
      <c r="I239" s="15">
        <f>MAX(IF(ISNA(VLOOKUP(B239,'WBV 2'!$B$3:$C$34,2,FALSE))=TRUE,0,VLOOKUP(B239,'WBV 2'!$B$3:$C$34,2,FALSE)),IF(ISNA(VLOOKUP(B239,'WBV 2'!$F$3:$G$34,2,FALSE))=TRUE,0,VLOOKUP(B239,'WBV 2'!$F$3:$G$34,2,FALSE)),IF(ISNA(VLOOKUP(B239,'WBV 2'!$J$3:$K$34,2,FALSE))=TRUE,0,VLOOKUP(B239,'WBV 2'!$J$3:$K$34,2,FALSE)),IF(ISNA(VLOOKUP(B239,'WBV 2'!$N$3:$O$34,2,FALSE))=TRUE,0,VLOOKUP(B239,'WBV 2'!$N$3:$O$34,2,FALSE)))</f>
        <v>0</v>
      </c>
      <c r="J239" s="15">
        <f>MAX(IF(ISNA(VLOOKUP(B239,'WBV 3'!$B$3:$C$34,2,FALSE))=TRUE,0,VLOOKUP(B239,'WBV 3'!$B$3:$C$34,2,FALSE)),IF(ISNA(VLOOKUP(B239,'WBV 3'!$F$3:$G$34,2,FALSE))=TRUE,0,VLOOKUP(B239,'WBV 3'!$F$3:$G$34,2,FALSE)),IF(ISNA(VLOOKUP(B239,'WBV 3'!$J$3:$K$34,2,FALSE))=TRUE,0,VLOOKUP(B239,'WBV 3'!$J$3:$K$34,2,FALSE)),IF(ISNA(VLOOKUP(B239,'WBV 3'!$N$3:$O$34,2,FALSE))=TRUE,0,VLOOKUP(B239,'WBV 3'!$N$3:$O$34,2,FALSE)))</f>
        <v>0</v>
      </c>
      <c r="K239" s="15">
        <f>MAX(IF(ISNA(VLOOKUP(B239,'WBV 4'!$B$3:$C$34,2,FALSE))=TRUE,0,VLOOKUP(B239,'WBV 4'!$B$3:$C$34,2,FALSE)),IF(ISNA(VLOOKUP(B239,'WBV 4'!$F$3:$G$34,2,FALSE))=TRUE,0,VLOOKUP(B239,'WBV 4'!$F$3:$G$34,2,FALSE)),IF(ISNA(VLOOKUP(B239,'WBV 4'!$J$3:$K$34,2,FALSE))=TRUE,0,VLOOKUP(B239,'WBV 4'!$J$3:$K$34,2,FALSE)),IF(ISNA(VLOOKUP(B239,'WBV 4'!$N$3:$O$34,2,FALSE))=TRUE,0,VLOOKUP(B239,'WBV 4'!$N$3:$O$34,2,FALSE)))</f>
        <v>0</v>
      </c>
      <c r="L239" s="19">
        <f>MAX(IF(ISNA(VLOOKUP(B239,'NÖBV 1'!$B$3:$C$34,2,FALSE))=TRUE,0,VLOOKUP(B239,'NÖBV 1'!$B$3:$C$34,2,FALSE)),IF(ISNA(VLOOKUP(B239,'NÖBV 1'!$F$3:$G$34,2,FALSE))=TRUE,0,VLOOKUP(B239,'NÖBV 1'!$F$3:$G$34,2,FALSE)),IF(ISNA(VLOOKUP(B239,'NÖBV 1'!$J$3:$K$34,2,FALSE))=TRUE,0,VLOOKUP(B239,'NÖBV 1'!$J$3:$K$34,2,FALSE)),IF(ISNA(VLOOKUP(B239,'NÖBV 1'!$N$3:$O$34,2,FALSE))=TRUE,0,VLOOKUP(B239,'NÖBV 1'!$N$3:$O$34,2,FALSE)))</f>
        <v>0</v>
      </c>
      <c r="M239" s="19">
        <f>MAX(IF(ISNA(VLOOKUP(B239,'NÖBV 2'!$B$3:$C$34,2,FALSE))=TRUE,0,VLOOKUP(B239,'NÖBV 2'!$B$3:$C$34,2,FALSE)),IF(ISNA(VLOOKUP(B239,'NÖBV 2'!$F$3:$G$34,2,FALSE))=TRUE,0,VLOOKUP(B239,'NÖBV 2'!$F$3:$G$34,2,FALSE)),IF(ISNA(VLOOKUP(B239,'NÖBV 2'!$J$3:$K$34,2,FALSE))=TRUE,0,VLOOKUP(B239,'NÖBV 2'!$J$3:$K$34,2,FALSE)),IF(ISNA(VLOOKUP(B239,'NÖBV 2'!$N$3:$O$34,2,FALSE))=TRUE,0,VLOOKUP(B239,'NÖBV 2'!$N$3:$O$34,2,FALSE)))</f>
        <v>0</v>
      </c>
      <c r="N239" s="19">
        <f>MAX(IF(ISNA(VLOOKUP(B239,'NÖBV 3'!$B$3:$C$34,2,FALSE))=TRUE,0,VLOOKUP(B239,'NÖBV 3'!$B$3:$C$34,2,FALSE)),IF(ISNA(VLOOKUP(B239,'NÖBV 3'!$F$3:$G$34,2,FALSE))=TRUE,0,VLOOKUP(B239,'NÖBV 3'!$F$3:$G$34,2,FALSE)),IF(ISNA(VLOOKUP(B239,'NÖBV 3'!$J$3:$K$34,2,FALSE))=TRUE,0,VLOOKUP(B239,'NÖBV 3'!$J$3:$K$34,2,FALSE)),IF(ISNA(VLOOKUP(B239,'NÖBV 3'!$N$3:$O$34,2,FALSE))=TRUE,0,VLOOKUP(B239,'NÖBV 3'!$N$3:$O$34,2,FALSE)))</f>
        <v>0</v>
      </c>
      <c r="O239" s="15">
        <f>MAX(IF(ISNA(VLOOKUP(B239,'Regioturnier 1'!$B$3:$C$34,2,FALSE))=TRUE,0,VLOOKUP(B239,'Regioturnier 1'!$B$3:$C$34,2,FALSE)),IF(ISNA(VLOOKUP(B239,'Regioturnier 1'!$F$3:$G$34,2,FALSE))=TRUE,0,VLOOKUP(B239,'Regioturnier 1'!$F$3:$G$34,2,FALSE)),IF(ISNA(VLOOKUP(B239,'Regioturnier 1'!$J$3:$K$34,2,FALSE))=TRUE,0,VLOOKUP(B239,'Regioturnier 1'!$J$3:$K$34,2,FALSE)),IF(ISNA(VLOOKUP(B239,'Regioturnier 1'!$N$3:$O$34,2,FALSE))=TRUE,0,VLOOKUP(B239,'Regioturnier 1'!$N$3:$O$34,2,FALSE)),IF(ISNA(VLOOKUP(B239,'Regioturnier 1'!$R$3:$S$34,2,FALSE))=TRUE,0,VLOOKUP(B239,'Regioturnier 1'!$R$3:$S$34,2,FALSE)), IF(ISNA(VLOOKUP(B239,'Regioturnier 1'!$V$3:$W$34,2,FALSE))=TRUE,0,VLOOKUP(B239,'Regioturnier 1'!$V$3:$W$34,2,FALSE)), IF(ISNA(VLOOKUP(B239,'Regioturnier 1'!$Z$3:$AA$34,2,FALSE))=TRUE,0,VLOOKUP(B239,'Regioturnier 1'!$Z$3:$AA$34,2,FALSE)))</f>
        <v>0</v>
      </c>
      <c r="P239" s="15">
        <f>MAX(IF(ISNA(VLOOKUP(B239,'Regioturnier 2'!$B$3:$C$34,2,FALSE))=TRUE,0,VLOOKUP(B239,'Regioturnier 2'!$B$3:$C$34,2,FALSE)),IF(ISNA(VLOOKUP(B239,'Regioturnier 2'!$F$3:$G$34,2,FALSE))=TRUE,0,VLOOKUP(B239,'Regioturnier 2'!$F$3:$G$34,2,FALSE)),IF(ISNA(VLOOKUP(B239,'Regioturnier 2'!$J$3:$K$34,2,FALSE))=TRUE,0,VLOOKUP(B239,'Regioturnier 2'!$J$3:$K$34,2,FALSE)),IF(ISNA(VLOOKUP(B239,'Regioturnier 2'!$N$3:$O$34,2,FALSE))=TRUE,0,VLOOKUP(B239,'Regioturnier 2'!$N$3:$O$34,2,FALSE)),IF(ISNA(VLOOKUP(B239,'Regioturnier 2'!$R$3:$S$34,2,FALSE))=TRUE,0,VLOOKUP(B239,'Regioturnier 2'!$R$3:$S$34,2,FALSE)), IF(ISNA(VLOOKUP(B239,'Regioturnier 2'!$V$3:$W$34,2,FALSE))=TRUE,0,VLOOKUP(B239,'Regioturnier 2'!$V$3:$W$34,2,FALSE)), IF(ISNA(VLOOKUP(B239,'Regioturnier 2'!$Z$3:$AA$34,2,FALSE))=TRUE,0,VLOOKUP(B239,'Regioturnier 2'!$Z$3:$AA$34,2,FALSE)))</f>
        <v>0</v>
      </c>
      <c r="Q239" s="15">
        <f>MAX(IF(ISNA(VLOOKUP(B239,'Regioturnier 3'!$B$3:$C$34,2,FALSE))=TRUE,0,VLOOKUP(B239,'Regioturnier 3'!$B$3:$C$34,2,FALSE)),IF(ISNA(VLOOKUP(B239,'Regioturnier 3'!$F$3:$G$34,2,FALSE))=TRUE,0,VLOOKUP(B239,'Regioturnier 3'!$F$3:$G$34,2,FALSE)),IF(ISNA(VLOOKUP(B239,'Regioturnier 3'!$J$3:$K$34,2,FALSE))=TRUE,0,VLOOKUP(B239,'Regioturnier 3'!$J$3:$K$34,2,FALSE)),IF(ISNA(VLOOKUP(B239,'Regioturnier 3'!$N$3:$O$34,2,FALSE))=TRUE,0,VLOOKUP(B239,'Regioturnier 3'!$N$3:$O$34,2,FALSE)),IF(ISNA(VLOOKUP(B239,'Regioturnier 3'!$R$3:$S$34,2,FALSE))=TRUE,0,VLOOKUP(B239,'Regioturnier 3'!$R$3:$S$34,2,FALSE)), IF(ISNA(VLOOKUP(B239,'Regioturnier 3'!$V$3:$W$34,2,FALSE))=TRUE,0,VLOOKUP(B239,'Regioturnier 3'!$V$3:$W$34,2,FALSE)), IF(ISNA(VLOOKUP(B239,'Regioturnier 3'!$Z$3:$AA$34,2,FALSE))=TRUE,0,VLOOKUP(B239,'Regioturnier 3'!$Z$3:$AA$34,2,FALSE)))</f>
        <v>0</v>
      </c>
      <c r="R239" s="20">
        <f>0.5*INDEX($H239:$N239,MATCH(LARGE($H239:$N239,1),$H239:$N239,0))+0.3*INDEX($H239:$N239,MATCH(LARGE($H239:$N239,2),$H239:$N239,0))+0.2*INDEX($H239:$N239,MATCH(LARGE($H239:$N239,3),$H239:$N239,0))</f>
        <v>0</v>
      </c>
      <c r="S239" s="20">
        <f>0.6*INDEX(O239:Q239,MATCH(LARGE(O239:Q239,1),O239:Q239,0))+0.4*INDEX(O239:Q239,MATCH(LARGE(O239:Q239,2),O239:Q239,0))+0*INDEX(O239:Q239,MATCH(LARGE(O239:Q239,3),O239:Q239,0))</f>
        <v>0</v>
      </c>
      <c r="T239" s="15">
        <f>1*INDEX(R239:S239,MATCH(LARGE(R239:S239,1),R239:S239,0))+0*INDEX(R239:S239,MATCH(LARGE(R239:S239,2),R239:S239,0))</f>
        <v>0</v>
      </c>
      <c r="U239" s="21"/>
      <c r="V239" s="21"/>
      <c r="W239" s="21"/>
      <c r="X239" s="21"/>
      <c r="Y239" s="21"/>
      <c r="Z239" s="21"/>
    </row>
    <row r="240" spans="1:26" ht="12.75" customHeight="1" x14ac:dyDescent="0.3">
      <c r="A240" s="15">
        <v>239</v>
      </c>
      <c r="B240" s="16" t="s">
        <v>150</v>
      </c>
      <c r="C240" s="17"/>
      <c r="D240" s="15"/>
      <c r="E240" s="18" t="s">
        <v>40</v>
      </c>
      <c r="F240" s="15"/>
      <c r="G240" s="22"/>
      <c r="H240" s="15">
        <f>MAX(IF(ISNA(VLOOKUP(B240,'WBV 1'!$B$3:$C$34,2,FALSE))=TRUE,0,VLOOKUP(B240,'WBV 1'!$B$3:$C$34,2,FALSE)),IF(ISNA(VLOOKUP(B240,'WBV 1'!$F$3:$G$34,2,FALSE))=TRUE,0,VLOOKUP(B240,'WBV 1'!$F$3:$G$34,2,FALSE)),IF(ISNA(VLOOKUP(B240,'WBV 1'!$J$3:$K$34,2,FALSE))=TRUE,0,VLOOKUP(B240,'WBV 1'!$J$3:$K$34,2,FALSE)),IF(ISNA(VLOOKUP(B240,'WBV 1'!$N$3:$O$34,2,FALSE))=TRUE,0,VLOOKUP(B240,'WBV 1'!$N$3:$O$34,2,FALSE)))</f>
        <v>0</v>
      </c>
      <c r="I240" s="15">
        <f>MAX(IF(ISNA(VLOOKUP(B240,'WBV 2'!$B$3:$C$34,2,FALSE))=TRUE,0,VLOOKUP(B240,'WBV 2'!$B$3:$C$34,2,FALSE)),IF(ISNA(VLOOKUP(B240,'WBV 2'!$F$3:$G$34,2,FALSE))=TRUE,0,VLOOKUP(B240,'WBV 2'!$F$3:$G$34,2,FALSE)),IF(ISNA(VLOOKUP(B240,'WBV 2'!$J$3:$K$34,2,FALSE))=TRUE,0,VLOOKUP(B240,'WBV 2'!$J$3:$K$34,2,FALSE)),IF(ISNA(VLOOKUP(B240,'WBV 2'!$N$3:$O$34,2,FALSE))=TRUE,0,VLOOKUP(B240,'WBV 2'!$N$3:$O$34,2,FALSE)))</f>
        <v>0</v>
      </c>
      <c r="J240" s="15">
        <f>MAX(IF(ISNA(VLOOKUP(B240,'WBV 3'!$B$3:$C$34,2,FALSE))=TRUE,0,VLOOKUP(B240,'WBV 3'!$B$3:$C$34,2,FALSE)),IF(ISNA(VLOOKUP(B240,'WBV 3'!$F$3:$G$34,2,FALSE))=TRUE,0,VLOOKUP(B240,'WBV 3'!$F$3:$G$34,2,FALSE)),IF(ISNA(VLOOKUP(B240,'WBV 3'!$J$3:$K$34,2,FALSE))=TRUE,0,VLOOKUP(B240,'WBV 3'!$J$3:$K$34,2,FALSE)),IF(ISNA(VLOOKUP(B240,'WBV 3'!$N$3:$O$34,2,FALSE))=TRUE,0,VLOOKUP(B240,'WBV 3'!$N$3:$O$34,2,FALSE)))</f>
        <v>0</v>
      </c>
      <c r="K240" s="15">
        <f>MAX(IF(ISNA(VLOOKUP(B240,'WBV 4'!$B$3:$C$34,2,FALSE))=TRUE,0,VLOOKUP(B240,'WBV 4'!$B$3:$C$34,2,FALSE)),IF(ISNA(VLOOKUP(B240,'WBV 4'!$F$3:$G$34,2,FALSE))=TRUE,0,VLOOKUP(B240,'WBV 4'!$F$3:$G$34,2,FALSE)),IF(ISNA(VLOOKUP(B240,'WBV 4'!$J$3:$K$34,2,FALSE))=TRUE,0,VLOOKUP(B240,'WBV 4'!$J$3:$K$34,2,FALSE)),IF(ISNA(VLOOKUP(B240,'WBV 4'!$N$3:$O$34,2,FALSE))=TRUE,0,VLOOKUP(B240,'WBV 4'!$N$3:$O$34,2,FALSE)))</f>
        <v>0</v>
      </c>
      <c r="L240" s="19">
        <f>MAX(IF(ISNA(VLOOKUP(B240,'NÖBV 1'!$B$3:$C$34,2,FALSE))=TRUE,0,VLOOKUP(B240,'NÖBV 1'!$B$3:$C$34,2,FALSE)),IF(ISNA(VLOOKUP(B240,'NÖBV 1'!$F$3:$G$34,2,FALSE))=TRUE,0,VLOOKUP(B240,'NÖBV 1'!$F$3:$G$34,2,FALSE)),IF(ISNA(VLOOKUP(B240,'NÖBV 1'!$J$3:$K$34,2,FALSE))=TRUE,0,VLOOKUP(B240,'NÖBV 1'!$J$3:$K$34,2,FALSE)),IF(ISNA(VLOOKUP(B240,'NÖBV 1'!$N$3:$O$34,2,FALSE))=TRUE,0,VLOOKUP(B240,'NÖBV 1'!$N$3:$O$34,2,FALSE)))</f>
        <v>0</v>
      </c>
      <c r="M240" s="19">
        <f>MAX(IF(ISNA(VLOOKUP(B240,'NÖBV 2'!$B$3:$C$34,2,FALSE))=TRUE,0,VLOOKUP(B240,'NÖBV 2'!$B$3:$C$34,2,FALSE)),IF(ISNA(VLOOKUP(B240,'NÖBV 2'!$F$3:$G$34,2,FALSE))=TRUE,0,VLOOKUP(B240,'NÖBV 2'!$F$3:$G$34,2,FALSE)),IF(ISNA(VLOOKUP(B240,'NÖBV 2'!$J$3:$K$34,2,FALSE))=TRUE,0,VLOOKUP(B240,'NÖBV 2'!$J$3:$K$34,2,FALSE)),IF(ISNA(VLOOKUP(B240,'NÖBV 2'!$N$3:$O$34,2,FALSE))=TRUE,0,VLOOKUP(B240,'NÖBV 2'!$N$3:$O$34,2,FALSE)))</f>
        <v>0</v>
      </c>
      <c r="N240" s="19">
        <f>MAX(IF(ISNA(VLOOKUP(B240,'NÖBV 3'!$B$3:$C$34,2,FALSE))=TRUE,0,VLOOKUP(B240,'NÖBV 3'!$B$3:$C$34,2,FALSE)),IF(ISNA(VLOOKUP(B240,'NÖBV 3'!$F$3:$G$34,2,FALSE))=TRUE,0,VLOOKUP(B240,'NÖBV 3'!$F$3:$G$34,2,FALSE)),IF(ISNA(VLOOKUP(B240,'NÖBV 3'!$J$3:$K$34,2,FALSE))=TRUE,0,VLOOKUP(B240,'NÖBV 3'!$J$3:$K$34,2,FALSE)),IF(ISNA(VLOOKUP(B240,'NÖBV 3'!$N$3:$O$34,2,FALSE))=TRUE,0,VLOOKUP(B240,'NÖBV 3'!$N$3:$O$34,2,FALSE)))</f>
        <v>0</v>
      </c>
      <c r="O240" s="15">
        <f>MAX(IF(ISNA(VLOOKUP(B240,'Regioturnier 1'!$B$3:$C$34,2,FALSE))=TRUE,0,VLOOKUP(B240,'Regioturnier 1'!$B$3:$C$34,2,FALSE)),IF(ISNA(VLOOKUP(B240,'Regioturnier 1'!$F$3:$G$34,2,FALSE))=TRUE,0,VLOOKUP(B240,'Regioturnier 1'!$F$3:$G$34,2,FALSE)),IF(ISNA(VLOOKUP(B240,'Regioturnier 1'!$J$3:$K$34,2,FALSE))=TRUE,0,VLOOKUP(B240,'Regioturnier 1'!$J$3:$K$34,2,FALSE)),IF(ISNA(VLOOKUP(B240,'Regioturnier 1'!$N$3:$O$34,2,FALSE))=TRUE,0,VLOOKUP(B240,'Regioturnier 1'!$N$3:$O$34,2,FALSE)),IF(ISNA(VLOOKUP(B240,'Regioturnier 1'!$R$3:$S$34,2,FALSE))=TRUE,0,VLOOKUP(B240,'Regioturnier 1'!$R$3:$S$34,2,FALSE)), IF(ISNA(VLOOKUP(B240,'Regioturnier 1'!$V$3:$W$34,2,FALSE))=TRUE,0,VLOOKUP(B240,'Regioturnier 1'!$V$3:$W$34,2,FALSE)), IF(ISNA(VLOOKUP(B240,'Regioturnier 1'!$Z$3:$AA$34,2,FALSE))=TRUE,0,VLOOKUP(B240,'Regioturnier 1'!$Z$3:$AA$34,2,FALSE)))</f>
        <v>0</v>
      </c>
      <c r="P240" s="15">
        <f>MAX(IF(ISNA(VLOOKUP(B240,'Regioturnier 2'!$B$3:$C$34,2,FALSE))=TRUE,0,VLOOKUP(B240,'Regioturnier 2'!$B$3:$C$34,2,FALSE)),IF(ISNA(VLOOKUP(B240,'Regioturnier 2'!$F$3:$G$34,2,FALSE))=TRUE,0,VLOOKUP(B240,'Regioturnier 2'!$F$3:$G$34,2,FALSE)),IF(ISNA(VLOOKUP(B240,'Regioturnier 2'!$J$3:$K$34,2,FALSE))=TRUE,0,VLOOKUP(B240,'Regioturnier 2'!$J$3:$K$34,2,FALSE)),IF(ISNA(VLOOKUP(B240,'Regioturnier 2'!$N$3:$O$34,2,FALSE))=TRUE,0,VLOOKUP(B240,'Regioturnier 2'!$N$3:$O$34,2,FALSE)),IF(ISNA(VLOOKUP(B240,'Regioturnier 2'!$R$3:$S$34,2,FALSE))=TRUE,0,VLOOKUP(B240,'Regioturnier 2'!$R$3:$S$34,2,FALSE)), IF(ISNA(VLOOKUP(B240,'Regioturnier 2'!$V$3:$W$34,2,FALSE))=TRUE,0,VLOOKUP(B240,'Regioturnier 2'!$V$3:$W$34,2,FALSE)), IF(ISNA(VLOOKUP(B240,'Regioturnier 2'!$Z$3:$AA$34,2,FALSE))=TRUE,0,VLOOKUP(B240,'Regioturnier 2'!$Z$3:$AA$34,2,FALSE)))</f>
        <v>0</v>
      </c>
      <c r="Q240" s="15">
        <f>MAX(IF(ISNA(VLOOKUP(B240,'Regioturnier 3'!$B$3:$C$34,2,FALSE))=TRUE,0,VLOOKUP(B240,'Regioturnier 3'!$B$3:$C$34,2,FALSE)),IF(ISNA(VLOOKUP(B240,'Regioturnier 3'!$F$3:$G$34,2,FALSE))=TRUE,0,VLOOKUP(B240,'Regioturnier 3'!$F$3:$G$34,2,FALSE)),IF(ISNA(VLOOKUP(B240,'Regioturnier 3'!$J$3:$K$34,2,FALSE))=TRUE,0,VLOOKUP(B240,'Regioturnier 3'!$J$3:$K$34,2,FALSE)),IF(ISNA(VLOOKUP(B240,'Regioturnier 3'!$N$3:$O$34,2,FALSE))=TRUE,0,VLOOKUP(B240,'Regioturnier 3'!$N$3:$O$34,2,FALSE)),IF(ISNA(VLOOKUP(B240,'Regioturnier 3'!$R$3:$S$34,2,FALSE))=TRUE,0,VLOOKUP(B240,'Regioturnier 3'!$R$3:$S$34,2,FALSE)), IF(ISNA(VLOOKUP(B240,'Regioturnier 3'!$V$3:$W$34,2,FALSE))=TRUE,0,VLOOKUP(B240,'Regioturnier 3'!$V$3:$W$34,2,FALSE)), IF(ISNA(VLOOKUP(B240,'Regioturnier 3'!$Z$3:$AA$34,2,FALSE))=TRUE,0,VLOOKUP(B240,'Regioturnier 3'!$Z$3:$AA$34,2,FALSE)))</f>
        <v>0</v>
      </c>
      <c r="R240" s="20">
        <f>0.5*INDEX($H240:$N240,MATCH(LARGE($H240:$N240,1),$H240:$N240,0))+0.3*INDEX($H240:$N240,MATCH(LARGE($H240:$N240,2),$H240:$N240,0))+0.2*INDEX($H240:$N240,MATCH(LARGE($H240:$N240,3),$H240:$N240,0))</f>
        <v>0</v>
      </c>
      <c r="S240" s="20">
        <f>0.6*INDEX(O240:Q240,MATCH(LARGE(O240:Q240,1),O240:Q240,0))+0.4*INDEX(O240:Q240,MATCH(LARGE(O240:Q240,2),O240:Q240,0))+0*INDEX(O240:Q240,MATCH(LARGE(O240:Q240,3),O240:Q240,0))</f>
        <v>0</v>
      </c>
      <c r="T240" s="15">
        <f>1*INDEX(R240:S240,MATCH(LARGE(R240:S240,1),R240:S240,0))+0*INDEX(R240:S240,MATCH(LARGE(R240:S240,2),R240:S240,0))</f>
        <v>0</v>
      </c>
      <c r="U240" s="21"/>
      <c r="V240" s="21"/>
      <c r="W240" s="21"/>
      <c r="X240" s="21"/>
      <c r="Y240" s="21"/>
      <c r="Z240" s="21"/>
    </row>
    <row r="241" spans="1:26" ht="12.75" customHeight="1" x14ac:dyDescent="0.3">
      <c r="A241" s="15">
        <v>240</v>
      </c>
      <c r="B241" s="16" t="s">
        <v>34</v>
      </c>
      <c r="C241" s="17" t="s">
        <v>21</v>
      </c>
      <c r="D241" s="15" t="s">
        <v>22</v>
      </c>
      <c r="E241" s="18" t="s">
        <v>23</v>
      </c>
      <c r="F241" s="15">
        <v>206833</v>
      </c>
      <c r="G241" s="22">
        <v>2010</v>
      </c>
      <c r="H241" s="15">
        <f>MAX(IF(ISNA(VLOOKUP(B241,'WBV 1'!$B$3:$C$34,2,FALSE))=TRUE,0,VLOOKUP(B241,'WBV 1'!$B$3:$C$34,2,FALSE)),IF(ISNA(VLOOKUP(B241,'WBV 1'!$F$3:$G$34,2,FALSE))=TRUE,0,VLOOKUP(B241,'WBV 1'!$F$3:$G$34,2,FALSE)),IF(ISNA(VLOOKUP(B241,'WBV 1'!$J$3:$K$34,2,FALSE))=TRUE,0,VLOOKUP(B241,'WBV 1'!$J$3:$K$34,2,FALSE)),IF(ISNA(VLOOKUP(B241,'WBV 1'!$N$3:$O$34,2,FALSE))=TRUE,0,VLOOKUP(B241,'WBV 1'!$N$3:$O$34,2,FALSE)))</f>
        <v>0</v>
      </c>
      <c r="I241" s="15">
        <f>MAX(IF(ISNA(VLOOKUP(B241,'WBV 2'!$B$3:$C$34,2,FALSE))=TRUE,0,VLOOKUP(B241,'WBV 2'!$B$3:$C$34,2,FALSE)),IF(ISNA(VLOOKUP(B241,'WBV 2'!$F$3:$G$34,2,FALSE))=TRUE,0,VLOOKUP(B241,'WBV 2'!$F$3:$G$34,2,FALSE)),IF(ISNA(VLOOKUP(B241,'WBV 2'!$J$3:$K$34,2,FALSE))=TRUE,0,VLOOKUP(B241,'WBV 2'!$J$3:$K$34,2,FALSE)),IF(ISNA(VLOOKUP(B241,'WBV 2'!$N$3:$O$34,2,FALSE))=TRUE,0,VLOOKUP(B241,'WBV 2'!$N$3:$O$34,2,FALSE)))</f>
        <v>0</v>
      </c>
      <c r="J241" s="15">
        <f>MAX(IF(ISNA(VLOOKUP(B241,'WBV 3'!$B$3:$C$34,2,FALSE))=TRUE,0,VLOOKUP(B241,'WBV 3'!$B$3:$C$34,2,FALSE)),IF(ISNA(VLOOKUP(B241,'WBV 3'!$F$3:$G$34,2,FALSE))=TRUE,0,VLOOKUP(B241,'WBV 3'!$F$3:$G$34,2,FALSE)),IF(ISNA(VLOOKUP(B241,'WBV 3'!$J$3:$K$34,2,FALSE))=TRUE,0,VLOOKUP(B241,'WBV 3'!$J$3:$K$34,2,FALSE)),IF(ISNA(VLOOKUP(B241,'WBV 3'!$N$3:$O$34,2,FALSE))=TRUE,0,VLOOKUP(B241,'WBV 3'!$N$3:$O$34,2,FALSE)))</f>
        <v>0</v>
      </c>
      <c r="K241" s="15">
        <f>MAX(IF(ISNA(VLOOKUP(B241,'WBV 4'!$B$3:$C$34,2,FALSE))=TRUE,0,VLOOKUP(B241,'WBV 4'!$B$3:$C$34,2,FALSE)),IF(ISNA(VLOOKUP(B241,'WBV 4'!$F$3:$G$34,2,FALSE))=TRUE,0,VLOOKUP(B241,'WBV 4'!$F$3:$G$34,2,FALSE)),IF(ISNA(VLOOKUP(B241,'WBV 4'!$J$3:$K$34,2,FALSE))=TRUE,0,VLOOKUP(B241,'WBV 4'!$J$3:$K$34,2,FALSE)),IF(ISNA(VLOOKUP(B241,'WBV 4'!$N$3:$O$34,2,FALSE))=TRUE,0,VLOOKUP(B241,'WBV 4'!$N$3:$O$34,2,FALSE)))</f>
        <v>0</v>
      </c>
      <c r="L241" s="19">
        <f>MAX(IF(ISNA(VLOOKUP(B241,'NÖBV 1'!$B$3:$C$34,2,FALSE))=TRUE,0,VLOOKUP(B241,'NÖBV 1'!$B$3:$C$34,2,FALSE)),IF(ISNA(VLOOKUP(B241,'NÖBV 1'!$F$3:$G$34,2,FALSE))=TRUE,0,VLOOKUP(B241,'NÖBV 1'!$F$3:$G$34,2,FALSE)),IF(ISNA(VLOOKUP(B241,'NÖBV 1'!$J$3:$K$34,2,FALSE))=TRUE,0,VLOOKUP(B241,'NÖBV 1'!$J$3:$K$34,2,FALSE)),IF(ISNA(VLOOKUP(B241,'NÖBV 1'!$N$3:$O$34,2,FALSE))=TRUE,0,VLOOKUP(B241,'NÖBV 1'!$N$3:$O$34,2,FALSE)))</f>
        <v>0</v>
      </c>
      <c r="M241" s="19">
        <f>MAX(IF(ISNA(VLOOKUP(B241,'NÖBV 2'!$B$3:$C$34,2,FALSE))=TRUE,0,VLOOKUP(B241,'NÖBV 2'!$B$3:$C$34,2,FALSE)),IF(ISNA(VLOOKUP(B241,'NÖBV 2'!$F$3:$G$34,2,FALSE))=TRUE,0,VLOOKUP(B241,'NÖBV 2'!$F$3:$G$34,2,FALSE)),IF(ISNA(VLOOKUP(B241,'NÖBV 2'!$J$3:$K$34,2,FALSE))=TRUE,0,VLOOKUP(B241,'NÖBV 2'!$J$3:$K$34,2,FALSE)),IF(ISNA(VLOOKUP(B241,'NÖBV 2'!$N$3:$O$34,2,FALSE))=TRUE,0,VLOOKUP(B241,'NÖBV 2'!$N$3:$O$34,2,FALSE)))</f>
        <v>0</v>
      </c>
      <c r="N241" s="19">
        <f>MAX(IF(ISNA(VLOOKUP(B241,'NÖBV 3'!$B$3:$C$34,2,FALSE))=TRUE,0,VLOOKUP(B241,'NÖBV 3'!$B$3:$C$34,2,FALSE)),IF(ISNA(VLOOKUP(B241,'NÖBV 3'!$F$3:$G$34,2,FALSE))=TRUE,0,VLOOKUP(B241,'NÖBV 3'!$F$3:$G$34,2,FALSE)),IF(ISNA(VLOOKUP(B241,'NÖBV 3'!$J$3:$K$34,2,FALSE))=TRUE,0,VLOOKUP(B241,'NÖBV 3'!$J$3:$K$34,2,FALSE)),IF(ISNA(VLOOKUP(B241,'NÖBV 3'!$N$3:$O$34,2,FALSE))=TRUE,0,VLOOKUP(B241,'NÖBV 3'!$N$3:$O$34,2,FALSE)))</f>
        <v>0</v>
      </c>
      <c r="O241" s="15">
        <f>MAX(IF(ISNA(VLOOKUP(B241,'Regioturnier 1'!$B$3:$C$34,2,FALSE))=TRUE,0,VLOOKUP(B241,'Regioturnier 1'!$B$3:$C$34,2,FALSE)),IF(ISNA(VLOOKUP(B241,'Regioturnier 1'!$F$3:$G$34,2,FALSE))=TRUE,0,VLOOKUP(B241,'Regioturnier 1'!$F$3:$G$34,2,FALSE)),IF(ISNA(VLOOKUP(B241,'Regioturnier 1'!$J$3:$K$34,2,FALSE))=TRUE,0,VLOOKUP(B241,'Regioturnier 1'!$J$3:$K$34,2,FALSE)),IF(ISNA(VLOOKUP(B241,'Regioturnier 1'!$N$3:$O$34,2,FALSE))=TRUE,0,VLOOKUP(B241,'Regioturnier 1'!$N$3:$O$34,2,FALSE)),IF(ISNA(VLOOKUP(B241,'Regioturnier 1'!$R$3:$S$34,2,FALSE))=TRUE,0,VLOOKUP(B241,'Regioturnier 1'!$R$3:$S$34,2,FALSE)), IF(ISNA(VLOOKUP(B241,'Regioturnier 1'!$V$3:$W$34,2,FALSE))=TRUE,0,VLOOKUP(B241,'Regioturnier 1'!$V$3:$W$34,2,FALSE)), IF(ISNA(VLOOKUP(B241,'Regioturnier 1'!$Z$3:$AA$34,2,FALSE))=TRUE,0,VLOOKUP(B241,'Regioturnier 1'!$Z$3:$AA$34,2,FALSE)))</f>
        <v>0</v>
      </c>
      <c r="P241" s="15">
        <f>MAX(IF(ISNA(VLOOKUP(B241,'Regioturnier 2'!$B$3:$C$34,2,FALSE))=TRUE,0,VLOOKUP(B241,'Regioturnier 2'!$B$3:$C$34,2,FALSE)),IF(ISNA(VLOOKUP(B241,'Regioturnier 2'!$F$3:$G$34,2,FALSE))=TRUE,0,VLOOKUP(B241,'Regioturnier 2'!$F$3:$G$34,2,FALSE)),IF(ISNA(VLOOKUP(B241,'Regioturnier 2'!$J$3:$K$34,2,FALSE))=TRUE,0,VLOOKUP(B241,'Regioturnier 2'!$J$3:$K$34,2,FALSE)),IF(ISNA(VLOOKUP(B241,'Regioturnier 2'!$N$3:$O$34,2,FALSE))=TRUE,0,VLOOKUP(B241,'Regioturnier 2'!$N$3:$O$34,2,FALSE)),IF(ISNA(VLOOKUP(B241,'Regioturnier 2'!$R$3:$S$34,2,FALSE))=TRUE,0,VLOOKUP(B241,'Regioturnier 2'!$R$3:$S$34,2,FALSE)), IF(ISNA(VLOOKUP(B241,'Regioturnier 2'!$V$3:$W$34,2,FALSE))=TRUE,0,VLOOKUP(B241,'Regioturnier 2'!$V$3:$W$34,2,FALSE)), IF(ISNA(VLOOKUP(B241,'Regioturnier 2'!$Z$3:$AA$34,2,FALSE))=TRUE,0,VLOOKUP(B241,'Regioturnier 2'!$Z$3:$AA$34,2,FALSE)))</f>
        <v>0</v>
      </c>
      <c r="Q241" s="15">
        <f>MAX(IF(ISNA(VLOOKUP(B241,'Regioturnier 3'!$B$3:$C$34,2,FALSE))=TRUE,0,VLOOKUP(B241,'Regioturnier 3'!$B$3:$C$34,2,FALSE)),IF(ISNA(VLOOKUP(B241,'Regioturnier 3'!$F$3:$G$34,2,FALSE))=TRUE,0,VLOOKUP(B241,'Regioturnier 3'!$F$3:$G$34,2,FALSE)),IF(ISNA(VLOOKUP(B241,'Regioturnier 3'!$J$3:$K$34,2,FALSE))=TRUE,0,VLOOKUP(B241,'Regioturnier 3'!$J$3:$K$34,2,FALSE)),IF(ISNA(VLOOKUP(B241,'Regioturnier 3'!$N$3:$O$34,2,FALSE))=TRUE,0,VLOOKUP(B241,'Regioturnier 3'!$N$3:$O$34,2,FALSE)),IF(ISNA(VLOOKUP(B241,'Regioturnier 3'!$R$3:$S$34,2,FALSE))=TRUE,0,VLOOKUP(B241,'Regioturnier 3'!$R$3:$S$34,2,FALSE)), IF(ISNA(VLOOKUP(B241,'Regioturnier 3'!$V$3:$W$34,2,FALSE))=TRUE,0,VLOOKUP(B241,'Regioturnier 3'!$V$3:$W$34,2,FALSE)), IF(ISNA(VLOOKUP(B241,'Regioturnier 3'!$Z$3:$AA$34,2,FALSE))=TRUE,0,VLOOKUP(B241,'Regioturnier 3'!$Z$3:$AA$34,2,FALSE)))</f>
        <v>0</v>
      </c>
      <c r="R241" s="20">
        <f>0.5*INDEX($H241:$N241,MATCH(LARGE($H241:$N241,1),$H241:$N241,0))+0.3*INDEX($H241:$N241,MATCH(LARGE($H241:$N241,2),$H241:$N241,0))+0.2*INDEX($H241:$N241,MATCH(LARGE($H241:$N241,3),$H241:$N241,0))</f>
        <v>0</v>
      </c>
      <c r="S241" s="20">
        <f>0.6*INDEX(O241:Q241,MATCH(LARGE(O241:Q241,1),O241:Q241,0))+0.4*INDEX(O241:Q241,MATCH(LARGE(O241:Q241,2),O241:Q241,0))+0*INDEX(O241:Q241,MATCH(LARGE(O241:Q241,3),O241:Q241,0))</f>
        <v>0</v>
      </c>
      <c r="T241" s="15">
        <f>1*INDEX(R241:S241,MATCH(LARGE(R241:S241,1),R241:S241,0))+0*INDEX(R241:S241,MATCH(LARGE(R241:S241,2),R241:S241,0))</f>
        <v>0</v>
      </c>
      <c r="U241" s="21"/>
      <c r="V241" s="21"/>
      <c r="W241" s="21"/>
      <c r="X241" s="21"/>
      <c r="Y241" s="21"/>
      <c r="Z241" s="21"/>
    </row>
    <row r="242" spans="1:26" ht="12.75" customHeight="1" x14ac:dyDescent="0.3">
      <c r="A242" s="15">
        <v>241</v>
      </c>
      <c r="B242" s="16" t="s">
        <v>44</v>
      </c>
      <c r="C242" s="17" t="s">
        <v>21</v>
      </c>
      <c r="D242" s="15" t="s">
        <v>22</v>
      </c>
      <c r="E242" s="18" t="s">
        <v>40</v>
      </c>
      <c r="F242" s="15">
        <v>206734</v>
      </c>
      <c r="G242" s="22">
        <v>2010</v>
      </c>
      <c r="H242" s="15">
        <f>MAX(IF(ISNA(VLOOKUP(B242,'WBV 1'!$B$3:$C$34,2,FALSE))=TRUE,0,VLOOKUP(B242,'WBV 1'!$B$3:$C$34,2,FALSE)),IF(ISNA(VLOOKUP(B242,'WBV 1'!$F$3:$G$34,2,FALSE))=TRUE,0,VLOOKUP(B242,'WBV 1'!$F$3:$G$34,2,FALSE)),IF(ISNA(VLOOKUP(B242,'WBV 1'!$J$3:$K$34,2,FALSE))=TRUE,0,VLOOKUP(B242,'WBV 1'!$J$3:$K$34,2,FALSE)),IF(ISNA(VLOOKUP(B242,'WBV 1'!$N$3:$O$34,2,FALSE))=TRUE,0,VLOOKUP(B242,'WBV 1'!$N$3:$O$34,2,FALSE)))</f>
        <v>0</v>
      </c>
      <c r="I242" s="15">
        <f>MAX(IF(ISNA(VLOOKUP(B242,'WBV 2'!$B$3:$C$34,2,FALSE))=TRUE,0,VLOOKUP(B242,'WBV 2'!$B$3:$C$34,2,FALSE)),IF(ISNA(VLOOKUP(B242,'WBV 2'!$F$3:$G$34,2,FALSE))=TRUE,0,VLOOKUP(B242,'WBV 2'!$F$3:$G$34,2,FALSE)),IF(ISNA(VLOOKUP(B242,'WBV 2'!$J$3:$K$34,2,FALSE))=TRUE,0,VLOOKUP(B242,'WBV 2'!$J$3:$K$34,2,FALSE)),IF(ISNA(VLOOKUP(B242,'WBV 2'!$N$3:$O$34,2,FALSE))=TRUE,0,VLOOKUP(B242,'WBV 2'!$N$3:$O$34,2,FALSE)))</f>
        <v>0</v>
      </c>
      <c r="J242" s="15">
        <f>MAX(IF(ISNA(VLOOKUP(B242,'WBV 3'!$B$3:$C$34,2,FALSE))=TRUE,0,VLOOKUP(B242,'WBV 3'!$B$3:$C$34,2,FALSE)),IF(ISNA(VLOOKUP(B242,'WBV 3'!$F$3:$G$34,2,FALSE))=TRUE,0,VLOOKUP(B242,'WBV 3'!$F$3:$G$34,2,FALSE)),IF(ISNA(VLOOKUP(B242,'WBV 3'!$J$3:$K$34,2,FALSE))=TRUE,0,VLOOKUP(B242,'WBV 3'!$J$3:$K$34,2,FALSE)),IF(ISNA(VLOOKUP(B242,'WBV 3'!$N$3:$O$34,2,FALSE))=TRUE,0,VLOOKUP(B242,'WBV 3'!$N$3:$O$34,2,FALSE)))</f>
        <v>0</v>
      </c>
      <c r="K242" s="15">
        <f>MAX(IF(ISNA(VLOOKUP(B242,'WBV 4'!$B$3:$C$34,2,FALSE))=TRUE,0,VLOOKUP(B242,'WBV 4'!$B$3:$C$34,2,FALSE)),IF(ISNA(VLOOKUP(B242,'WBV 4'!$F$3:$G$34,2,FALSE))=TRUE,0,VLOOKUP(B242,'WBV 4'!$F$3:$G$34,2,FALSE)),IF(ISNA(VLOOKUP(B242,'WBV 4'!$J$3:$K$34,2,FALSE))=TRUE,0,VLOOKUP(B242,'WBV 4'!$J$3:$K$34,2,FALSE)),IF(ISNA(VLOOKUP(B242,'WBV 4'!$N$3:$O$34,2,FALSE))=TRUE,0,VLOOKUP(B242,'WBV 4'!$N$3:$O$34,2,FALSE)))</f>
        <v>0</v>
      </c>
      <c r="L242" s="19">
        <f>MAX(IF(ISNA(VLOOKUP(B242,'NÖBV 1'!$B$3:$C$34,2,FALSE))=TRUE,0,VLOOKUP(B242,'NÖBV 1'!$B$3:$C$34,2,FALSE)),IF(ISNA(VLOOKUP(B242,'NÖBV 1'!$F$3:$G$34,2,FALSE))=TRUE,0,VLOOKUP(B242,'NÖBV 1'!$F$3:$G$34,2,FALSE)),IF(ISNA(VLOOKUP(B242,'NÖBV 1'!$J$3:$K$34,2,FALSE))=TRUE,0,VLOOKUP(B242,'NÖBV 1'!$J$3:$K$34,2,FALSE)),IF(ISNA(VLOOKUP(B242,'NÖBV 1'!$N$3:$O$34,2,FALSE))=TRUE,0,VLOOKUP(B242,'NÖBV 1'!$N$3:$O$34,2,FALSE)))</f>
        <v>0</v>
      </c>
      <c r="M242" s="19">
        <f>MAX(IF(ISNA(VLOOKUP(B242,'NÖBV 2'!$B$3:$C$34,2,FALSE))=TRUE,0,VLOOKUP(B242,'NÖBV 2'!$B$3:$C$34,2,FALSE)),IF(ISNA(VLOOKUP(B242,'NÖBV 2'!$F$3:$G$34,2,FALSE))=TRUE,0,VLOOKUP(B242,'NÖBV 2'!$F$3:$G$34,2,FALSE)),IF(ISNA(VLOOKUP(B242,'NÖBV 2'!$J$3:$K$34,2,FALSE))=TRUE,0,VLOOKUP(B242,'NÖBV 2'!$J$3:$K$34,2,FALSE)),IF(ISNA(VLOOKUP(B242,'NÖBV 2'!$N$3:$O$34,2,FALSE))=TRUE,0,VLOOKUP(B242,'NÖBV 2'!$N$3:$O$34,2,FALSE)))</f>
        <v>0</v>
      </c>
      <c r="N242" s="19">
        <f>MAX(IF(ISNA(VLOOKUP(B242,'NÖBV 3'!$B$3:$C$34,2,FALSE))=TRUE,0,VLOOKUP(B242,'NÖBV 3'!$B$3:$C$34,2,FALSE)),IF(ISNA(VLOOKUP(B242,'NÖBV 3'!$F$3:$G$34,2,FALSE))=TRUE,0,VLOOKUP(B242,'NÖBV 3'!$F$3:$G$34,2,FALSE)),IF(ISNA(VLOOKUP(B242,'NÖBV 3'!$J$3:$K$34,2,FALSE))=TRUE,0,VLOOKUP(B242,'NÖBV 3'!$J$3:$K$34,2,FALSE)),IF(ISNA(VLOOKUP(B242,'NÖBV 3'!$N$3:$O$34,2,FALSE))=TRUE,0,VLOOKUP(B242,'NÖBV 3'!$N$3:$O$34,2,FALSE)))</f>
        <v>0</v>
      </c>
      <c r="O242" s="15">
        <f>MAX(IF(ISNA(VLOOKUP(B242,'Regioturnier 1'!$B$3:$C$34,2,FALSE))=TRUE,0,VLOOKUP(B242,'Regioturnier 1'!$B$3:$C$34,2,FALSE)),IF(ISNA(VLOOKUP(B242,'Regioturnier 1'!$F$3:$G$34,2,FALSE))=TRUE,0,VLOOKUP(B242,'Regioturnier 1'!$F$3:$G$34,2,FALSE)),IF(ISNA(VLOOKUP(B242,'Regioturnier 1'!$J$3:$K$34,2,FALSE))=TRUE,0,VLOOKUP(B242,'Regioturnier 1'!$J$3:$K$34,2,FALSE)),IF(ISNA(VLOOKUP(B242,'Regioturnier 1'!$N$3:$O$34,2,FALSE))=TRUE,0,VLOOKUP(B242,'Regioturnier 1'!$N$3:$O$34,2,FALSE)),IF(ISNA(VLOOKUP(B242,'Regioturnier 1'!$R$3:$S$34,2,FALSE))=TRUE,0,VLOOKUP(B242,'Regioturnier 1'!$R$3:$S$34,2,FALSE)), IF(ISNA(VLOOKUP(B242,'Regioturnier 1'!$V$3:$W$34,2,FALSE))=TRUE,0,VLOOKUP(B242,'Regioturnier 1'!$V$3:$W$34,2,FALSE)), IF(ISNA(VLOOKUP(B242,'Regioturnier 1'!$Z$3:$AA$34,2,FALSE))=TRUE,0,VLOOKUP(B242,'Regioturnier 1'!$Z$3:$AA$34,2,FALSE)))</f>
        <v>0</v>
      </c>
      <c r="P242" s="15">
        <f>MAX(IF(ISNA(VLOOKUP(B242,'Regioturnier 2'!$B$3:$C$34,2,FALSE))=TRUE,0,VLOOKUP(B242,'Regioturnier 2'!$B$3:$C$34,2,FALSE)),IF(ISNA(VLOOKUP(B242,'Regioturnier 2'!$F$3:$G$34,2,FALSE))=TRUE,0,VLOOKUP(B242,'Regioturnier 2'!$F$3:$G$34,2,FALSE)),IF(ISNA(VLOOKUP(B242,'Regioturnier 2'!$J$3:$K$34,2,FALSE))=TRUE,0,VLOOKUP(B242,'Regioturnier 2'!$J$3:$K$34,2,FALSE)),IF(ISNA(VLOOKUP(B242,'Regioturnier 2'!$N$3:$O$34,2,FALSE))=TRUE,0,VLOOKUP(B242,'Regioturnier 2'!$N$3:$O$34,2,FALSE)),IF(ISNA(VLOOKUP(B242,'Regioturnier 2'!$R$3:$S$34,2,FALSE))=TRUE,0,VLOOKUP(B242,'Regioturnier 2'!$R$3:$S$34,2,FALSE)), IF(ISNA(VLOOKUP(B242,'Regioturnier 2'!$V$3:$W$34,2,FALSE))=TRUE,0,VLOOKUP(B242,'Regioturnier 2'!$V$3:$W$34,2,FALSE)), IF(ISNA(VLOOKUP(B242,'Regioturnier 2'!$Z$3:$AA$34,2,FALSE))=TRUE,0,VLOOKUP(B242,'Regioturnier 2'!$Z$3:$AA$34,2,FALSE)))</f>
        <v>0</v>
      </c>
      <c r="Q242" s="15">
        <f>MAX(IF(ISNA(VLOOKUP(B242,'Regioturnier 3'!$B$3:$C$34,2,FALSE))=TRUE,0,VLOOKUP(B242,'Regioturnier 3'!$B$3:$C$34,2,FALSE)),IF(ISNA(VLOOKUP(B242,'Regioturnier 3'!$F$3:$G$34,2,FALSE))=TRUE,0,VLOOKUP(B242,'Regioturnier 3'!$F$3:$G$34,2,FALSE)),IF(ISNA(VLOOKUP(B242,'Regioturnier 3'!$J$3:$K$34,2,FALSE))=TRUE,0,VLOOKUP(B242,'Regioturnier 3'!$J$3:$K$34,2,FALSE)),IF(ISNA(VLOOKUP(B242,'Regioturnier 3'!$N$3:$O$34,2,FALSE))=TRUE,0,VLOOKUP(B242,'Regioturnier 3'!$N$3:$O$34,2,FALSE)),IF(ISNA(VLOOKUP(B242,'Regioturnier 3'!$R$3:$S$34,2,FALSE))=TRUE,0,VLOOKUP(B242,'Regioturnier 3'!$R$3:$S$34,2,FALSE)), IF(ISNA(VLOOKUP(B242,'Regioturnier 3'!$V$3:$W$34,2,FALSE))=TRUE,0,VLOOKUP(B242,'Regioturnier 3'!$V$3:$W$34,2,FALSE)), IF(ISNA(VLOOKUP(B242,'Regioturnier 3'!$Z$3:$AA$34,2,FALSE))=TRUE,0,VLOOKUP(B242,'Regioturnier 3'!$Z$3:$AA$34,2,FALSE)))</f>
        <v>0</v>
      </c>
      <c r="R242" s="20">
        <f>0.5*INDEX($H242:$N242,MATCH(LARGE($H242:$N242,1),$H242:$N242,0))+0.3*INDEX($H242:$N242,MATCH(LARGE($H242:$N242,2),$H242:$N242,0))+0.2*INDEX($H242:$N242,MATCH(LARGE($H242:$N242,3),$H242:$N242,0))</f>
        <v>0</v>
      </c>
      <c r="S242" s="20">
        <f>0.6*INDEX(O242:Q242,MATCH(LARGE(O242:Q242,1),O242:Q242,0))+0.4*INDEX(O242:Q242,MATCH(LARGE(O242:Q242,2),O242:Q242,0))+0*INDEX(O242:Q242,MATCH(LARGE(O242:Q242,3),O242:Q242,0))</f>
        <v>0</v>
      </c>
      <c r="T242" s="15">
        <f>1*INDEX(R242:S242,MATCH(LARGE(R242:S242,1),R242:S242,0))+0*INDEX(R242:S242,MATCH(LARGE(R242:S242,2),R242:S242,0))</f>
        <v>0</v>
      </c>
      <c r="U242" s="21"/>
      <c r="V242" s="21"/>
      <c r="W242" s="21"/>
      <c r="X242" s="21"/>
      <c r="Y242" s="21"/>
      <c r="Z242" s="21"/>
    </row>
    <row r="243" spans="1:26" ht="12.75" customHeight="1" x14ac:dyDescent="0.3">
      <c r="A243" s="15">
        <v>242</v>
      </c>
      <c r="B243" s="16" t="s">
        <v>153</v>
      </c>
      <c r="C243" s="17" t="s">
        <v>28</v>
      </c>
      <c r="D243" s="15" t="s">
        <v>22</v>
      </c>
      <c r="E243" s="18" t="s">
        <v>23</v>
      </c>
      <c r="F243" s="15">
        <v>207353</v>
      </c>
      <c r="G243" s="22">
        <v>2009</v>
      </c>
      <c r="H243" s="15">
        <f>MAX(IF(ISNA(VLOOKUP(B243,'WBV 1'!$B$3:$C$34,2,FALSE))=TRUE,0,VLOOKUP(B243,'WBV 1'!$B$3:$C$34,2,FALSE)),IF(ISNA(VLOOKUP(B243,'WBV 1'!$F$3:$G$34,2,FALSE))=TRUE,0,VLOOKUP(B243,'WBV 1'!$F$3:$G$34,2,FALSE)),IF(ISNA(VLOOKUP(B243,'WBV 1'!$J$3:$K$34,2,FALSE))=TRUE,0,VLOOKUP(B243,'WBV 1'!$J$3:$K$34,2,FALSE)),IF(ISNA(VLOOKUP(B243,'WBV 1'!$N$3:$O$34,2,FALSE))=TRUE,0,VLOOKUP(B243,'WBV 1'!$N$3:$O$34,2,FALSE)))</f>
        <v>0</v>
      </c>
      <c r="I243" s="15">
        <f>MAX(IF(ISNA(VLOOKUP(B243,'WBV 2'!$B$3:$C$34,2,FALSE))=TRUE,0,VLOOKUP(B243,'WBV 2'!$B$3:$C$34,2,FALSE)),IF(ISNA(VLOOKUP(B243,'WBV 2'!$F$3:$G$34,2,FALSE))=TRUE,0,VLOOKUP(B243,'WBV 2'!$F$3:$G$34,2,FALSE)),IF(ISNA(VLOOKUP(B243,'WBV 2'!$J$3:$K$34,2,FALSE))=TRUE,0,VLOOKUP(B243,'WBV 2'!$J$3:$K$34,2,FALSE)),IF(ISNA(VLOOKUP(B243,'WBV 2'!$N$3:$O$34,2,FALSE))=TRUE,0,VLOOKUP(B243,'WBV 2'!$N$3:$O$34,2,FALSE)))</f>
        <v>0</v>
      </c>
      <c r="J243" s="15">
        <f>MAX(IF(ISNA(VLOOKUP(B243,'WBV 3'!$B$3:$C$34,2,FALSE))=TRUE,0,VLOOKUP(B243,'WBV 3'!$B$3:$C$34,2,FALSE)),IF(ISNA(VLOOKUP(B243,'WBV 3'!$F$3:$G$34,2,FALSE))=TRUE,0,VLOOKUP(B243,'WBV 3'!$F$3:$G$34,2,FALSE)),IF(ISNA(VLOOKUP(B243,'WBV 3'!$J$3:$K$34,2,FALSE))=TRUE,0,VLOOKUP(B243,'WBV 3'!$J$3:$K$34,2,FALSE)),IF(ISNA(VLOOKUP(B243,'WBV 3'!$N$3:$O$34,2,FALSE))=TRUE,0,VLOOKUP(B243,'WBV 3'!$N$3:$O$34,2,FALSE)))</f>
        <v>0</v>
      </c>
      <c r="K243" s="15">
        <f>MAX(IF(ISNA(VLOOKUP(B243,'WBV 4'!$B$3:$C$34,2,FALSE))=TRUE,0,VLOOKUP(B243,'WBV 4'!$B$3:$C$34,2,FALSE)),IF(ISNA(VLOOKUP(B243,'WBV 4'!$F$3:$G$34,2,FALSE))=TRUE,0,VLOOKUP(B243,'WBV 4'!$F$3:$G$34,2,FALSE)),IF(ISNA(VLOOKUP(B243,'WBV 4'!$J$3:$K$34,2,FALSE))=TRUE,0,VLOOKUP(B243,'WBV 4'!$J$3:$K$34,2,FALSE)),IF(ISNA(VLOOKUP(B243,'WBV 4'!$N$3:$O$34,2,FALSE))=TRUE,0,VLOOKUP(B243,'WBV 4'!$N$3:$O$34,2,FALSE)))</f>
        <v>0</v>
      </c>
      <c r="L243" s="19">
        <f>MAX(IF(ISNA(VLOOKUP(B243,'NÖBV 1'!$B$3:$C$34,2,FALSE))=TRUE,0,VLOOKUP(B243,'NÖBV 1'!$B$3:$C$34,2,FALSE)),IF(ISNA(VLOOKUP(B243,'NÖBV 1'!$F$3:$G$34,2,FALSE))=TRUE,0,VLOOKUP(B243,'NÖBV 1'!$F$3:$G$34,2,FALSE)),IF(ISNA(VLOOKUP(B243,'NÖBV 1'!$J$3:$K$34,2,FALSE))=TRUE,0,VLOOKUP(B243,'NÖBV 1'!$J$3:$K$34,2,FALSE)),IF(ISNA(VLOOKUP(B243,'NÖBV 1'!$N$3:$O$34,2,FALSE))=TRUE,0,VLOOKUP(B243,'NÖBV 1'!$N$3:$O$34,2,FALSE)))</f>
        <v>0</v>
      </c>
      <c r="M243" s="19">
        <f>MAX(IF(ISNA(VLOOKUP(B243,'NÖBV 2'!$B$3:$C$34,2,FALSE))=TRUE,0,VLOOKUP(B243,'NÖBV 2'!$B$3:$C$34,2,FALSE)),IF(ISNA(VLOOKUP(B243,'NÖBV 2'!$F$3:$G$34,2,FALSE))=TRUE,0,VLOOKUP(B243,'NÖBV 2'!$F$3:$G$34,2,FALSE)),IF(ISNA(VLOOKUP(B243,'NÖBV 2'!$J$3:$K$34,2,FALSE))=TRUE,0,VLOOKUP(B243,'NÖBV 2'!$J$3:$K$34,2,FALSE)),IF(ISNA(VLOOKUP(B243,'NÖBV 2'!$N$3:$O$34,2,FALSE))=TRUE,0,VLOOKUP(B243,'NÖBV 2'!$N$3:$O$34,2,FALSE)))</f>
        <v>0</v>
      </c>
      <c r="N243" s="19">
        <f>MAX(IF(ISNA(VLOOKUP(B243,'NÖBV 3'!$B$3:$C$34,2,FALSE))=TRUE,0,VLOOKUP(B243,'NÖBV 3'!$B$3:$C$34,2,FALSE)),IF(ISNA(VLOOKUP(B243,'NÖBV 3'!$F$3:$G$34,2,FALSE))=TRUE,0,VLOOKUP(B243,'NÖBV 3'!$F$3:$G$34,2,FALSE)),IF(ISNA(VLOOKUP(B243,'NÖBV 3'!$J$3:$K$34,2,FALSE))=TRUE,0,VLOOKUP(B243,'NÖBV 3'!$J$3:$K$34,2,FALSE)),IF(ISNA(VLOOKUP(B243,'NÖBV 3'!$N$3:$O$34,2,FALSE))=TRUE,0,VLOOKUP(B243,'NÖBV 3'!$N$3:$O$34,2,FALSE)))</f>
        <v>0</v>
      </c>
      <c r="O243" s="15">
        <f>MAX(IF(ISNA(VLOOKUP(B243,'Regioturnier 1'!$B$3:$C$34,2,FALSE))=TRUE,0,VLOOKUP(B243,'Regioturnier 1'!$B$3:$C$34,2,FALSE)),IF(ISNA(VLOOKUP(B243,'Regioturnier 1'!$F$3:$G$34,2,FALSE))=TRUE,0,VLOOKUP(B243,'Regioturnier 1'!$F$3:$G$34,2,FALSE)),IF(ISNA(VLOOKUP(B243,'Regioturnier 1'!$J$3:$K$34,2,FALSE))=TRUE,0,VLOOKUP(B243,'Regioturnier 1'!$J$3:$K$34,2,FALSE)),IF(ISNA(VLOOKUP(B243,'Regioturnier 1'!$N$3:$O$34,2,FALSE))=TRUE,0,VLOOKUP(B243,'Regioturnier 1'!$N$3:$O$34,2,FALSE)),IF(ISNA(VLOOKUP(B243,'Regioturnier 1'!$R$3:$S$34,2,FALSE))=TRUE,0,VLOOKUP(B243,'Regioturnier 1'!$R$3:$S$34,2,FALSE)), IF(ISNA(VLOOKUP(B243,'Regioturnier 1'!$V$3:$W$34,2,FALSE))=TRUE,0,VLOOKUP(B243,'Regioturnier 1'!$V$3:$W$34,2,FALSE)), IF(ISNA(VLOOKUP(B243,'Regioturnier 1'!$Z$3:$AA$34,2,FALSE))=TRUE,0,VLOOKUP(B243,'Regioturnier 1'!$Z$3:$AA$34,2,FALSE)))</f>
        <v>0</v>
      </c>
      <c r="P243" s="15">
        <f>MAX(IF(ISNA(VLOOKUP(B243,'Regioturnier 2'!$B$3:$C$34,2,FALSE))=TRUE,0,VLOOKUP(B243,'Regioturnier 2'!$B$3:$C$34,2,FALSE)),IF(ISNA(VLOOKUP(B243,'Regioturnier 2'!$F$3:$G$34,2,FALSE))=TRUE,0,VLOOKUP(B243,'Regioturnier 2'!$F$3:$G$34,2,FALSE)),IF(ISNA(VLOOKUP(B243,'Regioturnier 2'!$J$3:$K$34,2,FALSE))=TRUE,0,VLOOKUP(B243,'Regioturnier 2'!$J$3:$K$34,2,FALSE)),IF(ISNA(VLOOKUP(B243,'Regioturnier 2'!$N$3:$O$34,2,FALSE))=TRUE,0,VLOOKUP(B243,'Regioturnier 2'!$N$3:$O$34,2,FALSE)),IF(ISNA(VLOOKUP(B243,'Regioturnier 2'!$R$3:$S$34,2,FALSE))=TRUE,0,VLOOKUP(B243,'Regioturnier 2'!$R$3:$S$34,2,FALSE)), IF(ISNA(VLOOKUP(B243,'Regioturnier 2'!$V$3:$W$34,2,FALSE))=TRUE,0,VLOOKUP(B243,'Regioturnier 2'!$V$3:$W$34,2,FALSE)), IF(ISNA(VLOOKUP(B243,'Regioturnier 2'!$Z$3:$AA$34,2,FALSE))=TRUE,0,VLOOKUP(B243,'Regioturnier 2'!$Z$3:$AA$34,2,FALSE)))</f>
        <v>0</v>
      </c>
      <c r="Q243" s="15">
        <f>MAX(IF(ISNA(VLOOKUP(B243,'Regioturnier 3'!$B$3:$C$34,2,FALSE))=TRUE,0,VLOOKUP(B243,'Regioturnier 3'!$B$3:$C$34,2,FALSE)),IF(ISNA(VLOOKUP(B243,'Regioturnier 3'!$F$3:$G$34,2,FALSE))=TRUE,0,VLOOKUP(B243,'Regioturnier 3'!$F$3:$G$34,2,FALSE)),IF(ISNA(VLOOKUP(B243,'Regioturnier 3'!$J$3:$K$34,2,FALSE))=TRUE,0,VLOOKUP(B243,'Regioturnier 3'!$J$3:$K$34,2,FALSE)),IF(ISNA(VLOOKUP(B243,'Regioturnier 3'!$N$3:$O$34,2,FALSE))=TRUE,0,VLOOKUP(B243,'Regioturnier 3'!$N$3:$O$34,2,FALSE)),IF(ISNA(VLOOKUP(B243,'Regioturnier 3'!$R$3:$S$34,2,FALSE))=TRUE,0,VLOOKUP(B243,'Regioturnier 3'!$R$3:$S$34,2,FALSE)), IF(ISNA(VLOOKUP(B243,'Regioturnier 3'!$V$3:$W$34,2,FALSE))=TRUE,0,VLOOKUP(B243,'Regioturnier 3'!$V$3:$W$34,2,FALSE)), IF(ISNA(VLOOKUP(B243,'Regioturnier 3'!$Z$3:$AA$34,2,FALSE))=TRUE,0,VLOOKUP(B243,'Regioturnier 3'!$Z$3:$AA$34,2,FALSE)))</f>
        <v>0</v>
      </c>
      <c r="R243" s="20">
        <f>0.5*INDEX($H243:$N243,MATCH(LARGE($H243:$N243,1),$H243:$N243,0))+0.3*INDEX($H243:$N243,MATCH(LARGE($H243:$N243,2),$H243:$N243,0))+0.2*INDEX($H243:$N243,MATCH(LARGE($H243:$N243,3),$H243:$N243,0))</f>
        <v>0</v>
      </c>
      <c r="S243" s="20">
        <f>0.6*INDEX(O243:Q243,MATCH(LARGE(O243:Q243,1),O243:Q243,0))+0.4*INDEX(O243:Q243,MATCH(LARGE(O243:Q243,2),O243:Q243,0))+0*INDEX(O243:Q243,MATCH(LARGE(O243:Q243,3),O243:Q243,0))</f>
        <v>0</v>
      </c>
      <c r="T243" s="15">
        <f>1*INDEX(R243:S243,MATCH(LARGE(R243:S243,1),R243:S243,0))+0*INDEX(R243:S243,MATCH(LARGE(R243:S243,2),R243:S243,0))</f>
        <v>0</v>
      </c>
      <c r="U243" s="21"/>
      <c r="V243" s="21"/>
      <c r="W243" s="21"/>
      <c r="X243" s="21"/>
      <c r="Y243" s="21"/>
      <c r="Z243" s="21"/>
    </row>
    <row r="244" spans="1:26" ht="12.75" customHeight="1" x14ac:dyDescent="0.3">
      <c r="A244" s="15">
        <v>243</v>
      </c>
      <c r="B244" s="16" t="s">
        <v>154</v>
      </c>
      <c r="C244" s="17" t="s">
        <v>21</v>
      </c>
      <c r="D244" s="15" t="s">
        <v>22</v>
      </c>
      <c r="E244" s="18" t="s">
        <v>40</v>
      </c>
      <c r="F244" s="15">
        <v>207493</v>
      </c>
      <c r="G244" s="22">
        <v>2007</v>
      </c>
      <c r="H244" s="15">
        <f>MAX(IF(ISNA(VLOOKUP(B244,'WBV 1'!$B$3:$C$34,2,FALSE))=TRUE,0,VLOOKUP(B244,'WBV 1'!$B$3:$C$34,2,FALSE)),IF(ISNA(VLOOKUP(B244,'WBV 1'!$F$3:$G$34,2,FALSE))=TRUE,0,VLOOKUP(B244,'WBV 1'!$F$3:$G$34,2,FALSE)),IF(ISNA(VLOOKUP(B244,'WBV 1'!$J$3:$K$34,2,FALSE))=TRUE,0,VLOOKUP(B244,'WBV 1'!$J$3:$K$34,2,FALSE)),IF(ISNA(VLOOKUP(B244,'WBV 1'!$N$3:$O$34,2,FALSE))=TRUE,0,VLOOKUP(B244,'WBV 1'!$N$3:$O$34,2,FALSE)))</f>
        <v>0</v>
      </c>
      <c r="I244" s="15">
        <f>MAX(IF(ISNA(VLOOKUP(B244,'WBV 2'!$B$3:$C$34,2,FALSE))=TRUE,0,VLOOKUP(B244,'WBV 2'!$B$3:$C$34,2,FALSE)),IF(ISNA(VLOOKUP(B244,'WBV 2'!$F$3:$G$34,2,FALSE))=TRUE,0,VLOOKUP(B244,'WBV 2'!$F$3:$G$34,2,FALSE)),IF(ISNA(VLOOKUP(B244,'WBV 2'!$J$3:$K$34,2,FALSE))=TRUE,0,VLOOKUP(B244,'WBV 2'!$J$3:$K$34,2,FALSE)),IF(ISNA(VLOOKUP(B244,'WBV 2'!$N$3:$O$34,2,FALSE))=TRUE,0,VLOOKUP(B244,'WBV 2'!$N$3:$O$34,2,FALSE)))</f>
        <v>0</v>
      </c>
      <c r="J244" s="15">
        <f>MAX(IF(ISNA(VLOOKUP(B244,'WBV 3'!$B$3:$C$34,2,FALSE))=TRUE,0,VLOOKUP(B244,'WBV 3'!$B$3:$C$34,2,FALSE)),IF(ISNA(VLOOKUP(B244,'WBV 3'!$F$3:$G$34,2,FALSE))=TRUE,0,VLOOKUP(B244,'WBV 3'!$F$3:$G$34,2,FALSE)),IF(ISNA(VLOOKUP(B244,'WBV 3'!$J$3:$K$34,2,FALSE))=TRUE,0,VLOOKUP(B244,'WBV 3'!$J$3:$K$34,2,FALSE)),IF(ISNA(VLOOKUP(B244,'WBV 3'!$N$3:$O$34,2,FALSE))=TRUE,0,VLOOKUP(B244,'WBV 3'!$N$3:$O$34,2,FALSE)))</f>
        <v>0</v>
      </c>
      <c r="K244" s="15">
        <f>MAX(IF(ISNA(VLOOKUP(B244,'WBV 4'!$B$3:$C$34,2,FALSE))=TRUE,0,VLOOKUP(B244,'WBV 4'!$B$3:$C$34,2,FALSE)),IF(ISNA(VLOOKUP(B244,'WBV 4'!$F$3:$G$34,2,FALSE))=TRUE,0,VLOOKUP(B244,'WBV 4'!$F$3:$G$34,2,FALSE)),IF(ISNA(VLOOKUP(B244,'WBV 4'!$J$3:$K$34,2,FALSE))=TRUE,0,VLOOKUP(B244,'WBV 4'!$J$3:$K$34,2,FALSE)),IF(ISNA(VLOOKUP(B244,'WBV 4'!$N$3:$O$34,2,FALSE))=TRUE,0,VLOOKUP(B244,'WBV 4'!$N$3:$O$34,2,FALSE)))</f>
        <v>0</v>
      </c>
      <c r="L244" s="19">
        <f>MAX(IF(ISNA(VLOOKUP(B244,'NÖBV 1'!$B$3:$C$34,2,FALSE))=TRUE,0,VLOOKUP(B244,'NÖBV 1'!$B$3:$C$34,2,FALSE)),IF(ISNA(VLOOKUP(B244,'NÖBV 1'!$F$3:$G$34,2,FALSE))=TRUE,0,VLOOKUP(B244,'NÖBV 1'!$F$3:$G$34,2,FALSE)),IF(ISNA(VLOOKUP(B244,'NÖBV 1'!$J$3:$K$34,2,FALSE))=TRUE,0,VLOOKUP(B244,'NÖBV 1'!$J$3:$K$34,2,FALSE)),IF(ISNA(VLOOKUP(B244,'NÖBV 1'!$N$3:$O$34,2,FALSE))=TRUE,0,VLOOKUP(B244,'NÖBV 1'!$N$3:$O$34,2,FALSE)))</f>
        <v>0</v>
      </c>
      <c r="M244" s="19">
        <f>MAX(IF(ISNA(VLOOKUP(B244,'NÖBV 2'!$B$3:$C$34,2,FALSE))=TRUE,0,VLOOKUP(B244,'NÖBV 2'!$B$3:$C$34,2,FALSE)),IF(ISNA(VLOOKUP(B244,'NÖBV 2'!$F$3:$G$34,2,FALSE))=TRUE,0,VLOOKUP(B244,'NÖBV 2'!$F$3:$G$34,2,FALSE)),IF(ISNA(VLOOKUP(B244,'NÖBV 2'!$J$3:$K$34,2,FALSE))=TRUE,0,VLOOKUP(B244,'NÖBV 2'!$J$3:$K$34,2,FALSE)),IF(ISNA(VLOOKUP(B244,'NÖBV 2'!$N$3:$O$34,2,FALSE))=TRUE,0,VLOOKUP(B244,'NÖBV 2'!$N$3:$O$34,2,FALSE)))</f>
        <v>0</v>
      </c>
      <c r="N244" s="19">
        <f>MAX(IF(ISNA(VLOOKUP(B244,'NÖBV 3'!$B$3:$C$34,2,FALSE))=TRUE,0,VLOOKUP(B244,'NÖBV 3'!$B$3:$C$34,2,FALSE)),IF(ISNA(VLOOKUP(B244,'NÖBV 3'!$F$3:$G$34,2,FALSE))=TRUE,0,VLOOKUP(B244,'NÖBV 3'!$F$3:$G$34,2,FALSE)),IF(ISNA(VLOOKUP(B244,'NÖBV 3'!$J$3:$K$34,2,FALSE))=TRUE,0,VLOOKUP(B244,'NÖBV 3'!$J$3:$K$34,2,FALSE)),IF(ISNA(VLOOKUP(B244,'NÖBV 3'!$N$3:$O$34,2,FALSE))=TRUE,0,VLOOKUP(B244,'NÖBV 3'!$N$3:$O$34,2,FALSE)))</f>
        <v>0</v>
      </c>
      <c r="O244" s="15">
        <f>MAX(IF(ISNA(VLOOKUP(B244,'Regioturnier 1'!$B$3:$C$34,2,FALSE))=TRUE,0,VLOOKUP(B244,'Regioturnier 1'!$B$3:$C$34,2,FALSE)),IF(ISNA(VLOOKUP(B244,'Regioturnier 1'!$F$3:$G$34,2,FALSE))=TRUE,0,VLOOKUP(B244,'Regioturnier 1'!$F$3:$G$34,2,FALSE)),IF(ISNA(VLOOKUP(B244,'Regioturnier 1'!$J$3:$K$34,2,FALSE))=TRUE,0,VLOOKUP(B244,'Regioturnier 1'!$J$3:$K$34,2,FALSE)),IF(ISNA(VLOOKUP(B244,'Regioturnier 1'!$N$3:$O$34,2,FALSE))=TRUE,0,VLOOKUP(B244,'Regioturnier 1'!$N$3:$O$34,2,FALSE)),IF(ISNA(VLOOKUP(B244,'Regioturnier 1'!$R$3:$S$34,2,FALSE))=TRUE,0,VLOOKUP(B244,'Regioturnier 1'!$R$3:$S$34,2,FALSE)), IF(ISNA(VLOOKUP(B244,'Regioturnier 1'!$V$3:$W$34,2,FALSE))=TRUE,0,VLOOKUP(B244,'Regioturnier 1'!$V$3:$W$34,2,FALSE)), IF(ISNA(VLOOKUP(B244,'Regioturnier 1'!$Z$3:$AA$34,2,FALSE))=TRUE,0,VLOOKUP(B244,'Regioturnier 1'!$Z$3:$AA$34,2,FALSE)))</f>
        <v>0</v>
      </c>
      <c r="P244" s="15">
        <f>MAX(IF(ISNA(VLOOKUP(B244,'Regioturnier 2'!$B$3:$C$34,2,FALSE))=TRUE,0,VLOOKUP(B244,'Regioturnier 2'!$B$3:$C$34,2,FALSE)),IF(ISNA(VLOOKUP(B244,'Regioturnier 2'!$F$3:$G$34,2,FALSE))=TRUE,0,VLOOKUP(B244,'Regioturnier 2'!$F$3:$G$34,2,FALSE)),IF(ISNA(VLOOKUP(B244,'Regioturnier 2'!$J$3:$K$34,2,FALSE))=TRUE,0,VLOOKUP(B244,'Regioturnier 2'!$J$3:$K$34,2,FALSE)),IF(ISNA(VLOOKUP(B244,'Regioturnier 2'!$N$3:$O$34,2,FALSE))=TRUE,0,VLOOKUP(B244,'Regioturnier 2'!$N$3:$O$34,2,FALSE)),IF(ISNA(VLOOKUP(B244,'Regioturnier 2'!$R$3:$S$34,2,FALSE))=TRUE,0,VLOOKUP(B244,'Regioturnier 2'!$R$3:$S$34,2,FALSE)), IF(ISNA(VLOOKUP(B244,'Regioturnier 2'!$V$3:$W$34,2,FALSE))=TRUE,0,VLOOKUP(B244,'Regioturnier 2'!$V$3:$W$34,2,FALSE)), IF(ISNA(VLOOKUP(B244,'Regioturnier 2'!$Z$3:$AA$34,2,FALSE))=TRUE,0,VLOOKUP(B244,'Regioturnier 2'!$Z$3:$AA$34,2,FALSE)))</f>
        <v>0</v>
      </c>
      <c r="Q244" s="15">
        <f>MAX(IF(ISNA(VLOOKUP(B244,'Regioturnier 3'!$B$3:$C$34,2,FALSE))=TRUE,0,VLOOKUP(B244,'Regioturnier 3'!$B$3:$C$34,2,FALSE)),IF(ISNA(VLOOKUP(B244,'Regioturnier 3'!$F$3:$G$34,2,FALSE))=TRUE,0,VLOOKUP(B244,'Regioturnier 3'!$F$3:$G$34,2,FALSE)),IF(ISNA(VLOOKUP(B244,'Regioturnier 3'!$J$3:$K$34,2,FALSE))=TRUE,0,VLOOKUP(B244,'Regioturnier 3'!$J$3:$K$34,2,FALSE)),IF(ISNA(VLOOKUP(B244,'Regioturnier 3'!$N$3:$O$34,2,FALSE))=TRUE,0,VLOOKUP(B244,'Regioturnier 3'!$N$3:$O$34,2,FALSE)),IF(ISNA(VLOOKUP(B244,'Regioturnier 3'!$R$3:$S$34,2,FALSE))=TRUE,0,VLOOKUP(B244,'Regioturnier 3'!$R$3:$S$34,2,FALSE)), IF(ISNA(VLOOKUP(B244,'Regioturnier 3'!$V$3:$W$34,2,FALSE))=TRUE,0,VLOOKUP(B244,'Regioturnier 3'!$V$3:$W$34,2,FALSE)), IF(ISNA(VLOOKUP(B244,'Regioturnier 3'!$Z$3:$AA$34,2,FALSE))=TRUE,0,VLOOKUP(B244,'Regioturnier 3'!$Z$3:$AA$34,2,FALSE)))</f>
        <v>0</v>
      </c>
      <c r="R244" s="20">
        <f>0.5*INDEX($H244:$N244,MATCH(LARGE($H244:$N244,1),$H244:$N244,0))+0.3*INDEX($H244:$N244,MATCH(LARGE($H244:$N244,2),$H244:$N244,0))+0.2*INDEX($H244:$N244,MATCH(LARGE($H244:$N244,3),$H244:$N244,0))</f>
        <v>0</v>
      </c>
      <c r="S244" s="20">
        <f>0.6*INDEX(O244:Q244,MATCH(LARGE(O244:Q244,1),O244:Q244,0))+0.4*INDEX(O244:Q244,MATCH(LARGE(O244:Q244,2),O244:Q244,0))+0*INDEX(O244:Q244,MATCH(LARGE(O244:Q244,3),O244:Q244,0))</f>
        <v>0</v>
      </c>
      <c r="T244" s="15">
        <f>1*INDEX(R244:S244,MATCH(LARGE(R244:S244,1),R244:S244,0))+0*INDEX(R244:S244,MATCH(LARGE(R244:S244,2),R244:S244,0))</f>
        <v>0</v>
      </c>
      <c r="U244" s="21"/>
      <c r="V244" s="21"/>
      <c r="W244" s="21"/>
      <c r="X244" s="21"/>
      <c r="Y244" s="21"/>
      <c r="Z244" s="21"/>
    </row>
    <row r="245" spans="1:26" ht="12.75" customHeight="1" x14ac:dyDescent="0.3">
      <c r="A245" s="15">
        <v>244</v>
      </c>
      <c r="B245" s="16" t="s">
        <v>162</v>
      </c>
      <c r="C245" s="17" t="s">
        <v>28</v>
      </c>
      <c r="D245" s="15" t="s">
        <v>22</v>
      </c>
      <c r="E245" s="18" t="s">
        <v>23</v>
      </c>
      <c r="F245" s="15">
        <v>207975</v>
      </c>
      <c r="G245" s="22">
        <v>2010</v>
      </c>
      <c r="H245" s="15">
        <f>MAX(IF(ISNA(VLOOKUP(B245,'WBV 1'!$B$3:$C$34,2,FALSE))=TRUE,0,VLOOKUP(B245,'WBV 1'!$B$3:$C$34,2,FALSE)),IF(ISNA(VLOOKUP(B245,'WBV 1'!$F$3:$G$34,2,FALSE))=TRUE,0,VLOOKUP(B245,'WBV 1'!$F$3:$G$34,2,FALSE)),IF(ISNA(VLOOKUP(B245,'WBV 1'!$J$3:$K$34,2,FALSE))=TRUE,0,VLOOKUP(B245,'WBV 1'!$J$3:$K$34,2,FALSE)),IF(ISNA(VLOOKUP(B245,'WBV 1'!$N$3:$O$34,2,FALSE))=TRUE,0,VLOOKUP(B245,'WBV 1'!$N$3:$O$34,2,FALSE)))</f>
        <v>0</v>
      </c>
      <c r="I245" s="15">
        <f>MAX(IF(ISNA(VLOOKUP(B245,'WBV 2'!$B$3:$C$34,2,FALSE))=TRUE,0,VLOOKUP(B245,'WBV 2'!$B$3:$C$34,2,FALSE)),IF(ISNA(VLOOKUP(B245,'WBV 2'!$F$3:$G$34,2,FALSE))=TRUE,0,VLOOKUP(B245,'WBV 2'!$F$3:$G$34,2,FALSE)),IF(ISNA(VLOOKUP(B245,'WBV 2'!$J$3:$K$34,2,FALSE))=TRUE,0,VLOOKUP(B245,'WBV 2'!$J$3:$K$34,2,FALSE)),IF(ISNA(VLOOKUP(B245,'WBV 2'!$N$3:$O$34,2,FALSE))=TRUE,0,VLOOKUP(B245,'WBV 2'!$N$3:$O$34,2,FALSE)))</f>
        <v>0</v>
      </c>
      <c r="J245" s="15">
        <f>MAX(IF(ISNA(VLOOKUP(B245,'WBV 3'!$B$3:$C$34,2,FALSE))=TRUE,0,VLOOKUP(B245,'WBV 3'!$B$3:$C$34,2,FALSE)),IF(ISNA(VLOOKUP(B245,'WBV 3'!$F$3:$G$34,2,FALSE))=TRUE,0,VLOOKUP(B245,'WBV 3'!$F$3:$G$34,2,FALSE)),IF(ISNA(VLOOKUP(B245,'WBV 3'!$J$3:$K$34,2,FALSE))=TRUE,0,VLOOKUP(B245,'WBV 3'!$J$3:$K$34,2,FALSE)),IF(ISNA(VLOOKUP(B245,'WBV 3'!$N$3:$O$34,2,FALSE))=TRUE,0,VLOOKUP(B245,'WBV 3'!$N$3:$O$34,2,FALSE)))</f>
        <v>0</v>
      </c>
      <c r="K245" s="15">
        <f>MAX(IF(ISNA(VLOOKUP(B245,'WBV 4'!$B$3:$C$34,2,FALSE))=TRUE,0,VLOOKUP(B245,'WBV 4'!$B$3:$C$34,2,FALSE)),IF(ISNA(VLOOKUP(B245,'WBV 4'!$F$3:$G$34,2,FALSE))=TRUE,0,VLOOKUP(B245,'WBV 4'!$F$3:$G$34,2,FALSE)),IF(ISNA(VLOOKUP(B245,'WBV 4'!$J$3:$K$34,2,FALSE))=TRUE,0,VLOOKUP(B245,'WBV 4'!$J$3:$K$34,2,FALSE)),IF(ISNA(VLOOKUP(B245,'WBV 4'!$N$3:$O$34,2,FALSE))=TRUE,0,VLOOKUP(B245,'WBV 4'!$N$3:$O$34,2,FALSE)))</f>
        <v>0</v>
      </c>
      <c r="L245" s="19">
        <f>MAX(IF(ISNA(VLOOKUP(B245,'NÖBV 1'!$B$3:$C$34,2,FALSE))=TRUE,0,VLOOKUP(B245,'NÖBV 1'!$B$3:$C$34,2,FALSE)),IF(ISNA(VLOOKUP(B245,'NÖBV 1'!$F$3:$G$34,2,FALSE))=TRUE,0,VLOOKUP(B245,'NÖBV 1'!$F$3:$G$34,2,FALSE)),IF(ISNA(VLOOKUP(B245,'NÖBV 1'!$J$3:$K$34,2,FALSE))=TRUE,0,VLOOKUP(B245,'NÖBV 1'!$J$3:$K$34,2,FALSE)),IF(ISNA(VLOOKUP(B245,'NÖBV 1'!$N$3:$O$34,2,FALSE))=TRUE,0,VLOOKUP(B245,'NÖBV 1'!$N$3:$O$34,2,FALSE)))</f>
        <v>0</v>
      </c>
      <c r="M245" s="19">
        <f>MAX(IF(ISNA(VLOOKUP(B245,'NÖBV 2'!$B$3:$C$34,2,FALSE))=TRUE,0,VLOOKUP(B245,'NÖBV 2'!$B$3:$C$34,2,FALSE)),IF(ISNA(VLOOKUP(B245,'NÖBV 2'!$F$3:$G$34,2,FALSE))=TRUE,0,VLOOKUP(B245,'NÖBV 2'!$F$3:$G$34,2,FALSE)),IF(ISNA(VLOOKUP(B245,'NÖBV 2'!$J$3:$K$34,2,FALSE))=TRUE,0,VLOOKUP(B245,'NÖBV 2'!$J$3:$K$34,2,FALSE)),IF(ISNA(VLOOKUP(B245,'NÖBV 2'!$N$3:$O$34,2,FALSE))=TRUE,0,VLOOKUP(B245,'NÖBV 2'!$N$3:$O$34,2,FALSE)))</f>
        <v>0</v>
      </c>
      <c r="N245" s="19">
        <f>MAX(IF(ISNA(VLOOKUP(B245,'NÖBV 3'!$B$3:$C$34,2,FALSE))=TRUE,0,VLOOKUP(B245,'NÖBV 3'!$B$3:$C$34,2,FALSE)),IF(ISNA(VLOOKUP(B245,'NÖBV 3'!$F$3:$G$34,2,FALSE))=TRUE,0,VLOOKUP(B245,'NÖBV 3'!$F$3:$G$34,2,FALSE)),IF(ISNA(VLOOKUP(B245,'NÖBV 3'!$J$3:$K$34,2,FALSE))=TRUE,0,VLOOKUP(B245,'NÖBV 3'!$J$3:$K$34,2,FALSE)),IF(ISNA(VLOOKUP(B245,'NÖBV 3'!$N$3:$O$34,2,FALSE))=TRUE,0,VLOOKUP(B245,'NÖBV 3'!$N$3:$O$34,2,FALSE)))</f>
        <v>0</v>
      </c>
      <c r="O245" s="15">
        <f>MAX(IF(ISNA(VLOOKUP(B245,'Regioturnier 1'!$B$3:$C$34,2,FALSE))=TRUE,0,VLOOKUP(B245,'Regioturnier 1'!$B$3:$C$34,2,FALSE)),IF(ISNA(VLOOKUP(B245,'Regioturnier 1'!$F$3:$G$34,2,FALSE))=TRUE,0,VLOOKUP(B245,'Regioturnier 1'!$F$3:$G$34,2,FALSE)),IF(ISNA(VLOOKUP(B245,'Regioturnier 1'!$J$3:$K$34,2,FALSE))=TRUE,0,VLOOKUP(B245,'Regioturnier 1'!$J$3:$K$34,2,FALSE)),IF(ISNA(VLOOKUP(B245,'Regioturnier 1'!$N$3:$O$34,2,FALSE))=TRUE,0,VLOOKUP(B245,'Regioturnier 1'!$N$3:$O$34,2,FALSE)),IF(ISNA(VLOOKUP(B245,'Regioturnier 1'!$R$3:$S$34,2,FALSE))=TRUE,0,VLOOKUP(B245,'Regioturnier 1'!$R$3:$S$34,2,FALSE)), IF(ISNA(VLOOKUP(B245,'Regioturnier 1'!$V$3:$W$34,2,FALSE))=TRUE,0,VLOOKUP(B245,'Regioturnier 1'!$V$3:$W$34,2,FALSE)), IF(ISNA(VLOOKUP(B245,'Regioturnier 1'!$Z$3:$AA$34,2,FALSE))=TRUE,0,VLOOKUP(B245,'Regioturnier 1'!$Z$3:$AA$34,2,FALSE)))</f>
        <v>0</v>
      </c>
      <c r="P245" s="15">
        <f>MAX(IF(ISNA(VLOOKUP(B245,'Regioturnier 2'!$B$3:$C$34,2,FALSE))=TRUE,0,VLOOKUP(B245,'Regioturnier 2'!$B$3:$C$34,2,FALSE)),IF(ISNA(VLOOKUP(B245,'Regioturnier 2'!$F$3:$G$34,2,FALSE))=TRUE,0,VLOOKUP(B245,'Regioturnier 2'!$F$3:$G$34,2,FALSE)),IF(ISNA(VLOOKUP(B245,'Regioturnier 2'!$J$3:$K$34,2,FALSE))=TRUE,0,VLOOKUP(B245,'Regioturnier 2'!$J$3:$K$34,2,FALSE)),IF(ISNA(VLOOKUP(B245,'Regioturnier 2'!$N$3:$O$34,2,FALSE))=TRUE,0,VLOOKUP(B245,'Regioturnier 2'!$N$3:$O$34,2,FALSE)),IF(ISNA(VLOOKUP(B245,'Regioturnier 2'!$R$3:$S$34,2,FALSE))=TRUE,0,VLOOKUP(B245,'Regioturnier 2'!$R$3:$S$34,2,FALSE)), IF(ISNA(VLOOKUP(B245,'Regioturnier 2'!$V$3:$W$34,2,FALSE))=TRUE,0,VLOOKUP(B245,'Regioturnier 2'!$V$3:$W$34,2,FALSE)), IF(ISNA(VLOOKUP(B245,'Regioturnier 2'!$Z$3:$AA$34,2,FALSE))=TRUE,0,VLOOKUP(B245,'Regioturnier 2'!$Z$3:$AA$34,2,FALSE)))</f>
        <v>0</v>
      </c>
      <c r="Q245" s="15">
        <f>MAX(IF(ISNA(VLOOKUP(B245,'Regioturnier 3'!$B$3:$C$34,2,FALSE))=TRUE,0,VLOOKUP(B245,'Regioturnier 3'!$B$3:$C$34,2,FALSE)),IF(ISNA(VLOOKUP(B245,'Regioturnier 3'!$F$3:$G$34,2,FALSE))=TRUE,0,VLOOKUP(B245,'Regioturnier 3'!$F$3:$G$34,2,FALSE)),IF(ISNA(VLOOKUP(B245,'Regioturnier 3'!$J$3:$K$34,2,FALSE))=TRUE,0,VLOOKUP(B245,'Regioturnier 3'!$J$3:$K$34,2,FALSE)),IF(ISNA(VLOOKUP(B245,'Regioturnier 3'!$N$3:$O$34,2,FALSE))=TRUE,0,VLOOKUP(B245,'Regioturnier 3'!$N$3:$O$34,2,FALSE)),IF(ISNA(VLOOKUP(B245,'Regioturnier 3'!$R$3:$S$34,2,FALSE))=TRUE,0,VLOOKUP(B245,'Regioturnier 3'!$R$3:$S$34,2,FALSE)), IF(ISNA(VLOOKUP(B245,'Regioturnier 3'!$V$3:$W$34,2,FALSE))=TRUE,0,VLOOKUP(B245,'Regioturnier 3'!$V$3:$W$34,2,FALSE)), IF(ISNA(VLOOKUP(B245,'Regioturnier 3'!$Z$3:$AA$34,2,FALSE))=TRUE,0,VLOOKUP(B245,'Regioturnier 3'!$Z$3:$AA$34,2,FALSE)))</f>
        <v>0</v>
      </c>
      <c r="R245" s="20">
        <f>0.5*INDEX($H245:$N245,MATCH(LARGE($H245:$N245,1),$H245:$N245,0))+0.3*INDEX($H245:$N245,MATCH(LARGE($H245:$N245,2),$H245:$N245,0))+0.2*INDEX($H245:$N245,MATCH(LARGE($H245:$N245,3),$H245:$N245,0))</f>
        <v>0</v>
      </c>
      <c r="S245" s="20">
        <f>0.6*INDEX(O245:Q245,MATCH(LARGE(O245:Q245,1),O245:Q245,0))+0.4*INDEX(O245:Q245,MATCH(LARGE(O245:Q245,2),O245:Q245,0))+0*INDEX(O245:Q245,MATCH(LARGE(O245:Q245,3),O245:Q245,0))</f>
        <v>0</v>
      </c>
      <c r="T245" s="15">
        <f>1*INDEX(R245:S245,MATCH(LARGE(R245:S245,1),R245:S245,0))+0*INDEX(R245:S245,MATCH(LARGE(R245:S245,2),R245:S245,0))</f>
        <v>0</v>
      </c>
      <c r="U245" s="21"/>
      <c r="V245" s="21"/>
      <c r="W245" s="21"/>
      <c r="X245" s="21"/>
      <c r="Y245" s="21"/>
      <c r="Z245" s="21"/>
    </row>
    <row r="246" spans="1:26" ht="12.75" customHeight="1" x14ac:dyDescent="0.3">
      <c r="A246" s="15">
        <v>245</v>
      </c>
      <c r="B246" s="16" t="s">
        <v>165</v>
      </c>
      <c r="C246" s="17" t="s">
        <v>21</v>
      </c>
      <c r="D246" s="15" t="s">
        <v>22</v>
      </c>
      <c r="E246" s="18" t="s">
        <v>23</v>
      </c>
      <c r="F246" s="15">
        <v>26613</v>
      </c>
      <c r="G246" s="22">
        <v>2011</v>
      </c>
      <c r="H246" s="15">
        <f>MAX(IF(ISNA(VLOOKUP(B246,'WBV 1'!$B$3:$C$34,2,FALSE))=TRUE,0,VLOOKUP(B246,'WBV 1'!$B$3:$C$34,2,FALSE)),IF(ISNA(VLOOKUP(B246,'WBV 1'!$F$3:$G$34,2,FALSE))=TRUE,0,VLOOKUP(B246,'WBV 1'!$F$3:$G$34,2,FALSE)),IF(ISNA(VLOOKUP(B246,'WBV 1'!$J$3:$K$34,2,FALSE))=TRUE,0,VLOOKUP(B246,'WBV 1'!$J$3:$K$34,2,FALSE)),IF(ISNA(VLOOKUP(B246,'WBV 1'!$N$3:$O$34,2,FALSE))=TRUE,0,VLOOKUP(B246,'WBV 1'!$N$3:$O$34,2,FALSE)))</f>
        <v>0</v>
      </c>
      <c r="I246" s="15">
        <f>MAX(IF(ISNA(VLOOKUP(B246,'WBV 2'!$B$3:$C$34,2,FALSE))=TRUE,0,VLOOKUP(B246,'WBV 2'!$B$3:$C$34,2,FALSE)),IF(ISNA(VLOOKUP(B246,'WBV 2'!$F$3:$G$34,2,FALSE))=TRUE,0,VLOOKUP(B246,'WBV 2'!$F$3:$G$34,2,FALSE)),IF(ISNA(VLOOKUP(B246,'WBV 2'!$J$3:$K$34,2,FALSE))=TRUE,0,VLOOKUP(B246,'WBV 2'!$J$3:$K$34,2,FALSE)),IF(ISNA(VLOOKUP(B246,'WBV 2'!$N$3:$O$34,2,FALSE))=TRUE,0,VLOOKUP(B246,'WBV 2'!$N$3:$O$34,2,FALSE)))</f>
        <v>0</v>
      </c>
      <c r="J246" s="15">
        <f>MAX(IF(ISNA(VLOOKUP(B246,'WBV 3'!$B$3:$C$34,2,FALSE))=TRUE,0,VLOOKUP(B246,'WBV 3'!$B$3:$C$34,2,FALSE)),IF(ISNA(VLOOKUP(B246,'WBV 3'!$F$3:$G$34,2,FALSE))=TRUE,0,VLOOKUP(B246,'WBV 3'!$F$3:$G$34,2,FALSE)),IF(ISNA(VLOOKUP(B246,'WBV 3'!$J$3:$K$34,2,FALSE))=TRUE,0,VLOOKUP(B246,'WBV 3'!$J$3:$K$34,2,FALSE)),IF(ISNA(VLOOKUP(B246,'WBV 3'!$N$3:$O$34,2,FALSE))=TRUE,0,VLOOKUP(B246,'WBV 3'!$N$3:$O$34,2,FALSE)))</f>
        <v>0</v>
      </c>
      <c r="K246" s="15">
        <f>MAX(IF(ISNA(VLOOKUP(B246,'WBV 4'!$B$3:$C$34,2,FALSE))=TRUE,0,VLOOKUP(B246,'WBV 4'!$B$3:$C$34,2,FALSE)),IF(ISNA(VLOOKUP(B246,'WBV 4'!$F$3:$G$34,2,FALSE))=TRUE,0,VLOOKUP(B246,'WBV 4'!$F$3:$G$34,2,FALSE)),IF(ISNA(VLOOKUP(B246,'WBV 4'!$J$3:$K$34,2,FALSE))=TRUE,0,VLOOKUP(B246,'WBV 4'!$J$3:$K$34,2,FALSE)),IF(ISNA(VLOOKUP(B246,'WBV 4'!$N$3:$O$34,2,FALSE))=TRUE,0,VLOOKUP(B246,'WBV 4'!$N$3:$O$34,2,FALSE)))</f>
        <v>0</v>
      </c>
      <c r="L246" s="19">
        <f>MAX(IF(ISNA(VLOOKUP(B246,'NÖBV 1'!$B$3:$C$34,2,FALSE))=TRUE,0,VLOOKUP(B246,'NÖBV 1'!$B$3:$C$34,2,FALSE)),IF(ISNA(VLOOKUP(B246,'NÖBV 1'!$F$3:$G$34,2,FALSE))=TRUE,0,VLOOKUP(B246,'NÖBV 1'!$F$3:$G$34,2,FALSE)),IF(ISNA(VLOOKUP(B246,'NÖBV 1'!$J$3:$K$34,2,FALSE))=TRUE,0,VLOOKUP(B246,'NÖBV 1'!$J$3:$K$34,2,FALSE)),IF(ISNA(VLOOKUP(B246,'NÖBV 1'!$N$3:$O$34,2,FALSE))=TRUE,0,VLOOKUP(B246,'NÖBV 1'!$N$3:$O$34,2,FALSE)))</f>
        <v>0</v>
      </c>
      <c r="M246" s="19">
        <f>MAX(IF(ISNA(VLOOKUP(B246,'NÖBV 2'!$B$3:$C$34,2,FALSE))=TRUE,0,VLOOKUP(B246,'NÖBV 2'!$B$3:$C$34,2,FALSE)),IF(ISNA(VLOOKUP(B246,'NÖBV 2'!$F$3:$G$34,2,FALSE))=TRUE,0,VLOOKUP(B246,'NÖBV 2'!$F$3:$G$34,2,FALSE)),IF(ISNA(VLOOKUP(B246,'NÖBV 2'!$J$3:$K$34,2,FALSE))=TRUE,0,VLOOKUP(B246,'NÖBV 2'!$J$3:$K$34,2,FALSE)),IF(ISNA(VLOOKUP(B246,'NÖBV 2'!$N$3:$O$34,2,FALSE))=TRUE,0,VLOOKUP(B246,'NÖBV 2'!$N$3:$O$34,2,FALSE)))</f>
        <v>0</v>
      </c>
      <c r="N246" s="19">
        <f>MAX(IF(ISNA(VLOOKUP(B246,'NÖBV 3'!$B$3:$C$34,2,FALSE))=TRUE,0,VLOOKUP(B246,'NÖBV 3'!$B$3:$C$34,2,FALSE)),IF(ISNA(VLOOKUP(B246,'NÖBV 3'!$F$3:$G$34,2,FALSE))=TRUE,0,VLOOKUP(B246,'NÖBV 3'!$F$3:$G$34,2,FALSE)),IF(ISNA(VLOOKUP(B246,'NÖBV 3'!$J$3:$K$34,2,FALSE))=TRUE,0,VLOOKUP(B246,'NÖBV 3'!$J$3:$K$34,2,FALSE)),IF(ISNA(VLOOKUP(B246,'NÖBV 3'!$N$3:$O$34,2,FALSE))=TRUE,0,VLOOKUP(B246,'NÖBV 3'!$N$3:$O$34,2,FALSE)))</f>
        <v>0</v>
      </c>
      <c r="O246" s="15">
        <f>MAX(IF(ISNA(VLOOKUP(B246,'Regioturnier 1'!$B$3:$C$34,2,FALSE))=TRUE,0,VLOOKUP(B246,'Regioturnier 1'!$B$3:$C$34,2,FALSE)),IF(ISNA(VLOOKUP(B246,'Regioturnier 1'!$F$3:$G$34,2,FALSE))=TRUE,0,VLOOKUP(B246,'Regioturnier 1'!$F$3:$G$34,2,FALSE)),IF(ISNA(VLOOKUP(B246,'Regioturnier 1'!$J$3:$K$34,2,FALSE))=TRUE,0,VLOOKUP(B246,'Regioturnier 1'!$J$3:$K$34,2,FALSE)),IF(ISNA(VLOOKUP(B246,'Regioturnier 1'!$N$3:$O$34,2,FALSE))=TRUE,0,VLOOKUP(B246,'Regioturnier 1'!$N$3:$O$34,2,FALSE)),IF(ISNA(VLOOKUP(B246,'Regioturnier 1'!$R$3:$S$34,2,FALSE))=TRUE,0,VLOOKUP(B246,'Regioturnier 1'!$R$3:$S$34,2,FALSE)), IF(ISNA(VLOOKUP(B246,'Regioturnier 1'!$V$3:$W$34,2,FALSE))=TRUE,0,VLOOKUP(B246,'Regioturnier 1'!$V$3:$W$34,2,FALSE)), IF(ISNA(VLOOKUP(B246,'Regioturnier 1'!$Z$3:$AA$34,2,FALSE))=TRUE,0,VLOOKUP(B246,'Regioturnier 1'!$Z$3:$AA$34,2,FALSE)))</f>
        <v>0</v>
      </c>
      <c r="P246" s="15">
        <f>MAX(IF(ISNA(VLOOKUP(B246,'Regioturnier 2'!$B$3:$C$34,2,FALSE))=TRUE,0,VLOOKUP(B246,'Regioturnier 2'!$B$3:$C$34,2,FALSE)),IF(ISNA(VLOOKUP(B246,'Regioturnier 2'!$F$3:$G$34,2,FALSE))=TRUE,0,VLOOKUP(B246,'Regioturnier 2'!$F$3:$G$34,2,FALSE)),IF(ISNA(VLOOKUP(B246,'Regioturnier 2'!$J$3:$K$34,2,FALSE))=TRUE,0,VLOOKUP(B246,'Regioturnier 2'!$J$3:$K$34,2,FALSE)),IF(ISNA(VLOOKUP(B246,'Regioturnier 2'!$N$3:$O$34,2,FALSE))=TRUE,0,VLOOKUP(B246,'Regioturnier 2'!$N$3:$O$34,2,FALSE)),IF(ISNA(VLOOKUP(B246,'Regioturnier 2'!$R$3:$S$34,2,FALSE))=TRUE,0,VLOOKUP(B246,'Regioturnier 2'!$R$3:$S$34,2,FALSE)), IF(ISNA(VLOOKUP(B246,'Regioturnier 2'!$V$3:$W$34,2,FALSE))=TRUE,0,VLOOKUP(B246,'Regioturnier 2'!$V$3:$W$34,2,FALSE)), IF(ISNA(VLOOKUP(B246,'Regioturnier 2'!$Z$3:$AA$34,2,FALSE))=TRUE,0,VLOOKUP(B246,'Regioturnier 2'!$Z$3:$AA$34,2,FALSE)))</f>
        <v>0</v>
      </c>
      <c r="Q246" s="15">
        <f>MAX(IF(ISNA(VLOOKUP(B246,'Regioturnier 3'!$B$3:$C$34,2,FALSE))=TRUE,0,VLOOKUP(B246,'Regioturnier 3'!$B$3:$C$34,2,FALSE)),IF(ISNA(VLOOKUP(B246,'Regioturnier 3'!$F$3:$G$34,2,FALSE))=TRUE,0,VLOOKUP(B246,'Regioturnier 3'!$F$3:$G$34,2,FALSE)),IF(ISNA(VLOOKUP(B246,'Regioturnier 3'!$J$3:$K$34,2,FALSE))=TRUE,0,VLOOKUP(B246,'Regioturnier 3'!$J$3:$K$34,2,FALSE)),IF(ISNA(VLOOKUP(B246,'Regioturnier 3'!$N$3:$O$34,2,FALSE))=TRUE,0,VLOOKUP(B246,'Regioturnier 3'!$N$3:$O$34,2,FALSE)),IF(ISNA(VLOOKUP(B246,'Regioturnier 3'!$R$3:$S$34,2,FALSE))=TRUE,0,VLOOKUP(B246,'Regioturnier 3'!$R$3:$S$34,2,FALSE)), IF(ISNA(VLOOKUP(B246,'Regioturnier 3'!$V$3:$W$34,2,FALSE))=TRUE,0,VLOOKUP(B246,'Regioturnier 3'!$V$3:$W$34,2,FALSE)), IF(ISNA(VLOOKUP(B246,'Regioturnier 3'!$Z$3:$AA$34,2,FALSE))=TRUE,0,VLOOKUP(B246,'Regioturnier 3'!$Z$3:$AA$34,2,FALSE)))</f>
        <v>0</v>
      </c>
      <c r="R246" s="20">
        <f>0.5*INDEX($H246:$N246,MATCH(LARGE($H246:$N246,1),$H246:$N246,0))+0.3*INDEX($H246:$N246,MATCH(LARGE($H246:$N246,2),$H246:$N246,0))+0.2*INDEX($H246:$N246,MATCH(LARGE($H246:$N246,3),$H246:$N246,0))</f>
        <v>0</v>
      </c>
      <c r="S246" s="20">
        <f>0.6*INDEX(O246:Q246,MATCH(LARGE(O246:Q246,1),O246:Q246,0))+0.4*INDEX(O246:Q246,MATCH(LARGE(O246:Q246,2),O246:Q246,0))+0*INDEX(O246:Q246,MATCH(LARGE(O246:Q246,3),O246:Q246,0))</f>
        <v>0</v>
      </c>
      <c r="T246" s="15">
        <f>1*INDEX(R246:S246,MATCH(LARGE(R246:S246,1),R246:S246,0))+0*INDEX(R246:S246,MATCH(LARGE(R246:S246,2),R246:S246,0))</f>
        <v>0</v>
      </c>
      <c r="U246" s="21"/>
      <c r="V246" s="21"/>
      <c r="W246" s="21"/>
      <c r="X246" s="21"/>
      <c r="Y246" s="21"/>
      <c r="Z246" s="21"/>
    </row>
    <row r="247" spans="1:26" ht="12.75" customHeight="1" x14ac:dyDescent="0.3">
      <c r="A247" s="15">
        <v>246</v>
      </c>
      <c r="B247" s="16" t="s">
        <v>166</v>
      </c>
      <c r="C247" s="17"/>
      <c r="D247" s="15"/>
      <c r="E247" s="18" t="s">
        <v>40</v>
      </c>
      <c r="F247" s="15"/>
      <c r="G247" s="22"/>
      <c r="H247" s="15">
        <f>MAX(IF(ISNA(VLOOKUP(B247,'WBV 1'!$B$3:$C$34,2,FALSE))=TRUE,0,VLOOKUP(B247,'WBV 1'!$B$3:$C$34,2,FALSE)),IF(ISNA(VLOOKUP(B247,'WBV 1'!$F$3:$G$34,2,FALSE))=TRUE,0,VLOOKUP(B247,'WBV 1'!$F$3:$G$34,2,FALSE)),IF(ISNA(VLOOKUP(B247,'WBV 1'!$J$3:$K$34,2,FALSE))=TRUE,0,VLOOKUP(B247,'WBV 1'!$J$3:$K$34,2,FALSE)),IF(ISNA(VLOOKUP(B247,'WBV 1'!$N$3:$O$34,2,FALSE))=TRUE,0,VLOOKUP(B247,'WBV 1'!$N$3:$O$34,2,FALSE)))</f>
        <v>0</v>
      </c>
      <c r="I247" s="15">
        <f>MAX(IF(ISNA(VLOOKUP(B247,'WBV 2'!$B$3:$C$34,2,FALSE))=TRUE,0,VLOOKUP(B247,'WBV 2'!$B$3:$C$34,2,FALSE)),IF(ISNA(VLOOKUP(B247,'WBV 2'!$F$3:$G$34,2,FALSE))=TRUE,0,VLOOKUP(B247,'WBV 2'!$F$3:$G$34,2,FALSE)),IF(ISNA(VLOOKUP(B247,'WBV 2'!$J$3:$K$34,2,FALSE))=TRUE,0,VLOOKUP(B247,'WBV 2'!$J$3:$K$34,2,FALSE)),IF(ISNA(VLOOKUP(B247,'WBV 2'!$N$3:$O$34,2,FALSE))=TRUE,0,VLOOKUP(B247,'WBV 2'!$N$3:$O$34,2,FALSE)))</f>
        <v>0</v>
      </c>
      <c r="J247" s="15">
        <f>MAX(IF(ISNA(VLOOKUP(B247,'WBV 3'!$B$3:$C$34,2,FALSE))=TRUE,0,VLOOKUP(B247,'WBV 3'!$B$3:$C$34,2,FALSE)),IF(ISNA(VLOOKUP(B247,'WBV 3'!$F$3:$G$34,2,FALSE))=TRUE,0,VLOOKUP(B247,'WBV 3'!$F$3:$G$34,2,FALSE)),IF(ISNA(VLOOKUP(B247,'WBV 3'!$J$3:$K$34,2,FALSE))=TRUE,0,VLOOKUP(B247,'WBV 3'!$J$3:$K$34,2,FALSE)),IF(ISNA(VLOOKUP(B247,'WBV 3'!$N$3:$O$34,2,FALSE))=TRUE,0,VLOOKUP(B247,'WBV 3'!$N$3:$O$34,2,FALSE)))</f>
        <v>0</v>
      </c>
      <c r="K247" s="15">
        <f>MAX(IF(ISNA(VLOOKUP(B247,'WBV 4'!$B$3:$C$34,2,FALSE))=TRUE,0,VLOOKUP(B247,'WBV 4'!$B$3:$C$34,2,FALSE)),IF(ISNA(VLOOKUP(B247,'WBV 4'!$F$3:$G$34,2,FALSE))=TRUE,0,VLOOKUP(B247,'WBV 4'!$F$3:$G$34,2,FALSE)),IF(ISNA(VLOOKUP(B247,'WBV 4'!$J$3:$K$34,2,FALSE))=TRUE,0,VLOOKUP(B247,'WBV 4'!$J$3:$K$34,2,FALSE)),IF(ISNA(VLOOKUP(B247,'WBV 4'!$N$3:$O$34,2,FALSE))=TRUE,0,VLOOKUP(B247,'WBV 4'!$N$3:$O$34,2,FALSE)))</f>
        <v>0</v>
      </c>
      <c r="L247" s="19">
        <f>MAX(IF(ISNA(VLOOKUP(B247,'NÖBV 1'!$B$3:$C$34,2,FALSE))=TRUE,0,VLOOKUP(B247,'NÖBV 1'!$B$3:$C$34,2,FALSE)),IF(ISNA(VLOOKUP(B247,'NÖBV 1'!$F$3:$G$34,2,FALSE))=TRUE,0,VLOOKUP(B247,'NÖBV 1'!$F$3:$G$34,2,FALSE)),IF(ISNA(VLOOKUP(B247,'NÖBV 1'!$J$3:$K$34,2,FALSE))=TRUE,0,VLOOKUP(B247,'NÖBV 1'!$J$3:$K$34,2,FALSE)),IF(ISNA(VLOOKUP(B247,'NÖBV 1'!$N$3:$O$34,2,FALSE))=TRUE,0,VLOOKUP(B247,'NÖBV 1'!$N$3:$O$34,2,FALSE)))</f>
        <v>0</v>
      </c>
      <c r="M247" s="19">
        <f>MAX(IF(ISNA(VLOOKUP(B247,'NÖBV 2'!$B$3:$C$34,2,FALSE))=TRUE,0,VLOOKUP(B247,'NÖBV 2'!$B$3:$C$34,2,FALSE)),IF(ISNA(VLOOKUP(B247,'NÖBV 2'!$F$3:$G$34,2,FALSE))=TRUE,0,VLOOKUP(B247,'NÖBV 2'!$F$3:$G$34,2,FALSE)),IF(ISNA(VLOOKUP(B247,'NÖBV 2'!$J$3:$K$34,2,FALSE))=TRUE,0,VLOOKUP(B247,'NÖBV 2'!$J$3:$K$34,2,FALSE)),IF(ISNA(VLOOKUP(B247,'NÖBV 2'!$N$3:$O$34,2,FALSE))=TRUE,0,VLOOKUP(B247,'NÖBV 2'!$N$3:$O$34,2,FALSE)))</f>
        <v>0</v>
      </c>
      <c r="N247" s="19">
        <f>MAX(IF(ISNA(VLOOKUP(B247,'NÖBV 3'!$B$3:$C$34,2,FALSE))=TRUE,0,VLOOKUP(B247,'NÖBV 3'!$B$3:$C$34,2,FALSE)),IF(ISNA(VLOOKUP(B247,'NÖBV 3'!$F$3:$G$34,2,FALSE))=TRUE,0,VLOOKUP(B247,'NÖBV 3'!$F$3:$G$34,2,FALSE)),IF(ISNA(VLOOKUP(B247,'NÖBV 3'!$J$3:$K$34,2,FALSE))=TRUE,0,VLOOKUP(B247,'NÖBV 3'!$J$3:$K$34,2,FALSE)),IF(ISNA(VLOOKUP(B247,'NÖBV 3'!$N$3:$O$34,2,FALSE))=TRUE,0,VLOOKUP(B247,'NÖBV 3'!$N$3:$O$34,2,FALSE)))</f>
        <v>0</v>
      </c>
      <c r="O247" s="15">
        <f>MAX(IF(ISNA(VLOOKUP(B247,'Regioturnier 1'!$B$3:$C$34,2,FALSE))=TRUE,0,VLOOKUP(B247,'Regioturnier 1'!$B$3:$C$34,2,FALSE)),IF(ISNA(VLOOKUP(B247,'Regioturnier 1'!$F$3:$G$34,2,FALSE))=TRUE,0,VLOOKUP(B247,'Regioturnier 1'!$F$3:$G$34,2,FALSE)),IF(ISNA(VLOOKUP(B247,'Regioturnier 1'!$J$3:$K$34,2,FALSE))=TRUE,0,VLOOKUP(B247,'Regioturnier 1'!$J$3:$K$34,2,FALSE)),IF(ISNA(VLOOKUP(B247,'Regioturnier 1'!$N$3:$O$34,2,FALSE))=TRUE,0,VLOOKUP(B247,'Regioturnier 1'!$N$3:$O$34,2,FALSE)),IF(ISNA(VLOOKUP(B247,'Regioturnier 1'!$R$3:$S$34,2,FALSE))=TRUE,0,VLOOKUP(B247,'Regioturnier 1'!$R$3:$S$34,2,FALSE)), IF(ISNA(VLOOKUP(B247,'Regioturnier 1'!$V$3:$W$34,2,FALSE))=TRUE,0,VLOOKUP(B247,'Regioturnier 1'!$V$3:$W$34,2,FALSE)), IF(ISNA(VLOOKUP(B247,'Regioturnier 1'!$Z$3:$AA$34,2,FALSE))=TRUE,0,VLOOKUP(B247,'Regioturnier 1'!$Z$3:$AA$34,2,FALSE)))</f>
        <v>0</v>
      </c>
      <c r="P247" s="15">
        <f>MAX(IF(ISNA(VLOOKUP(B247,'Regioturnier 2'!$B$3:$C$34,2,FALSE))=TRUE,0,VLOOKUP(B247,'Regioturnier 2'!$B$3:$C$34,2,FALSE)),IF(ISNA(VLOOKUP(B247,'Regioturnier 2'!$F$3:$G$34,2,FALSE))=TRUE,0,VLOOKUP(B247,'Regioturnier 2'!$F$3:$G$34,2,FALSE)),IF(ISNA(VLOOKUP(B247,'Regioturnier 2'!$J$3:$K$34,2,FALSE))=TRUE,0,VLOOKUP(B247,'Regioturnier 2'!$J$3:$K$34,2,FALSE)),IF(ISNA(VLOOKUP(B247,'Regioturnier 2'!$N$3:$O$34,2,FALSE))=TRUE,0,VLOOKUP(B247,'Regioturnier 2'!$N$3:$O$34,2,FALSE)),IF(ISNA(VLOOKUP(B247,'Regioturnier 2'!$R$3:$S$34,2,FALSE))=TRUE,0,VLOOKUP(B247,'Regioturnier 2'!$R$3:$S$34,2,FALSE)), IF(ISNA(VLOOKUP(B247,'Regioturnier 2'!$V$3:$W$34,2,FALSE))=TRUE,0,VLOOKUP(B247,'Regioturnier 2'!$V$3:$W$34,2,FALSE)), IF(ISNA(VLOOKUP(B247,'Regioturnier 2'!$Z$3:$AA$34,2,FALSE))=TRUE,0,VLOOKUP(B247,'Regioturnier 2'!$Z$3:$AA$34,2,FALSE)))</f>
        <v>0</v>
      </c>
      <c r="Q247" s="15">
        <f>MAX(IF(ISNA(VLOOKUP(B247,'Regioturnier 3'!$B$3:$C$34,2,FALSE))=TRUE,0,VLOOKUP(B247,'Regioturnier 3'!$B$3:$C$34,2,FALSE)),IF(ISNA(VLOOKUP(B247,'Regioturnier 3'!$F$3:$G$34,2,FALSE))=TRUE,0,VLOOKUP(B247,'Regioturnier 3'!$F$3:$G$34,2,FALSE)),IF(ISNA(VLOOKUP(B247,'Regioturnier 3'!$J$3:$K$34,2,FALSE))=TRUE,0,VLOOKUP(B247,'Regioturnier 3'!$J$3:$K$34,2,FALSE)),IF(ISNA(VLOOKUP(B247,'Regioturnier 3'!$N$3:$O$34,2,FALSE))=TRUE,0,VLOOKUP(B247,'Regioturnier 3'!$N$3:$O$34,2,FALSE)),IF(ISNA(VLOOKUP(B247,'Regioturnier 3'!$R$3:$S$34,2,FALSE))=TRUE,0,VLOOKUP(B247,'Regioturnier 3'!$R$3:$S$34,2,FALSE)), IF(ISNA(VLOOKUP(B247,'Regioturnier 3'!$V$3:$W$34,2,FALSE))=TRUE,0,VLOOKUP(B247,'Regioturnier 3'!$V$3:$W$34,2,FALSE)), IF(ISNA(VLOOKUP(B247,'Regioturnier 3'!$Z$3:$AA$34,2,FALSE))=TRUE,0,VLOOKUP(B247,'Regioturnier 3'!$Z$3:$AA$34,2,FALSE)))</f>
        <v>0</v>
      </c>
      <c r="R247" s="20">
        <f>0.5*INDEX($H247:$N247,MATCH(LARGE($H247:$N247,1),$H247:$N247,0))+0.3*INDEX($H247:$N247,MATCH(LARGE($H247:$N247,2),$H247:$N247,0))+0.2*INDEX($H247:$N247,MATCH(LARGE($H247:$N247,3),$H247:$N247,0))</f>
        <v>0</v>
      </c>
      <c r="S247" s="20">
        <f>0.6*INDEX(O247:Q247,MATCH(LARGE(O247:Q247,1),O247:Q247,0))+0.4*INDEX(O247:Q247,MATCH(LARGE(O247:Q247,2),O247:Q247,0))+0*INDEX(O247:Q247,MATCH(LARGE(O247:Q247,3),O247:Q247,0))</f>
        <v>0</v>
      </c>
      <c r="T247" s="15">
        <f>1*INDEX(R247:S247,MATCH(LARGE(R247:S247,1),R247:S247,0))+0*INDEX(R247:S247,MATCH(LARGE(R247:S247,2),R247:S247,0))</f>
        <v>0</v>
      </c>
      <c r="U247" s="21"/>
      <c r="V247" s="21"/>
      <c r="W247" s="21"/>
      <c r="X247" s="21"/>
      <c r="Y247" s="21"/>
      <c r="Z247" s="21"/>
    </row>
    <row r="248" spans="1:26" ht="12.75" customHeight="1" x14ac:dyDescent="0.3">
      <c r="A248" s="15">
        <v>247</v>
      </c>
      <c r="B248" s="16" t="s">
        <v>169</v>
      </c>
      <c r="C248" s="17" t="s">
        <v>54</v>
      </c>
      <c r="D248" s="15" t="s">
        <v>22</v>
      </c>
      <c r="E248" s="18" t="s">
        <v>23</v>
      </c>
      <c r="F248" s="15">
        <v>207954</v>
      </c>
      <c r="G248" s="22">
        <v>2010</v>
      </c>
      <c r="H248" s="15">
        <f>MAX(IF(ISNA(VLOOKUP(B248,'WBV 1'!$B$3:$C$34,2,FALSE))=TRUE,0,VLOOKUP(B248,'WBV 1'!$B$3:$C$34,2,FALSE)),IF(ISNA(VLOOKUP(B248,'WBV 1'!$F$3:$G$34,2,FALSE))=TRUE,0,VLOOKUP(B248,'WBV 1'!$F$3:$G$34,2,FALSE)),IF(ISNA(VLOOKUP(B248,'WBV 1'!$J$3:$K$34,2,FALSE))=TRUE,0,VLOOKUP(B248,'WBV 1'!$J$3:$K$34,2,FALSE)),IF(ISNA(VLOOKUP(B248,'WBV 1'!$N$3:$O$34,2,FALSE))=TRUE,0,VLOOKUP(B248,'WBV 1'!$N$3:$O$34,2,FALSE)))</f>
        <v>0</v>
      </c>
      <c r="I248" s="15">
        <f>MAX(IF(ISNA(VLOOKUP(B248,'WBV 2'!$B$3:$C$34,2,FALSE))=TRUE,0,VLOOKUP(B248,'WBV 2'!$B$3:$C$34,2,FALSE)),IF(ISNA(VLOOKUP(B248,'WBV 2'!$F$3:$G$34,2,FALSE))=TRUE,0,VLOOKUP(B248,'WBV 2'!$F$3:$G$34,2,FALSE)),IF(ISNA(VLOOKUP(B248,'WBV 2'!$J$3:$K$34,2,FALSE))=TRUE,0,VLOOKUP(B248,'WBV 2'!$J$3:$K$34,2,FALSE)),IF(ISNA(VLOOKUP(B248,'WBV 2'!$N$3:$O$34,2,FALSE))=TRUE,0,VLOOKUP(B248,'WBV 2'!$N$3:$O$34,2,FALSE)))</f>
        <v>0</v>
      </c>
      <c r="J248" s="15">
        <f>MAX(IF(ISNA(VLOOKUP(B248,'WBV 3'!$B$3:$C$34,2,FALSE))=TRUE,0,VLOOKUP(B248,'WBV 3'!$B$3:$C$34,2,FALSE)),IF(ISNA(VLOOKUP(B248,'WBV 3'!$F$3:$G$34,2,FALSE))=TRUE,0,VLOOKUP(B248,'WBV 3'!$F$3:$G$34,2,FALSE)),IF(ISNA(VLOOKUP(B248,'WBV 3'!$J$3:$K$34,2,FALSE))=TRUE,0,VLOOKUP(B248,'WBV 3'!$J$3:$K$34,2,FALSE)),IF(ISNA(VLOOKUP(B248,'WBV 3'!$N$3:$O$34,2,FALSE))=TRUE,0,VLOOKUP(B248,'WBV 3'!$N$3:$O$34,2,FALSE)))</f>
        <v>0</v>
      </c>
      <c r="K248" s="15">
        <f>MAX(IF(ISNA(VLOOKUP(B248,'WBV 4'!$B$3:$C$34,2,FALSE))=TRUE,0,VLOOKUP(B248,'WBV 4'!$B$3:$C$34,2,FALSE)),IF(ISNA(VLOOKUP(B248,'WBV 4'!$F$3:$G$34,2,FALSE))=TRUE,0,VLOOKUP(B248,'WBV 4'!$F$3:$G$34,2,FALSE)),IF(ISNA(VLOOKUP(B248,'WBV 4'!$J$3:$K$34,2,FALSE))=TRUE,0,VLOOKUP(B248,'WBV 4'!$J$3:$K$34,2,FALSE)),IF(ISNA(VLOOKUP(B248,'WBV 4'!$N$3:$O$34,2,FALSE))=TRUE,0,VLOOKUP(B248,'WBV 4'!$N$3:$O$34,2,FALSE)))</f>
        <v>0</v>
      </c>
      <c r="L248" s="19">
        <f>MAX(IF(ISNA(VLOOKUP(B248,'NÖBV 1'!$B$3:$C$34,2,FALSE))=TRUE,0,VLOOKUP(B248,'NÖBV 1'!$B$3:$C$34,2,FALSE)),IF(ISNA(VLOOKUP(B248,'NÖBV 1'!$F$3:$G$34,2,FALSE))=TRUE,0,VLOOKUP(B248,'NÖBV 1'!$F$3:$G$34,2,FALSE)),IF(ISNA(VLOOKUP(B248,'NÖBV 1'!$J$3:$K$34,2,FALSE))=TRUE,0,VLOOKUP(B248,'NÖBV 1'!$J$3:$K$34,2,FALSE)),IF(ISNA(VLOOKUP(B248,'NÖBV 1'!$N$3:$O$34,2,FALSE))=TRUE,0,VLOOKUP(B248,'NÖBV 1'!$N$3:$O$34,2,FALSE)))</f>
        <v>0</v>
      </c>
      <c r="M248" s="19">
        <f>MAX(IF(ISNA(VLOOKUP(B248,'NÖBV 2'!$B$3:$C$34,2,FALSE))=TRUE,0,VLOOKUP(B248,'NÖBV 2'!$B$3:$C$34,2,FALSE)),IF(ISNA(VLOOKUP(B248,'NÖBV 2'!$F$3:$G$34,2,FALSE))=TRUE,0,VLOOKUP(B248,'NÖBV 2'!$F$3:$G$34,2,FALSE)),IF(ISNA(VLOOKUP(B248,'NÖBV 2'!$J$3:$K$34,2,FALSE))=TRUE,0,VLOOKUP(B248,'NÖBV 2'!$J$3:$K$34,2,FALSE)),IF(ISNA(VLOOKUP(B248,'NÖBV 2'!$N$3:$O$34,2,FALSE))=TRUE,0,VLOOKUP(B248,'NÖBV 2'!$N$3:$O$34,2,FALSE)))</f>
        <v>0</v>
      </c>
      <c r="N248" s="19">
        <f>MAX(IF(ISNA(VLOOKUP(B248,'NÖBV 3'!$B$3:$C$34,2,FALSE))=TRUE,0,VLOOKUP(B248,'NÖBV 3'!$B$3:$C$34,2,FALSE)),IF(ISNA(VLOOKUP(B248,'NÖBV 3'!$F$3:$G$34,2,FALSE))=TRUE,0,VLOOKUP(B248,'NÖBV 3'!$F$3:$G$34,2,FALSE)),IF(ISNA(VLOOKUP(B248,'NÖBV 3'!$J$3:$K$34,2,FALSE))=TRUE,0,VLOOKUP(B248,'NÖBV 3'!$J$3:$K$34,2,FALSE)),IF(ISNA(VLOOKUP(B248,'NÖBV 3'!$N$3:$O$34,2,FALSE))=TRUE,0,VLOOKUP(B248,'NÖBV 3'!$N$3:$O$34,2,FALSE)))</f>
        <v>0</v>
      </c>
      <c r="O248" s="15">
        <f>MAX(IF(ISNA(VLOOKUP(B248,'Regioturnier 1'!$B$3:$C$34,2,FALSE))=TRUE,0,VLOOKUP(B248,'Regioturnier 1'!$B$3:$C$34,2,FALSE)),IF(ISNA(VLOOKUP(B248,'Regioturnier 1'!$F$3:$G$34,2,FALSE))=TRUE,0,VLOOKUP(B248,'Regioturnier 1'!$F$3:$G$34,2,FALSE)),IF(ISNA(VLOOKUP(B248,'Regioturnier 1'!$J$3:$K$34,2,FALSE))=TRUE,0,VLOOKUP(B248,'Regioturnier 1'!$J$3:$K$34,2,FALSE)),IF(ISNA(VLOOKUP(B248,'Regioturnier 1'!$N$3:$O$34,2,FALSE))=TRUE,0,VLOOKUP(B248,'Regioturnier 1'!$N$3:$O$34,2,FALSE)),IF(ISNA(VLOOKUP(B248,'Regioturnier 1'!$R$3:$S$34,2,FALSE))=TRUE,0,VLOOKUP(B248,'Regioturnier 1'!$R$3:$S$34,2,FALSE)), IF(ISNA(VLOOKUP(B248,'Regioturnier 1'!$V$3:$W$34,2,FALSE))=TRUE,0,VLOOKUP(B248,'Regioturnier 1'!$V$3:$W$34,2,FALSE)), IF(ISNA(VLOOKUP(B248,'Regioturnier 1'!$Z$3:$AA$34,2,FALSE))=TRUE,0,VLOOKUP(B248,'Regioturnier 1'!$Z$3:$AA$34,2,FALSE)))</f>
        <v>0</v>
      </c>
      <c r="P248" s="15">
        <f>MAX(IF(ISNA(VLOOKUP(B248,'Regioturnier 2'!$B$3:$C$34,2,FALSE))=TRUE,0,VLOOKUP(B248,'Regioturnier 2'!$B$3:$C$34,2,FALSE)),IF(ISNA(VLOOKUP(B248,'Regioturnier 2'!$F$3:$G$34,2,FALSE))=TRUE,0,VLOOKUP(B248,'Regioturnier 2'!$F$3:$G$34,2,FALSE)),IF(ISNA(VLOOKUP(B248,'Regioturnier 2'!$J$3:$K$34,2,FALSE))=TRUE,0,VLOOKUP(B248,'Regioturnier 2'!$J$3:$K$34,2,FALSE)),IF(ISNA(VLOOKUP(B248,'Regioturnier 2'!$N$3:$O$34,2,FALSE))=TRUE,0,VLOOKUP(B248,'Regioturnier 2'!$N$3:$O$34,2,FALSE)),IF(ISNA(VLOOKUP(B248,'Regioturnier 2'!$R$3:$S$34,2,FALSE))=TRUE,0,VLOOKUP(B248,'Regioturnier 2'!$R$3:$S$34,2,FALSE)), IF(ISNA(VLOOKUP(B248,'Regioturnier 2'!$V$3:$W$34,2,FALSE))=TRUE,0,VLOOKUP(B248,'Regioturnier 2'!$V$3:$W$34,2,FALSE)), IF(ISNA(VLOOKUP(B248,'Regioturnier 2'!$Z$3:$AA$34,2,FALSE))=TRUE,0,VLOOKUP(B248,'Regioturnier 2'!$Z$3:$AA$34,2,FALSE)))</f>
        <v>0</v>
      </c>
      <c r="Q248" s="15">
        <f>MAX(IF(ISNA(VLOOKUP(B248,'Regioturnier 3'!$B$3:$C$34,2,FALSE))=TRUE,0,VLOOKUP(B248,'Regioturnier 3'!$B$3:$C$34,2,FALSE)),IF(ISNA(VLOOKUP(B248,'Regioturnier 3'!$F$3:$G$34,2,FALSE))=TRUE,0,VLOOKUP(B248,'Regioturnier 3'!$F$3:$G$34,2,FALSE)),IF(ISNA(VLOOKUP(B248,'Regioturnier 3'!$J$3:$K$34,2,FALSE))=TRUE,0,VLOOKUP(B248,'Regioturnier 3'!$J$3:$K$34,2,FALSE)),IF(ISNA(VLOOKUP(B248,'Regioturnier 3'!$N$3:$O$34,2,FALSE))=TRUE,0,VLOOKUP(B248,'Regioturnier 3'!$N$3:$O$34,2,FALSE)),IF(ISNA(VLOOKUP(B248,'Regioturnier 3'!$R$3:$S$34,2,FALSE))=TRUE,0,VLOOKUP(B248,'Regioturnier 3'!$R$3:$S$34,2,FALSE)), IF(ISNA(VLOOKUP(B248,'Regioturnier 3'!$V$3:$W$34,2,FALSE))=TRUE,0,VLOOKUP(B248,'Regioturnier 3'!$V$3:$W$34,2,FALSE)), IF(ISNA(VLOOKUP(B248,'Regioturnier 3'!$Z$3:$AA$34,2,FALSE))=TRUE,0,VLOOKUP(B248,'Regioturnier 3'!$Z$3:$AA$34,2,FALSE)))</f>
        <v>0</v>
      </c>
      <c r="R248" s="20">
        <f>0.5*INDEX($H248:$N248,MATCH(LARGE($H248:$N248,1),$H248:$N248,0))+0.3*INDEX($H248:$N248,MATCH(LARGE($H248:$N248,2),$H248:$N248,0))+0.2*INDEX($H248:$N248,MATCH(LARGE($H248:$N248,3),$H248:$N248,0))</f>
        <v>0</v>
      </c>
      <c r="S248" s="20">
        <f>0.6*INDEX(O248:Q248,MATCH(LARGE(O248:Q248,1),O248:Q248,0))+0.4*INDEX(O248:Q248,MATCH(LARGE(O248:Q248,2),O248:Q248,0))+0*INDEX(O248:Q248,MATCH(LARGE(O248:Q248,3),O248:Q248,0))</f>
        <v>0</v>
      </c>
      <c r="T248" s="15">
        <f>1*INDEX(R248:S248,MATCH(LARGE(R248:S248,1),R248:S248,0))+0*INDEX(R248:S248,MATCH(LARGE(R248:S248,2),R248:S248,0))</f>
        <v>0</v>
      </c>
      <c r="U248" s="21"/>
      <c r="V248" s="21"/>
      <c r="W248" s="21"/>
      <c r="X248" s="21"/>
      <c r="Y248" s="21"/>
      <c r="Z248" s="21"/>
    </row>
    <row r="249" spans="1:26" ht="12.75" customHeight="1" x14ac:dyDescent="0.3">
      <c r="A249" s="15">
        <v>248</v>
      </c>
      <c r="B249" s="16" t="s">
        <v>61</v>
      </c>
      <c r="C249" s="17" t="s">
        <v>21</v>
      </c>
      <c r="D249" s="15" t="s">
        <v>22</v>
      </c>
      <c r="E249" s="18" t="s">
        <v>40</v>
      </c>
      <c r="F249" s="15">
        <v>207053</v>
      </c>
      <c r="G249" s="22">
        <v>2011</v>
      </c>
      <c r="H249" s="15">
        <f>MAX(IF(ISNA(VLOOKUP(B249,'WBV 1'!$B$3:$C$34,2,FALSE))=TRUE,0,VLOOKUP(B249,'WBV 1'!$B$3:$C$34,2,FALSE)),IF(ISNA(VLOOKUP(B249,'WBV 1'!$F$3:$G$34,2,FALSE))=TRUE,0,VLOOKUP(B249,'WBV 1'!$F$3:$G$34,2,FALSE)),IF(ISNA(VLOOKUP(B249,'WBV 1'!$J$3:$K$34,2,FALSE))=TRUE,0,VLOOKUP(B249,'WBV 1'!$J$3:$K$34,2,FALSE)),IF(ISNA(VLOOKUP(B249,'WBV 1'!$N$3:$O$34,2,FALSE))=TRUE,0,VLOOKUP(B249,'WBV 1'!$N$3:$O$34,2,FALSE)))</f>
        <v>0</v>
      </c>
      <c r="I249" s="15">
        <f>MAX(IF(ISNA(VLOOKUP(B249,'WBV 2'!$B$3:$C$34,2,FALSE))=TRUE,0,VLOOKUP(B249,'WBV 2'!$B$3:$C$34,2,FALSE)),IF(ISNA(VLOOKUP(B249,'WBV 2'!$F$3:$G$34,2,FALSE))=TRUE,0,VLOOKUP(B249,'WBV 2'!$F$3:$G$34,2,FALSE)),IF(ISNA(VLOOKUP(B249,'WBV 2'!$J$3:$K$34,2,FALSE))=TRUE,0,VLOOKUP(B249,'WBV 2'!$J$3:$K$34,2,FALSE)),IF(ISNA(VLOOKUP(B249,'WBV 2'!$N$3:$O$34,2,FALSE))=TRUE,0,VLOOKUP(B249,'WBV 2'!$N$3:$O$34,2,FALSE)))</f>
        <v>0</v>
      </c>
      <c r="J249" s="15">
        <f>MAX(IF(ISNA(VLOOKUP(B249,'WBV 3'!$B$3:$C$34,2,FALSE))=TRUE,0,VLOOKUP(B249,'WBV 3'!$B$3:$C$34,2,FALSE)),IF(ISNA(VLOOKUP(B249,'WBV 3'!$F$3:$G$34,2,FALSE))=TRUE,0,VLOOKUP(B249,'WBV 3'!$F$3:$G$34,2,FALSE)),IF(ISNA(VLOOKUP(B249,'WBV 3'!$J$3:$K$34,2,FALSE))=TRUE,0,VLOOKUP(B249,'WBV 3'!$J$3:$K$34,2,FALSE)),IF(ISNA(VLOOKUP(B249,'WBV 3'!$N$3:$O$34,2,FALSE))=TRUE,0,VLOOKUP(B249,'WBV 3'!$N$3:$O$34,2,FALSE)))</f>
        <v>0</v>
      </c>
      <c r="K249" s="15">
        <f>MAX(IF(ISNA(VLOOKUP(B249,'WBV 4'!$B$3:$C$34,2,FALSE))=TRUE,0,VLOOKUP(B249,'WBV 4'!$B$3:$C$34,2,FALSE)),IF(ISNA(VLOOKUP(B249,'WBV 4'!$F$3:$G$34,2,FALSE))=TRUE,0,VLOOKUP(B249,'WBV 4'!$F$3:$G$34,2,FALSE)),IF(ISNA(VLOOKUP(B249,'WBV 4'!$J$3:$K$34,2,FALSE))=TRUE,0,VLOOKUP(B249,'WBV 4'!$J$3:$K$34,2,FALSE)),IF(ISNA(VLOOKUP(B249,'WBV 4'!$N$3:$O$34,2,FALSE))=TRUE,0,VLOOKUP(B249,'WBV 4'!$N$3:$O$34,2,FALSE)))</f>
        <v>0</v>
      </c>
      <c r="L249" s="19">
        <f>MAX(IF(ISNA(VLOOKUP(B249,'NÖBV 1'!$B$3:$C$34,2,FALSE))=TRUE,0,VLOOKUP(B249,'NÖBV 1'!$B$3:$C$34,2,FALSE)),IF(ISNA(VLOOKUP(B249,'NÖBV 1'!$F$3:$G$34,2,FALSE))=TRUE,0,VLOOKUP(B249,'NÖBV 1'!$F$3:$G$34,2,FALSE)),IF(ISNA(VLOOKUP(B249,'NÖBV 1'!$J$3:$K$34,2,FALSE))=TRUE,0,VLOOKUP(B249,'NÖBV 1'!$J$3:$K$34,2,FALSE)),IF(ISNA(VLOOKUP(B249,'NÖBV 1'!$N$3:$O$34,2,FALSE))=TRUE,0,VLOOKUP(B249,'NÖBV 1'!$N$3:$O$34,2,FALSE)))</f>
        <v>0</v>
      </c>
      <c r="M249" s="19">
        <f>MAX(IF(ISNA(VLOOKUP(B249,'NÖBV 2'!$B$3:$C$34,2,FALSE))=TRUE,0,VLOOKUP(B249,'NÖBV 2'!$B$3:$C$34,2,FALSE)),IF(ISNA(VLOOKUP(B249,'NÖBV 2'!$F$3:$G$34,2,FALSE))=TRUE,0,VLOOKUP(B249,'NÖBV 2'!$F$3:$G$34,2,FALSE)),IF(ISNA(VLOOKUP(B249,'NÖBV 2'!$J$3:$K$34,2,FALSE))=TRUE,0,VLOOKUP(B249,'NÖBV 2'!$J$3:$K$34,2,FALSE)),IF(ISNA(VLOOKUP(B249,'NÖBV 2'!$N$3:$O$34,2,FALSE))=TRUE,0,VLOOKUP(B249,'NÖBV 2'!$N$3:$O$34,2,FALSE)))</f>
        <v>0</v>
      </c>
      <c r="N249" s="19">
        <f>MAX(IF(ISNA(VLOOKUP(B249,'NÖBV 3'!$B$3:$C$34,2,FALSE))=TRUE,0,VLOOKUP(B249,'NÖBV 3'!$B$3:$C$34,2,FALSE)),IF(ISNA(VLOOKUP(B249,'NÖBV 3'!$F$3:$G$34,2,FALSE))=TRUE,0,VLOOKUP(B249,'NÖBV 3'!$F$3:$G$34,2,FALSE)),IF(ISNA(VLOOKUP(B249,'NÖBV 3'!$J$3:$K$34,2,FALSE))=TRUE,0,VLOOKUP(B249,'NÖBV 3'!$J$3:$K$34,2,FALSE)),IF(ISNA(VLOOKUP(B249,'NÖBV 3'!$N$3:$O$34,2,FALSE))=TRUE,0,VLOOKUP(B249,'NÖBV 3'!$N$3:$O$34,2,FALSE)))</f>
        <v>0</v>
      </c>
      <c r="O249" s="15">
        <f>MAX(IF(ISNA(VLOOKUP(B249,'Regioturnier 1'!$B$3:$C$34,2,FALSE))=TRUE,0,VLOOKUP(B249,'Regioturnier 1'!$B$3:$C$34,2,FALSE)),IF(ISNA(VLOOKUP(B249,'Regioturnier 1'!$F$3:$G$34,2,FALSE))=TRUE,0,VLOOKUP(B249,'Regioturnier 1'!$F$3:$G$34,2,FALSE)),IF(ISNA(VLOOKUP(B249,'Regioturnier 1'!$J$3:$K$34,2,FALSE))=TRUE,0,VLOOKUP(B249,'Regioturnier 1'!$J$3:$K$34,2,FALSE)),IF(ISNA(VLOOKUP(B249,'Regioturnier 1'!$N$3:$O$34,2,FALSE))=TRUE,0,VLOOKUP(B249,'Regioturnier 1'!$N$3:$O$34,2,FALSE)),IF(ISNA(VLOOKUP(B249,'Regioturnier 1'!$R$3:$S$34,2,FALSE))=TRUE,0,VLOOKUP(B249,'Regioturnier 1'!$R$3:$S$34,2,FALSE)), IF(ISNA(VLOOKUP(B249,'Regioturnier 1'!$V$3:$W$34,2,FALSE))=TRUE,0,VLOOKUP(B249,'Regioturnier 1'!$V$3:$W$34,2,FALSE)), IF(ISNA(VLOOKUP(B249,'Regioturnier 1'!$Z$3:$AA$34,2,FALSE))=TRUE,0,VLOOKUP(B249,'Regioturnier 1'!$Z$3:$AA$34,2,FALSE)))</f>
        <v>0</v>
      </c>
      <c r="P249" s="15">
        <f>MAX(IF(ISNA(VLOOKUP(B249,'Regioturnier 2'!$B$3:$C$34,2,FALSE))=TRUE,0,VLOOKUP(B249,'Regioturnier 2'!$B$3:$C$34,2,FALSE)),IF(ISNA(VLOOKUP(B249,'Regioturnier 2'!$F$3:$G$34,2,FALSE))=TRUE,0,VLOOKUP(B249,'Regioturnier 2'!$F$3:$G$34,2,FALSE)),IF(ISNA(VLOOKUP(B249,'Regioturnier 2'!$J$3:$K$34,2,FALSE))=TRUE,0,VLOOKUP(B249,'Regioturnier 2'!$J$3:$K$34,2,FALSE)),IF(ISNA(VLOOKUP(B249,'Regioturnier 2'!$N$3:$O$34,2,FALSE))=TRUE,0,VLOOKUP(B249,'Regioturnier 2'!$N$3:$O$34,2,FALSE)),IF(ISNA(VLOOKUP(B249,'Regioturnier 2'!$R$3:$S$34,2,FALSE))=TRUE,0,VLOOKUP(B249,'Regioturnier 2'!$R$3:$S$34,2,FALSE)), IF(ISNA(VLOOKUP(B249,'Regioturnier 2'!$V$3:$W$34,2,FALSE))=TRUE,0,VLOOKUP(B249,'Regioturnier 2'!$V$3:$W$34,2,FALSE)), IF(ISNA(VLOOKUP(B249,'Regioturnier 2'!$Z$3:$AA$34,2,FALSE))=TRUE,0,VLOOKUP(B249,'Regioturnier 2'!$Z$3:$AA$34,2,FALSE)))</f>
        <v>0</v>
      </c>
      <c r="Q249" s="15">
        <f>MAX(IF(ISNA(VLOOKUP(B249,'Regioturnier 3'!$B$3:$C$34,2,FALSE))=TRUE,0,VLOOKUP(B249,'Regioturnier 3'!$B$3:$C$34,2,FALSE)),IF(ISNA(VLOOKUP(B249,'Regioturnier 3'!$F$3:$G$34,2,FALSE))=TRUE,0,VLOOKUP(B249,'Regioturnier 3'!$F$3:$G$34,2,FALSE)),IF(ISNA(VLOOKUP(B249,'Regioturnier 3'!$J$3:$K$34,2,FALSE))=TRUE,0,VLOOKUP(B249,'Regioturnier 3'!$J$3:$K$34,2,FALSE)),IF(ISNA(VLOOKUP(B249,'Regioturnier 3'!$N$3:$O$34,2,FALSE))=TRUE,0,VLOOKUP(B249,'Regioturnier 3'!$N$3:$O$34,2,FALSE)),IF(ISNA(VLOOKUP(B249,'Regioturnier 3'!$R$3:$S$34,2,FALSE))=TRUE,0,VLOOKUP(B249,'Regioturnier 3'!$R$3:$S$34,2,FALSE)), IF(ISNA(VLOOKUP(B249,'Regioturnier 3'!$V$3:$W$34,2,FALSE))=TRUE,0,VLOOKUP(B249,'Regioturnier 3'!$V$3:$W$34,2,FALSE)), IF(ISNA(VLOOKUP(B249,'Regioturnier 3'!$Z$3:$AA$34,2,FALSE))=TRUE,0,VLOOKUP(B249,'Regioturnier 3'!$Z$3:$AA$34,2,FALSE)))</f>
        <v>0</v>
      </c>
      <c r="R249" s="20">
        <f>0.5*INDEX($H249:$N249,MATCH(LARGE($H249:$N249,1),$H249:$N249,0))+0.3*INDEX($H249:$N249,MATCH(LARGE($H249:$N249,2),$H249:$N249,0))+0.2*INDEX($H249:$N249,MATCH(LARGE($H249:$N249,3),$H249:$N249,0))</f>
        <v>0</v>
      </c>
      <c r="S249" s="20">
        <f>0.6*INDEX(O249:Q249,MATCH(LARGE(O249:Q249,1),O249:Q249,0))+0.4*INDEX(O249:Q249,MATCH(LARGE(O249:Q249,2),O249:Q249,0))+0*INDEX(O249:Q249,MATCH(LARGE(O249:Q249,3),O249:Q249,0))</f>
        <v>0</v>
      </c>
      <c r="T249" s="15">
        <f>1*INDEX(R249:S249,MATCH(LARGE(R249:S249,1),R249:S249,0))+0*INDEX(R249:S249,MATCH(LARGE(R249:S249,2),R249:S249,0))</f>
        <v>0</v>
      </c>
      <c r="U249" s="21"/>
      <c r="V249" s="21"/>
      <c r="W249" s="21"/>
      <c r="X249" s="21"/>
      <c r="Y249" s="21"/>
      <c r="Z249" s="21"/>
    </row>
    <row r="250" spans="1:26" ht="12.75" customHeight="1" x14ac:dyDescent="0.3">
      <c r="A250" s="15">
        <v>249</v>
      </c>
      <c r="B250" s="16" t="s">
        <v>174</v>
      </c>
      <c r="C250" s="17" t="s">
        <v>25</v>
      </c>
      <c r="D250" s="15" t="s">
        <v>26</v>
      </c>
      <c r="E250" s="18" t="s">
        <v>23</v>
      </c>
      <c r="F250" s="15">
        <v>110468</v>
      </c>
      <c r="G250" s="22">
        <v>2009</v>
      </c>
      <c r="H250" s="15">
        <f>MAX(IF(ISNA(VLOOKUP(B250,'WBV 1'!$B$3:$C$34,2,FALSE))=TRUE,0,VLOOKUP(B250,'WBV 1'!$B$3:$C$34,2,FALSE)),IF(ISNA(VLOOKUP(B250,'WBV 1'!$F$3:$G$34,2,FALSE))=TRUE,0,VLOOKUP(B250,'WBV 1'!$F$3:$G$34,2,FALSE)),IF(ISNA(VLOOKUP(B250,'WBV 1'!$J$3:$K$34,2,FALSE))=TRUE,0,VLOOKUP(B250,'WBV 1'!$J$3:$K$34,2,FALSE)),IF(ISNA(VLOOKUP(B250,'WBV 1'!$N$3:$O$34,2,FALSE))=TRUE,0,VLOOKUP(B250,'WBV 1'!$N$3:$O$34,2,FALSE)))</f>
        <v>0</v>
      </c>
      <c r="I250" s="15">
        <f>MAX(IF(ISNA(VLOOKUP(B250,'WBV 2'!$B$3:$C$34,2,FALSE))=TRUE,0,VLOOKUP(B250,'WBV 2'!$B$3:$C$34,2,FALSE)),IF(ISNA(VLOOKUP(B250,'WBV 2'!$F$3:$G$34,2,FALSE))=TRUE,0,VLOOKUP(B250,'WBV 2'!$F$3:$G$34,2,FALSE)),IF(ISNA(VLOOKUP(B250,'WBV 2'!$J$3:$K$34,2,FALSE))=TRUE,0,VLOOKUP(B250,'WBV 2'!$J$3:$K$34,2,FALSE)),IF(ISNA(VLOOKUP(B250,'WBV 2'!$N$3:$O$34,2,FALSE))=TRUE,0,VLOOKUP(B250,'WBV 2'!$N$3:$O$34,2,FALSE)))</f>
        <v>0</v>
      </c>
      <c r="J250" s="15">
        <f>MAX(IF(ISNA(VLOOKUP(B250,'WBV 3'!$B$3:$C$34,2,FALSE))=TRUE,0,VLOOKUP(B250,'WBV 3'!$B$3:$C$34,2,FALSE)),IF(ISNA(VLOOKUP(B250,'WBV 3'!$F$3:$G$34,2,FALSE))=TRUE,0,VLOOKUP(B250,'WBV 3'!$F$3:$G$34,2,FALSE)),IF(ISNA(VLOOKUP(B250,'WBV 3'!$J$3:$K$34,2,FALSE))=TRUE,0,VLOOKUP(B250,'WBV 3'!$J$3:$K$34,2,FALSE)),IF(ISNA(VLOOKUP(B250,'WBV 3'!$N$3:$O$34,2,FALSE))=TRUE,0,VLOOKUP(B250,'WBV 3'!$N$3:$O$34,2,FALSE)))</f>
        <v>0</v>
      </c>
      <c r="K250" s="15">
        <f>MAX(IF(ISNA(VLOOKUP(B250,'WBV 4'!$B$3:$C$34,2,FALSE))=TRUE,0,VLOOKUP(B250,'WBV 4'!$B$3:$C$34,2,FALSE)),IF(ISNA(VLOOKUP(B250,'WBV 4'!$F$3:$G$34,2,FALSE))=TRUE,0,VLOOKUP(B250,'WBV 4'!$F$3:$G$34,2,FALSE)),IF(ISNA(VLOOKUP(B250,'WBV 4'!$J$3:$K$34,2,FALSE))=TRUE,0,VLOOKUP(B250,'WBV 4'!$J$3:$K$34,2,FALSE)),IF(ISNA(VLOOKUP(B250,'WBV 4'!$N$3:$O$34,2,FALSE))=TRUE,0,VLOOKUP(B250,'WBV 4'!$N$3:$O$34,2,FALSE)))</f>
        <v>0</v>
      </c>
      <c r="L250" s="19">
        <f>MAX(IF(ISNA(VLOOKUP(B250,'NÖBV 1'!$B$3:$C$34,2,FALSE))=TRUE,0,VLOOKUP(B250,'NÖBV 1'!$B$3:$C$34,2,FALSE)),IF(ISNA(VLOOKUP(B250,'NÖBV 1'!$F$3:$G$34,2,FALSE))=TRUE,0,VLOOKUP(B250,'NÖBV 1'!$F$3:$G$34,2,FALSE)),IF(ISNA(VLOOKUP(B250,'NÖBV 1'!$J$3:$K$34,2,FALSE))=TRUE,0,VLOOKUP(B250,'NÖBV 1'!$J$3:$K$34,2,FALSE)),IF(ISNA(VLOOKUP(B250,'NÖBV 1'!$N$3:$O$34,2,FALSE))=TRUE,0,VLOOKUP(B250,'NÖBV 1'!$N$3:$O$34,2,FALSE)))</f>
        <v>0</v>
      </c>
      <c r="M250" s="19">
        <f>MAX(IF(ISNA(VLOOKUP(B250,'NÖBV 2'!$B$3:$C$34,2,FALSE))=TRUE,0,VLOOKUP(B250,'NÖBV 2'!$B$3:$C$34,2,FALSE)),IF(ISNA(VLOOKUP(B250,'NÖBV 2'!$F$3:$G$34,2,FALSE))=TRUE,0,VLOOKUP(B250,'NÖBV 2'!$F$3:$G$34,2,FALSE)),IF(ISNA(VLOOKUP(B250,'NÖBV 2'!$J$3:$K$34,2,FALSE))=TRUE,0,VLOOKUP(B250,'NÖBV 2'!$J$3:$K$34,2,FALSE)),IF(ISNA(VLOOKUP(B250,'NÖBV 2'!$N$3:$O$34,2,FALSE))=TRUE,0,VLOOKUP(B250,'NÖBV 2'!$N$3:$O$34,2,FALSE)))</f>
        <v>0</v>
      </c>
      <c r="N250" s="19">
        <f>MAX(IF(ISNA(VLOOKUP(B250,'NÖBV 3'!$B$3:$C$34,2,FALSE))=TRUE,0,VLOOKUP(B250,'NÖBV 3'!$B$3:$C$34,2,FALSE)),IF(ISNA(VLOOKUP(B250,'NÖBV 3'!$F$3:$G$34,2,FALSE))=TRUE,0,VLOOKUP(B250,'NÖBV 3'!$F$3:$G$34,2,FALSE)),IF(ISNA(VLOOKUP(B250,'NÖBV 3'!$J$3:$K$34,2,FALSE))=TRUE,0,VLOOKUP(B250,'NÖBV 3'!$J$3:$K$34,2,FALSE)),IF(ISNA(VLOOKUP(B250,'NÖBV 3'!$N$3:$O$34,2,FALSE))=TRUE,0,VLOOKUP(B250,'NÖBV 3'!$N$3:$O$34,2,FALSE)))</f>
        <v>0</v>
      </c>
      <c r="O250" s="15">
        <f>MAX(IF(ISNA(VLOOKUP(B250,'Regioturnier 1'!$B$3:$C$34,2,FALSE))=TRUE,0,VLOOKUP(B250,'Regioturnier 1'!$B$3:$C$34,2,FALSE)),IF(ISNA(VLOOKUP(B250,'Regioturnier 1'!$F$3:$G$34,2,FALSE))=TRUE,0,VLOOKUP(B250,'Regioturnier 1'!$F$3:$G$34,2,FALSE)),IF(ISNA(VLOOKUP(B250,'Regioturnier 1'!$J$3:$K$34,2,FALSE))=TRUE,0,VLOOKUP(B250,'Regioturnier 1'!$J$3:$K$34,2,FALSE)),IF(ISNA(VLOOKUP(B250,'Regioturnier 1'!$N$3:$O$34,2,FALSE))=TRUE,0,VLOOKUP(B250,'Regioturnier 1'!$N$3:$O$34,2,FALSE)),IF(ISNA(VLOOKUP(B250,'Regioturnier 1'!$R$3:$S$34,2,FALSE))=TRUE,0,VLOOKUP(B250,'Regioturnier 1'!$R$3:$S$34,2,FALSE)), IF(ISNA(VLOOKUP(B250,'Regioturnier 1'!$V$3:$W$34,2,FALSE))=TRUE,0,VLOOKUP(B250,'Regioturnier 1'!$V$3:$W$34,2,FALSE)), IF(ISNA(VLOOKUP(B250,'Regioturnier 1'!$Z$3:$AA$34,2,FALSE))=TRUE,0,VLOOKUP(B250,'Regioturnier 1'!$Z$3:$AA$34,2,FALSE)))</f>
        <v>0</v>
      </c>
      <c r="P250" s="15">
        <f>MAX(IF(ISNA(VLOOKUP(B250,'Regioturnier 2'!$B$3:$C$34,2,FALSE))=TRUE,0,VLOOKUP(B250,'Regioturnier 2'!$B$3:$C$34,2,FALSE)),IF(ISNA(VLOOKUP(B250,'Regioturnier 2'!$F$3:$G$34,2,FALSE))=TRUE,0,VLOOKUP(B250,'Regioturnier 2'!$F$3:$G$34,2,FALSE)),IF(ISNA(VLOOKUP(B250,'Regioturnier 2'!$J$3:$K$34,2,FALSE))=TRUE,0,VLOOKUP(B250,'Regioturnier 2'!$J$3:$K$34,2,FALSE)),IF(ISNA(VLOOKUP(B250,'Regioturnier 2'!$N$3:$O$34,2,FALSE))=TRUE,0,VLOOKUP(B250,'Regioturnier 2'!$N$3:$O$34,2,FALSE)),IF(ISNA(VLOOKUP(B250,'Regioturnier 2'!$R$3:$S$34,2,FALSE))=TRUE,0,VLOOKUP(B250,'Regioturnier 2'!$R$3:$S$34,2,FALSE)), IF(ISNA(VLOOKUP(B250,'Regioturnier 2'!$V$3:$W$34,2,FALSE))=TRUE,0,VLOOKUP(B250,'Regioturnier 2'!$V$3:$W$34,2,FALSE)), IF(ISNA(VLOOKUP(B250,'Regioturnier 2'!$Z$3:$AA$34,2,FALSE))=TRUE,0,VLOOKUP(B250,'Regioturnier 2'!$Z$3:$AA$34,2,FALSE)))</f>
        <v>0</v>
      </c>
      <c r="Q250" s="15">
        <f>MAX(IF(ISNA(VLOOKUP(B250,'Regioturnier 3'!$B$3:$C$34,2,FALSE))=TRUE,0,VLOOKUP(B250,'Regioturnier 3'!$B$3:$C$34,2,FALSE)),IF(ISNA(VLOOKUP(B250,'Regioturnier 3'!$F$3:$G$34,2,FALSE))=TRUE,0,VLOOKUP(B250,'Regioturnier 3'!$F$3:$G$34,2,FALSE)),IF(ISNA(VLOOKUP(B250,'Regioturnier 3'!$J$3:$K$34,2,FALSE))=TRUE,0,VLOOKUP(B250,'Regioturnier 3'!$J$3:$K$34,2,FALSE)),IF(ISNA(VLOOKUP(B250,'Regioturnier 3'!$N$3:$O$34,2,FALSE))=TRUE,0,VLOOKUP(B250,'Regioturnier 3'!$N$3:$O$34,2,FALSE)),IF(ISNA(VLOOKUP(B250,'Regioturnier 3'!$R$3:$S$34,2,FALSE))=TRUE,0,VLOOKUP(B250,'Regioturnier 3'!$R$3:$S$34,2,FALSE)), IF(ISNA(VLOOKUP(B250,'Regioturnier 3'!$V$3:$W$34,2,FALSE))=TRUE,0,VLOOKUP(B250,'Regioturnier 3'!$V$3:$W$34,2,FALSE)), IF(ISNA(VLOOKUP(B250,'Regioturnier 3'!$Z$3:$AA$34,2,FALSE))=TRUE,0,VLOOKUP(B250,'Regioturnier 3'!$Z$3:$AA$34,2,FALSE)))</f>
        <v>0</v>
      </c>
      <c r="R250" s="20">
        <f>0.5*INDEX($H250:$N250,MATCH(LARGE($H250:$N250,1),$H250:$N250,0))+0.3*INDEX($H250:$N250,MATCH(LARGE($H250:$N250,2),$H250:$N250,0))+0.2*INDEX($H250:$N250,MATCH(LARGE($H250:$N250,3),$H250:$N250,0))</f>
        <v>0</v>
      </c>
      <c r="S250" s="20">
        <f>0.6*INDEX(O250:Q250,MATCH(LARGE(O250:Q250,1),O250:Q250,0))+0.4*INDEX(O250:Q250,MATCH(LARGE(O250:Q250,2),O250:Q250,0))+0*INDEX(O250:Q250,MATCH(LARGE(O250:Q250,3),O250:Q250,0))</f>
        <v>0</v>
      </c>
      <c r="T250" s="15">
        <f>1*INDEX(R250:S250,MATCH(LARGE(R250:S250,1),R250:S250,0))+0*INDEX(R250:S250,MATCH(LARGE(R250:S250,2),R250:S250,0))</f>
        <v>0</v>
      </c>
      <c r="U250" s="21"/>
      <c r="V250" s="21"/>
      <c r="W250" s="21"/>
      <c r="X250" s="21"/>
      <c r="Y250" s="21"/>
      <c r="Z250" s="21"/>
    </row>
    <row r="251" spans="1:26" ht="12.75" customHeight="1" x14ac:dyDescent="0.3">
      <c r="A251" s="15">
        <v>250</v>
      </c>
      <c r="B251" s="16" t="s">
        <v>176</v>
      </c>
      <c r="C251" s="17" t="s">
        <v>28</v>
      </c>
      <c r="D251" s="15" t="s">
        <v>22</v>
      </c>
      <c r="E251" s="18" t="s">
        <v>23</v>
      </c>
      <c r="F251" s="15">
        <v>26479</v>
      </c>
      <c r="G251" s="22">
        <v>2011</v>
      </c>
      <c r="H251" s="15">
        <f>MAX(IF(ISNA(VLOOKUP(B251,'WBV 1'!$B$3:$C$34,2,FALSE))=TRUE,0,VLOOKUP(B251,'WBV 1'!$B$3:$C$34,2,FALSE)),IF(ISNA(VLOOKUP(B251,'WBV 1'!$F$3:$G$34,2,FALSE))=TRUE,0,VLOOKUP(B251,'WBV 1'!$F$3:$G$34,2,FALSE)),IF(ISNA(VLOOKUP(B251,'WBV 1'!$J$3:$K$34,2,FALSE))=TRUE,0,VLOOKUP(B251,'WBV 1'!$J$3:$K$34,2,FALSE)),IF(ISNA(VLOOKUP(B251,'WBV 1'!$N$3:$O$34,2,FALSE))=TRUE,0,VLOOKUP(B251,'WBV 1'!$N$3:$O$34,2,FALSE)))</f>
        <v>0</v>
      </c>
      <c r="I251" s="15">
        <f>MAX(IF(ISNA(VLOOKUP(B251,'WBV 2'!$B$3:$C$34,2,FALSE))=TRUE,0,VLOOKUP(B251,'WBV 2'!$B$3:$C$34,2,FALSE)),IF(ISNA(VLOOKUP(B251,'WBV 2'!$F$3:$G$34,2,FALSE))=TRUE,0,VLOOKUP(B251,'WBV 2'!$F$3:$G$34,2,FALSE)),IF(ISNA(VLOOKUP(B251,'WBV 2'!$J$3:$K$34,2,FALSE))=TRUE,0,VLOOKUP(B251,'WBV 2'!$J$3:$K$34,2,FALSE)),IF(ISNA(VLOOKUP(B251,'WBV 2'!$N$3:$O$34,2,FALSE))=TRUE,0,VLOOKUP(B251,'WBV 2'!$N$3:$O$34,2,FALSE)))</f>
        <v>0</v>
      </c>
      <c r="J251" s="15">
        <f>MAX(IF(ISNA(VLOOKUP(B251,'WBV 3'!$B$3:$C$34,2,FALSE))=TRUE,0,VLOOKUP(B251,'WBV 3'!$B$3:$C$34,2,FALSE)),IF(ISNA(VLOOKUP(B251,'WBV 3'!$F$3:$G$34,2,FALSE))=TRUE,0,VLOOKUP(B251,'WBV 3'!$F$3:$G$34,2,FALSE)),IF(ISNA(VLOOKUP(B251,'WBV 3'!$J$3:$K$34,2,FALSE))=TRUE,0,VLOOKUP(B251,'WBV 3'!$J$3:$K$34,2,FALSE)),IF(ISNA(VLOOKUP(B251,'WBV 3'!$N$3:$O$34,2,FALSE))=TRUE,0,VLOOKUP(B251,'WBV 3'!$N$3:$O$34,2,FALSE)))</f>
        <v>0</v>
      </c>
      <c r="K251" s="15">
        <f>MAX(IF(ISNA(VLOOKUP(B251,'WBV 4'!$B$3:$C$34,2,FALSE))=TRUE,0,VLOOKUP(B251,'WBV 4'!$B$3:$C$34,2,FALSE)),IF(ISNA(VLOOKUP(B251,'WBV 4'!$F$3:$G$34,2,FALSE))=TRUE,0,VLOOKUP(B251,'WBV 4'!$F$3:$G$34,2,FALSE)),IF(ISNA(VLOOKUP(B251,'WBV 4'!$J$3:$K$34,2,FALSE))=TRUE,0,VLOOKUP(B251,'WBV 4'!$J$3:$K$34,2,FALSE)),IF(ISNA(VLOOKUP(B251,'WBV 4'!$N$3:$O$34,2,FALSE))=TRUE,0,VLOOKUP(B251,'WBV 4'!$N$3:$O$34,2,FALSE)))</f>
        <v>0</v>
      </c>
      <c r="L251" s="19">
        <f>MAX(IF(ISNA(VLOOKUP(B251,'NÖBV 1'!$B$3:$C$34,2,FALSE))=TRUE,0,VLOOKUP(B251,'NÖBV 1'!$B$3:$C$34,2,FALSE)),IF(ISNA(VLOOKUP(B251,'NÖBV 1'!$F$3:$G$34,2,FALSE))=TRUE,0,VLOOKUP(B251,'NÖBV 1'!$F$3:$G$34,2,FALSE)),IF(ISNA(VLOOKUP(B251,'NÖBV 1'!$J$3:$K$34,2,FALSE))=TRUE,0,VLOOKUP(B251,'NÖBV 1'!$J$3:$K$34,2,FALSE)),IF(ISNA(VLOOKUP(B251,'NÖBV 1'!$N$3:$O$34,2,FALSE))=TRUE,0,VLOOKUP(B251,'NÖBV 1'!$N$3:$O$34,2,FALSE)))</f>
        <v>0</v>
      </c>
      <c r="M251" s="19">
        <f>MAX(IF(ISNA(VLOOKUP(B251,'NÖBV 2'!$B$3:$C$34,2,FALSE))=TRUE,0,VLOOKUP(B251,'NÖBV 2'!$B$3:$C$34,2,FALSE)),IF(ISNA(VLOOKUP(B251,'NÖBV 2'!$F$3:$G$34,2,FALSE))=TRUE,0,VLOOKUP(B251,'NÖBV 2'!$F$3:$G$34,2,FALSE)),IF(ISNA(VLOOKUP(B251,'NÖBV 2'!$J$3:$K$34,2,FALSE))=TRUE,0,VLOOKUP(B251,'NÖBV 2'!$J$3:$K$34,2,FALSE)),IF(ISNA(VLOOKUP(B251,'NÖBV 2'!$N$3:$O$34,2,FALSE))=TRUE,0,VLOOKUP(B251,'NÖBV 2'!$N$3:$O$34,2,FALSE)))</f>
        <v>0</v>
      </c>
      <c r="N251" s="19">
        <f>MAX(IF(ISNA(VLOOKUP(B251,'NÖBV 3'!$B$3:$C$34,2,FALSE))=TRUE,0,VLOOKUP(B251,'NÖBV 3'!$B$3:$C$34,2,FALSE)),IF(ISNA(VLOOKUP(B251,'NÖBV 3'!$F$3:$G$34,2,FALSE))=TRUE,0,VLOOKUP(B251,'NÖBV 3'!$F$3:$G$34,2,FALSE)),IF(ISNA(VLOOKUP(B251,'NÖBV 3'!$J$3:$K$34,2,FALSE))=TRUE,0,VLOOKUP(B251,'NÖBV 3'!$J$3:$K$34,2,FALSE)),IF(ISNA(VLOOKUP(B251,'NÖBV 3'!$N$3:$O$34,2,FALSE))=TRUE,0,VLOOKUP(B251,'NÖBV 3'!$N$3:$O$34,2,FALSE)))</f>
        <v>0</v>
      </c>
      <c r="O251" s="15">
        <f>MAX(IF(ISNA(VLOOKUP(B251,'Regioturnier 1'!$B$3:$C$34,2,FALSE))=TRUE,0,VLOOKUP(B251,'Regioturnier 1'!$B$3:$C$34,2,FALSE)),IF(ISNA(VLOOKUP(B251,'Regioturnier 1'!$F$3:$G$34,2,FALSE))=TRUE,0,VLOOKUP(B251,'Regioturnier 1'!$F$3:$G$34,2,FALSE)),IF(ISNA(VLOOKUP(B251,'Regioturnier 1'!$J$3:$K$34,2,FALSE))=TRUE,0,VLOOKUP(B251,'Regioturnier 1'!$J$3:$K$34,2,FALSE)),IF(ISNA(VLOOKUP(B251,'Regioturnier 1'!$N$3:$O$34,2,FALSE))=TRUE,0,VLOOKUP(B251,'Regioturnier 1'!$N$3:$O$34,2,FALSE)),IF(ISNA(VLOOKUP(B251,'Regioturnier 1'!$R$3:$S$34,2,FALSE))=TRUE,0,VLOOKUP(B251,'Regioturnier 1'!$R$3:$S$34,2,FALSE)), IF(ISNA(VLOOKUP(B251,'Regioturnier 1'!$V$3:$W$34,2,FALSE))=TRUE,0,VLOOKUP(B251,'Regioturnier 1'!$V$3:$W$34,2,FALSE)), IF(ISNA(VLOOKUP(B251,'Regioturnier 1'!$Z$3:$AA$34,2,FALSE))=TRUE,0,VLOOKUP(B251,'Regioturnier 1'!$Z$3:$AA$34,2,FALSE)))</f>
        <v>0</v>
      </c>
      <c r="P251" s="15">
        <f>MAX(IF(ISNA(VLOOKUP(B251,'Regioturnier 2'!$B$3:$C$34,2,FALSE))=TRUE,0,VLOOKUP(B251,'Regioturnier 2'!$B$3:$C$34,2,FALSE)),IF(ISNA(VLOOKUP(B251,'Regioturnier 2'!$F$3:$G$34,2,FALSE))=TRUE,0,VLOOKUP(B251,'Regioturnier 2'!$F$3:$G$34,2,FALSE)),IF(ISNA(VLOOKUP(B251,'Regioturnier 2'!$J$3:$K$34,2,FALSE))=TRUE,0,VLOOKUP(B251,'Regioturnier 2'!$J$3:$K$34,2,FALSE)),IF(ISNA(VLOOKUP(B251,'Regioturnier 2'!$N$3:$O$34,2,FALSE))=TRUE,0,VLOOKUP(B251,'Regioturnier 2'!$N$3:$O$34,2,FALSE)),IF(ISNA(VLOOKUP(B251,'Regioturnier 2'!$R$3:$S$34,2,FALSE))=TRUE,0,VLOOKUP(B251,'Regioturnier 2'!$R$3:$S$34,2,FALSE)), IF(ISNA(VLOOKUP(B251,'Regioturnier 2'!$V$3:$W$34,2,FALSE))=TRUE,0,VLOOKUP(B251,'Regioturnier 2'!$V$3:$W$34,2,FALSE)), IF(ISNA(VLOOKUP(B251,'Regioturnier 2'!$Z$3:$AA$34,2,FALSE))=TRUE,0,VLOOKUP(B251,'Regioturnier 2'!$Z$3:$AA$34,2,FALSE)))</f>
        <v>0</v>
      </c>
      <c r="Q251" s="15">
        <f>MAX(IF(ISNA(VLOOKUP(B251,'Regioturnier 3'!$B$3:$C$34,2,FALSE))=TRUE,0,VLOOKUP(B251,'Regioturnier 3'!$B$3:$C$34,2,FALSE)),IF(ISNA(VLOOKUP(B251,'Regioturnier 3'!$F$3:$G$34,2,FALSE))=TRUE,0,VLOOKUP(B251,'Regioturnier 3'!$F$3:$G$34,2,FALSE)),IF(ISNA(VLOOKUP(B251,'Regioturnier 3'!$J$3:$K$34,2,FALSE))=TRUE,0,VLOOKUP(B251,'Regioturnier 3'!$J$3:$K$34,2,FALSE)),IF(ISNA(VLOOKUP(B251,'Regioturnier 3'!$N$3:$O$34,2,FALSE))=TRUE,0,VLOOKUP(B251,'Regioturnier 3'!$N$3:$O$34,2,FALSE)),IF(ISNA(VLOOKUP(B251,'Regioturnier 3'!$R$3:$S$34,2,FALSE))=TRUE,0,VLOOKUP(B251,'Regioturnier 3'!$R$3:$S$34,2,FALSE)), IF(ISNA(VLOOKUP(B251,'Regioturnier 3'!$V$3:$W$34,2,FALSE))=TRUE,0,VLOOKUP(B251,'Regioturnier 3'!$V$3:$W$34,2,FALSE)), IF(ISNA(VLOOKUP(B251,'Regioturnier 3'!$Z$3:$AA$34,2,FALSE))=TRUE,0,VLOOKUP(B251,'Regioturnier 3'!$Z$3:$AA$34,2,FALSE)))</f>
        <v>0</v>
      </c>
      <c r="R251" s="20">
        <f>0.5*INDEX($H251:$N251,MATCH(LARGE($H251:$N251,1),$H251:$N251,0))+0.3*INDEX($H251:$N251,MATCH(LARGE($H251:$N251,2),$H251:$N251,0))+0.2*INDEX($H251:$N251,MATCH(LARGE($H251:$N251,3),$H251:$N251,0))</f>
        <v>0</v>
      </c>
      <c r="S251" s="20">
        <f>0.6*INDEX(O251:Q251,MATCH(LARGE(O251:Q251,1),O251:Q251,0))+0.4*INDEX(O251:Q251,MATCH(LARGE(O251:Q251,2),O251:Q251,0))+0*INDEX(O251:Q251,MATCH(LARGE(O251:Q251,3),O251:Q251,0))</f>
        <v>0</v>
      </c>
      <c r="T251" s="15">
        <f>1*INDEX(R251:S251,MATCH(LARGE(R251:S251,1),R251:S251,0))+0*INDEX(R251:S251,MATCH(LARGE(R251:S251,2),R251:S251,0))</f>
        <v>0</v>
      </c>
      <c r="U251" s="21"/>
      <c r="V251" s="21"/>
      <c r="W251" s="21"/>
      <c r="X251" s="21"/>
      <c r="Y251" s="21"/>
      <c r="Z251" s="21"/>
    </row>
    <row r="252" spans="1:26" ht="12.75" customHeight="1" x14ac:dyDescent="0.3">
      <c r="A252" s="15">
        <v>251</v>
      </c>
      <c r="B252" s="16" t="s">
        <v>78</v>
      </c>
      <c r="C252" s="17" t="s">
        <v>72</v>
      </c>
      <c r="D252" s="15" t="s">
        <v>22</v>
      </c>
      <c r="E252" s="18" t="s">
        <v>40</v>
      </c>
      <c r="F252" s="15" t="s">
        <v>79</v>
      </c>
      <c r="G252" s="22">
        <v>2011</v>
      </c>
      <c r="H252" s="15">
        <f>MAX(IF(ISNA(VLOOKUP(B252,'WBV 1'!$B$3:$C$34,2,FALSE))=TRUE,0,VLOOKUP(B252,'WBV 1'!$B$3:$C$34,2,FALSE)),IF(ISNA(VLOOKUP(B252,'WBV 1'!$F$3:$G$34,2,FALSE))=TRUE,0,VLOOKUP(B252,'WBV 1'!$F$3:$G$34,2,FALSE)),IF(ISNA(VLOOKUP(B252,'WBV 1'!$J$3:$K$34,2,FALSE))=TRUE,0,VLOOKUP(B252,'WBV 1'!$J$3:$K$34,2,FALSE)),IF(ISNA(VLOOKUP(B252,'WBV 1'!$N$3:$O$34,2,FALSE))=TRUE,0,VLOOKUP(B252,'WBV 1'!$N$3:$O$34,2,FALSE)))</f>
        <v>0</v>
      </c>
      <c r="I252" s="15">
        <f>MAX(IF(ISNA(VLOOKUP(B252,'WBV 2'!$B$3:$C$34,2,FALSE))=TRUE,0,VLOOKUP(B252,'WBV 2'!$B$3:$C$34,2,FALSE)),IF(ISNA(VLOOKUP(B252,'WBV 2'!$F$3:$G$34,2,FALSE))=TRUE,0,VLOOKUP(B252,'WBV 2'!$F$3:$G$34,2,FALSE)),IF(ISNA(VLOOKUP(B252,'WBV 2'!$J$3:$K$34,2,FALSE))=TRUE,0,VLOOKUP(B252,'WBV 2'!$J$3:$K$34,2,FALSE)),IF(ISNA(VLOOKUP(B252,'WBV 2'!$N$3:$O$34,2,FALSE))=TRUE,0,VLOOKUP(B252,'WBV 2'!$N$3:$O$34,2,FALSE)))</f>
        <v>0</v>
      </c>
      <c r="J252" s="15">
        <f>MAX(IF(ISNA(VLOOKUP(B252,'WBV 3'!$B$3:$C$34,2,FALSE))=TRUE,0,VLOOKUP(B252,'WBV 3'!$B$3:$C$34,2,FALSE)),IF(ISNA(VLOOKUP(B252,'WBV 3'!$F$3:$G$34,2,FALSE))=TRUE,0,VLOOKUP(B252,'WBV 3'!$F$3:$G$34,2,FALSE)),IF(ISNA(VLOOKUP(B252,'WBV 3'!$J$3:$K$34,2,FALSE))=TRUE,0,VLOOKUP(B252,'WBV 3'!$J$3:$K$34,2,FALSE)),IF(ISNA(VLOOKUP(B252,'WBV 3'!$N$3:$O$34,2,FALSE))=TRUE,0,VLOOKUP(B252,'WBV 3'!$N$3:$O$34,2,FALSE)))</f>
        <v>0</v>
      </c>
      <c r="K252" s="15">
        <f>MAX(IF(ISNA(VLOOKUP(B252,'WBV 4'!$B$3:$C$34,2,FALSE))=TRUE,0,VLOOKUP(B252,'WBV 4'!$B$3:$C$34,2,FALSE)),IF(ISNA(VLOOKUP(B252,'WBV 4'!$F$3:$G$34,2,FALSE))=TRUE,0,VLOOKUP(B252,'WBV 4'!$F$3:$G$34,2,FALSE)),IF(ISNA(VLOOKUP(B252,'WBV 4'!$J$3:$K$34,2,FALSE))=TRUE,0,VLOOKUP(B252,'WBV 4'!$J$3:$K$34,2,FALSE)),IF(ISNA(VLOOKUP(B252,'WBV 4'!$N$3:$O$34,2,FALSE))=TRUE,0,VLOOKUP(B252,'WBV 4'!$N$3:$O$34,2,FALSE)))</f>
        <v>0</v>
      </c>
      <c r="L252" s="19">
        <f>MAX(IF(ISNA(VLOOKUP(B252,'NÖBV 1'!$B$3:$C$34,2,FALSE))=TRUE,0,VLOOKUP(B252,'NÖBV 1'!$B$3:$C$34,2,FALSE)),IF(ISNA(VLOOKUP(B252,'NÖBV 1'!$F$3:$G$34,2,FALSE))=TRUE,0,VLOOKUP(B252,'NÖBV 1'!$F$3:$G$34,2,FALSE)),IF(ISNA(VLOOKUP(B252,'NÖBV 1'!$J$3:$K$34,2,FALSE))=TRUE,0,VLOOKUP(B252,'NÖBV 1'!$J$3:$K$34,2,FALSE)),IF(ISNA(VLOOKUP(B252,'NÖBV 1'!$N$3:$O$34,2,FALSE))=TRUE,0,VLOOKUP(B252,'NÖBV 1'!$N$3:$O$34,2,FALSE)))</f>
        <v>0</v>
      </c>
      <c r="M252" s="19">
        <f>MAX(IF(ISNA(VLOOKUP(B252,'NÖBV 2'!$B$3:$C$34,2,FALSE))=TRUE,0,VLOOKUP(B252,'NÖBV 2'!$B$3:$C$34,2,FALSE)),IF(ISNA(VLOOKUP(B252,'NÖBV 2'!$F$3:$G$34,2,FALSE))=TRUE,0,VLOOKUP(B252,'NÖBV 2'!$F$3:$G$34,2,FALSE)),IF(ISNA(VLOOKUP(B252,'NÖBV 2'!$J$3:$K$34,2,FALSE))=TRUE,0,VLOOKUP(B252,'NÖBV 2'!$J$3:$K$34,2,FALSE)),IF(ISNA(VLOOKUP(B252,'NÖBV 2'!$N$3:$O$34,2,FALSE))=TRUE,0,VLOOKUP(B252,'NÖBV 2'!$N$3:$O$34,2,FALSE)))</f>
        <v>0</v>
      </c>
      <c r="N252" s="19">
        <f>MAX(IF(ISNA(VLOOKUP(B252,'NÖBV 3'!$B$3:$C$34,2,FALSE))=TRUE,0,VLOOKUP(B252,'NÖBV 3'!$B$3:$C$34,2,FALSE)),IF(ISNA(VLOOKUP(B252,'NÖBV 3'!$F$3:$G$34,2,FALSE))=TRUE,0,VLOOKUP(B252,'NÖBV 3'!$F$3:$G$34,2,FALSE)),IF(ISNA(VLOOKUP(B252,'NÖBV 3'!$J$3:$K$34,2,FALSE))=TRUE,0,VLOOKUP(B252,'NÖBV 3'!$J$3:$K$34,2,FALSE)),IF(ISNA(VLOOKUP(B252,'NÖBV 3'!$N$3:$O$34,2,FALSE))=TRUE,0,VLOOKUP(B252,'NÖBV 3'!$N$3:$O$34,2,FALSE)))</f>
        <v>0</v>
      </c>
      <c r="O252" s="15">
        <f>MAX(IF(ISNA(VLOOKUP(B252,'Regioturnier 1'!$B$3:$C$34,2,FALSE))=TRUE,0,VLOOKUP(B252,'Regioturnier 1'!$B$3:$C$34,2,FALSE)),IF(ISNA(VLOOKUP(B252,'Regioturnier 1'!$F$3:$G$34,2,FALSE))=TRUE,0,VLOOKUP(B252,'Regioturnier 1'!$F$3:$G$34,2,FALSE)),IF(ISNA(VLOOKUP(B252,'Regioturnier 1'!$J$3:$K$34,2,FALSE))=TRUE,0,VLOOKUP(B252,'Regioturnier 1'!$J$3:$K$34,2,FALSE)),IF(ISNA(VLOOKUP(B252,'Regioturnier 1'!$N$3:$O$34,2,FALSE))=TRUE,0,VLOOKUP(B252,'Regioturnier 1'!$N$3:$O$34,2,FALSE)),IF(ISNA(VLOOKUP(B252,'Regioturnier 1'!$R$3:$S$34,2,FALSE))=TRUE,0,VLOOKUP(B252,'Regioturnier 1'!$R$3:$S$34,2,FALSE)), IF(ISNA(VLOOKUP(B252,'Regioturnier 1'!$V$3:$W$34,2,FALSE))=TRUE,0,VLOOKUP(B252,'Regioturnier 1'!$V$3:$W$34,2,FALSE)), IF(ISNA(VLOOKUP(B252,'Regioturnier 1'!$Z$3:$AA$34,2,FALSE))=TRUE,0,VLOOKUP(B252,'Regioturnier 1'!$Z$3:$AA$34,2,FALSE)))</f>
        <v>0</v>
      </c>
      <c r="P252" s="15">
        <f>MAX(IF(ISNA(VLOOKUP(B252,'Regioturnier 2'!$B$3:$C$34,2,FALSE))=TRUE,0,VLOOKUP(B252,'Regioturnier 2'!$B$3:$C$34,2,FALSE)),IF(ISNA(VLOOKUP(B252,'Regioturnier 2'!$F$3:$G$34,2,FALSE))=TRUE,0,VLOOKUP(B252,'Regioturnier 2'!$F$3:$G$34,2,FALSE)),IF(ISNA(VLOOKUP(B252,'Regioturnier 2'!$J$3:$K$34,2,FALSE))=TRUE,0,VLOOKUP(B252,'Regioturnier 2'!$J$3:$K$34,2,FALSE)),IF(ISNA(VLOOKUP(B252,'Regioturnier 2'!$N$3:$O$34,2,FALSE))=TRUE,0,VLOOKUP(B252,'Regioturnier 2'!$N$3:$O$34,2,FALSE)),IF(ISNA(VLOOKUP(B252,'Regioturnier 2'!$R$3:$S$34,2,FALSE))=TRUE,0,VLOOKUP(B252,'Regioturnier 2'!$R$3:$S$34,2,FALSE)), IF(ISNA(VLOOKUP(B252,'Regioturnier 2'!$V$3:$W$34,2,FALSE))=TRUE,0,VLOOKUP(B252,'Regioturnier 2'!$V$3:$W$34,2,FALSE)), IF(ISNA(VLOOKUP(B252,'Regioturnier 2'!$Z$3:$AA$34,2,FALSE))=TRUE,0,VLOOKUP(B252,'Regioturnier 2'!$Z$3:$AA$34,2,FALSE)))</f>
        <v>0</v>
      </c>
      <c r="Q252" s="15">
        <f>MAX(IF(ISNA(VLOOKUP(B252,'Regioturnier 3'!$B$3:$C$34,2,FALSE))=TRUE,0,VLOOKUP(B252,'Regioturnier 3'!$B$3:$C$34,2,FALSE)),IF(ISNA(VLOOKUP(B252,'Regioturnier 3'!$F$3:$G$34,2,FALSE))=TRUE,0,VLOOKUP(B252,'Regioturnier 3'!$F$3:$G$34,2,FALSE)),IF(ISNA(VLOOKUP(B252,'Regioturnier 3'!$J$3:$K$34,2,FALSE))=TRUE,0,VLOOKUP(B252,'Regioturnier 3'!$J$3:$K$34,2,FALSE)),IF(ISNA(VLOOKUP(B252,'Regioturnier 3'!$N$3:$O$34,2,FALSE))=TRUE,0,VLOOKUP(B252,'Regioturnier 3'!$N$3:$O$34,2,FALSE)),IF(ISNA(VLOOKUP(B252,'Regioturnier 3'!$R$3:$S$34,2,FALSE))=TRUE,0,VLOOKUP(B252,'Regioturnier 3'!$R$3:$S$34,2,FALSE)), IF(ISNA(VLOOKUP(B252,'Regioturnier 3'!$V$3:$W$34,2,FALSE))=TRUE,0,VLOOKUP(B252,'Regioturnier 3'!$V$3:$W$34,2,FALSE)), IF(ISNA(VLOOKUP(B252,'Regioturnier 3'!$Z$3:$AA$34,2,FALSE))=TRUE,0,VLOOKUP(B252,'Regioturnier 3'!$Z$3:$AA$34,2,FALSE)))</f>
        <v>0</v>
      </c>
      <c r="R252" s="20">
        <f>0.5*INDEX($H252:$N252,MATCH(LARGE($H252:$N252,1),$H252:$N252,0))+0.3*INDEX($H252:$N252,MATCH(LARGE($H252:$N252,2),$H252:$N252,0))+0.2*INDEX($H252:$N252,MATCH(LARGE($H252:$N252,3),$H252:$N252,0))</f>
        <v>0</v>
      </c>
      <c r="S252" s="20">
        <f>0.6*INDEX(O252:Q252,MATCH(LARGE(O252:Q252,1),O252:Q252,0))+0.4*INDEX(O252:Q252,MATCH(LARGE(O252:Q252,2),O252:Q252,0))+0*INDEX(O252:Q252,MATCH(LARGE(O252:Q252,3),O252:Q252,0))</f>
        <v>0</v>
      </c>
      <c r="T252" s="15">
        <f>1*INDEX(R252:S252,MATCH(LARGE(R252:S252,1),R252:S252,0))+0*INDEX(R252:S252,MATCH(LARGE(R252:S252,2),R252:S252,0))</f>
        <v>0</v>
      </c>
      <c r="U252" s="21"/>
      <c r="V252" s="21"/>
      <c r="W252" s="21"/>
      <c r="X252" s="21"/>
      <c r="Y252" s="21"/>
      <c r="Z252" s="21"/>
    </row>
    <row r="253" spans="1:26" ht="12.75" customHeight="1" x14ac:dyDescent="0.3">
      <c r="A253" s="15">
        <v>252</v>
      </c>
      <c r="B253" s="16" t="s">
        <v>184</v>
      </c>
      <c r="C253" s="17" t="s">
        <v>54</v>
      </c>
      <c r="D253" s="15" t="s">
        <v>22</v>
      </c>
      <c r="E253" s="18" t="s">
        <v>23</v>
      </c>
      <c r="F253" s="15"/>
      <c r="G253" s="22">
        <v>2012</v>
      </c>
      <c r="H253" s="15">
        <f>MAX(IF(ISNA(VLOOKUP(B253,'WBV 1'!$B$3:$C$34,2,FALSE))=TRUE,0,VLOOKUP(B253,'WBV 1'!$B$3:$C$34,2,FALSE)),IF(ISNA(VLOOKUP(B253,'WBV 1'!$F$3:$G$34,2,FALSE))=TRUE,0,VLOOKUP(B253,'WBV 1'!$F$3:$G$34,2,FALSE)),IF(ISNA(VLOOKUP(B253,'WBV 1'!$J$3:$K$34,2,FALSE))=TRUE,0,VLOOKUP(B253,'WBV 1'!$J$3:$K$34,2,FALSE)),IF(ISNA(VLOOKUP(B253,'WBV 1'!$N$3:$O$34,2,FALSE))=TRUE,0,VLOOKUP(B253,'WBV 1'!$N$3:$O$34,2,FALSE)))</f>
        <v>0</v>
      </c>
      <c r="I253" s="15">
        <f>MAX(IF(ISNA(VLOOKUP(B253,'WBV 2'!$B$3:$C$34,2,FALSE))=TRUE,0,VLOOKUP(B253,'WBV 2'!$B$3:$C$34,2,FALSE)),IF(ISNA(VLOOKUP(B253,'WBV 2'!$F$3:$G$34,2,FALSE))=TRUE,0,VLOOKUP(B253,'WBV 2'!$F$3:$G$34,2,FALSE)),IF(ISNA(VLOOKUP(B253,'WBV 2'!$J$3:$K$34,2,FALSE))=TRUE,0,VLOOKUP(B253,'WBV 2'!$J$3:$K$34,2,FALSE)),IF(ISNA(VLOOKUP(B253,'WBV 2'!$N$3:$O$34,2,FALSE))=TRUE,0,VLOOKUP(B253,'WBV 2'!$N$3:$O$34,2,FALSE)))</f>
        <v>0</v>
      </c>
      <c r="J253" s="15">
        <f>MAX(IF(ISNA(VLOOKUP(B253,'WBV 3'!$B$3:$C$34,2,FALSE))=TRUE,0,VLOOKUP(B253,'WBV 3'!$B$3:$C$34,2,FALSE)),IF(ISNA(VLOOKUP(B253,'WBV 3'!$F$3:$G$34,2,FALSE))=TRUE,0,VLOOKUP(B253,'WBV 3'!$F$3:$G$34,2,FALSE)),IF(ISNA(VLOOKUP(B253,'WBV 3'!$J$3:$K$34,2,FALSE))=TRUE,0,VLOOKUP(B253,'WBV 3'!$J$3:$K$34,2,FALSE)),IF(ISNA(VLOOKUP(B253,'WBV 3'!$N$3:$O$34,2,FALSE))=TRUE,0,VLOOKUP(B253,'WBV 3'!$N$3:$O$34,2,FALSE)))</f>
        <v>0</v>
      </c>
      <c r="K253" s="15">
        <f>MAX(IF(ISNA(VLOOKUP(B253,'WBV 4'!$B$3:$C$34,2,FALSE))=TRUE,0,VLOOKUP(B253,'WBV 4'!$B$3:$C$34,2,FALSE)),IF(ISNA(VLOOKUP(B253,'WBV 4'!$F$3:$G$34,2,FALSE))=TRUE,0,VLOOKUP(B253,'WBV 4'!$F$3:$G$34,2,FALSE)),IF(ISNA(VLOOKUP(B253,'WBV 4'!$J$3:$K$34,2,FALSE))=TRUE,0,VLOOKUP(B253,'WBV 4'!$J$3:$K$34,2,FALSE)),IF(ISNA(VLOOKUP(B253,'WBV 4'!$N$3:$O$34,2,FALSE))=TRUE,0,VLOOKUP(B253,'WBV 4'!$N$3:$O$34,2,FALSE)))</f>
        <v>0</v>
      </c>
      <c r="L253" s="19">
        <f>MAX(IF(ISNA(VLOOKUP(B253,'NÖBV 1'!$B$3:$C$34,2,FALSE))=TRUE,0,VLOOKUP(B253,'NÖBV 1'!$B$3:$C$34,2,FALSE)),IF(ISNA(VLOOKUP(B253,'NÖBV 1'!$F$3:$G$34,2,FALSE))=TRUE,0,VLOOKUP(B253,'NÖBV 1'!$F$3:$G$34,2,FALSE)),IF(ISNA(VLOOKUP(B253,'NÖBV 1'!$J$3:$K$34,2,FALSE))=TRUE,0,VLOOKUP(B253,'NÖBV 1'!$J$3:$K$34,2,FALSE)),IF(ISNA(VLOOKUP(B253,'NÖBV 1'!$N$3:$O$34,2,FALSE))=TRUE,0,VLOOKUP(B253,'NÖBV 1'!$N$3:$O$34,2,FALSE)))</f>
        <v>0</v>
      </c>
      <c r="M253" s="19">
        <f>MAX(IF(ISNA(VLOOKUP(B253,'NÖBV 2'!$B$3:$C$34,2,FALSE))=TRUE,0,VLOOKUP(B253,'NÖBV 2'!$B$3:$C$34,2,FALSE)),IF(ISNA(VLOOKUP(B253,'NÖBV 2'!$F$3:$G$34,2,FALSE))=TRUE,0,VLOOKUP(B253,'NÖBV 2'!$F$3:$G$34,2,FALSE)),IF(ISNA(VLOOKUP(B253,'NÖBV 2'!$J$3:$K$34,2,FALSE))=TRUE,0,VLOOKUP(B253,'NÖBV 2'!$J$3:$K$34,2,FALSE)),IF(ISNA(VLOOKUP(B253,'NÖBV 2'!$N$3:$O$34,2,FALSE))=TRUE,0,VLOOKUP(B253,'NÖBV 2'!$N$3:$O$34,2,FALSE)))</f>
        <v>0</v>
      </c>
      <c r="N253" s="19">
        <f>MAX(IF(ISNA(VLOOKUP(B253,'NÖBV 3'!$B$3:$C$34,2,FALSE))=TRUE,0,VLOOKUP(B253,'NÖBV 3'!$B$3:$C$34,2,FALSE)),IF(ISNA(VLOOKUP(B253,'NÖBV 3'!$F$3:$G$34,2,FALSE))=TRUE,0,VLOOKUP(B253,'NÖBV 3'!$F$3:$G$34,2,FALSE)),IF(ISNA(VLOOKUP(B253,'NÖBV 3'!$J$3:$K$34,2,FALSE))=TRUE,0,VLOOKUP(B253,'NÖBV 3'!$J$3:$K$34,2,FALSE)),IF(ISNA(VLOOKUP(B253,'NÖBV 3'!$N$3:$O$34,2,FALSE))=TRUE,0,VLOOKUP(B253,'NÖBV 3'!$N$3:$O$34,2,FALSE)))</f>
        <v>0</v>
      </c>
      <c r="O253" s="15">
        <f>MAX(IF(ISNA(VLOOKUP(B253,'Regioturnier 1'!$B$3:$C$34,2,FALSE))=TRUE,0,VLOOKUP(B253,'Regioturnier 1'!$B$3:$C$34,2,FALSE)),IF(ISNA(VLOOKUP(B253,'Regioturnier 1'!$F$3:$G$34,2,FALSE))=TRUE,0,VLOOKUP(B253,'Regioturnier 1'!$F$3:$G$34,2,FALSE)),IF(ISNA(VLOOKUP(B253,'Regioturnier 1'!$J$3:$K$34,2,FALSE))=TRUE,0,VLOOKUP(B253,'Regioturnier 1'!$J$3:$K$34,2,FALSE)),IF(ISNA(VLOOKUP(B253,'Regioturnier 1'!$N$3:$O$34,2,FALSE))=TRUE,0,VLOOKUP(B253,'Regioturnier 1'!$N$3:$O$34,2,FALSE)),IF(ISNA(VLOOKUP(B253,'Regioturnier 1'!$R$3:$S$34,2,FALSE))=TRUE,0,VLOOKUP(B253,'Regioturnier 1'!$R$3:$S$34,2,FALSE)), IF(ISNA(VLOOKUP(B253,'Regioturnier 1'!$V$3:$W$34,2,FALSE))=TRUE,0,VLOOKUP(B253,'Regioturnier 1'!$V$3:$W$34,2,FALSE)), IF(ISNA(VLOOKUP(B253,'Regioturnier 1'!$Z$3:$AA$34,2,FALSE))=TRUE,0,VLOOKUP(B253,'Regioturnier 1'!$Z$3:$AA$34,2,FALSE)))</f>
        <v>0</v>
      </c>
      <c r="P253" s="15">
        <f>MAX(IF(ISNA(VLOOKUP(B253,'Regioturnier 2'!$B$3:$C$34,2,FALSE))=TRUE,0,VLOOKUP(B253,'Regioturnier 2'!$B$3:$C$34,2,FALSE)),IF(ISNA(VLOOKUP(B253,'Regioturnier 2'!$F$3:$G$34,2,FALSE))=TRUE,0,VLOOKUP(B253,'Regioturnier 2'!$F$3:$G$34,2,FALSE)),IF(ISNA(VLOOKUP(B253,'Regioturnier 2'!$J$3:$K$34,2,FALSE))=TRUE,0,VLOOKUP(B253,'Regioturnier 2'!$J$3:$K$34,2,FALSE)),IF(ISNA(VLOOKUP(B253,'Regioturnier 2'!$N$3:$O$34,2,FALSE))=TRUE,0,VLOOKUP(B253,'Regioturnier 2'!$N$3:$O$34,2,FALSE)),IF(ISNA(VLOOKUP(B253,'Regioturnier 2'!$R$3:$S$34,2,FALSE))=TRUE,0,VLOOKUP(B253,'Regioturnier 2'!$R$3:$S$34,2,FALSE)), IF(ISNA(VLOOKUP(B253,'Regioturnier 2'!$V$3:$W$34,2,FALSE))=TRUE,0,VLOOKUP(B253,'Regioturnier 2'!$V$3:$W$34,2,FALSE)), IF(ISNA(VLOOKUP(B253,'Regioturnier 2'!$Z$3:$AA$34,2,FALSE))=TRUE,0,VLOOKUP(B253,'Regioturnier 2'!$Z$3:$AA$34,2,FALSE)))</f>
        <v>0</v>
      </c>
      <c r="Q253" s="15">
        <f>MAX(IF(ISNA(VLOOKUP(B253,'Regioturnier 3'!$B$3:$C$34,2,FALSE))=TRUE,0,VLOOKUP(B253,'Regioturnier 3'!$B$3:$C$34,2,FALSE)),IF(ISNA(VLOOKUP(B253,'Regioturnier 3'!$F$3:$G$34,2,FALSE))=TRUE,0,VLOOKUP(B253,'Regioturnier 3'!$F$3:$G$34,2,FALSE)),IF(ISNA(VLOOKUP(B253,'Regioturnier 3'!$J$3:$K$34,2,FALSE))=TRUE,0,VLOOKUP(B253,'Regioturnier 3'!$J$3:$K$34,2,FALSE)),IF(ISNA(VLOOKUP(B253,'Regioturnier 3'!$N$3:$O$34,2,FALSE))=TRUE,0,VLOOKUP(B253,'Regioturnier 3'!$N$3:$O$34,2,FALSE)),IF(ISNA(VLOOKUP(B253,'Regioturnier 3'!$R$3:$S$34,2,FALSE))=TRUE,0,VLOOKUP(B253,'Regioturnier 3'!$R$3:$S$34,2,FALSE)), IF(ISNA(VLOOKUP(B253,'Regioturnier 3'!$V$3:$W$34,2,FALSE))=TRUE,0,VLOOKUP(B253,'Regioturnier 3'!$V$3:$W$34,2,FALSE)), IF(ISNA(VLOOKUP(B253,'Regioturnier 3'!$Z$3:$AA$34,2,FALSE))=TRUE,0,VLOOKUP(B253,'Regioturnier 3'!$Z$3:$AA$34,2,FALSE)))</f>
        <v>0</v>
      </c>
      <c r="R253" s="20">
        <f>0.5*INDEX($H253:$N253,MATCH(LARGE($H253:$N253,1),$H253:$N253,0))+0.3*INDEX($H253:$N253,MATCH(LARGE($H253:$N253,2),$H253:$N253,0))+0.2*INDEX($H253:$N253,MATCH(LARGE($H253:$N253,3),$H253:$N253,0))</f>
        <v>0</v>
      </c>
      <c r="S253" s="20">
        <f t="array" ref="S253">0.5*INDEX(O253:Q253,MATCH(LARGE(O253:Q253,1),O253:Q253,0))+0.3*INDEX(O253:Q253,MATCH(LARGE(O253:Q253,2),O253:Q253,0))+0.2*INDEX(O253:Q253,MATCH(LARGE(O253:Q253,3),O253:Q253,0))</f>
        <v>0</v>
      </c>
      <c r="T253" s="15">
        <f>1*INDEX(R253:S253,MATCH(LARGE(R253:S253,1),R253:S253,0))+0*INDEX(R253:S253,MATCH(LARGE(R253:S253,2),R253:S253,0))</f>
        <v>0</v>
      </c>
      <c r="U253" s="21"/>
      <c r="V253" s="21"/>
      <c r="W253" s="21"/>
      <c r="X253" s="21"/>
      <c r="Y253" s="21"/>
      <c r="Z253" s="21"/>
    </row>
    <row r="254" spans="1:26" ht="12.75" customHeight="1" x14ac:dyDescent="0.3">
      <c r="A254" s="15">
        <v>253</v>
      </c>
      <c r="B254" s="16" t="s">
        <v>205</v>
      </c>
      <c r="C254" s="17" t="s">
        <v>54</v>
      </c>
      <c r="D254" s="15" t="s">
        <v>22</v>
      </c>
      <c r="E254" s="18" t="s">
        <v>23</v>
      </c>
      <c r="F254" s="15"/>
      <c r="G254" s="22">
        <v>2010</v>
      </c>
      <c r="H254" s="15">
        <f>MAX(IF(ISNA(VLOOKUP(B254,'WBV 1'!$B$3:$C$34,2,FALSE))=TRUE,0,VLOOKUP(B254,'WBV 1'!$B$3:$C$34,2,FALSE)),IF(ISNA(VLOOKUP(B254,'WBV 1'!$F$3:$G$34,2,FALSE))=TRUE,0,VLOOKUP(B254,'WBV 1'!$F$3:$G$34,2,FALSE)),IF(ISNA(VLOOKUP(B254,'WBV 1'!$J$3:$K$34,2,FALSE))=TRUE,0,VLOOKUP(B254,'WBV 1'!$J$3:$K$34,2,FALSE)),IF(ISNA(VLOOKUP(B254,'WBV 1'!$N$3:$O$34,2,FALSE))=TRUE,0,VLOOKUP(B254,'WBV 1'!$N$3:$O$34,2,FALSE)))</f>
        <v>0</v>
      </c>
      <c r="I254" s="15">
        <f>MAX(IF(ISNA(VLOOKUP(B254,'WBV 2'!$B$3:$C$34,2,FALSE))=TRUE,0,VLOOKUP(B254,'WBV 2'!$B$3:$C$34,2,FALSE)),IF(ISNA(VLOOKUP(B254,'WBV 2'!$F$3:$G$34,2,FALSE))=TRUE,0,VLOOKUP(B254,'WBV 2'!$F$3:$G$34,2,FALSE)),IF(ISNA(VLOOKUP(B254,'WBV 2'!$J$3:$K$34,2,FALSE))=TRUE,0,VLOOKUP(B254,'WBV 2'!$J$3:$K$34,2,FALSE)),IF(ISNA(VLOOKUP(B254,'WBV 2'!$N$3:$O$34,2,FALSE))=TRUE,0,VLOOKUP(B254,'WBV 2'!$N$3:$O$34,2,FALSE)))</f>
        <v>0</v>
      </c>
      <c r="J254" s="15">
        <f>MAX(IF(ISNA(VLOOKUP(B254,'WBV 3'!$B$3:$C$34,2,FALSE))=TRUE,0,VLOOKUP(B254,'WBV 3'!$B$3:$C$34,2,FALSE)),IF(ISNA(VLOOKUP(B254,'WBV 3'!$F$3:$G$34,2,FALSE))=TRUE,0,VLOOKUP(B254,'WBV 3'!$F$3:$G$34,2,FALSE)),IF(ISNA(VLOOKUP(B254,'WBV 3'!$J$3:$K$34,2,FALSE))=TRUE,0,VLOOKUP(B254,'WBV 3'!$J$3:$K$34,2,FALSE)),IF(ISNA(VLOOKUP(B254,'WBV 3'!$N$3:$O$34,2,FALSE))=TRUE,0,VLOOKUP(B254,'WBV 3'!$N$3:$O$34,2,FALSE)))</f>
        <v>0</v>
      </c>
      <c r="K254" s="15">
        <f>MAX(IF(ISNA(VLOOKUP(B254,'WBV 4'!$B$3:$C$34,2,FALSE))=TRUE,0,VLOOKUP(B254,'WBV 4'!$B$3:$C$34,2,FALSE)),IF(ISNA(VLOOKUP(B254,'WBV 4'!$F$3:$G$34,2,FALSE))=TRUE,0,VLOOKUP(B254,'WBV 4'!$F$3:$G$34,2,FALSE)),IF(ISNA(VLOOKUP(B254,'WBV 4'!$J$3:$K$34,2,FALSE))=TRUE,0,VLOOKUP(B254,'WBV 4'!$J$3:$K$34,2,FALSE)),IF(ISNA(VLOOKUP(B254,'WBV 4'!$N$3:$O$34,2,FALSE))=TRUE,0,VLOOKUP(B254,'WBV 4'!$N$3:$O$34,2,FALSE)))</f>
        <v>0</v>
      </c>
      <c r="L254" s="19">
        <f>MAX(IF(ISNA(VLOOKUP(B254,'NÖBV 1'!$B$3:$C$34,2,FALSE))=TRUE,0,VLOOKUP(B254,'NÖBV 1'!$B$3:$C$34,2,FALSE)),IF(ISNA(VLOOKUP(B254,'NÖBV 1'!$F$3:$G$34,2,FALSE))=TRUE,0,VLOOKUP(B254,'NÖBV 1'!$F$3:$G$34,2,FALSE)),IF(ISNA(VLOOKUP(B254,'NÖBV 1'!$J$3:$K$34,2,FALSE))=TRUE,0,VLOOKUP(B254,'NÖBV 1'!$J$3:$K$34,2,FALSE)),IF(ISNA(VLOOKUP(B254,'NÖBV 1'!$N$3:$O$34,2,FALSE))=TRUE,0,VLOOKUP(B254,'NÖBV 1'!$N$3:$O$34,2,FALSE)))</f>
        <v>0</v>
      </c>
      <c r="M254" s="19">
        <f>MAX(IF(ISNA(VLOOKUP(B254,'NÖBV 2'!$B$3:$C$34,2,FALSE))=TRUE,0,VLOOKUP(B254,'NÖBV 2'!$B$3:$C$34,2,FALSE)),IF(ISNA(VLOOKUP(B254,'NÖBV 2'!$F$3:$G$34,2,FALSE))=TRUE,0,VLOOKUP(B254,'NÖBV 2'!$F$3:$G$34,2,FALSE)),IF(ISNA(VLOOKUP(B254,'NÖBV 2'!$J$3:$K$34,2,FALSE))=TRUE,0,VLOOKUP(B254,'NÖBV 2'!$J$3:$K$34,2,FALSE)),IF(ISNA(VLOOKUP(B254,'NÖBV 2'!$N$3:$O$34,2,FALSE))=TRUE,0,VLOOKUP(B254,'NÖBV 2'!$N$3:$O$34,2,FALSE)))</f>
        <v>0</v>
      </c>
      <c r="N254" s="19">
        <f>MAX(IF(ISNA(VLOOKUP(B254,'NÖBV 3'!$B$3:$C$34,2,FALSE))=TRUE,0,VLOOKUP(B254,'NÖBV 3'!$B$3:$C$34,2,FALSE)),IF(ISNA(VLOOKUP(B254,'NÖBV 3'!$F$3:$G$34,2,FALSE))=TRUE,0,VLOOKUP(B254,'NÖBV 3'!$F$3:$G$34,2,FALSE)),IF(ISNA(VLOOKUP(B254,'NÖBV 3'!$J$3:$K$34,2,FALSE))=TRUE,0,VLOOKUP(B254,'NÖBV 3'!$J$3:$K$34,2,FALSE)),IF(ISNA(VLOOKUP(B254,'NÖBV 3'!$N$3:$O$34,2,FALSE))=TRUE,0,VLOOKUP(B254,'NÖBV 3'!$N$3:$O$34,2,FALSE)))</f>
        <v>0</v>
      </c>
      <c r="O254" s="15">
        <f>MAX(IF(ISNA(VLOOKUP(B254,'Regioturnier 1'!$B$3:$C$34,2,FALSE))=TRUE,0,VLOOKUP(B254,'Regioturnier 1'!$B$3:$C$34,2,FALSE)),IF(ISNA(VLOOKUP(B254,'Regioturnier 1'!$F$3:$G$34,2,FALSE))=TRUE,0,VLOOKUP(B254,'Regioturnier 1'!$F$3:$G$34,2,FALSE)),IF(ISNA(VLOOKUP(B254,'Regioturnier 1'!$J$3:$K$34,2,FALSE))=TRUE,0,VLOOKUP(B254,'Regioturnier 1'!$J$3:$K$34,2,FALSE)),IF(ISNA(VLOOKUP(B254,'Regioturnier 1'!$N$3:$O$34,2,FALSE))=TRUE,0,VLOOKUP(B254,'Regioturnier 1'!$N$3:$O$34,2,FALSE)),IF(ISNA(VLOOKUP(B254,'Regioturnier 1'!$R$3:$S$34,2,FALSE))=TRUE,0,VLOOKUP(B254,'Regioturnier 1'!$R$3:$S$34,2,FALSE)), IF(ISNA(VLOOKUP(B254,'Regioturnier 1'!$V$3:$W$34,2,FALSE))=TRUE,0,VLOOKUP(B254,'Regioturnier 1'!$V$3:$W$34,2,FALSE)), IF(ISNA(VLOOKUP(B254,'Regioturnier 1'!$Z$3:$AA$34,2,FALSE))=TRUE,0,VLOOKUP(B254,'Regioturnier 1'!$Z$3:$AA$34,2,FALSE)))</f>
        <v>0</v>
      </c>
      <c r="P254" s="15">
        <f>MAX(IF(ISNA(VLOOKUP(B254,'Regioturnier 2'!$B$3:$C$34,2,FALSE))=TRUE,0,VLOOKUP(B254,'Regioturnier 2'!$B$3:$C$34,2,FALSE)),IF(ISNA(VLOOKUP(B254,'Regioturnier 2'!$F$3:$G$34,2,FALSE))=TRUE,0,VLOOKUP(B254,'Regioturnier 2'!$F$3:$G$34,2,FALSE)),IF(ISNA(VLOOKUP(B254,'Regioturnier 2'!$J$3:$K$34,2,FALSE))=TRUE,0,VLOOKUP(B254,'Regioturnier 2'!$J$3:$K$34,2,FALSE)),IF(ISNA(VLOOKUP(B254,'Regioturnier 2'!$N$3:$O$34,2,FALSE))=TRUE,0,VLOOKUP(B254,'Regioturnier 2'!$N$3:$O$34,2,FALSE)),IF(ISNA(VLOOKUP(B254,'Regioturnier 2'!$R$3:$S$34,2,FALSE))=TRUE,0,VLOOKUP(B254,'Regioturnier 2'!$R$3:$S$34,2,FALSE)), IF(ISNA(VLOOKUP(B254,'Regioturnier 2'!$V$3:$W$34,2,FALSE))=TRUE,0,VLOOKUP(B254,'Regioturnier 2'!$V$3:$W$34,2,FALSE)), IF(ISNA(VLOOKUP(B254,'Regioturnier 2'!$Z$3:$AA$34,2,FALSE))=TRUE,0,VLOOKUP(B254,'Regioturnier 2'!$Z$3:$AA$34,2,FALSE)))</f>
        <v>0</v>
      </c>
      <c r="Q254" s="15">
        <f>MAX(IF(ISNA(VLOOKUP(B254,'Regioturnier 3'!$B$3:$C$34,2,FALSE))=TRUE,0,VLOOKUP(B254,'Regioturnier 3'!$B$3:$C$34,2,FALSE)),IF(ISNA(VLOOKUP(B254,'Regioturnier 3'!$F$3:$G$34,2,FALSE))=TRUE,0,VLOOKUP(B254,'Regioturnier 3'!$F$3:$G$34,2,FALSE)),IF(ISNA(VLOOKUP(B254,'Regioturnier 3'!$J$3:$K$34,2,FALSE))=TRUE,0,VLOOKUP(B254,'Regioturnier 3'!$J$3:$K$34,2,FALSE)),IF(ISNA(VLOOKUP(B254,'Regioturnier 3'!$N$3:$O$34,2,FALSE))=TRUE,0,VLOOKUP(B254,'Regioturnier 3'!$N$3:$O$34,2,FALSE)),IF(ISNA(VLOOKUP(B254,'Regioturnier 3'!$R$3:$S$34,2,FALSE))=TRUE,0,VLOOKUP(B254,'Regioturnier 3'!$R$3:$S$34,2,FALSE)), IF(ISNA(VLOOKUP(B254,'Regioturnier 3'!$V$3:$W$34,2,FALSE))=TRUE,0,VLOOKUP(B254,'Regioturnier 3'!$V$3:$W$34,2,FALSE)), IF(ISNA(VLOOKUP(B254,'Regioturnier 3'!$Z$3:$AA$34,2,FALSE))=TRUE,0,VLOOKUP(B254,'Regioturnier 3'!$Z$3:$AA$34,2,FALSE)))</f>
        <v>0</v>
      </c>
      <c r="R254" s="20">
        <f>0.5*INDEX($H254:$N254,MATCH(LARGE($H254:$N254,1),$H254:$N254,0))+0.3*INDEX($H254:$N254,MATCH(LARGE($H254:$N254,2),$H254:$N254,0))+0.2*INDEX($H254:$N254,MATCH(LARGE($H254:$N254,3),$H254:$N254,0))</f>
        <v>0</v>
      </c>
      <c r="S254" s="20">
        <f t="array" ref="S254">0.5*INDEX(O254:Q254,MATCH(LARGE(O254:Q254,1),O254:Q254,0))+0.3*INDEX(O254:Q254,MATCH(LARGE(O254:Q254,2),O254:Q254,0))+0.2*INDEX(O254:Q254,MATCH(LARGE(O254:Q254,3),O254:Q254,0))</f>
        <v>0</v>
      </c>
      <c r="T254" s="15">
        <f>1*INDEX(R254:S254,MATCH(LARGE(R254:S254,1),R254:S254,0))+0*INDEX(R254:S254,MATCH(LARGE(R254:S254,2),R254:S254,0))</f>
        <v>0</v>
      </c>
      <c r="U254" s="21"/>
      <c r="V254" s="21"/>
      <c r="W254" s="21"/>
      <c r="X254" s="21"/>
      <c r="Y254" s="21"/>
      <c r="Z254" s="21"/>
    </row>
    <row r="255" spans="1:26" ht="12.75" customHeight="1" x14ac:dyDescent="0.3">
      <c r="A255" s="15">
        <v>254</v>
      </c>
      <c r="B255" s="16" t="s">
        <v>134</v>
      </c>
      <c r="C255" s="17" t="s">
        <v>54</v>
      </c>
      <c r="D255" s="15" t="s">
        <v>22</v>
      </c>
      <c r="E255" s="18" t="s">
        <v>23</v>
      </c>
      <c r="F255" s="15" t="s">
        <v>135</v>
      </c>
      <c r="G255" s="22">
        <v>2014</v>
      </c>
      <c r="H255" s="15">
        <f>MAX(IF(ISNA(VLOOKUP(B255,'WBV 1'!$B$3:$C$34,2,FALSE))=TRUE,0,VLOOKUP(B255,'WBV 1'!$B$3:$C$34,2,FALSE)),IF(ISNA(VLOOKUP(B255,'WBV 1'!$F$3:$G$34,2,FALSE))=TRUE,0,VLOOKUP(B255,'WBV 1'!$F$3:$G$34,2,FALSE)),IF(ISNA(VLOOKUP(B255,'WBV 1'!$J$3:$K$34,2,FALSE))=TRUE,0,VLOOKUP(B255,'WBV 1'!$J$3:$K$34,2,FALSE)),IF(ISNA(VLOOKUP(B255,'WBV 1'!$N$3:$O$34,2,FALSE))=TRUE,0,VLOOKUP(B255,'WBV 1'!$N$3:$O$34,2,FALSE)))</f>
        <v>0</v>
      </c>
      <c r="I255" s="15">
        <f>MAX(IF(ISNA(VLOOKUP(B255,'WBV 2'!$B$3:$C$34,2,FALSE))=TRUE,0,VLOOKUP(B255,'WBV 2'!$B$3:$C$34,2,FALSE)),IF(ISNA(VLOOKUP(B255,'WBV 2'!$F$3:$G$34,2,FALSE))=TRUE,0,VLOOKUP(B255,'WBV 2'!$F$3:$G$34,2,FALSE)),IF(ISNA(VLOOKUP(B255,'WBV 2'!$J$3:$K$34,2,FALSE))=TRUE,0,VLOOKUP(B255,'WBV 2'!$J$3:$K$34,2,FALSE)),IF(ISNA(VLOOKUP(B255,'WBV 2'!$N$3:$O$34,2,FALSE))=TRUE,0,VLOOKUP(B255,'WBV 2'!$N$3:$O$34,2,FALSE)))</f>
        <v>0</v>
      </c>
      <c r="J255" s="15">
        <f>MAX(IF(ISNA(VLOOKUP(B255,'WBV 3'!$B$3:$C$34,2,FALSE))=TRUE,0,VLOOKUP(B255,'WBV 3'!$B$3:$C$34,2,FALSE)),IF(ISNA(VLOOKUP(B255,'WBV 3'!$F$3:$G$34,2,FALSE))=TRUE,0,VLOOKUP(B255,'WBV 3'!$F$3:$G$34,2,FALSE)),IF(ISNA(VLOOKUP(B255,'WBV 3'!$J$3:$K$34,2,FALSE))=TRUE,0,VLOOKUP(B255,'WBV 3'!$J$3:$K$34,2,FALSE)),IF(ISNA(VLOOKUP(B255,'WBV 3'!$N$3:$O$34,2,FALSE))=TRUE,0,VLOOKUP(B255,'WBV 3'!$N$3:$O$34,2,FALSE)))</f>
        <v>0</v>
      </c>
      <c r="K255" s="15">
        <f>MAX(IF(ISNA(VLOOKUP(B255,'WBV 4'!$B$3:$C$34,2,FALSE))=TRUE,0,VLOOKUP(B255,'WBV 4'!$B$3:$C$34,2,FALSE)),IF(ISNA(VLOOKUP(B255,'WBV 4'!$F$3:$G$34,2,FALSE))=TRUE,0,VLOOKUP(B255,'WBV 4'!$F$3:$G$34,2,FALSE)),IF(ISNA(VLOOKUP(B255,'WBV 4'!$J$3:$K$34,2,FALSE))=TRUE,0,VLOOKUP(B255,'WBV 4'!$J$3:$K$34,2,FALSE)),IF(ISNA(VLOOKUP(B255,'WBV 4'!$N$3:$O$34,2,FALSE))=TRUE,0,VLOOKUP(B255,'WBV 4'!$N$3:$O$34,2,FALSE)))</f>
        <v>0</v>
      </c>
      <c r="L255" s="19">
        <f>MAX(IF(ISNA(VLOOKUP(B255,'NÖBV 1'!$B$3:$C$34,2,FALSE))=TRUE,0,VLOOKUP(B255,'NÖBV 1'!$B$3:$C$34,2,FALSE)),IF(ISNA(VLOOKUP(B255,'NÖBV 1'!$F$3:$G$34,2,FALSE))=TRUE,0,VLOOKUP(B255,'NÖBV 1'!$F$3:$G$34,2,FALSE)),IF(ISNA(VLOOKUP(B255,'NÖBV 1'!$J$3:$K$34,2,FALSE))=TRUE,0,VLOOKUP(B255,'NÖBV 1'!$J$3:$K$34,2,FALSE)),IF(ISNA(VLOOKUP(B255,'NÖBV 1'!$N$3:$O$34,2,FALSE))=TRUE,0,VLOOKUP(B255,'NÖBV 1'!$N$3:$O$34,2,FALSE)))</f>
        <v>0</v>
      </c>
      <c r="M255" s="19">
        <f>MAX(IF(ISNA(VLOOKUP(B255,'NÖBV 2'!$B$3:$C$34,2,FALSE))=TRUE,0,VLOOKUP(B255,'NÖBV 2'!$B$3:$C$34,2,FALSE)),IF(ISNA(VLOOKUP(B255,'NÖBV 2'!$F$3:$G$34,2,FALSE))=TRUE,0,VLOOKUP(B255,'NÖBV 2'!$F$3:$G$34,2,FALSE)),IF(ISNA(VLOOKUP(B255,'NÖBV 2'!$J$3:$K$34,2,FALSE))=TRUE,0,VLOOKUP(B255,'NÖBV 2'!$J$3:$K$34,2,FALSE)),IF(ISNA(VLOOKUP(B255,'NÖBV 2'!$N$3:$O$34,2,FALSE))=TRUE,0,VLOOKUP(B255,'NÖBV 2'!$N$3:$O$34,2,FALSE)))</f>
        <v>0</v>
      </c>
      <c r="N255" s="19">
        <f>MAX(IF(ISNA(VLOOKUP(B255,'NÖBV 3'!$B$3:$C$34,2,FALSE))=TRUE,0,VLOOKUP(B255,'NÖBV 3'!$B$3:$C$34,2,FALSE)),IF(ISNA(VLOOKUP(B255,'NÖBV 3'!$F$3:$G$34,2,FALSE))=TRUE,0,VLOOKUP(B255,'NÖBV 3'!$F$3:$G$34,2,FALSE)),IF(ISNA(VLOOKUP(B255,'NÖBV 3'!$J$3:$K$34,2,FALSE))=TRUE,0,VLOOKUP(B255,'NÖBV 3'!$J$3:$K$34,2,FALSE)),IF(ISNA(VLOOKUP(B255,'NÖBV 3'!$N$3:$O$34,2,FALSE))=TRUE,0,VLOOKUP(B255,'NÖBV 3'!$N$3:$O$34,2,FALSE)))</f>
        <v>0</v>
      </c>
      <c r="O255" s="15">
        <f>MAX(IF(ISNA(VLOOKUP(B255,'Regioturnier 1'!$B$3:$C$34,2,FALSE))=TRUE,0,VLOOKUP(B255,'Regioturnier 1'!$B$3:$C$34,2,FALSE)),IF(ISNA(VLOOKUP(B255,'Regioturnier 1'!$F$3:$G$34,2,FALSE))=TRUE,0,VLOOKUP(B255,'Regioturnier 1'!$F$3:$G$34,2,FALSE)),IF(ISNA(VLOOKUP(B255,'Regioturnier 1'!$J$3:$K$34,2,FALSE))=TRUE,0,VLOOKUP(B255,'Regioturnier 1'!$J$3:$K$34,2,FALSE)),IF(ISNA(VLOOKUP(B255,'Regioturnier 1'!$N$3:$O$34,2,FALSE))=TRUE,0,VLOOKUP(B255,'Regioturnier 1'!$N$3:$O$34,2,FALSE)),IF(ISNA(VLOOKUP(B255,'Regioturnier 1'!$R$3:$S$34,2,FALSE))=TRUE,0,VLOOKUP(B255,'Regioturnier 1'!$R$3:$S$34,2,FALSE)), IF(ISNA(VLOOKUP(B255,'Regioturnier 1'!$V$3:$W$34,2,FALSE))=TRUE,0,VLOOKUP(B255,'Regioturnier 1'!$V$3:$W$34,2,FALSE)), IF(ISNA(VLOOKUP(B255,'Regioturnier 1'!$Z$3:$AA$34,2,FALSE))=TRUE,0,VLOOKUP(B255,'Regioturnier 1'!$Z$3:$AA$34,2,FALSE)))</f>
        <v>0</v>
      </c>
      <c r="P255" s="15">
        <f>MAX(IF(ISNA(VLOOKUP(B255,'Regioturnier 2'!$B$3:$C$34,2,FALSE))=TRUE,0,VLOOKUP(B255,'Regioturnier 2'!$B$3:$C$34,2,FALSE)),IF(ISNA(VLOOKUP(B255,'Regioturnier 2'!$F$3:$G$34,2,FALSE))=TRUE,0,VLOOKUP(B255,'Regioturnier 2'!$F$3:$G$34,2,FALSE)),IF(ISNA(VLOOKUP(B255,'Regioturnier 2'!$J$3:$K$34,2,FALSE))=TRUE,0,VLOOKUP(B255,'Regioturnier 2'!$J$3:$K$34,2,FALSE)),IF(ISNA(VLOOKUP(B255,'Regioturnier 2'!$N$3:$O$34,2,FALSE))=TRUE,0,VLOOKUP(B255,'Regioturnier 2'!$N$3:$O$34,2,FALSE)),IF(ISNA(VLOOKUP(B255,'Regioturnier 2'!$R$3:$S$34,2,FALSE))=TRUE,0,VLOOKUP(B255,'Regioturnier 2'!$R$3:$S$34,2,FALSE)), IF(ISNA(VLOOKUP(B255,'Regioturnier 2'!$V$3:$W$34,2,FALSE))=TRUE,0,VLOOKUP(B255,'Regioturnier 2'!$V$3:$W$34,2,FALSE)), IF(ISNA(VLOOKUP(B255,'Regioturnier 2'!$Z$3:$AA$34,2,FALSE))=TRUE,0,VLOOKUP(B255,'Regioturnier 2'!$Z$3:$AA$34,2,FALSE)))</f>
        <v>0</v>
      </c>
      <c r="Q255" s="15">
        <f>MAX(IF(ISNA(VLOOKUP(B255,'Regioturnier 3'!$B$3:$C$34,2,FALSE))=TRUE,0,VLOOKUP(B255,'Regioturnier 3'!$B$3:$C$34,2,FALSE)),IF(ISNA(VLOOKUP(B255,'Regioturnier 3'!$F$3:$G$34,2,FALSE))=TRUE,0,VLOOKUP(B255,'Regioturnier 3'!$F$3:$G$34,2,FALSE)),IF(ISNA(VLOOKUP(B255,'Regioturnier 3'!$J$3:$K$34,2,FALSE))=TRUE,0,VLOOKUP(B255,'Regioturnier 3'!$J$3:$K$34,2,FALSE)),IF(ISNA(VLOOKUP(B255,'Regioturnier 3'!$N$3:$O$34,2,FALSE))=TRUE,0,VLOOKUP(B255,'Regioturnier 3'!$N$3:$O$34,2,FALSE)),IF(ISNA(VLOOKUP(B255,'Regioturnier 3'!$R$3:$S$34,2,FALSE))=TRUE,0,VLOOKUP(B255,'Regioturnier 3'!$R$3:$S$34,2,FALSE)), IF(ISNA(VLOOKUP(B255,'Regioturnier 3'!$V$3:$W$34,2,FALSE))=TRUE,0,VLOOKUP(B255,'Regioturnier 3'!$V$3:$W$34,2,FALSE)), IF(ISNA(VLOOKUP(B255,'Regioturnier 3'!$Z$3:$AA$34,2,FALSE))=TRUE,0,VLOOKUP(B255,'Regioturnier 3'!$Z$3:$AA$34,2,FALSE)))</f>
        <v>0</v>
      </c>
      <c r="R255" s="20">
        <f>0.5*INDEX($H255:$N255,MATCH(LARGE($H255:$N255,1),$H255:$N255,0))+0.3*INDEX($H255:$N255,MATCH(LARGE($H255:$N255,2),$H255:$N255,0))+0.2*INDEX($H255:$N255,MATCH(LARGE($H255:$N255,3),$H255:$N255,0))</f>
        <v>0</v>
      </c>
      <c r="S255" s="20">
        <f>0.6*INDEX(O255:Q255,MATCH(LARGE(O255:Q255,1),O255:Q255,0))+0.4*INDEX(O255:Q255,MATCH(LARGE(O255:Q255,2),O255:Q255,0))+0*INDEX(O255:Q255,MATCH(LARGE(O255:Q255,3),O255:Q255,0))</f>
        <v>0</v>
      </c>
      <c r="T255" s="15">
        <f>1*INDEX(R255:S255,MATCH(LARGE(R255:S255,1),R255:S255,0))+0*INDEX(R255:S255,MATCH(LARGE(R255:S255,2),R255:S255,0))</f>
        <v>0</v>
      </c>
      <c r="U255" s="21"/>
      <c r="V255" s="21"/>
      <c r="W255" s="21"/>
      <c r="X255" s="21"/>
      <c r="Y255" s="21"/>
      <c r="Z255" s="21"/>
    </row>
    <row r="256" spans="1:26" ht="12.75" customHeight="1" x14ac:dyDescent="0.3">
      <c r="A256" s="15">
        <v>255</v>
      </c>
      <c r="B256" s="16" t="s">
        <v>240</v>
      </c>
      <c r="C256" s="17" t="s">
        <v>54</v>
      </c>
      <c r="D256" s="15" t="s">
        <v>22</v>
      </c>
      <c r="E256" s="18" t="s">
        <v>40</v>
      </c>
      <c r="F256" s="15" t="s">
        <v>73</v>
      </c>
      <c r="G256" s="22">
        <v>2014</v>
      </c>
      <c r="H256" s="15">
        <f>MAX(IF(ISNA(VLOOKUP(B256,'WBV 1'!$B$3:$C$34,2,FALSE))=TRUE,0,VLOOKUP(B256,'WBV 1'!$B$3:$C$34,2,FALSE)),IF(ISNA(VLOOKUP(B256,'WBV 1'!$F$3:$G$34,2,FALSE))=TRUE,0,VLOOKUP(B256,'WBV 1'!$F$3:$G$34,2,FALSE)),IF(ISNA(VLOOKUP(B256,'WBV 1'!$J$3:$K$34,2,FALSE))=TRUE,0,VLOOKUP(B256,'WBV 1'!$J$3:$K$34,2,FALSE)),IF(ISNA(VLOOKUP(B256,'WBV 1'!$N$3:$O$34,2,FALSE))=TRUE,0,VLOOKUP(B256,'WBV 1'!$N$3:$O$34,2,FALSE)))</f>
        <v>0</v>
      </c>
      <c r="I256" s="15">
        <f>MAX(IF(ISNA(VLOOKUP(B256,'WBV 2'!$B$3:$C$34,2,FALSE))=TRUE,0,VLOOKUP(B256,'WBV 2'!$B$3:$C$34,2,FALSE)),IF(ISNA(VLOOKUP(B256,'WBV 2'!$F$3:$G$34,2,FALSE))=TRUE,0,VLOOKUP(B256,'WBV 2'!$F$3:$G$34,2,FALSE)),IF(ISNA(VLOOKUP(B256,'WBV 2'!$J$3:$K$34,2,FALSE))=TRUE,0,VLOOKUP(B256,'WBV 2'!$J$3:$K$34,2,FALSE)),IF(ISNA(VLOOKUP(B256,'WBV 2'!$N$3:$O$34,2,FALSE))=TRUE,0,VLOOKUP(B256,'WBV 2'!$N$3:$O$34,2,FALSE)))</f>
        <v>0</v>
      </c>
      <c r="J256" s="15">
        <f>MAX(IF(ISNA(VLOOKUP(B256,'WBV 3'!$B$3:$C$34,2,FALSE))=TRUE,0,VLOOKUP(B256,'WBV 3'!$B$3:$C$34,2,FALSE)),IF(ISNA(VLOOKUP(B256,'WBV 3'!$F$3:$G$34,2,FALSE))=TRUE,0,VLOOKUP(B256,'WBV 3'!$F$3:$G$34,2,FALSE)),IF(ISNA(VLOOKUP(B256,'WBV 3'!$J$3:$K$34,2,FALSE))=TRUE,0,VLOOKUP(B256,'WBV 3'!$J$3:$K$34,2,FALSE)),IF(ISNA(VLOOKUP(B256,'WBV 3'!$N$3:$O$34,2,FALSE))=TRUE,0,VLOOKUP(B256,'WBV 3'!$N$3:$O$34,2,FALSE)))</f>
        <v>0</v>
      </c>
      <c r="K256" s="15">
        <f>MAX(IF(ISNA(VLOOKUP(B256,'WBV 4'!$B$3:$C$34,2,FALSE))=TRUE,0,VLOOKUP(B256,'WBV 4'!$B$3:$C$34,2,FALSE)),IF(ISNA(VLOOKUP(B256,'WBV 4'!$F$3:$G$34,2,FALSE))=TRUE,0,VLOOKUP(B256,'WBV 4'!$F$3:$G$34,2,FALSE)),IF(ISNA(VLOOKUP(B256,'WBV 4'!$J$3:$K$34,2,FALSE))=TRUE,0,VLOOKUP(B256,'WBV 4'!$J$3:$K$34,2,FALSE)),IF(ISNA(VLOOKUP(B256,'WBV 4'!$N$3:$O$34,2,FALSE))=TRUE,0,VLOOKUP(B256,'WBV 4'!$N$3:$O$34,2,FALSE)))</f>
        <v>0</v>
      </c>
      <c r="L256" s="19">
        <f>MAX(IF(ISNA(VLOOKUP(B256,'NÖBV 1'!$B$3:$C$34,2,FALSE))=TRUE,0,VLOOKUP(B256,'NÖBV 1'!$B$3:$C$34,2,FALSE)),IF(ISNA(VLOOKUP(B256,'NÖBV 1'!$F$3:$G$34,2,FALSE))=TRUE,0,VLOOKUP(B256,'NÖBV 1'!$F$3:$G$34,2,FALSE)),IF(ISNA(VLOOKUP(B256,'NÖBV 1'!$J$3:$K$34,2,FALSE))=TRUE,0,VLOOKUP(B256,'NÖBV 1'!$J$3:$K$34,2,FALSE)),IF(ISNA(VLOOKUP(B256,'NÖBV 1'!$N$3:$O$34,2,FALSE))=TRUE,0,VLOOKUP(B256,'NÖBV 1'!$N$3:$O$34,2,FALSE)))</f>
        <v>0</v>
      </c>
      <c r="M256" s="19">
        <f>MAX(IF(ISNA(VLOOKUP(B256,'NÖBV 2'!$B$3:$C$34,2,FALSE))=TRUE,0,VLOOKUP(B256,'NÖBV 2'!$B$3:$C$34,2,FALSE)),IF(ISNA(VLOOKUP(B256,'NÖBV 2'!$F$3:$G$34,2,FALSE))=TRUE,0,VLOOKUP(B256,'NÖBV 2'!$F$3:$G$34,2,FALSE)),IF(ISNA(VLOOKUP(B256,'NÖBV 2'!$J$3:$K$34,2,FALSE))=TRUE,0,VLOOKUP(B256,'NÖBV 2'!$J$3:$K$34,2,FALSE)),IF(ISNA(VLOOKUP(B256,'NÖBV 2'!$N$3:$O$34,2,FALSE))=TRUE,0,VLOOKUP(B256,'NÖBV 2'!$N$3:$O$34,2,FALSE)))</f>
        <v>0</v>
      </c>
      <c r="N256" s="19">
        <f>MAX(IF(ISNA(VLOOKUP(B256,'NÖBV 3'!$B$3:$C$34,2,FALSE))=TRUE,0,VLOOKUP(B256,'NÖBV 3'!$B$3:$C$34,2,FALSE)),IF(ISNA(VLOOKUP(B256,'NÖBV 3'!$F$3:$G$34,2,FALSE))=TRUE,0,VLOOKUP(B256,'NÖBV 3'!$F$3:$G$34,2,FALSE)),IF(ISNA(VLOOKUP(B256,'NÖBV 3'!$J$3:$K$34,2,FALSE))=TRUE,0,VLOOKUP(B256,'NÖBV 3'!$J$3:$K$34,2,FALSE)),IF(ISNA(VLOOKUP(B256,'NÖBV 3'!$N$3:$O$34,2,FALSE))=TRUE,0,VLOOKUP(B256,'NÖBV 3'!$N$3:$O$34,2,FALSE)))</f>
        <v>0</v>
      </c>
      <c r="O256" s="15">
        <f>MAX(IF(ISNA(VLOOKUP(B256,'Regioturnier 1'!$B$3:$C$34,2,FALSE))=TRUE,0,VLOOKUP(B256,'Regioturnier 1'!$B$3:$C$34,2,FALSE)),IF(ISNA(VLOOKUP(B256,'Regioturnier 1'!$F$3:$G$34,2,FALSE))=TRUE,0,VLOOKUP(B256,'Regioturnier 1'!$F$3:$G$34,2,FALSE)),IF(ISNA(VLOOKUP(B256,'Regioturnier 1'!$J$3:$K$34,2,FALSE))=TRUE,0,VLOOKUP(B256,'Regioturnier 1'!$J$3:$K$34,2,FALSE)),IF(ISNA(VLOOKUP(B256,'Regioturnier 1'!$N$3:$O$34,2,FALSE))=TRUE,0,VLOOKUP(B256,'Regioturnier 1'!$N$3:$O$34,2,FALSE)),IF(ISNA(VLOOKUP(B256,'Regioturnier 1'!$R$3:$S$34,2,FALSE))=TRUE,0,VLOOKUP(B256,'Regioturnier 1'!$R$3:$S$34,2,FALSE)), IF(ISNA(VLOOKUP(B256,'Regioturnier 1'!$V$3:$W$34,2,FALSE))=TRUE,0,VLOOKUP(B256,'Regioturnier 1'!$V$3:$W$34,2,FALSE)), IF(ISNA(VLOOKUP(B256,'Regioturnier 1'!$Z$3:$AA$34,2,FALSE))=TRUE,0,VLOOKUP(B256,'Regioturnier 1'!$Z$3:$AA$34,2,FALSE)))</f>
        <v>0</v>
      </c>
      <c r="P256" s="15">
        <f>MAX(IF(ISNA(VLOOKUP(B256,'Regioturnier 2'!$B$3:$C$34,2,FALSE))=TRUE,0,VLOOKUP(B256,'Regioturnier 2'!$B$3:$C$34,2,FALSE)),IF(ISNA(VLOOKUP(B256,'Regioturnier 2'!$F$3:$G$34,2,FALSE))=TRUE,0,VLOOKUP(B256,'Regioturnier 2'!$F$3:$G$34,2,FALSE)),IF(ISNA(VLOOKUP(B256,'Regioturnier 2'!$J$3:$K$34,2,FALSE))=TRUE,0,VLOOKUP(B256,'Regioturnier 2'!$J$3:$K$34,2,FALSE)),IF(ISNA(VLOOKUP(B256,'Regioturnier 2'!$N$3:$O$34,2,FALSE))=TRUE,0,VLOOKUP(B256,'Regioturnier 2'!$N$3:$O$34,2,FALSE)),IF(ISNA(VLOOKUP(B256,'Regioturnier 2'!$R$3:$S$34,2,FALSE))=TRUE,0,VLOOKUP(B256,'Regioturnier 2'!$R$3:$S$34,2,FALSE)), IF(ISNA(VLOOKUP(B256,'Regioturnier 2'!$V$3:$W$34,2,FALSE))=TRUE,0,VLOOKUP(B256,'Regioturnier 2'!$V$3:$W$34,2,FALSE)), IF(ISNA(VLOOKUP(B256,'Regioturnier 2'!$Z$3:$AA$34,2,FALSE))=TRUE,0,VLOOKUP(B256,'Regioturnier 2'!$Z$3:$AA$34,2,FALSE)))</f>
        <v>0</v>
      </c>
      <c r="Q256" s="15">
        <f>MAX(IF(ISNA(VLOOKUP(B256,'Regioturnier 3'!$B$3:$C$34,2,FALSE))=TRUE,0,VLOOKUP(B256,'Regioturnier 3'!$B$3:$C$34,2,FALSE)),IF(ISNA(VLOOKUP(B256,'Regioturnier 3'!$F$3:$G$34,2,FALSE))=TRUE,0,VLOOKUP(B256,'Regioturnier 3'!$F$3:$G$34,2,FALSE)),IF(ISNA(VLOOKUP(B256,'Regioturnier 3'!$J$3:$K$34,2,FALSE))=TRUE,0,VLOOKUP(B256,'Regioturnier 3'!$J$3:$K$34,2,FALSE)),IF(ISNA(VLOOKUP(B256,'Regioturnier 3'!$N$3:$O$34,2,FALSE))=TRUE,0,VLOOKUP(B256,'Regioturnier 3'!$N$3:$O$34,2,FALSE)),IF(ISNA(VLOOKUP(B256,'Regioturnier 3'!$R$3:$S$34,2,FALSE))=TRUE,0,VLOOKUP(B256,'Regioturnier 3'!$R$3:$S$34,2,FALSE)), IF(ISNA(VLOOKUP(B256,'Regioturnier 3'!$V$3:$W$34,2,FALSE))=TRUE,0,VLOOKUP(B256,'Regioturnier 3'!$V$3:$W$34,2,FALSE)), IF(ISNA(VLOOKUP(B256,'Regioturnier 3'!$Z$3:$AA$34,2,FALSE))=TRUE,0,VLOOKUP(B256,'Regioturnier 3'!$Z$3:$AA$34,2,FALSE)))</f>
        <v>0</v>
      </c>
      <c r="R256" s="20">
        <f>0.5*INDEX($H256:$N256,MATCH(LARGE($H256:$N256,1),$H256:$N256,0))+0.3*INDEX($H256:$N256,MATCH(LARGE($H256:$N256,2),$H256:$N256,0))+0.2*INDEX($H256:$N256,MATCH(LARGE($H256:$N256,3),$H256:$N256,0))</f>
        <v>0</v>
      </c>
      <c r="S256" s="20">
        <f>0.6*INDEX(O256:Q256,MATCH(LARGE(O256:Q256,1),O256:Q256,0))+0.4*INDEX(O256:Q256,MATCH(LARGE(O256:Q256,2),O256:Q256,0))+0*INDEX(O256:Q256,MATCH(LARGE(O256:Q256,3),O256:Q256,0))</f>
        <v>0</v>
      </c>
      <c r="T256" s="15">
        <f>1*INDEX(R256:S256,MATCH(LARGE(R256:S256,1),R256:S256,0))+0*INDEX(R256:S256,MATCH(LARGE(R256:S256,2),R256:S256,0))</f>
        <v>0</v>
      </c>
      <c r="U256" s="21"/>
      <c r="V256" s="21"/>
      <c r="W256" s="21"/>
      <c r="X256" s="21"/>
      <c r="Y256" s="21"/>
      <c r="Z256" s="21"/>
    </row>
    <row r="257" spans="1:26" ht="12.75" customHeight="1" x14ac:dyDescent="0.3">
      <c r="A257" s="15">
        <v>256</v>
      </c>
      <c r="B257" s="16" t="s">
        <v>148</v>
      </c>
      <c r="C257" s="17" t="s">
        <v>54</v>
      </c>
      <c r="D257" s="15" t="s">
        <v>22</v>
      </c>
      <c r="E257" s="18" t="s">
        <v>40</v>
      </c>
      <c r="F257" s="15" t="s">
        <v>149</v>
      </c>
      <c r="G257" s="22">
        <v>2015</v>
      </c>
      <c r="H257" s="15">
        <f>MAX(IF(ISNA(VLOOKUP(B257,'WBV 1'!$B$3:$C$34,2,FALSE))=TRUE,0,VLOOKUP(B257,'WBV 1'!$B$3:$C$34,2,FALSE)),IF(ISNA(VLOOKUP(B257,'WBV 1'!$F$3:$G$34,2,FALSE))=TRUE,0,VLOOKUP(B257,'WBV 1'!$F$3:$G$34,2,FALSE)),IF(ISNA(VLOOKUP(B257,'WBV 1'!$J$3:$K$34,2,FALSE))=TRUE,0,VLOOKUP(B257,'WBV 1'!$J$3:$K$34,2,FALSE)),IF(ISNA(VLOOKUP(B257,'WBV 1'!$N$3:$O$34,2,FALSE))=TRUE,0,VLOOKUP(B257,'WBV 1'!$N$3:$O$34,2,FALSE)))</f>
        <v>0</v>
      </c>
      <c r="I257" s="15">
        <f>MAX(IF(ISNA(VLOOKUP(B257,'WBV 2'!$B$3:$C$34,2,FALSE))=TRUE,0,VLOOKUP(B257,'WBV 2'!$B$3:$C$34,2,FALSE)),IF(ISNA(VLOOKUP(B257,'WBV 2'!$F$3:$G$34,2,FALSE))=TRUE,0,VLOOKUP(B257,'WBV 2'!$F$3:$G$34,2,FALSE)),IF(ISNA(VLOOKUP(B257,'WBV 2'!$J$3:$K$34,2,FALSE))=TRUE,0,VLOOKUP(B257,'WBV 2'!$J$3:$K$34,2,FALSE)),IF(ISNA(VLOOKUP(B257,'WBV 2'!$N$3:$O$34,2,FALSE))=TRUE,0,VLOOKUP(B257,'WBV 2'!$N$3:$O$34,2,FALSE)))</f>
        <v>0</v>
      </c>
      <c r="J257" s="15">
        <f>MAX(IF(ISNA(VLOOKUP(B257,'WBV 3'!$B$3:$C$34,2,FALSE))=TRUE,0,VLOOKUP(B257,'WBV 3'!$B$3:$C$34,2,FALSE)),IF(ISNA(VLOOKUP(B257,'WBV 3'!$F$3:$G$34,2,FALSE))=TRUE,0,VLOOKUP(B257,'WBV 3'!$F$3:$G$34,2,FALSE)),IF(ISNA(VLOOKUP(B257,'WBV 3'!$J$3:$K$34,2,FALSE))=TRUE,0,VLOOKUP(B257,'WBV 3'!$J$3:$K$34,2,FALSE)),IF(ISNA(VLOOKUP(B257,'WBV 3'!$N$3:$O$34,2,FALSE))=TRUE,0,VLOOKUP(B257,'WBV 3'!$N$3:$O$34,2,FALSE)))</f>
        <v>0</v>
      </c>
      <c r="K257" s="15">
        <f>MAX(IF(ISNA(VLOOKUP(B257,'WBV 4'!$B$3:$C$34,2,FALSE))=TRUE,0,VLOOKUP(B257,'WBV 4'!$B$3:$C$34,2,FALSE)),IF(ISNA(VLOOKUP(B257,'WBV 4'!$F$3:$G$34,2,FALSE))=TRUE,0,VLOOKUP(B257,'WBV 4'!$F$3:$G$34,2,FALSE)),IF(ISNA(VLOOKUP(B257,'WBV 4'!$J$3:$K$34,2,FALSE))=TRUE,0,VLOOKUP(B257,'WBV 4'!$J$3:$K$34,2,FALSE)),IF(ISNA(VLOOKUP(B257,'WBV 4'!$N$3:$O$34,2,FALSE))=TRUE,0,VLOOKUP(B257,'WBV 4'!$N$3:$O$34,2,FALSE)))</f>
        <v>0</v>
      </c>
      <c r="L257" s="19">
        <f>MAX(IF(ISNA(VLOOKUP(B257,'NÖBV 1'!$B$3:$C$34,2,FALSE))=TRUE,0,VLOOKUP(B257,'NÖBV 1'!$B$3:$C$34,2,FALSE)),IF(ISNA(VLOOKUP(B257,'NÖBV 1'!$F$3:$G$34,2,FALSE))=TRUE,0,VLOOKUP(B257,'NÖBV 1'!$F$3:$G$34,2,FALSE)),IF(ISNA(VLOOKUP(B257,'NÖBV 1'!$J$3:$K$34,2,FALSE))=TRUE,0,VLOOKUP(B257,'NÖBV 1'!$J$3:$K$34,2,FALSE)),IF(ISNA(VLOOKUP(B257,'NÖBV 1'!$N$3:$O$34,2,FALSE))=TRUE,0,VLOOKUP(B257,'NÖBV 1'!$N$3:$O$34,2,FALSE)))</f>
        <v>0</v>
      </c>
      <c r="M257" s="19">
        <f>MAX(IF(ISNA(VLOOKUP(B257,'NÖBV 2'!$B$3:$C$34,2,FALSE))=TRUE,0,VLOOKUP(B257,'NÖBV 2'!$B$3:$C$34,2,FALSE)),IF(ISNA(VLOOKUP(B257,'NÖBV 2'!$F$3:$G$34,2,FALSE))=TRUE,0,VLOOKUP(B257,'NÖBV 2'!$F$3:$G$34,2,FALSE)),IF(ISNA(VLOOKUP(B257,'NÖBV 2'!$J$3:$K$34,2,FALSE))=TRUE,0,VLOOKUP(B257,'NÖBV 2'!$J$3:$K$34,2,FALSE)),IF(ISNA(VLOOKUP(B257,'NÖBV 2'!$N$3:$O$34,2,FALSE))=TRUE,0,VLOOKUP(B257,'NÖBV 2'!$N$3:$O$34,2,FALSE)))</f>
        <v>0</v>
      </c>
      <c r="N257" s="19">
        <f>MAX(IF(ISNA(VLOOKUP(B257,'NÖBV 3'!$B$3:$C$34,2,FALSE))=TRUE,0,VLOOKUP(B257,'NÖBV 3'!$B$3:$C$34,2,FALSE)),IF(ISNA(VLOOKUP(B257,'NÖBV 3'!$F$3:$G$34,2,FALSE))=TRUE,0,VLOOKUP(B257,'NÖBV 3'!$F$3:$G$34,2,FALSE)),IF(ISNA(VLOOKUP(B257,'NÖBV 3'!$J$3:$K$34,2,FALSE))=TRUE,0,VLOOKUP(B257,'NÖBV 3'!$J$3:$K$34,2,FALSE)),IF(ISNA(VLOOKUP(B257,'NÖBV 3'!$N$3:$O$34,2,FALSE))=TRUE,0,VLOOKUP(B257,'NÖBV 3'!$N$3:$O$34,2,FALSE)))</f>
        <v>0</v>
      </c>
      <c r="O257" s="15">
        <f>MAX(IF(ISNA(VLOOKUP(B257,'Regioturnier 1'!$B$3:$C$34,2,FALSE))=TRUE,0,VLOOKUP(B257,'Regioturnier 1'!$B$3:$C$34,2,FALSE)),IF(ISNA(VLOOKUP(B257,'Regioturnier 1'!$F$3:$G$34,2,FALSE))=TRUE,0,VLOOKUP(B257,'Regioturnier 1'!$F$3:$G$34,2,FALSE)),IF(ISNA(VLOOKUP(B257,'Regioturnier 1'!$J$3:$K$34,2,FALSE))=TRUE,0,VLOOKUP(B257,'Regioturnier 1'!$J$3:$K$34,2,FALSE)),IF(ISNA(VLOOKUP(B257,'Regioturnier 1'!$N$3:$O$34,2,FALSE))=TRUE,0,VLOOKUP(B257,'Regioturnier 1'!$N$3:$O$34,2,FALSE)),IF(ISNA(VLOOKUP(B257,'Regioturnier 1'!$R$3:$S$34,2,FALSE))=TRUE,0,VLOOKUP(B257,'Regioturnier 1'!$R$3:$S$34,2,FALSE)), IF(ISNA(VLOOKUP(B257,'Regioturnier 1'!$V$3:$W$34,2,FALSE))=TRUE,0,VLOOKUP(B257,'Regioturnier 1'!$V$3:$W$34,2,FALSE)), IF(ISNA(VLOOKUP(B257,'Regioturnier 1'!$Z$3:$AA$34,2,FALSE))=TRUE,0,VLOOKUP(B257,'Regioturnier 1'!$Z$3:$AA$34,2,FALSE)))</f>
        <v>0</v>
      </c>
      <c r="P257" s="15">
        <f>MAX(IF(ISNA(VLOOKUP(B257,'Regioturnier 2'!$B$3:$C$34,2,FALSE))=TRUE,0,VLOOKUP(B257,'Regioturnier 2'!$B$3:$C$34,2,FALSE)),IF(ISNA(VLOOKUP(B257,'Regioturnier 2'!$F$3:$G$34,2,FALSE))=TRUE,0,VLOOKUP(B257,'Regioturnier 2'!$F$3:$G$34,2,FALSE)),IF(ISNA(VLOOKUP(B257,'Regioturnier 2'!$J$3:$K$34,2,FALSE))=TRUE,0,VLOOKUP(B257,'Regioturnier 2'!$J$3:$K$34,2,FALSE)),IF(ISNA(VLOOKUP(B257,'Regioturnier 2'!$N$3:$O$34,2,FALSE))=TRUE,0,VLOOKUP(B257,'Regioturnier 2'!$N$3:$O$34,2,FALSE)),IF(ISNA(VLOOKUP(B257,'Regioturnier 2'!$R$3:$S$34,2,FALSE))=TRUE,0,VLOOKUP(B257,'Regioturnier 2'!$R$3:$S$34,2,FALSE)), IF(ISNA(VLOOKUP(B257,'Regioturnier 2'!$V$3:$W$34,2,FALSE))=TRUE,0,VLOOKUP(B257,'Regioturnier 2'!$V$3:$W$34,2,FALSE)), IF(ISNA(VLOOKUP(B257,'Regioturnier 2'!$Z$3:$AA$34,2,FALSE))=TRUE,0,VLOOKUP(B257,'Regioturnier 2'!$Z$3:$AA$34,2,FALSE)))</f>
        <v>0</v>
      </c>
      <c r="Q257" s="15">
        <f>MAX(IF(ISNA(VLOOKUP(B257,'Regioturnier 3'!$B$3:$C$34,2,FALSE))=TRUE,0,VLOOKUP(B257,'Regioturnier 3'!$B$3:$C$34,2,FALSE)),IF(ISNA(VLOOKUP(B257,'Regioturnier 3'!$F$3:$G$34,2,FALSE))=TRUE,0,VLOOKUP(B257,'Regioturnier 3'!$F$3:$G$34,2,FALSE)),IF(ISNA(VLOOKUP(B257,'Regioturnier 3'!$J$3:$K$34,2,FALSE))=TRUE,0,VLOOKUP(B257,'Regioturnier 3'!$J$3:$K$34,2,FALSE)),IF(ISNA(VLOOKUP(B257,'Regioturnier 3'!$N$3:$O$34,2,FALSE))=TRUE,0,VLOOKUP(B257,'Regioturnier 3'!$N$3:$O$34,2,FALSE)),IF(ISNA(VLOOKUP(B257,'Regioturnier 3'!$R$3:$S$34,2,FALSE))=TRUE,0,VLOOKUP(B257,'Regioturnier 3'!$R$3:$S$34,2,FALSE)), IF(ISNA(VLOOKUP(B257,'Regioturnier 3'!$V$3:$W$34,2,FALSE))=TRUE,0,VLOOKUP(B257,'Regioturnier 3'!$V$3:$W$34,2,FALSE)), IF(ISNA(VLOOKUP(B257,'Regioturnier 3'!$Z$3:$AA$34,2,FALSE))=TRUE,0,VLOOKUP(B257,'Regioturnier 3'!$Z$3:$AA$34,2,FALSE)))</f>
        <v>0</v>
      </c>
      <c r="R257" s="20">
        <f>0.5*INDEX($H257:$N257,MATCH(LARGE($H257:$N257,1),$H257:$N257,0))+0.3*INDEX($H257:$N257,MATCH(LARGE($H257:$N257,2),$H257:$N257,0))+0.2*INDEX($H257:$N257,MATCH(LARGE($H257:$N257,3),$H257:$N257,0))</f>
        <v>0</v>
      </c>
      <c r="S257" s="20">
        <f>0.6*INDEX(O257:Q257,MATCH(LARGE(O257:Q257,1),O257:Q257,0))+0.4*INDEX(O257:Q257,MATCH(LARGE(O257:Q257,2),O257:Q257,0))+0*INDEX(O257:Q257,MATCH(LARGE(O257:Q257,3),O257:Q257,0))</f>
        <v>0</v>
      </c>
      <c r="T257" s="15">
        <f>1*INDEX(R257:S257,MATCH(LARGE(R257:S257,1),R257:S257,0))+0*INDEX(R257:S257,MATCH(LARGE(R257:S257,2),R257:S257,0))</f>
        <v>0</v>
      </c>
      <c r="U257" s="21"/>
      <c r="V257" s="21"/>
      <c r="W257" s="21"/>
      <c r="X257" s="21"/>
      <c r="Y257" s="21"/>
      <c r="Z257" s="21"/>
    </row>
    <row r="258" spans="1:26" ht="12.75" customHeight="1" x14ac:dyDescent="0.3">
      <c r="A258" s="15">
        <v>257</v>
      </c>
      <c r="B258" s="16" t="s">
        <v>190</v>
      </c>
      <c r="C258" s="17"/>
      <c r="D258" s="15"/>
      <c r="E258" s="18" t="s">
        <v>40</v>
      </c>
      <c r="F258" s="15"/>
      <c r="G258" s="22">
        <v>2010</v>
      </c>
      <c r="H258" s="15">
        <f>MAX(IF(ISNA(VLOOKUP(B258,'WBV 1'!$B$3:$C$34,2,FALSE))=TRUE,0,VLOOKUP(B258,'WBV 1'!$B$3:$C$34,2,FALSE)),IF(ISNA(VLOOKUP(B258,'WBV 1'!$F$3:$G$34,2,FALSE))=TRUE,0,VLOOKUP(B258,'WBV 1'!$F$3:$G$34,2,FALSE)),IF(ISNA(VLOOKUP(B258,'WBV 1'!$J$3:$K$34,2,FALSE))=TRUE,0,VLOOKUP(B258,'WBV 1'!$J$3:$K$34,2,FALSE)),IF(ISNA(VLOOKUP(B258,'WBV 1'!$N$3:$O$34,2,FALSE))=TRUE,0,VLOOKUP(B258,'WBV 1'!$N$3:$O$34,2,FALSE)))</f>
        <v>0</v>
      </c>
      <c r="I258" s="15">
        <f>MAX(IF(ISNA(VLOOKUP(B258,'WBV 2'!$B$3:$C$34,2,FALSE))=TRUE,0,VLOOKUP(B258,'WBV 2'!$B$3:$C$34,2,FALSE)),IF(ISNA(VLOOKUP(B258,'WBV 2'!$F$3:$G$34,2,FALSE))=TRUE,0,VLOOKUP(B258,'WBV 2'!$F$3:$G$34,2,FALSE)),IF(ISNA(VLOOKUP(B258,'WBV 2'!$J$3:$K$34,2,FALSE))=TRUE,0,VLOOKUP(B258,'WBV 2'!$J$3:$K$34,2,FALSE)),IF(ISNA(VLOOKUP(B258,'WBV 2'!$N$3:$O$34,2,FALSE))=TRUE,0,VLOOKUP(B258,'WBV 2'!$N$3:$O$34,2,FALSE)))</f>
        <v>0</v>
      </c>
      <c r="J258" s="15">
        <f>MAX(IF(ISNA(VLOOKUP(B258,'WBV 3'!$B$3:$C$34,2,FALSE))=TRUE,0,VLOOKUP(B258,'WBV 3'!$B$3:$C$34,2,FALSE)),IF(ISNA(VLOOKUP(B258,'WBV 3'!$F$3:$G$34,2,FALSE))=TRUE,0,VLOOKUP(B258,'WBV 3'!$F$3:$G$34,2,FALSE)),IF(ISNA(VLOOKUP(B258,'WBV 3'!$J$3:$K$34,2,FALSE))=TRUE,0,VLOOKUP(B258,'WBV 3'!$J$3:$K$34,2,FALSE)),IF(ISNA(VLOOKUP(B258,'WBV 3'!$N$3:$O$34,2,FALSE))=TRUE,0,VLOOKUP(B258,'WBV 3'!$N$3:$O$34,2,FALSE)))</f>
        <v>0</v>
      </c>
      <c r="K258" s="15">
        <f>MAX(IF(ISNA(VLOOKUP(B258,'WBV 4'!$B$3:$C$34,2,FALSE))=TRUE,0,VLOOKUP(B258,'WBV 4'!$B$3:$C$34,2,FALSE)),IF(ISNA(VLOOKUP(B258,'WBV 4'!$F$3:$G$34,2,FALSE))=TRUE,0,VLOOKUP(B258,'WBV 4'!$F$3:$G$34,2,FALSE)),IF(ISNA(VLOOKUP(B258,'WBV 4'!$J$3:$K$34,2,FALSE))=TRUE,0,VLOOKUP(B258,'WBV 4'!$J$3:$K$34,2,FALSE)),IF(ISNA(VLOOKUP(B258,'WBV 4'!$N$3:$O$34,2,FALSE))=TRUE,0,VLOOKUP(B258,'WBV 4'!$N$3:$O$34,2,FALSE)))</f>
        <v>0</v>
      </c>
      <c r="L258" s="19">
        <f>MAX(IF(ISNA(VLOOKUP(B258,'NÖBV 1'!$B$3:$C$34,2,FALSE))=TRUE,0,VLOOKUP(B258,'NÖBV 1'!$B$3:$C$34,2,FALSE)),IF(ISNA(VLOOKUP(B258,'NÖBV 1'!$F$3:$G$34,2,FALSE))=TRUE,0,VLOOKUP(B258,'NÖBV 1'!$F$3:$G$34,2,FALSE)),IF(ISNA(VLOOKUP(B258,'NÖBV 1'!$J$3:$K$34,2,FALSE))=TRUE,0,VLOOKUP(B258,'NÖBV 1'!$J$3:$K$34,2,FALSE)),IF(ISNA(VLOOKUP(B258,'NÖBV 1'!$N$3:$O$34,2,FALSE))=TRUE,0,VLOOKUP(B258,'NÖBV 1'!$N$3:$O$34,2,FALSE)))</f>
        <v>0</v>
      </c>
      <c r="M258" s="19">
        <f>MAX(IF(ISNA(VLOOKUP(B258,'NÖBV 2'!$B$3:$C$34,2,FALSE))=TRUE,0,VLOOKUP(B258,'NÖBV 2'!$B$3:$C$34,2,FALSE)),IF(ISNA(VLOOKUP(B258,'NÖBV 2'!$F$3:$G$34,2,FALSE))=TRUE,0,VLOOKUP(B258,'NÖBV 2'!$F$3:$G$34,2,FALSE)),IF(ISNA(VLOOKUP(B258,'NÖBV 2'!$J$3:$K$34,2,FALSE))=TRUE,0,VLOOKUP(B258,'NÖBV 2'!$J$3:$K$34,2,FALSE)),IF(ISNA(VLOOKUP(B258,'NÖBV 2'!$N$3:$O$34,2,FALSE))=TRUE,0,VLOOKUP(B258,'NÖBV 2'!$N$3:$O$34,2,FALSE)))</f>
        <v>0</v>
      </c>
      <c r="N258" s="19">
        <f>MAX(IF(ISNA(VLOOKUP(B258,'NÖBV 3'!$B$3:$C$34,2,FALSE))=TRUE,0,VLOOKUP(B258,'NÖBV 3'!$B$3:$C$34,2,FALSE)),IF(ISNA(VLOOKUP(B258,'NÖBV 3'!$F$3:$G$34,2,FALSE))=TRUE,0,VLOOKUP(B258,'NÖBV 3'!$F$3:$G$34,2,FALSE)),IF(ISNA(VLOOKUP(B258,'NÖBV 3'!$J$3:$K$34,2,FALSE))=TRUE,0,VLOOKUP(B258,'NÖBV 3'!$J$3:$K$34,2,FALSE)),IF(ISNA(VLOOKUP(B258,'NÖBV 3'!$N$3:$O$34,2,FALSE))=TRUE,0,VLOOKUP(B258,'NÖBV 3'!$N$3:$O$34,2,FALSE)))</f>
        <v>0</v>
      </c>
      <c r="O258" s="15">
        <f>MAX(IF(ISNA(VLOOKUP(B258,'Regioturnier 1'!$B$3:$C$34,2,FALSE))=TRUE,0,VLOOKUP(B258,'Regioturnier 1'!$B$3:$C$34,2,FALSE)),IF(ISNA(VLOOKUP(B258,'Regioturnier 1'!$F$3:$G$34,2,FALSE))=TRUE,0,VLOOKUP(B258,'Regioturnier 1'!$F$3:$G$34,2,FALSE)),IF(ISNA(VLOOKUP(B258,'Regioturnier 1'!$J$3:$K$34,2,FALSE))=TRUE,0,VLOOKUP(B258,'Regioturnier 1'!$J$3:$K$34,2,FALSE)),IF(ISNA(VLOOKUP(B258,'Regioturnier 1'!$N$3:$O$34,2,FALSE))=TRUE,0,VLOOKUP(B258,'Regioturnier 1'!$N$3:$O$34,2,FALSE)),IF(ISNA(VLOOKUP(B258,'Regioturnier 1'!$R$3:$S$34,2,FALSE))=TRUE,0,VLOOKUP(B258,'Regioturnier 1'!$R$3:$S$34,2,FALSE)), IF(ISNA(VLOOKUP(B258,'Regioturnier 1'!$V$3:$W$34,2,FALSE))=TRUE,0,VLOOKUP(B258,'Regioturnier 1'!$V$3:$W$34,2,FALSE)), IF(ISNA(VLOOKUP(B258,'Regioturnier 1'!$Z$3:$AA$34,2,FALSE))=TRUE,0,VLOOKUP(B258,'Regioturnier 1'!$Z$3:$AA$34,2,FALSE)))</f>
        <v>0</v>
      </c>
      <c r="P258" s="15">
        <f>MAX(IF(ISNA(VLOOKUP(B258,'Regioturnier 2'!$B$3:$C$34,2,FALSE))=TRUE,0,VLOOKUP(B258,'Regioturnier 2'!$B$3:$C$34,2,FALSE)),IF(ISNA(VLOOKUP(B258,'Regioturnier 2'!$F$3:$G$34,2,FALSE))=TRUE,0,VLOOKUP(B258,'Regioturnier 2'!$F$3:$G$34,2,FALSE)),IF(ISNA(VLOOKUP(B258,'Regioturnier 2'!$J$3:$K$34,2,FALSE))=TRUE,0,VLOOKUP(B258,'Regioturnier 2'!$J$3:$K$34,2,FALSE)),IF(ISNA(VLOOKUP(B258,'Regioturnier 2'!$N$3:$O$34,2,FALSE))=TRUE,0,VLOOKUP(B258,'Regioturnier 2'!$N$3:$O$34,2,FALSE)),IF(ISNA(VLOOKUP(B258,'Regioturnier 2'!$R$3:$S$34,2,FALSE))=TRUE,0,VLOOKUP(B258,'Regioturnier 2'!$R$3:$S$34,2,FALSE)), IF(ISNA(VLOOKUP(B258,'Regioturnier 2'!$V$3:$W$34,2,FALSE))=TRUE,0,VLOOKUP(B258,'Regioturnier 2'!$V$3:$W$34,2,FALSE)), IF(ISNA(VLOOKUP(B258,'Regioturnier 2'!$Z$3:$AA$34,2,FALSE))=TRUE,0,VLOOKUP(B258,'Regioturnier 2'!$Z$3:$AA$34,2,FALSE)))</f>
        <v>0</v>
      </c>
      <c r="Q258" s="15">
        <f>MAX(IF(ISNA(VLOOKUP(B258,'Regioturnier 3'!$B$3:$C$34,2,FALSE))=TRUE,0,VLOOKUP(B258,'Regioturnier 3'!$B$3:$C$34,2,FALSE)),IF(ISNA(VLOOKUP(B258,'Regioturnier 3'!$F$3:$G$34,2,FALSE))=TRUE,0,VLOOKUP(B258,'Regioturnier 3'!$F$3:$G$34,2,FALSE)),IF(ISNA(VLOOKUP(B258,'Regioturnier 3'!$J$3:$K$34,2,FALSE))=TRUE,0,VLOOKUP(B258,'Regioturnier 3'!$J$3:$K$34,2,FALSE)),IF(ISNA(VLOOKUP(B258,'Regioturnier 3'!$N$3:$O$34,2,FALSE))=TRUE,0,VLOOKUP(B258,'Regioturnier 3'!$N$3:$O$34,2,FALSE)),IF(ISNA(VLOOKUP(B258,'Regioturnier 3'!$R$3:$S$34,2,FALSE))=TRUE,0,VLOOKUP(B258,'Regioturnier 3'!$R$3:$S$34,2,FALSE)), IF(ISNA(VLOOKUP(B258,'Regioturnier 3'!$V$3:$W$34,2,FALSE))=TRUE,0,VLOOKUP(B258,'Regioturnier 3'!$V$3:$W$34,2,FALSE)), IF(ISNA(VLOOKUP(B258,'Regioturnier 3'!$Z$3:$AA$34,2,FALSE))=TRUE,0,VLOOKUP(B258,'Regioturnier 3'!$Z$3:$AA$34,2,FALSE)))</f>
        <v>0</v>
      </c>
      <c r="R258" s="20">
        <f>0.5*INDEX($H258:$N258,MATCH(LARGE($H258:$N258,1),$H258:$N258,0))+0.3*INDEX($H258:$N258,MATCH(LARGE($H258:$N258,2),$H258:$N258,0))+0.2*INDEX($H258:$N258,MATCH(LARGE($H258:$N258,3),$H258:$N258,0))</f>
        <v>0</v>
      </c>
      <c r="S258" s="20">
        <f>0.6*INDEX(O258:Q258,MATCH(LARGE(O258:Q258,1),O258:Q258,0))+0.4*INDEX(O258:Q258,MATCH(LARGE(O258:Q258,2),O258:Q258,0))+0*INDEX(O258:Q258,MATCH(LARGE(O258:Q258,3),O258:Q258,0))</f>
        <v>0</v>
      </c>
      <c r="T258" s="15">
        <f>1*INDEX(R258:S258,MATCH(LARGE(R258:S258,1),R258:S258,0))+0*INDEX(R258:S258,MATCH(LARGE(R258:S258,2),R258:S258,0))</f>
        <v>0</v>
      </c>
      <c r="U258" s="21"/>
      <c r="V258" s="21"/>
      <c r="W258" s="21"/>
      <c r="X258" s="21"/>
      <c r="Y258" s="21"/>
      <c r="Z258" s="21"/>
    </row>
    <row r="259" spans="1:26" ht="12.75" customHeight="1" x14ac:dyDescent="0.3">
      <c r="A259" s="15">
        <v>258</v>
      </c>
      <c r="B259" s="16" t="s">
        <v>198</v>
      </c>
      <c r="C259" s="17"/>
      <c r="D259" s="15"/>
      <c r="E259" s="18" t="s">
        <v>23</v>
      </c>
      <c r="F259" s="15"/>
      <c r="G259" s="22">
        <v>2013</v>
      </c>
      <c r="H259" s="15">
        <f>MAX(IF(ISNA(VLOOKUP(B259,'WBV 1'!$B$3:$C$34,2,FALSE))=TRUE,0,VLOOKUP(B259,'WBV 1'!$B$3:$C$34,2,FALSE)),IF(ISNA(VLOOKUP(B259,'WBV 1'!$F$3:$G$34,2,FALSE))=TRUE,0,VLOOKUP(B259,'WBV 1'!$F$3:$G$34,2,FALSE)),IF(ISNA(VLOOKUP(B259,'WBV 1'!$J$3:$K$34,2,FALSE))=TRUE,0,VLOOKUP(B259,'WBV 1'!$J$3:$K$34,2,FALSE)),IF(ISNA(VLOOKUP(B259,'WBV 1'!$N$3:$O$34,2,FALSE))=TRUE,0,VLOOKUP(B259,'WBV 1'!$N$3:$O$34,2,FALSE)))</f>
        <v>0</v>
      </c>
      <c r="I259" s="15">
        <f>MAX(IF(ISNA(VLOOKUP(B259,'WBV 2'!$B$3:$C$34,2,FALSE))=TRUE,0,VLOOKUP(B259,'WBV 2'!$B$3:$C$34,2,FALSE)),IF(ISNA(VLOOKUP(B259,'WBV 2'!$F$3:$G$34,2,FALSE))=TRUE,0,VLOOKUP(B259,'WBV 2'!$F$3:$G$34,2,FALSE)),IF(ISNA(VLOOKUP(B259,'WBV 2'!$J$3:$K$34,2,FALSE))=TRUE,0,VLOOKUP(B259,'WBV 2'!$J$3:$K$34,2,FALSE)),IF(ISNA(VLOOKUP(B259,'WBV 2'!$N$3:$O$34,2,FALSE))=TRUE,0,VLOOKUP(B259,'WBV 2'!$N$3:$O$34,2,FALSE)))</f>
        <v>0</v>
      </c>
      <c r="J259" s="15">
        <f>MAX(IF(ISNA(VLOOKUP(B259,'WBV 3'!$B$3:$C$34,2,FALSE))=TRUE,0,VLOOKUP(B259,'WBV 3'!$B$3:$C$34,2,FALSE)),IF(ISNA(VLOOKUP(B259,'WBV 3'!$F$3:$G$34,2,FALSE))=TRUE,0,VLOOKUP(B259,'WBV 3'!$F$3:$G$34,2,FALSE)),IF(ISNA(VLOOKUP(B259,'WBV 3'!$J$3:$K$34,2,FALSE))=TRUE,0,VLOOKUP(B259,'WBV 3'!$J$3:$K$34,2,FALSE)),IF(ISNA(VLOOKUP(B259,'WBV 3'!$N$3:$O$34,2,FALSE))=TRUE,0,VLOOKUP(B259,'WBV 3'!$N$3:$O$34,2,FALSE)))</f>
        <v>0</v>
      </c>
      <c r="K259" s="15">
        <f>MAX(IF(ISNA(VLOOKUP(B259,'WBV 4'!$B$3:$C$34,2,FALSE))=TRUE,0,VLOOKUP(B259,'WBV 4'!$B$3:$C$34,2,FALSE)),IF(ISNA(VLOOKUP(B259,'WBV 4'!$F$3:$G$34,2,FALSE))=TRUE,0,VLOOKUP(B259,'WBV 4'!$F$3:$G$34,2,FALSE)),IF(ISNA(VLOOKUP(B259,'WBV 4'!$J$3:$K$34,2,FALSE))=TRUE,0,VLOOKUP(B259,'WBV 4'!$J$3:$K$34,2,FALSE)),IF(ISNA(VLOOKUP(B259,'WBV 4'!$N$3:$O$34,2,FALSE))=TRUE,0,VLOOKUP(B259,'WBV 4'!$N$3:$O$34,2,FALSE)))</f>
        <v>0</v>
      </c>
      <c r="L259" s="19">
        <f>MAX(IF(ISNA(VLOOKUP(B259,'NÖBV 1'!$B$3:$C$34,2,FALSE))=TRUE,0,VLOOKUP(B259,'NÖBV 1'!$B$3:$C$34,2,FALSE)),IF(ISNA(VLOOKUP(B259,'NÖBV 1'!$F$3:$G$34,2,FALSE))=TRUE,0,VLOOKUP(B259,'NÖBV 1'!$F$3:$G$34,2,FALSE)),IF(ISNA(VLOOKUP(B259,'NÖBV 1'!$J$3:$K$34,2,FALSE))=TRUE,0,VLOOKUP(B259,'NÖBV 1'!$J$3:$K$34,2,FALSE)),IF(ISNA(VLOOKUP(B259,'NÖBV 1'!$N$3:$O$34,2,FALSE))=TRUE,0,VLOOKUP(B259,'NÖBV 1'!$N$3:$O$34,2,FALSE)))</f>
        <v>0</v>
      </c>
      <c r="M259" s="19">
        <f>MAX(IF(ISNA(VLOOKUP(B259,'NÖBV 2'!$B$3:$C$34,2,FALSE))=TRUE,0,VLOOKUP(B259,'NÖBV 2'!$B$3:$C$34,2,FALSE)),IF(ISNA(VLOOKUP(B259,'NÖBV 2'!$F$3:$G$34,2,FALSE))=TRUE,0,VLOOKUP(B259,'NÖBV 2'!$F$3:$G$34,2,FALSE)),IF(ISNA(VLOOKUP(B259,'NÖBV 2'!$J$3:$K$34,2,FALSE))=TRUE,0,VLOOKUP(B259,'NÖBV 2'!$J$3:$K$34,2,FALSE)),IF(ISNA(VLOOKUP(B259,'NÖBV 2'!$N$3:$O$34,2,FALSE))=TRUE,0,VLOOKUP(B259,'NÖBV 2'!$N$3:$O$34,2,FALSE)))</f>
        <v>0</v>
      </c>
      <c r="N259" s="19">
        <f>MAX(IF(ISNA(VLOOKUP(B259,'NÖBV 3'!$B$3:$C$34,2,FALSE))=TRUE,0,VLOOKUP(B259,'NÖBV 3'!$B$3:$C$34,2,FALSE)),IF(ISNA(VLOOKUP(B259,'NÖBV 3'!$F$3:$G$34,2,FALSE))=TRUE,0,VLOOKUP(B259,'NÖBV 3'!$F$3:$G$34,2,FALSE)),IF(ISNA(VLOOKUP(B259,'NÖBV 3'!$J$3:$K$34,2,FALSE))=TRUE,0,VLOOKUP(B259,'NÖBV 3'!$J$3:$K$34,2,FALSE)),IF(ISNA(VLOOKUP(B259,'NÖBV 3'!$N$3:$O$34,2,FALSE))=TRUE,0,VLOOKUP(B259,'NÖBV 3'!$N$3:$O$34,2,FALSE)))</f>
        <v>0</v>
      </c>
      <c r="O259" s="15">
        <f>MAX(IF(ISNA(VLOOKUP(B259,'Regioturnier 1'!$B$3:$C$34,2,FALSE))=TRUE,0,VLOOKUP(B259,'Regioturnier 1'!$B$3:$C$34,2,FALSE)),IF(ISNA(VLOOKUP(B259,'Regioturnier 1'!$F$3:$G$34,2,FALSE))=TRUE,0,VLOOKUP(B259,'Regioturnier 1'!$F$3:$G$34,2,FALSE)),IF(ISNA(VLOOKUP(B259,'Regioturnier 1'!$J$3:$K$34,2,FALSE))=TRUE,0,VLOOKUP(B259,'Regioturnier 1'!$J$3:$K$34,2,FALSE)),IF(ISNA(VLOOKUP(B259,'Regioturnier 1'!$N$3:$O$34,2,FALSE))=TRUE,0,VLOOKUP(B259,'Regioturnier 1'!$N$3:$O$34,2,FALSE)),IF(ISNA(VLOOKUP(B259,'Regioturnier 1'!$R$3:$S$34,2,FALSE))=TRUE,0,VLOOKUP(B259,'Regioturnier 1'!$R$3:$S$34,2,FALSE)), IF(ISNA(VLOOKUP(B259,'Regioturnier 1'!$V$3:$W$34,2,FALSE))=TRUE,0,VLOOKUP(B259,'Regioturnier 1'!$V$3:$W$34,2,FALSE)), IF(ISNA(VLOOKUP(B259,'Regioturnier 1'!$Z$3:$AA$34,2,FALSE))=TRUE,0,VLOOKUP(B259,'Regioturnier 1'!$Z$3:$AA$34,2,FALSE)))</f>
        <v>0</v>
      </c>
      <c r="P259" s="15">
        <f>MAX(IF(ISNA(VLOOKUP(B259,'Regioturnier 2'!$B$3:$C$34,2,FALSE))=TRUE,0,VLOOKUP(B259,'Regioturnier 2'!$B$3:$C$34,2,FALSE)),IF(ISNA(VLOOKUP(B259,'Regioturnier 2'!$F$3:$G$34,2,FALSE))=TRUE,0,VLOOKUP(B259,'Regioturnier 2'!$F$3:$G$34,2,FALSE)),IF(ISNA(VLOOKUP(B259,'Regioturnier 2'!$J$3:$K$34,2,FALSE))=TRUE,0,VLOOKUP(B259,'Regioturnier 2'!$J$3:$K$34,2,FALSE)),IF(ISNA(VLOOKUP(B259,'Regioturnier 2'!$N$3:$O$34,2,FALSE))=TRUE,0,VLOOKUP(B259,'Regioturnier 2'!$N$3:$O$34,2,FALSE)),IF(ISNA(VLOOKUP(B259,'Regioturnier 2'!$R$3:$S$34,2,FALSE))=TRUE,0,VLOOKUP(B259,'Regioturnier 2'!$R$3:$S$34,2,FALSE)), IF(ISNA(VLOOKUP(B259,'Regioturnier 2'!$V$3:$W$34,2,FALSE))=TRUE,0,VLOOKUP(B259,'Regioturnier 2'!$V$3:$W$34,2,FALSE)), IF(ISNA(VLOOKUP(B259,'Regioturnier 2'!$Z$3:$AA$34,2,FALSE))=TRUE,0,VLOOKUP(B259,'Regioturnier 2'!$Z$3:$AA$34,2,FALSE)))</f>
        <v>0</v>
      </c>
      <c r="Q259" s="15">
        <f>MAX(IF(ISNA(VLOOKUP(B259,'Regioturnier 3'!$B$3:$C$34,2,FALSE))=TRUE,0,VLOOKUP(B259,'Regioturnier 3'!$B$3:$C$34,2,FALSE)),IF(ISNA(VLOOKUP(B259,'Regioturnier 3'!$F$3:$G$34,2,FALSE))=TRUE,0,VLOOKUP(B259,'Regioturnier 3'!$F$3:$G$34,2,FALSE)),IF(ISNA(VLOOKUP(B259,'Regioturnier 3'!$J$3:$K$34,2,FALSE))=TRUE,0,VLOOKUP(B259,'Regioturnier 3'!$J$3:$K$34,2,FALSE)),IF(ISNA(VLOOKUP(B259,'Regioturnier 3'!$N$3:$O$34,2,FALSE))=TRUE,0,VLOOKUP(B259,'Regioturnier 3'!$N$3:$O$34,2,FALSE)),IF(ISNA(VLOOKUP(B259,'Regioturnier 3'!$R$3:$S$34,2,FALSE))=TRUE,0,VLOOKUP(B259,'Regioturnier 3'!$R$3:$S$34,2,FALSE)), IF(ISNA(VLOOKUP(B259,'Regioturnier 3'!$V$3:$W$34,2,FALSE))=TRUE,0,VLOOKUP(B259,'Regioturnier 3'!$V$3:$W$34,2,FALSE)), IF(ISNA(VLOOKUP(B259,'Regioturnier 3'!$Z$3:$AA$34,2,FALSE))=TRUE,0,VLOOKUP(B259,'Regioturnier 3'!$Z$3:$AA$34,2,FALSE)))</f>
        <v>0</v>
      </c>
      <c r="R259" s="20">
        <f>0.5*INDEX($H259:$N259,MATCH(LARGE($H259:$N259,1),$H259:$N259,0))+0.3*INDEX($H259:$N259,MATCH(LARGE($H259:$N259,2),$H259:$N259,0))+0.2*INDEX($H259:$N259,MATCH(LARGE($H259:$N259,3),$H259:$N259,0))</f>
        <v>0</v>
      </c>
      <c r="S259" s="20">
        <f>0.6*INDEX(O259:Q259,MATCH(LARGE(O259:Q259,1),O259:Q259,0))+0.4*INDEX(O259:Q259,MATCH(LARGE(O259:Q259,2),O259:Q259,0))+0*INDEX(O259:Q259,MATCH(LARGE(O259:Q259,3),O259:Q259,0))</f>
        <v>0</v>
      </c>
      <c r="T259" s="15">
        <f>1*INDEX(R259:S259,MATCH(LARGE(R259:S259,1),R259:S259,0))+0*INDEX(R259:S259,MATCH(LARGE(R259:S259,2),R259:S259,0))</f>
        <v>0</v>
      </c>
      <c r="U259" s="21"/>
      <c r="V259" s="21"/>
      <c r="W259" s="21"/>
      <c r="X259" s="21"/>
      <c r="Y259" s="21"/>
      <c r="Z259" s="21"/>
    </row>
    <row r="260" spans="1:26" ht="12.75" customHeight="1" x14ac:dyDescent="0.3">
      <c r="A260" s="15">
        <v>259</v>
      </c>
      <c r="B260" s="16" t="s">
        <v>235</v>
      </c>
      <c r="C260" s="17" t="s">
        <v>25</v>
      </c>
      <c r="D260" s="15" t="s">
        <v>26</v>
      </c>
      <c r="E260" s="18" t="s">
        <v>23</v>
      </c>
      <c r="F260" s="15"/>
      <c r="G260" s="22">
        <v>2014</v>
      </c>
      <c r="H260" s="15">
        <f>MAX(IF(ISNA(VLOOKUP(B260,'WBV 1'!$B$3:$C$34,2,FALSE))=TRUE,0,VLOOKUP(B260,'WBV 1'!$B$3:$C$34,2,FALSE)),IF(ISNA(VLOOKUP(B260,'WBV 1'!$F$3:$G$34,2,FALSE))=TRUE,0,VLOOKUP(B260,'WBV 1'!$F$3:$G$34,2,FALSE)),IF(ISNA(VLOOKUP(B260,'WBV 1'!$J$3:$K$34,2,FALSE))=TRUE,0,VLOOKUP(B260,'WBV 1'!$J$3:$K$34,2,FALSE)),IF(ISNA(VLOOKUP(B260,'WBV 1'!$N$3:$O$34,2,FALSE))=TRUE,0,VLOOKUP(B260,'WBV 1'!$N$3:$O$34,2,FALSE)))</f>
        <v>0</v>
      </c>
      <c r="I260" s="15">
        <f>MAX(IF(ISNA(VLOOKUP(B260,'WBV 2'!$B$3:$C$34,2,FALSE))=TRUE,0,VLOOKUP(B260,'WBV 2'!$B$3:$C$34,2,FALSE)),IF(ISNA(VLOOKUP(B260,'WBV 2'!$F$3:$G$34,2,FALSE))=TRUE,0,VLOOKUP(B260,'WBV 2'!$F$3:$G$34,2,FALSE)),IF(ISNA(VLOOKUP(B260,'WBV 2'!$J$3:$K$34,2,FALSE))=TRUE,0,VLOOKUP(B260,'WBV 2'!$J$3:$K$34,2,FALSE)),IF(ISNA(VLOOKUP(B260,'WBV 2'!$N$3:$O$34,2,FALSE))=TRUE,0,VLOOKUP(B260,'WBV 2'!$N$3:$O$34,2,FALSE)))</f>
        <v>0</v>
      </c>
      <c r="J260" s="15">
        <f>MAX(IF(ISNA(VLOOKUP(B260,'WBV 3'!$B$3:$C$34,2,FALSE))=TRUE,0,VLOOKUP(B260,'WBV 3'!$B$3:$C$34,2,FALSE)),IF(ISNA(VLOOKUP(B260,'WBV 3'!$F$3:$G$34,2,FALSE))=TRUE,0,VLOOKUP(B260,'WBV 3'!$F$3:$G$34,2,FALSE)),IF(ISNA(VLOOKUP(B260,'WBV 3'!$J$3:$K$34,2,FALSE))=TRUE,0,VLOOKUP(B260,'WBV 3'!$J$3:$K$34,2,FALSE)),IF(ISNA(VLOOKUP(B260,'WBV 3'!$N$3:$O$34,2,FALSE))=TRUE,0,VLOOKUP(B260,'WBV 3'!$N$3:$O$34,2,FALSE)))</f>
        <v>0</v>
      </c>
      <c r="K260" s="15">
        <f>MAX(IF(ISNA(VLOOKUP(B260,'WBV 4'!$B$3:$C$34,2,FALSE))=TRUE,0,VLOOKUP(B260,'WBV 4'!$B$3:$C$34,2,FALSE)),IF(ISNA(VLOOKUP(B260,'WBV 4'!$F$3:$G$34,2,FALSE))=TRUE,0,VLOOKUP(B260,'WBV 4'!$F$3:$G$34,2,FALSE)),IF(ISNA(VLOOKUP(B260,'WBV 4'!$J$3:$K$34,2,FALSE))=TRUE,0,VLOOKUP(B260,'WBV 4'!$J$3:$K$34,2,FALSE)),IF(ISNA(VLOOKUP(B260,'WBV 4'!$N$3:$O$34,2,FALSE))=TRUE,0,VLOOKUP(B260,'WBV 4'!$N$3:$O$34,2,FALSE)))</f>
        <v>0</v>
      </c>
      <c r="L260" s="19">
        <f>MAX(IF(ISNA(VLOOKUP(B260,'NÖBV 1'!$B$3:$C$34,2,FALSE))=TRUE,0,VLOOKUP(B260,'NÖBV 1'!$B$3:$C$34,2,FALSE)),IF(ISNA(VLOOKUP(B260,'NÖBV 1'!$F$3:$G$34,2,FALSE))=TRUE,0,VLOOKUP(B260,'NÖBV 1'!$F$3:$G$34,2,FALSE)),IF(ISNA(VLOOKUP(B260,'NÖBV 1'!$J$3:$K$34,2,FALSE))=TRUE,0,VLOOKUP(B260,'NÖBV 1'!$J$3:$K$34,2,FALSE)),IF(ISNA(VLOOKUP(B260,'NÖBV 1'!$N$3:$O$34,2,FALSE))=TRUE,0,VLOOKUP(B260,'NÖBV 1'!$N$3:$O$34,2,FALSE)))</f>
        <v>0</v>
      </c>
      <c r="M260" s="19">
        <f>MAX(IF(ISNA(VLOOKUP(B260,'NÖBV 2'!$B$3:$C$34,2,FALSE))=TRUE,0,VLOOKUP(B260,'NÖBV 2'!$B$3:$C$34,2,FALSE)),IF(ISNA(VLOOKUP(B260,'NÖBV 2'!$F$3:$G$34,2,FALSE))=TRUE,0,VLOOKUP(B260,'NÖBV 2'!$F$3:$G$34,2,FALSE)),IF(ISNA(VLOOKUP(B260,'NÖBV 2'!$J$3:$K$34,2,FALSE))=TRUE,0,VLOOKUP(B260,'NÖBV 2'!$J$3:$K$34,2,FALSE)),IF(ISNA(VLOOKUP(B260,'NÖBV 2'!$N$3:$O$34,2,FALSE))=TRUE,0,VLOOKUP(B260,'NÖBV 2'!$N$3:$O$34,2,FALSE)))</f>
        <v>0</v>
      </c>
      <c r="N260" s="19">
        <f>MAX(IF(ISNA(VLOOKUP(B260,'NÖBV 3'!$B$3:$C$34,2,FALSE))=TRUE,0,VLOOKUP(B260,'NÖBV 3'!$B$3:$C$34,2,FALSE)),IF(ISNA(VLOOKUP(B260,'NÖBV 3'!$F$3:$G$34,2,FALSE))=TRUE,0,VLOOKUP(B260,'NÖBV 3'!$F$3:$G$34,2,FALSE)),IF(ISNA(VLOOKUP(B260,'NÖBV 3'!$J$3:$K$34,2,FALSE))=TRUE,0,VLOOKUP(B260,'NÖBV 3'!$J$3:$K$34,2,FALSE)),IF(ISNA(VLOOKUP(B260,'NÖBV 3'!$N$3:$O$34,2,FALSE))=TRUE,0,VLOOKUP(B260,'NÖBV 3'!$N$3:$O$34,2,FALSE)))</f>
        <v>0</v>
      </c>
      <c r="O260" s="15">
        <f>MAX(IF(ISNA(VLOOKUP(B260,'Regioturnier 1'!$B$3:$C$34,2,FALSE))=TRUE,0,VLOOKUP(B260,'Regioturnier 1'!$B$3:$C$34,2,FALSE)),IF(ISNA(VLOOKUP(B260,'Regioturnier 1'!$F$3:$G$34,2,FALSE))=TRUE,0,VLOOKUP(B260,'Regioturnier 1'!$F$3:$G$34,2,FALSE)),IF(ISNA(VLOOKUP(B260,'Regioturnier 1'!$J$3:$K$34,2,FALSE))=TRUE,0,VLOOKUP(B260,'Regioturnier 1'!$J$3:$K$34,2,FALSE)),IF(ISNA(VLOOKUP(B260,'Regioturnier 1'!$N$3:$O$34,2,FALSE))=TRUE,0,VLOOKUP(B260,'Regioturnier 1'!$N$3:$O$34,2,FALSE)),IF(ISNA(VLOOKUP(B260,'Regioturnier 1'!$R$3:$S$34,2,FALSE))=TRUE,0,VLOOKUP(B260,'Regioturnier 1'!$R$3:$S$34,2,FALSE)), IF(ISNA(VLOOKUP(B260,'Regioturnier 1'!$V$3:$W$34,2,FALSE))=TRUE,0,VLOOKUP(B260,'Regioturnier 1'!$V$3:$W$34,2,FALSE)), IF(ISNA(VLOOKUP(B260,'Regioturnier 1'!$Z$3:$AA$34,2,FALSE))=TRUE,0,VLOOKUP(B260,'Regioturnier 1'!$Z$3:$AA$34,2,FALSE)))</f>
        <v>0</v>
      </c>
      <c r="P260" s="15">
        <f>MAX(IF(ISNA(VLOOKUP(B260,'Regioturnier 2'!$B$3:$C$34,2,FALSE))=TRUE,0,VLOOKUP(B260,'Regioturnier 2'!$B$3:$C$34,2,FALSE)),IF(ISNA(VLOOKUP(B260,'Regioturnier 2'!$F$3:$G$34,2,FALSE))=TRUE,0,VLOOKUP(B260,'Regioturnier 2'!$F$3:$G$34,2,FALSE)),IF(ISNA(VLOOKUP(B260,'Regioturnier 2'!$J$3:$K$34,2,FALSE))=TRUE,0,VLOOKUP(B260,'Regioturnier 2'!$J$3:$K$34,2,FALSE)),IF(ISNA(VLOOKUP(B260,'Regioturnier 2'!$N$3:$O$34,2,FALSE))=TRUE,0,VLOOKUP(B260,'Regioturnier 2'!$N$3:$O$34,2,FALSE)),IF(ISNA(VLOOKUP(B260,'Regioturnier 2'!$R$3:$S$34,2,FALSE))=TRUE,0,VLOOKUP(B260,'Regioturnier 2'!$R$3:$S$34,2,FALSE)), IF(ISNA(VLOOKUP(B260,'Regioturnier 2'!$V$3:$W$34,2,FALSE))=TRUE,0,VLOOKUP(B260,'Regioturnier 2'!$V$3:$W$34,2,FALSE)), IF(ISNA(VLOOKUP(B260,'Regioturnier 2'!$Z$3:$AA$34,2,FALSE))=TRUE,0,VLOOKUP(B260,'Regioturnier 2'!$Z$3:$AA$34,2,FALSE)))</f>
        <v>0</v>
      </c>
      <c r="Q260" s="15">
        <f>MAX(IF(ISNA(VLOOKUP(B260,'Regioturnier 3'!$B$3:$C$34,2,FALSE))=TRUE,0,VLOOKUP(B260,'Regioturnier 3'!$B$3:$C$34,2,FALSE)),IF(ISNA(VLOOKUP(B260,'Regioturnier 3'!$F$3:$G$34,2,FALSE))=TRUE,0,VLOOKUP(B260,'Regioturnier 3'!$F$3:$G$34,2,FALSE)),IF(ISNA(VLOOKUP(B260,'Regioturnier 3'!$J$3:$K$34,2,FALSE))=TRUE,0,VLOOKUP(B260,'Regioturnier 3'!$J$3:$K$34,2,FALSE)),IF(ISNA(VLOOKUP(B260,'Regioturnier 3'!$N$3:$O$34,2,FALSE))=TRUE,0,VLOOKUP(B260,'Regioturnier 3'!$N$3:$O$34,2,FALSE)),IF(ISNA(VLOOKUP(B260,'Regioturnier 3'!$R$3:$S$34,2,FALSE))=TRUE,0,VLOOKUP(B260,'Regioturnier 3'!$R$3:$S$34,2,FALSE)), IF(ISNA(VLOOKUP(B260,'Regioturnier 3'!$V$3:$W$34,2,FALSE))=TRUE,0,VLOOKUP(B260,'Regioturnier 3'!$V$3:$W$34,2,FALSE)), IF(ISNA(VLOOKUP(B260,'Regioturnier 3'!$Z$3:$AA$34,2,FALSE))=TRUE,0,VLOOKUP(B260,'Regioturnier 3'!$Z$3:$AA$34,2,FALSE)))</f>
        <v>0</v>
      </c>
      <c r="R260" s="20">
        <f>0.5*INDEX($H260:$N260,MATCH(LARGE($H260:$N260,1),$H260:$N260,0))+0.3*INDEX($H260:$N260,MATCH(LARGE($H260:$N260,2),$H260:$N260,0))+0.2*INDEX($H260:$N260,MATCH(LARGE($H260:$N260,3),$H260:$N260,0))</f>
        <v>0</v>
      </c>
      <c r="S260" s="20">
        <f>0.6*INDEX(O260:Q260,MATCH(LARGE(O260:Q260,1),O260:Q260,0))+0.4*INDEX(O260:Q260,MATCH(LARGE(O260:Q260,2),O260:Q260,0))+0*INDEX(O260:Q260,MATCH(LARGE(O260:Q260,3),O260:Q260,0))</f>
        <v>0</v>
      </c>
      <c r="T260" s="15">
        <f>1*INDEX(R260:S260,MATCH(LARGE(R260:S260,1),R260:S260,0))+0*INDEX(R260:S260,MATCH(LARGE(R260:S260,2),R260:S260,0))</f>
        <v>0</v>
      </c>
      <c r="U260" s="21"/>
      <c r="V260" s="21"/>
      <c r="W260" s="21"/>
      <c r="X260" s="21"/>
      <c r="Y260" s="21"/>
      <c r="Z260" s="21"/>
    </row>
    <row r="261" spans="1:26" ht="12.75" customHeight="1" x14ac:dyDescent="0.3">
      <c r="A261" s="15">
        <v>260</v>
      </c>
      <c r="B261" s="16" t="s">
        <v>237</v>
      </c>
      <c r="C261" s="17" t="s">
        <v>25</v>
      </c>
      <c r="D261" s="15" t="s">
        <v>26</v>
      </c>
      <c r="E261" s="18" t="s">
        <v>40</v>
      </c>
      <c r="F261" s="15"/>
      <c r="G261" s="22">
        <v>2014</v>
      </c>
      <c r="H261" s="15">
        <f>MAX(IF(ISNA(VLOOKUP(B261,'WBV 1'!$B$3:$C$34,2,FALSE))=TRUE,0,VLOOKUP(B261,'WBV 1'!$B$3:$C$34,2,FALSE)),IF(ISNA(VLOOKUP(B261,'WBV 1'!$F$3:$G$34,2,FALSE))=TRUE,0,VLOOKUP(B261,'WBV 1'!$F$3:$G$34,2,FALSE)),IF(ISNA(VLOOKUP(B261,'WBV 1'!$J$3:$K$34,2,FALSE))=TRUE,0,VLOOKUP(B261,'WBV 1'!$J$3:$K$34,2,FALSE)),IF(ISNA(VLOOKUP(B261,'WBV 1'!$N$3:$O$34,2,FALSE))=TRUE,0,VLOOKUP(B261,'WBV 1'!$N$3:$O$34,2,FALSE)))</f>
        <v>0</v>
      </c>
      <c r="I261" s="15">
        <f>MAX(IF(ISNA(VLOOKUP(B261,'WBV 2'!$B$3:$C$34,2,FALSE))=TRUE,0,VLOOKUP(B261,'WBV 2'!$B$3:$C$34,2,FALSE)),IF(ISNA(VLOOKUP(B261,'WBV 2'!$F$3:$G$34,2,FALSE))=TRUE,0,VLOOKUP(B261,'WBV 2'!$F$3:$G$34,2,FALSE)),IF(ISNA(VLOOKUP(B261,'WBV 2'!$J$3:$K$34,2,FALSE))=TRUE,0,VLOOKUP(B261,'WBV 2'!$J$3:$K$34,2,FALSE)),IF(ISNA(VLOOKUP(B261,'WBV 2'!$N$3:$O$34,2,FALSE))=TRUE,0,VLOOKUP(B261,'WBV 2'!$N$3:$O$34,2,FALSE)))</f>
        <v>0</v>
      </c>
      <c r="J261" s="15">
        <f>MAX(IF(ISNA(VLOOKUP(B261,'WBV 3'!$B$3:$C$34,2,FALSE))=TRUE,0,VLOOKUP(B261,'WBV 3'!$B$3:$C$34,2,FALSE)),IF(ISNA(VLOOKUP(B261,'WBV 3'!$F$3:$G$34,2,FALSE))=TRUE,0,VLOOKUP(B261,'WBV 3'!$F$3:$G$34,2,FALSE)),IF(ISNA(VLOOKUP(B261,'WBV 3'!$J$3:$K$34,2,FALSE))=TRUE,0,VLOOKUP(B261,'WBV 3'!$J$3:$K$34,2,FALSE)),IF(ISNA(VLOOKUP(B261,'WBV 3'!$N$3:$O$34,2,FALSE))=TRUE,0,VLOOKUP(B261,'WBV 3'!$N$3:$O$34,2,FALSE)))</f>
        <v>0</v>
      </c>
      <c r="K261" s="15">
        <f>MAX(IF(ISNA(VLOOKUP(B261,'WBV 4'!$B$3:$C$34,2,FALSE))=TRUE,0,VLOOKUP(B261,'WBV 4'!$B$3:$C$34,2,FALSE)),IF(ISNA(VLOOKUP(B261,'WBV 4'!$F$3:$G$34,2,FALSE))=TRUE,0,VLOOKUP(B261,'WBV 4'!$F$3:$G$34,2,FALSE)),IF(ISNA(VLOOKUP(B261,'WBV 4'!$J$3:$K$34,2,FALSE))=TRUE,0,VLOOKUP(B261,'WBV 4'!$J$3:$K$34,2,FALSE)),IF(ISNA(VLOOKUP(B261,'WBV 4'!$N$3:$O$34,2,FALSE))=TRUE,0,VLOOKUP(B261,'WBV 4'!$N$3:$O$34,2,FALSE)))</f>
        <v>0</v>
      </c>
      <c r="L261" s="19">
        <f>MAX(IF(ISNA(VLOOKUP(B261,'NÖBV 1'!$B$3:$C$34,2,FALSE))=TRUE,0,VLOOKUP(B261,'NÖBV 1'!$B$3:$C$34,2,FALSE)),IF(ISNA(VLOOKUP(B261,'NÖBV 1'!$F$3:$G$34,2,FALSE))=TRUE,0,VLOOKUP(B261,'NÖBV 1'!$F$3:$G$34,2,FALSE)),IF(ISNA(VLOOKUP(B261,'NÖBV 1'!$J$3:$K$34,2,FALSE))=TRUE,0,VLOOKUP(B261,'NÖBV 1'!$J$3:$K$34,2,FALSE)),IF(ISNA(VLOOKUP(B261,'NÖBV 1'!$N$3:$O$34,2,FALSE))=TRUE,0,VLOOKUP(B261,'NÖBV 1'!$N$3:$O$34,2,FALSE)))</f>
        <v>0</v>
      </c>
      <c r="M261" s="19">
        <f>MAX(IF(ISNA(VLOOKUP(B261,'NÖBV 2'!$B$3:$C$34,2,FALSE))=TRUE,0,VLOOKUP(B261,'NÖBV 2'!$B$3:$C$34,2,FALSE)),IF(ISNA(VLOOKUP(B261,'NÖBV 2'!$F$3:$G$34,2,FALSE))=TRUE,0,VLOOKUP(B261,'NÖBV 2'!$F$3:$G$34,2,FALSE)),IF(ISNA(VLOOKUP(B261,'NÖBV 2'!$J$3:$K$34,2,FALSE))=TRUE,0,VLOOKUP(B261,'NÖBV 2'!$J$3:$K$34,2,FALSE)),IF(ISNA(VLOOKUP(B261,'NÖBV 2'!$N$3:$O$34,2,FALSE))=TRUE,0,VLOOKUP(B261,'NÖBV 2'!$N$3:$O$34,2,FALSE)))</f>
        <v>0</v>
      </c>
      <c r="N261" s="19">
        <f>MAX(IF(ISNA(VLOOKUP(B261,'NÖBV 3'!$B$3:$C$34,2,FALSE))=TRUE,0,VLOOKUP(B261,'NÖBV 3'!$B$3:$C$34,2,FALSE)),IF(ISNA(VLOOKUP(B261,'NÖBV 3'!$F$3:$G$34,2,FALSE))=TRUE,0,VLOOKUP(B261,'NÖBV 3'!$F$3:$G$34,2,FALSE)),IF(ISNA(VLOOKUP(B261,'NÖBV 3'!$J$3:$K$34,2,FALSE))=TRUE,0,VLOOKUP(B261,'NÖBV 3'!$J$3:$K$34,2,FALSE)),IF(ISNA(VLOOKUP(B261,'NÖBV 3'!$N$3:$O$34,2,FALSE))=TRUE,0,VLOOKUP(B261,'NÖBV 3'!$N$3:$O$34,2,FALSE)))</f>
        <v>0</v>
      </c>
      <c r="O261" s="15">
        <f>MAX(IF(ISNA(VLOOKUP(B261,'Regioturnier 1'!$B$3:$C$34,2,FALSE))=TRUE,0,VLOOKUP(B261,'Regioturnier 1'!$B$3:$C$34,2,FALSE)),IF(ISNA(VLOOKUP(B261,'Regioturnier 1'!$F$3:$G$34,2,FALSE))=TRUE,0,VLOOKUP(B261,'Regioturnier 1'!$F$3:$G$34,2,FALSE)),IF(ISNA(VLOOKUP(B261,'Regioturnier 1'!$J$3:$K$34,2,FALSE))=TRUE,0,VLOOKUP(B261,'Regioturnier 1'!$J$3:$K$34,2,FALSE)),IF(ISNA(VLOOKUP(B261,'Regioturnier 1'!$N$3:$O$34,2,FALSE))=TRUE,0,VLOOKUP(B261,'Regioturnier 1'!$N$3:$O$34,2,FALSE)),IF(ISNA(VLOOKUP(B261,'Regioturnier 1'!$R$3:$S$34,2,FALSE))=TRUE,0,VLOOKUP(B261,'Regioturnier 1'!$R$3:$S$34,2,FALSE)), IF(ISNA(VLOOKUP(B261,'Regioturnier 1'!$V$3:$W$34,2,FALSE))=TRUE,0,VLOOKUP(B261,'Regioturnier 1'!$V$3:$W$34,2,FALSE)), IF(ISNA(VLOOKUP(B261,'Regioturnier 1'!$Z$3:$AA$34,2,FALSE))=TRUE,0,VLOOKUP(B261,'Regioturnier 1'!$Z$3:$AA$34,2,FALSE)))</f>
        <v>0</v>
      </c>
      <c r="P261" s="15">
        <f>MAX(IF(ISNA(VLOOKUP(B261,'Regioturnier 2'!$B$3:$C$34,2,FALSE))=TRUE,0,VLOOKUP(B261,'Regioturnier 2'!$B$3:$C$34,2,FALSE)),IF(ISNA(VLOOKUP(B261,'Regioturnier 2'!$F$3:$G$34,2,FALSE))=TRUE,0,VLOOKUP(B261,'Regioturnier 2'!$F$3:$G$34,2,FALSE)),IF(ISNA(VLOOKUP(B261,'Regioturnier 2'!$J$3:$K$34,2,FALSE))=TRUE,0,VLOOKUP(B261,'Regioturnier 2'!$J$3:$K$34,2,FALSE)),IF(ISNA(VLOOKUP(B261,'Regioturnier 2'!$N$3:$O$34,2,FALSE))=TRUE,0,VLOOKUP(B261,'Regioturnier 2'!$N$3:$O$34,2,FALSE)),IF(ISNA(VLOOKUP(B261,'Regioturnier 2'!$R$3:$S$34,2,FALSE))=TRUE,0,VLOOKUP(B261,'Regioturnier 2'!$R$3:$S$34,2,FALSE)), IF(ISNA(VLOOKUP(B261,'Regioturnier 2'!$V$3:$W$34,2,FALSE))=TRUE,0,VLOOKUP(B261,'Regioturnier 2'!$V$3:$W$34,2,FALSE)), IF(ISNA(VLOOKUP(B261,'Regioturnier 2'!$Z$3:$AA$34,2,FALSE))=TRUE,0,VLOOKUP(B261,'Regioturnier 2'!$Z$3:$AA$34,2,FALSE)))</f>
        <v>0</v>
      </c>
      <c r="Q261" s="15">
        <f>MAX(IF(ISNA(VLOOKUP(B261,'Regioturnier 3'!$B$3:$C$34,2,FALSE))=TRUE,0,VLOOKUP(B261,'Regioturnier 3'!$B$3:$C$34,2,FALSE)),IF(ISNA(VLOOKUP(B261,'Regioturnier 3'!$F$3:$G$34,2,FALSE))=TRUE,0,VLOOKUP(B261,'Regioturnier 3'!$F$3:$G$34,2,FALSE)),IF(ISNA(VLOOKUP(B261,'Regioturnier 3'!$J$3:$K$34,2,FALSE))=TRUE,0,VLOOKUP(B261,'Regioturnier 3'!$J$3:$K$34,2,FALSE)),IF(ISNA(VLOOKUP(B261,'Regioturnier 3'!$N$3:$O$34,2,FALSE))=TRUE,0,VLOOKUP(B261,'Regioturnier 3'!$N$3:$O$34,2,FALSE)),IF(ISNA(VLOOKUP(B261,'Regioturnier 3'!$R$3:$S$34,2,FALSE))=TRUE,0,VLOOKUP(B261,'Regioturnier 3'!$R$3:$S$34,2,FALSE)), IF(ISNA(VLOOKUP(B261,'Regioturnier 3'!$V$3:$W$34,2,FALSE))=TRUE,0,VLOOKUP(B261,'Regioturnier 3'!$V$3:$W$34,2,FALSE)), IF(ISNA(VLOOKUP(B261,'Regioturnier 3'!$Z$3:$AA$34,2,FALSE))=TRUE,0,VLOOKUP(B261,'Regioturnier 3'!$Z$3:$AA$34,2,FALSE)))</f>
        <v>0</v>
      </c>
      <c r="R261" s="20">
        <f>0.5*INDEX($H261:$N261,MATCH(LARGE($H261:$N261,1),$H261:$N261,0))+0.3*INDEX($H261:$N261,MATCH(LARGE($H261:$N261,2),$H261:$N261,0))+0.2*INDEX($H261:$N261,MATCH(LARGE($H261:$N261,3),$H261:$N261,0))</f>
        <v>0</v>
      </c>
      <c r="S261" s="20">
        <f>0.6*INDEX(O261:Q261,MATCH(LARGE(O261:Q261,1),O261:Q261,0))+0.4*INDEX(O261:Q261,MATCH(LARGE(O261:Q261,2),O261:Q261,0))+0*INDEX(O261:Q261,MATCH(LARGE(O261:Q261,3),O261:Q261,0))</f>
        <v>0</v>
      </c>
      <c r="T261" s="15">
        <f>1*INDEX(R261:S261,MATCH(LARGE(R261:S261,1),R261:S261,0))+0*INDEX(R261:S261,MATCH(LARGE(R261:S261,2),R261:S261,0))</f>
        <v>0</v>
      </c>
      <c r="U261" s="21"/>
      <c r="V261" s="21"/>
      <c r="W261" s="21"/>
      <c r="X261" s="21"/>
      <c r="Y261" s="21"/>
      <c r="Z261" s="21"/>
    </row>
    <row r="262" spans="1:26" ht="12.75" customHeight="1" x14ac:dyDescent="0.3">
      <c r="A262" s="15">
        <v>261</v>
      </c>
      <c r="B262" s="16" t="s">
        <v>116</v>
      </c>
      <c r="C262" s="17" t="s">
        <v>25</v>
      </c>
      <c r="D262" s="15" t="s">
        <v>26</v>
      </c>
      <c r="E262" s="18" t="s">
        <v>23</v>
      </c>
      <c r="F262" s="15">
        <v>206753</v>
      </c>
      <c r="G262" s="22">
        <v>2008</v>
      </c>
      <c r="H262" s="15">
        <f>MAX(IF(ISNA(VLOOKUP(B262,'WBV 1'!$B$3:$C$34,2,FALSE))=TRUE,0,VLOOKUP(B262,'WBV 1'!$B$3:$C$34,2,FALSE)),IF(ISNA(VLOOKUP(B262,'WBV 1'!$F$3:$G$34,2,FALSE))=TRUE,0,VLOOKUP(B262,'WBV 1'!$F$3:$G$34,2,FALSE)),IF(ISNA(VLOOKUP(B262,'WBV 1'!$J$3:$K$34,2,FALSE))=TRUE,0,VLOOKUP(B262,'WBV 1'!$J$3:$K$34,2,FALSE)),IF(ISNA(VLOOKUP(B262,'WBV 1'!$N$3:$O$34,2,FALSE))=TRUE,0,VLOOKUP(B262,'WBV 1'!$N$3:$O$34,2,FALSE)))</f>
        <v>0</v>
      </c>
      <c r="I262" s="15">
        <f>MAX(IF(ISNA(VLOOKUP(B262,'WBV 2'!$B$3:$C$34,2,FALSE))=TRUE,0,VLOOKUP(B262,'WBV 2'!$B$3:$C$34,2,FALSE)),IF(ISNA(VLOOKUP(B262,'WBV 2'!$F$3:$G$34,2,FALSE))=TRUE,0,VLOOKUP(B262,'WBV 2'!$F$3:$G$34,2,FALSE)),IF(ISNA(VLOOKUP(B262,'WBV 2'!$J$3:$K$34,2,FALSE))=TRUE,0,VLOOKUP(B262,'WBV 2'!$J$3:$K$34,2,FALSE)),IF(ISNA(VLOOKUP(B262,'WBV 2'!$N$3:$O$34,2,FALSE))=TRUE,0,VLOOKUP(B262,'WBV 2'!$N$3:$O$34,2,FALSE)))</f>
        <v>0</v>
      </c>
      <c r="J262" s="15">
        <f>MAX(IF(ISNA(VLOOKUP(B262,'WBV 3'!$B$3:$C$34,2,FALSE))=TRUE,0,VLOOKUP(B262,'WBV 3'!$B$3:$C$34,2,FALSE)),IF(ISNA(VLOOKUP(B262,'WBV 3'!$F$3:$G$34,2,FALSE))=TRUE,0,VLOOKUP(B262,'WBV 3'!$F$3:$G$34,2,FALSE)),IF(ISNA(VLOOKUP(B262,'WBV 3'!$J$3:$K$34,2,FALSE))=TRUE,0,VLOOKUP(B262,'WBV 3'!$J$3:$K$34,2,FALSE)),IF(ISNA(VLOOKUP(B262,'WBV 3'!$N$3:$O$34,2,FALSE))=TRUE,0,VLOOKUP(B262,'WBV 3'!$N$3:$O$34,2,FALSE)))</f>
        <v>0</v>
      </c>
      <c r="K262" s="15">
        <f>MAX(IF(ISNA(VLOOKUP(B262,'WBV 4'!$B$3:$C$34,2,FALSE))=TRUE,0,VLOOKUP(B262,'WBV 4'!$B$3:$C$34,2,FALSE)),IF(ISNA(VLOOKUP(B262,'WBV 4'!$F$3:$G$34,2,FALSE))=TRUE,0,VLOOKUP(B262,'WBV 4'!$F$3:$G$34,2,FALSE)),IF(ISNA(VLOOKUP(B262,'WBV 4'!$J$3:$K$34,2,FALSE))=TRUE,0,VLOOKUP(B262,'WBV 4'!$J$3:$K$34,2,FALSE)),IF(ISNA(VLOOKUP(B262,'WBV 4'!$N$3:$O$34,2,FALSE))=TRUE,0,VLOOKUP(B262,'WBV 4'!$N$3:$O$34,2,FALSE)))</f>
        <v>0</v>
      </c>
      <c r="L262" s="19">
        <f>MAX(IF(ISNA(VLOOKUP(B262,'NÖBV 1'!$B$3:$C$34,2,FALSE))=TRUE,0,VLOOKUP(B262,'NÖBV 1'!$B$3:$C$34,2,FALSE)),IF(ISNA(VLOOKUP(B262,'NÖBV 1'!$F$3:$G$34,2,FALSE))=TRUE,0,VLOOKUP(B262,'NÖBV 1'!$F$3:$G$34,2,FALSE)),IF(ISNA(VLOOKUP(B262,'NÖBV 1'!$J$3:$K$34,2,FALSE))=TRUE,0,VLOOKUP(B262,'NÖBV 1'!$J$3:$K$34,2,FALSE)),IF(ISNA(VLOOKUP(B262,'NÖBV 1'!$N$3:$O$34,2,FALSE))=TRUE,0,VLOOKUP(B262,'NÖBV 1'!$N$3:$O$34,2,FALSE)))</f>
        <v>0</v>
      </c>
      <c r="M262" s="19">
        <f>MAX(IF(ISNA(VLOOKUP(B262,'NÖBV 2'!$B$3:$C$34,2,FALSE))=TRUE,0,VLOOKUP(B262,'NÖBV 2'!$B$3:$C$34,2,FALSE)),IF(ISNA(VLOOKUP(B262,'NÖBV 2'!$F$3:$G$34,2,FALSE))=TRUE,0,VLOOKUP(B262,'NÖBV 2'!$F$3:$G$34,2,FALSE)),IF(ISNA(VLOOKUP(B262,'NÖBV 2'!$J$3:$K$34,2,FALSE))=TRUE,0,VLOOKUP(B262,'NÖBV 2'!$J$3:$K$34,2,FALSE)),IF(ISNA(VLOOKUP(B262,'NÖBV 2'!$N$3:$O$34,2,FALSE))=TRUE,0,VLOOKUP(B262,'NÖBV 2'!$N$3:$O$34,2,FALSE)))</f>
        <v>0</v>
      </c>
      <c r="N262" s="19">
        <f>MAX(IF(ISNA(VLOOKUP(B262,'NÖBV 3'!$B$3:$C$34,2,FALSE))=TRUE,0,VLOOKUP(B262,'NÖBV 3'!$B$3:$C$34,2,FALSE)),IF(ISNA(VLOOKUP(B262,'NÖBV 3'!$F$3:$G$34,2,FALSE))=TRUE,0,VLOOKUP(B262,'NÖBV 3'!$F$3:$G$34,2,FALSE)),IF(ISNA(VLOOKUP(B262,'NÖBV 3'!$J$3:$K$34,2,FALSE))=TRUE,0,VLOOKUP(B262,'NÖBV 3'!$J$3:$K$34,2,FALSE)),IF(ISNA(VLOOKUP(B262,'NÖBV 3'!$N$3:$O$34,2,FALSE))=TRUE,0,VLOOKUP(B262,'NÖBV 3'!$N$3:$O$34,2,FALSE)))</f>
        <v>0</v>
      </c>
      <c r="O262" s="15">
        <f>MAX(IF(ISNA(VLOOKUP(B262,'Regioturnier 1'!$B$3:$C$34,2,FALSE))=TRUE,0,VLOOKUP(B262,'Regioturnier 1'!$B$3:$C$34,2,FALSE)),IF(ISNA(VLOOKUP(B262,'Regioturnier 1'!$F$3:$G$34,2,FALSE))=TRUE,0,VLOOKUP(B262,'Regioturnier 1'!$F$3:$G$34,2,FALSE)),IF(ISNA(VLOOKUP(B262,'Regioturnier 1'!$J$3:$K$34,2,FALSE))=TRUE,0,VLOOKUP(B262,'Regioturnier 1'!$J$3:$K$34,2,FALSE)),IF(ISNA(VLOOKUP(B262,'Regioturnier 1'!$N$3:$O$34,2,FALSE))=TRUE,0,VLOOKUP(B262,'Regioturnier 1'!$N$3:$O$34,2,FALSE)),IF(ISNA(VLOOKUP(B262,'Regioturnier 1'!$R$3:$S$34,2,FALSE))=TRUE,0,VLOOKUP(B262,'Regioturnier 1'!$R$3:$S$34,2,FALSE)), IF(ISNA(VLOOKUP(B262,'Regioturnier 1'!$V$3:$W$34,2,FALSE))=TRUE,0,VLOOKUP(B262,'Regioturnier 1'!$V$3:$W$34,2,FALSE)), IF(ISNA(VLOOKUP(B262,'Regioturnier 1'!$Z$3:$AA$34,2,FALSE))=TRUE,0,VLOOKUP(B262,'Regioturnier 1'!$Z$3:$AA$34,2,FALSE)))</f>
        <v>0</v>
      </c>
      <c r="P262" s="15">
        <f>MAX(IF(ISNA(VLOOKUP(B262,'Regioturnier 2'!$B$3:$C$34,2,FALSE))=TRUE,0,VLOOKUP(B262,'Regioturnier 2'!$B$3:$C$34,2,FALSE)),IF(ISNA(VLOOKUP(B262,'Regioturnier 2'!$F$3:$G$34,2,FALSE))=TRUE,0,VLOOKUP(B262,'Regioturnier 2'!$F$3:$G$34,2,FALSE)),IF(ISNA(VLOOKUP(B262,'Regioturnier 2'!$J$3:$K$34,2,FALSE))=TRUE,0,VLOOKUP(B262,'Regioturnier 2'!$J$3:$K$34,2,FALSE)),IF(ISNA(VLOOKUP(B262,'Regioturnier 2'!$N$3:$O$34,2,FALSE))=TRUE,0,VLOOKUP(B262,'Regioturnier 2'!$N$3:$O$34,2,FALSE)),IF(ISNA(VLOOKUP(B262,'Regioturnier 2'!$R$3:$S$34,2,FALSE))=TRUE,0,VLOOKUP(B262,'Regioturnier 2'!$R$3:$S$34,2,FALSE)), IF(ISNA(VLOOKUP(B262,'Regioturnier 2'!$V$3:$W$34,2,FALSE))=TRUE,0,VLOOKUP(B262,'Regioturnier 2'!$V$3:$W$34,2,FALSE)), IF(ISNA(VLOOKUP(B262,'Regioturnier 2'!$Z$3:$AA$34,2,FALSE))=TRUE,0,VLOOKUP(B262,'Regioturnier 2'!$Z$3:$AA$34,2,FALSE)))</f>
        <v>0</v>
      </c>
      <c r="Q262" s="15">
        <f>MAX(IF(ISNA(VLOOKUP(B262,'Regioturnier 3'!$B$3:$C$34,2,FALSE))=TRUE,0,VLOOKUP(B262,'Regioturnier 3'!$B$3:$C$34,2,FALSE)),IF(ISNA(VLOOKUP(B262,'Regioturnier 3'!$F$3:$G$34,2,FALSE))=TRUE,0,VLOOKUP(B262,'Regioturnier 3'!$F$3:$G$34,2,FALSE)),IF(ISNA(VLOOKUP(B262,'Regioturnier 3'!$J$3:$K$34,2,FALSE))=TRUE,0,VLOOKUP(B262,'Regioturnier 3'!$J$3:$K$34,2,FALSE)),IF(ISNA(VLOOKUP(B262,'Regioturnier 3'!$N$3:$O$34,2,FALSE))=TRUE,0,VLOOKUP(B262,'Regioturnier 3'!$N$3:$O$34,2,FALSE)),IF(ISNA(VLOOKUP(B262,'Regioturnier 3'!$R$3:$S$34,2,FALSE))=TRUE,0,VLOOKUP(B262,'Regioturnier 3'!$R$3:$S$34,2,FALSE)), IF(ISNA(VLOOKUP(B262,'Regioturnier 3'!$V$3:$W$34,2,FALSE))=TRUE,0,VLOOKUP(B262,'Regioturnier 3'!$V$3:$W$34,2,FALSE)), IF(ISNA(VLOOKUP(B262,'Regioturnier 3'!$Z$3:$AA$34,2,FALSE))=TRUE,0,VLOOKUP(B262,'Regioturnier 3'!$Z$3:$AA$34,2,FALSE)))</f>
        <v>0</v>
      </c>
      <c r="R262" s="20">
        <f>0.5*INDEX($H262:$N262,MATCH(LARGE($H262:$N262,1),$H262:$N262,0))+0.3*INDEX($H262:$N262,MATCH(LARGE($H262:$N262,2),$H262:$N262,0))+0.2*INDEX($H262:$N262,MATCH(LARGE($H262:$N262,3),$H262:$N262,0))</f>
        <v>0</v>
      </c>
      <c r="S262" s="20">
        <f>0.6*INDEX(O262:Q262,MATCH(LARGE(O262:Q262,1),O262:Q262,0))+0.4*INDEX(O262:Q262,MATCH(LARGE(O262:Q262,2),O262:Q262,0))+0*INDEX(O262:Q262,MATCH(LARGE(O262:Q262,3),O262:Q262,0))</f>
        <v>0</v>
      </c>
      <c r="T262" s="15">
        <f>1*INDEX(R262:S262,MATCH(LARGE(R262:S262,1),R262:S262,0))+0*INDEX(R262:S262,MATCH(LARGE(R262:S262,2),R262:S262,0))</f>
        <v>0</v>
      </c>
      <c r="U262" s="21"/>
      <c r="V262" s="21"/>
      <c r="W262" s="21"/>
      <c r="X262" s="21"/>
      <c r="Y262" s="21"/>
      <c r="Z262" s="21"/>
    </row>
    <row r="263" spans="1:26" ht="12.75" customHeight="1" x14ac:dyDescent="0.3">
      <c r="A263" s="15">
        <v>262</v>
      </c>
      <c r="B263" s="16" t="s">
        <v>120</v>
      </c>
      <c r="C263" s="17" t="s">
        <v>25</v>
      </c>
      <c r="D263" s="15" t="s">
        <v>26</v>
      </c>
      <c r="E263" s="18" t="s">
        <v>23</v>
      </c>
      <c r="F263" s="15">
        <v>17007</v>
      </c>
      <c r="G263" s="22">
        <v>2009</v>
      </c>
      <c r="H263" s="15">
        <f>MAX(IF(ISNA(VLOOKUP(B263,'WBV 1'!$B$3:$C$34,2,FALSE))=TRUE,0,VLOOKUP(B263,'WBV 1'!$B$3:$C$34,2,FALSE)),IF(ISNA(VLOOKUP(B263,'WBV 1'!$F$3:$G$34,2,FALSE))=TRUE,0,VLOOKUP(B263,'WBV 1'!$F$3:$G$34,2,FALSE)),IF(ISNA(VLOOKUP(B263,'WBV 1'!$J$3:$K$34,2,FALSE))=TRUE,0,VLOOKUP(B263,'WBV 1'!$J$3:$K$34,2,FALSE)),IF(ISNA(VLOOKUP(B263,'WBV 1'!$N$3:$O$34,2,FALSE))=TRUE,0,VLOOKUP(B263,'WBV 1'!$N$3:$O$34,2,FALSE)))</f>
        <v>0</v>
      </c>
      <c r="I263" s="15">
        <f>MAX(IF(ISNA(VLOOKUP(B263,'WBV 2'!$B$3:$C$34,2,FALSE))=TRUE,0,VLOOKUP(B263,'WBV 2'!$B$3:$C$34,2,FALSE)),IF(ISNA(VLOOKUP(B263,'WBV 2'!$F$3:$G$34,2,FALSE))=TRUE,0,VLOOKUP(B263,'WBV 2'!$F$3:$G$34,2,FALSE)),IF(ISNA(VLOOKUP(B263,'WBV 2'!$J$3:$K$34,2,FALSE))=TRUE,0,VLOOKUP(B263,'WBV 2'!$J$3:$K$34,2,FALSE)),IF(ISNA(VLOOKUP(B263,'WBV 2'!$N$3:$O$34,2,FALSE))=TRUE,0,VLOOKUP(B263,'WBV 2'!$N$3:$O$34,2,FALSE)))</f>
        <v>0</v>
      </c>
      <c r="J263" s="15">
        <f>MAX(IF(ISNA(VLOOKUP(B263,'WBV 3'!$B$3:$C$34,2,FALSE))=TRUE,0,VLOOKUP(B263,'WBV 3'!$B$3:$C$34,2,FALSE)),IF(ISNA(VLOOKUP(B263,'WBV 3'!$F$3:$G$34,2,FALSE))=TRUE,0,VLOOKUP(B263,'WBV 3'!$F$3:$G$34,2,FALSE)),IF(ISNA(VLOOKUP(B263,'WBV 3'!$J$3:$K$34,2,FALSE))=TRUE,0,VLOOKUP(B263,'WBV 3'!$J$3:$K$34,2,FALSE)),IF(ISNA(VLOOKUP(B263,'WBV 3'!$N$3:$O$34,2,FALSE))=TRUE,0,VLOOKUP(B263,'WBV 3'!$N$3:$O$34,2,FALSE)))</f>
        <v>0</v>
      </c>
      <c r="K263" s="15">
        <f>MAX(IF(ISNA(VLOOKUP(B263,'WBV 4'!$B$3:$C$34,2,FALSE))=TRUE,0,VLOOKUP(B263,'WBV 4'!$B$3:$C$34,2,FALSE)),IF(ISNA(VLOOKUP(B263,'WBV 4'!$F$3:$G$34,2,FALSE))=TRUE,0,VLOOKUP(B263,'WBV 4'!$F$3:$G$34,2,FALSE)),IF(ISNA(VLOOKUP(B263,'WBV 4'!$J$3:$K$34,2,FALSE))=TRUE,0,VLOOKUP(B263,'WBV 4'!$J$3:$K$34,2,FALSE)),IF(ISNA(VLOOKUP(B263,'WBV 4'!$N$3:$O$34,2,FALSE))=TRUE,0,VLOOKUP(B263,'WBV 4'!$N$3:$O$34,2,FALSE)))</f>
        <v>0</v>
      </c>
      <c r="L263" s="19">
        <f>MAX(IF(ISNA(VLOOKUP(B263,'NÖBV 1'!$B$3:$C$34,2,FALSE))=TRUE,0,VLOOKUP(B263,'NÖBV 1'!$B$3:$C$34,2,FALSE)),IF(ISNA(VLOOKUP(B263,'NÖBV 1'!$F$3:$G$34,2,FALSE))=TRUE,0,VLOOKUP(B263,'NÖBV 1'!$F$3:$G$34,2,FALSE)),IF(ISNA(VLOOKUP(B263,'NÖBV 1'!$J$3:$K$34,2,FALSE))=TRUE,0,VLOOKUP(B263,'NÖBV 1'!$J$3:$K$34,2,FALSE)),IF(ISNA(VLOOKUP(B263,'NÖBV 1'!$N$3:$O$34,2,FALSE))=TRUE,0,VLOOKUP(B263,'NÖBV 1'!$N$3:$O$34,2,FALSE)))</f>
        <v>0</v>
      </c>
      <c r="M263" s="19">
        <f>MAX(IF(ISNA(VLOOKUP(B263,'NÖBV 2'!$B$3:$C$34,2,FALSE))=TRUE,0,VLOOKUP(B263,'NÖBV 2'!$B$3:$C$34,2,FALSE)),IF(ISNA(VLOOKUP(B263,'NÖBV 2'!$F$3:$G$34,2,FALSE))=TRUE,0,VLOOKUP(B263,'NÖBV 2'!$F$3:$G$34,2,FALSE)),IF(ISNA(VLOOKUP(B263,'NÖBV 2'!$J$3:$K$34,2,FALSE))=TRUE,0,VLOOKUP(B263,'NÖBV 2'!$J$3:$K$34,2,FALSE)),IF(ISNA(VLOOKUP(B263,'NÖBV 2'!$N$3:$O$34,2,FALSE))=TRUE,0,VLOOKUP(B263,'NÖBV 2'!$N$3:$O$34,2,FALSE)))</f>
        <v>0</v>
      </c>
      <c r="N263" s="19">
        <f>MAX(IF(ISNA(VLOOKUP(B263,'NÖBV 3'!$B$3:$C$34,2,FALSE))=TRUE,0,VLOOKUP(B263,'NÖBV 3'!$B$3:$C$34,2,FALSE)),IF(ISNA(VLOOKUP(B263,'NÖBV 3'!$F$3:$G$34,2,FALSE))=TRUE,0,VLOOKUP(B263,'NÖBV 3'!$F$3:$G$34,2,FALSE)),IF(ISNA(VLOOKUP(B263,'NÖBV 3'!$J$3:$K$34,2,FALSE))=TRUE,0,VLOOKUP(B263,'NÖBV 3'!$J$3:$K$34,2,FALSE)),IF(ISNA(VLOOKUP(B263,'NÖBV 3'!$N$3:$O$34,2,FALSE))=TRUE,0,VLOOKUP(B263,'NÖBV 3'!$N$3:$O$34,2,FALSE)))</f>
        <v>0</v>
      </c>
      <c r="O263" s="15">
        <f>MAX(IF(ISNA(VLOOKUP(B263,'Regioturnier 1'!$B$3:$C$34,2,FALSE))=TRUE,0,VLOOKUP(B263,'Regioturnier 1'!$B$3:$C$34,2,FALSE)),IF(ISNA(VLOOKUP(B263,'Regioturnier 1'!$F$3:$G$34,2,FALSE))=TRUE,0,VLOOKUP(B263,'Regioturnier 1'!$F$3:$G$34,2,FALSE)),IF(ISNA(VLOOKUP(B263,'Regioturnier 1'!$J$3:$K$34,2,FALSE))=TRUE,0,VLOOKUP(B263,'Regioturnier 1'!$J$3:$K$34,2,FALSE)),IF(ISNA(VLOOKUP(B263,'Regioturnier 1'!$N$3:$O$34,2,FALSE))=TRUE,0,VLOOKUP(B263,'Regioturnier 1'!$N$3:$O$34,2,FALSE)),IF(ISNA(VLOOKUP(B263,'Regioturnier 1'!$R$3:$S$34,2,FALSE))=TRUE,0,VLOOKUP(B263,'Regioturnier 1'!$R$3:$S$34,2,FALSE)), IF(ISNA(VLOOKUP(B263,'Regioturnier 1'!$V$3:$W$34,2,FALSE))=TRUE,0,VLOOKUP(B263,'Regioturnier 1'!$V$3:$W$34,2,FALSE)), IF(ISNA(VLOOKUP(B263,'Regioturnier 1'!$Z$3:$AA$34,2,FALSE))=TRUE,0,VLOOKUP(B263,'Regioturnier 1'!$Z$3:$AA$34,2,FALSE)))</f>
        <v>0</v>
      </c>
      <c r="P263" s="15">
        <f>MAX(IF(ISNA(VLOOKUP(B263,'Regioturnier 2'!$B$3:$C$34,2,FALSE))=TRUE,0,VLOOKUP(B263,'Regioturnier 2'!$B$3:$C$34,2,FALSE)),IF(ISNA(VLOOKUP(B263,'Regioturnier 2'!$F$3:$G$34,2,FALSE))=TRUE,0,VLOOKUP(B263,'Regioturnier 2'!$F$3:$G$34,2,FALSE)),IF(ISNA(VLOOKUP(B263,'Regioturnier 2'!$J$3:$K$34,2,FALSE))=TRUE,0,VLOOKUP(B263,'Regioturnier 2'!$J$3:$K$34,2,FALSE)),IF(ISNA(VLOOKUP(B263,'Regioturnier 2'!$N$3:$O$34,2,FALSE))=TRUE,0,VLOOKUP(B263,'Regioturnier 2'!$N$3:$O$34,2,FALSE)),IF(ISNA(VLOOKUP(B263,'Regioturnier 2'!$R$3:$S$34,2,FALSE))=TRUE,0,VLOOKUP(B263,'Regioturnier 2'!$R$3:$S$34,2,FALSE)), IF(ISNA(VLOOKUP(B263,'Regioturnier 2'!$V$3:$W$34,2,FALSE))=TRUE,0,VLOOKUP(B263,'Regioturnier 2'!$V$3:$W$34,2,FALSE)), IF(ISNA(VLOOKUP(B263,'Regioturnier 2'!$Z$3:$AA$34,2,FALSE))=TRUE,0,VLOOKUP(B263,'Regioturnier 2'!$Z$3:$AA$34,2,FALSE)))</f>
        <v>0</v>
      </c>
      <c r="Q263" s="15">
        <f>MAX(IF(ISNA(VLOOKUP(B263,'Regioturnier 3'!$B$3:$C$34,2,FALSE))=TRUE,0,VLOOKUP(B263,'Regioturnier 3'!$B$3:$C$34,2,FALSE)),IF(ISNA(VLOOKUP(B263,'Regioturnier 3'!$F$3:$G$34,2,FALSE))=TRUE,0,VLOOKUP(B263,'Regioturnier 3'!$F$3:$G$34,2,FALSE)),IF(ISNA(VLOOKUP(B263,'Regioturnier 3'!$J$3:$K$34,2,FALSE))=TRUE,0,VLOOKUP(B263,'Regioturnier 3'!$J$3:$K$34,2,FALSE)),IF(ISNA(VLOOKUP(B263,'Regioturnier 3'!$N$3:$O$34,2,FALSE))=TRUE,0,VLOOKUP(B263,'Regioturnier 3'!$N$3:$O$34,2,FALSE)),IF(ISNA(VLOOKUP(B263,'Regioturnier 3'!$R$3:$S$34,2,FALSE))=TRUE,0,VLOOKUP(B263,'Regioturnier 3'!$R$3:$S$34,2,FALSE)), IF(ISNA(VLOOKUP(B263,'Regioturnier 3'!$V$3:$W$34,2,FALSE))=TRUE,0,VLOOKUP(B263,'Regioturnier 3'!$V$3:$W$34,2,FALSE)), IF(ISNA(VLOOKUP(B263,'Regioturnier 3'!$Z$3:$AA$34,2,FALSE))=TRUE,0,VLOOKUP(B263,'Regioturnier 3'!$Z$3:$AA$34,2,FALSE)))</f>
        <v>0</v>
      </c>
      <c r="R263" s="20">
        <f>0.5*INDEX($H263:$N263,MATCH(LARGE($H263:$N263,1),$H263:$N263,0))+0.3*INDEX($H263:$N263,MATCH(LARGE($H263:$N263,2),$H263:$N263,0))+0.2*INDEX($H263:$N263,MATCH(LARGE($H263:$N263,3),$H263:$N263,0))</f>
        <v>0</v>
      </c>
      <c r="S263" s="20">
        <f>0.6*INDEX(O263:Q263,MATCH(LARGE(O263:Q263,1),O263:Q263,0))+0.4*INDEX(O263:Q263,MATCH(LARGE(O263:Q263,2),O263:Q263,0))+0*INDEX(O263:Q263,MATCH(LARGE(O263:Q263,3),O263:Q263,0))</f>
        <v>0</v>
      </c>
      <c r="T263" s="15">
        <f>1*INDEX(R263:S263,MATCH(LARGE(R263:S263,1),R263:S263,0))+0*INDEX(R263:S263,MATCH(LARGE(R263:S263,2),R263:S263,0))</f>
        <v>0</v>
      </c>
      <c r="U263" s="21"/>
      <c r="V263" s="21"/>
      <c r="W263" s="21"/>
      <c r="X263" s="21"/>
      <c r="Y263" s="21"/>
      <c r="Z263" s="21"/>
    </row>
    <row r="264" spans="1:26" ht="12.75" customHeight="1" x14ac:dyDescent="0.3">
      <c r="A264" s="15">
        <v>263</v>
      </c>
      <c r="B264" s="16" t="s">
        <v>122</v>
      </c>
      <c r="C264" s="17" t="s">
        <v>25</v>
      </c>
      <c r="D264" s="15" t="s">
        <v>26</v>
      </c>
      <c r="E264" s="18" t="s">
        <v>23</v>
      </c>
      <c r="F264" s="15">
        <v>17011</v>
      </c>
      <c r="G264" s="22">
        <v>2008</v>
      </c>
      <c r="H264" s="15">
        <f>MAX(IF(ISNA(VLOOKUP(B264,'WBV 1'!$B$3:$C$34,2,FALSE))=TRUE,0,VLOOKUP(B264,'WBV 1'!$B$3:$C$34,2,FALSE)),IF(ISNA(VLOOKUP(B264,'WBV 1'!$F$3:$G$34,2,FALSE))=TRUE,0,VLOOKUP(B264,'WBV 1'!$F$3:$G$34,2,FALSE)),IF(ISNA(VLOOKUP(B264,'WBV 1'!$J$3:$K$34,2,FALSE))=TRUE,0,VLOOKUP(B264,'WBV 1'!$J$3:$K$34,2,FALSE)),IF(ISNA(VLOOKUP(B264,'WBV 1'!$N$3:$O$34,2,FALSE))=TRUE,0,VLOOKUP(B264,'WBV 1'!$N$3:$O$34,2,FALSE)))</f>
        <v>0</v>
      </c>
      <c r="I264" s="15">
        <f>MAX(IF(ISNA(VLOOKUP(B264,'WBV 2'!$B$3:$C$34,2,FALSE))=TRUE,0,VLOOKUP(B264,'WBV 2'!$B$3:$C$34,2,FALSE)),IF(ISNA(VLOOKUP(B264,'WBV 2'!$F$3:$G$34,2,FALSE))=TRUE,0,VLOOKUP(B264,'WBV 2'!$F$3:$G$34,2,FALSE)),IF(ISNA(VLOOKUP(B264,'WBV 2'!$J$3:$K$34,2,FALSE))=TRUE,0,VLOOKUP(B264,'WBV 2'!$J$3:$K$34,2,FALSE)),IF(ISNA(VLOOKUP(B264,'WBV 2'!$N$3:$O$34,2,FALSE))=TRUE,0,VLOOKUP(B264,'WBV 2'!$N$3:$O$34,2,FALSE)))</f>
        <v>0</v>
      </c>
      <c r="J264" s="15">
        <f>MAX(IF(ISNA(VLOOKUP(B264,'WBV 3'!$B$3:$C$34,2,FALSE))=TRUE,0,VLOOKUP(B264,'WBV 3'!$B$3:$C$34,2,FALSE)),IF(ISNA(VLOOKUP(B264,'WBV 3'!$F$3:$G$34,2,FALSE))=TRUE,0,VLOOKUP(B264,'WBV 3'!$F$3:$G$34,2,FALSE)),IF(ISNA(VLOOKUP(B264,'WBV 3'!$J$3:$K$34,2,FALSE))=TRUE,0,VLOOKUP(B264,'WBV 3'!$J$3:$K$34,2,FALSE)),IF(ISNA(VLOOKUP(B264,'WBV 3'!$N$3:$O$34,2,FALSE))=TRUE,0,VLOOKUP(B264,'WBV 3'!$N$3:$O$34,2,FALSE)))</f>
        <v>0</v>
      </c>
      <c r="K264" s="15">
        <f>MAX(IF(ISNA(VLOOKUP(B264,'WBV 4'!$B$3:$C$34,2,FALSE))=TRUE,0,VLOOKUP(B264,'WBV 4'!$B$3:$C$34,2,FALSE)),IF(ISNA(VLOOKUP(B264,'WBV 4'!$F$3:$G$34,2,FALSE))=TRUE,0,VLOOKUP(B264,'WBV 4'!$F$3:$G$34,2,FALSE)),IF(ISNA(VLOOKUP(B264,'WBV 4'!$J$3:$K$34,2,FALSE))=TRUE,0,VLOOKUP(B264,'WBV 4'!$J$3:$K$34,2,FALSE)),IF(ISNA(VLOOKUP(B264,'WBV 4'!$N$3:$O$34,2,FALSE))=TRUE,0,VLOOKUP(B264,'WBV 4'!$N$3:$O$34,2,FALSE)))</f>
        <v>0</v>
      </c>
      <c r="L264" s="19">
        <f>MAX(IF(ISNA(VLOOKUP(B264,'NÖBV 1'!$B$3:$C$34,2,FALSE))=TRUE,0,VLOOKUP(B264,'NÖBV 1'!$B$3:$C$34,2,FALSE)),IF(ISNA(VLOOKUP(B264,'NÖBV 1'!$F$3:$G$34,2,FALSE))=TRUE,0,VLOOKUP(B264,'NÖBV 1'!$F$3:$G$34,2,FALSE)),IF(ISNA(VLOOKUP(B264,'NÖBV 1'!$J$3:$K$34,2,FALSE))=TRUE,0,VLOOKUP(B264,'NÖBV 1'!$J$3:$K$34,2,FALSE)),IF(ISNA(VLOOKUP(B264,'NÖBV 1'!$N$3:$O$34,2,FALSE))=TRUE,0,VLOOKUP(B264,'NÖBV 1'!$N$3:$O$34,2,FALSE)))</f>
        <v>0</v>
      </c>
      <c r="M264" s="19">
        <f>MAX(IF(ISNA(VLOOKUP(B264,'NÖBV 2'!$B$3:$C$34,2,FALSE))=TRUE,0,VLOOKUP(B264,'NÖBV 2'!$B$3:$C$34,2,FALSE)),IF(ISNA(VLOOKUP(B264,'NÖBV 2'!$F$3:$G$34,2,FALSE))=TRUE,0,VLOOKUP(B264,'NÖBV 2'!$F$3:$G$34,2,FALSE)),IF(ISNA(VLOOKUP(B264,'NÖBV 2'!$J$3:$K$34,2,FALSE))=TRUE,0,VLOOKUP(B264,'NÖBV 2'!$J$3:$K$34,2,FALSE)),IF(ISNA(VLOOKUP(B264,'NÖBV 2'!$N$3:$O$34,2,FALSE))=TRUE,0,VLOOKUP(B264,'NÖBV 2'!$N$3:$O$34,2,FALSE)))</f>
        <v>0</v>
      </c>
      <c r="N264" s="19">
        <f>MAX(IF(ISNA(VLOOKUP(B264,'NÖBV 3'!$B$3:$C$34,2,FALSE))=TRUE,0,VLOOKUP(B264,'NÖBV 3'!$B$3:$C$34,2,FALSE)),IF(ISNA(VLOOKUP(B264,'NÖBV 3'!$F$3:$G$34,2,FALSE))=TRUE,0,VLOOKUP(B264,'NÖBV 3'!$F$3:$G$34,2,FALSE)),IF(ISNA(VLOOKUP(B264,'NÖBV 3'!$J$3:$K$34,2,FALSE))=TRUE,0,VLOOKUP(B264,'NÖBV 3'!$J$3:$K$34,2,FALSE)),IF(ISNA(VLOOKUP(B264,'NÖBV 3'!$N$3:$O$34,2,FALSE))=TRUE,0,VLOOKUP(B264,'NÖBV 3'!$N$3:$O$34,2,FALSE)))</f>
        <v>0</v>
      </c>
      <c r="O264" s="15">
        <f>MAX(IF(ISNA(VLOOKUP(B264,'Regioturnier 1'!$B$3:$C$34,2,FALSE))=TRUE,0,VLOOKUP(B264,'Regioturnier 1'!$B$3:$C$34,2,FALSE)),IF(ISNA(VLOOKUP(B264,'Regioturnier 1'!$F$3:$G$34,2,FALSE))=TRUE,0,VLOOKUP(B264,'Regioturnier 1'!$F$3:$G$34,2,FALSE)),IF(ISNA(VLOOKUP(B264,'Regioturnier 1'!$J$3:$K$34,2,FALSE))=TRUE,0,VLOOKUP(B264,'Regioturnier 1'!$J$3:$K$34,2,FALSE)),IF(ISNA(VLOOKUP(B264,'Regioturnier 1'!$N$3:$O$34,2,FALSE))=TRUE,0,VLOOKUP(B264,'Regioturnier 1'!$N$3:$O$34,2,FALSE)),IF(ISNA(VLOOKUP(B264,'Regioturnier 1'!$R$3:$S$34,2,FALSE))=TRUE,0,VLOOKUP(B264,'Regioturnier 1'!$R$3:$S$34,2,FALSE)), IF(ISNA(VLOOKUP(B264,'Regioturnier 1'!$V$3:$W$34,2,FALSE))=TRUE,0,VLOOKUP(B264,'Regioturnier 1'!$V$3:$W$34,2,FALSE)), IF(ISNA(VLOOKUP(B264,'Regioturnier 1'!$Z$3:$AA$34,2,FALSE))=TRUE,0,VLOOKUP(B264,'Regioturnier 1'!$Z$3:$AA$34,2,FALSE)))</f>
        <v>0</v>
      </c>
      <c r="P264" s="15">
        <f>MAX(IF(ISNA(VLOOKUP(B264,'Regioturnier 2'!$B$3:$C$34,2,FALSE))=TRUE,0,VLOOKUP(B264,'Regioturnier 2'!$B$3:$C$34,2,FALSE)),IF(ISNA(VLOOKUP(B264,'Regioturnier 2'!$F$3:$G$34,2,FALSE))=TRUE,0,VLOOKUP(B264,'Regioturnier 2'!$F$3:$G$34,2,FALSE)),IF(ISNA(VLOOKUP(B264,'Regioturnier 2'!$J$3:$K$34,2,FALSE))=TRUE,0,VLOOKUP(B264,'Regioturnier 2'!$J$3:$K$34,2,FALSE)),IF(ISNA(VLOOKUP(B264,'Regioturnier 2'!$N$3:$O$34,2,FALSE))=TRUE,0,VLOOKUP(B264,'Regioturnier 2'!$N$3:$O$34,2,FALSE)),IF(ISNA(VLOOKUP(B264,'Regioturnier 2'!$R$3:$S$34,2,FALSE))=TRUE,0,VLOOKUP(B264,'Regioturnier 2'!$R$3:$S$34,2,FALSE)), IF(ISNA(VLOOKUP(B264,'Regioturnier 2'!$V$3:$W$34,2,FALSE))=TRUE,0,VLOOKUP(B264,'Regioturnier 2'!$V$3:$W$34,2,FALSE)), IF(ISNA(VLOOKUP(B264,'Regioturnier 2'!$Z$3:$AA$34,2,FALSE))=TRUE,0,VLOOKUP(B264,'Regioturnier 2'!$Z$3:$AA$34,2,FALSE)))</f>
        <v>0</v>
      </c>
      <c r="Q264" s="15">
        <f>MAX(IF(ISNA(VLOOKUP(B264,'Regioturnier 3'!$B$3:$C$34,2,FALSE))=TRUE,0,VLOOKUP(B264,'Regioturnier 3'!$B$3:$C$34,2,FALSE)),IF(ISNA(VLOOKUP(B264,'Regioturnier 3'!$F$3:$G$34,2,FALSE))=TRUE,0,VLOOKUP(B264,'Regioturnier 3'!$F$3:$G$34,2,FALSE)),IF(ISNA(VLOOKUP(B264,'Regioturnier 3'!$J$3:$K$34,2,FALSE))=TRUE,0,VLOOKUP(B264,'Regioturnier 3'!$J$3:$K$34,2,FALSE)),IF(ISNA(VLOOKUP(B264,'Regioturnier 3'!$N$3:$O$34,2,FALSE))=TRUE,0,VLOOKUP(B264,'Regioturnier 3'!$N$3:$O$34,2,FALSE)),IF(ISNA(VLOOKUP(B264,'Regioturnier 3'!$R$3:$S$34,2,FALSE))=TRUE,0,VLOOKUP(B264,'Regioturnier 3'!$R$3:$S$34,2,FALSE)), IF(ISNA(VLOOKUP(B264,'Regioturnier 3'!$V$3:$W$34,2,FALSE))=TRUE,0,VLOOKUP(B264,'Regioturnier 3'!$V$3:$W$34,2,FALSE)), IF(ISNA(VLOOKUP(B264,'Regioturnier 3'!$Z$3:$AA$34,2,FALSE))=TRUE,0,VLOOKUP(B264,'Regioturnier 3'!$Z$3:$AA$34,2,FALSE)))</f>
        <v>0</v>
      </c>
      <c r="R264" s="20">
        <f>0.5*INDEX($H264:$N264,MATCH(LARGE($H264:$N264,1),$H264:$N264,0))+0.3*INDEX($H264:$N264,MATCH(LARGE($H264:$N264,2),$H264:$N264,0))+0.2*INDEX($H264:$N264,MATCH(LARGE($H264:$N264,3),$H264:$N264,0))</f>
        <v>0</v>
      </c>
      <c r="S264" s="20">
        <f>0.6*INDEX(O264:Q264,MATCH(LARGE(O264:Q264,1),O264:Q264,0))+0.4*INDEX(O264:Q264,MATCH(LARGE(O264:Q264,2),O264:Q264,0))+0*INDEX(O264:Q264,MATCH(LARGE(O264:Q264,3),O264:Q264,0))</f>
        <v>0</v>
      </c>
      <c r="T264" s="15">
        <f>1*INDEX(R264:S264,MATCH(LARGE(R264:S264,1),R264:S264,0))+0*INDEX(R264:S264,MATCH(LARGE(R264:S264,2),R264:S264,0))</f>
        <v>0</v>
      </c>
      <c r="U264" s="21"/>
      <c r="V264" s="21"/>
      <c r="W264" s="21"/>
      <c r="X264" s="21"/>
      <c r="Y264" s="21"/>
      <c r="Z264" s="21"/>
    </row>
    <row r="265" spans="1:26" ht="12.75" customHeight="1" x14ac:dyDescent="0.3">
      <c r="A265" s="15">
        <v>264</v>
      </c>
      <c r="B265" s="16" t="s">
        <v>129</v>
      </c>
      <c r="C265" s="17" t="s">
        <v>130</v>
      </c>
      <c r="D265" s="15" t="s">
        <v>26</v>
      </c>
      <c r="E265" s="18" t="s">
        <v>23</v>
      </c>
      <c r="F265" s="15">
        <v>109473</v>
      </c>
      <c r="G265" s="22">
        <v>2010</v>
      </c>
      <c r="H265" s="15">
        <f>MAX(IF(ISNA(VLOOKUP(B265,'WBV 1'!$B$3:$C$34,2,FALSE))=TRUE,0,VLOOKUP(B265,'WBV 1'!$B$3:$C$34,2,FALSE)),IF(ISNA(VLOOKUP(B265,'WBV 1'!$F$3:$G$34,2,FALSE))=TRUE,0,VLOOKUP(B265,'WBV 1'!$F$3:$G$34,2,FALSE)),IF(ISNA(VLOOKUP(B265,'WBV 1'!$J$3:$K$34,2,FALSE))=TRUE,0,VLOOKUP(B265,'WBV 1'!$J$3:$K$34,2,FALSE)),IF(ISNA(VLOOKUP(B265,'WBV 1'!$N$3:$O$34,2,FALSE))=TRUE,0,VLOOKUP(B265,'WBV 1'!$N$3:$O$34,2,FALSE)))</f>
        <v>0</v>
      </c>
      <c r="I265" s="15">
        <f>MAX(IF(ISNA(VLOOKUP(B265,'WBV 2'!$B$3:$C$34,2,FALSE))=TRUE,0,VLOOKUP(B265,'WBV 2'!$B$3:$C$34,2,FALSE)),IF(ISNA(VLOOKUP(B265,'WBV 2'!$F$3:$G$34,2,FALSE))=TRUE,0,VLOOKUP(B265,'WBV 2'!$F$3:$G$34,2,FALSE)),IF(ISNA(VLOOKUP(B265,'WBV 2'!$J$3:$K$34,2,FALSE))=TRUE,0,VLOOKUP(B265,'WBV 2'!$J$3:$K$34,2,FALSE)),IF(ISNA(VLOOKUP(B265,'WBV 2'!$N$3:$O$34,2,FALSE))=TRUE,0,VLOOKUP(B265,'WBV 2'!$N$3:$O$34,2,FALSE)))</f>
        <v>0</v>
      </c>
      <c r="J265" s="15">
        <f>MAX(IF(ISNA(VLOOKUP(B265,'WBV 3'!$B$3:$C$34,2,FALSE))=TRUE,0,VLOOKUP(B265,'WBV 3'!$B$3:$C$34,2,FALSE)),IF(ISNA(VLOOKUP(B265,'WBV 3'!$F$3:$G$34,2,FALSE))=TRUE,0,VLOOKUP(B265,'WBV 3'!$F$3:$G$34,2,FALSE)),IF(ISNA(VLOOKUP(B265,'WBV 3'!$J$3:$K$34,2,FALSE))=TRUE,0,VLOOKUP(B265,'WBV 3'!$J$3:$K$34,2,FALSE)),IF(ISNA(VLOOKUP(B265,'WBV 3'!$N$3:$O$34,2,FALSE))=TRUE,0,VLOOKUP(B265,'WBV 3'!$N$3:$O$34,2,FALSE)))</f>
        <v>0</v>
      </c>
      <c r="K265" s="15">
        <f>MAX(IF(ISNA(VLOOKUP(B265,'WBV 4'!$B$3:$C$34,2,FALSE))=TRUE,0,VLOOKUP(B265,'WBV 4'!$B$3:$C$34,2,FALSE)),IF(ISNA(VLOOKUP(B265,'WBV 4'!$F$3:$G$34,2,FALSE))=TRUE,0,VLOOKUP(B265,'WBV 4'!$F$3:$G$34,2,FALSE)),IF(ISNA(VLOOKUP(B265,'WBV 4'!$J$3:$K$34,2,FALSE))=TRUE,0,VLOOKUP(B265,'WBV 4'!$J$3:$K$34,2,FALSE)),IF(ISNA(VLOOKUP(B265,'WBV 4'!$N$3:$O$34,2,FALSE))=TRUE,0,VLOOKUP(B265,'WBV 4'!$N$3:$O$34,2,FALSE)))</f>
        <v>0</v>
      </c>
      <c r="L265" s="19">
        <f>MAX(IF(ISNA(VLOOKUP(B265,'NÖBV 1'!$B$3:$C$34,2,FALSE))=TRUE,0,VLOOKUP(B265,'NÖBV 1'!$B$3:$C$34,2,FALSE)),IF(ISNA(VLOOKUP(B265,'NÖBV 1'!$F$3:$G$34,2,FALSE))=TRUE,0,VLOOKUP(B265,'NÖBV 1'!$F$3:$G$34,2,FALSE)),IF(ISNA(VLOOKUP(B265,'NÖBV 1'!$J$3:$K$34,2,FALSE))=TRUE,0,VLOOKUP(B265,'NÖBV 1'!$J$3:$K$34,2,FALSE)),IF(ISNA(VLOOKUP(B265,'NÖBV 1'!$N$3:$O$34,2,FALSE))=TRUE,0,VLOOKUP(B265,'NÖBV 1'!$N$3:$O$34,2,FALSE)))</f>
        <v>0</v>
      </c>
      <c r="M265" s="19">
        <f>MAX(IF(ISNA(VLOOKUP(B265,'NÖBV 2'!$B$3:$C$34,2,FALSE))=TRUE,0,VLOOKUP(B265,'NÖBV 2'!$B$3:$C$34,2,FALSE)),IF(ISNA(VLOOKUP(B265,'NÖBV 2'!$F$3:$G$34,2,FALSE))=TRUE,0,VLOOKUP(B265,'NÖBV 2'!$F$3:$G$34,2,FALSE)),IF(ISNA(VLOOKUP(B265,'NÖBV 2'!$J$3:$K$34,2,FALSE))=TRUE,0,VLOOKUP(B265,'NÖBV 2'!$J$3:$K$34,2,FALSE)),IF(ISNA(VLOOKUP(B265,'NÖBV 2'!$N$3:$O$34,2,FALSE))=TRUE,0,VLOOKUP(B265,'NÖBV 2'!$N$3:$O$34,2,FALSE)))</f>
        <v>0</v>
      </c>
      <c r="N265" s="19">
        <f>MAX(IF(ISNA(VLOOKUP(B265,'NÖBV 3'!$B$3:$C$34,2,FALSE))=TRUE,0,VLOOKUP(B265,'NÖBV 3'!$B$3:$C$34,2,FALSE)),IF(ISNA(VLOOKUP(B265,'NÖBV 3'!$F$3:$G$34,2,FALSE))=TRUE,0,VLOOKUP(B265,'NÖBV 3'!$F$3:$G$34,2,FALSE)),IF(ISNA(VLOOKUP(B265,'NÖBV 3'!$J$3:$K$34,2,FALSE))=TRUE,0,VLOOKUP(B265,'NÖBV 3'!$J$3:$K$34,2,FALSE)),IF(ISNA(VLOOKUP(B265,'NÖBV 3'!$N$3:$O$34,2,FALSE))=TRUE,0,VLOOKUP(B265,'NÖBV 3'!$N$3:$O$34,2,FALSE)))</f>
        <v>0</v>
      </c>
      <c r="O265" s="15">
        <f>MAX(IF(ISNA(VLOOKUP(B265,'Regioturnier 1'!$B$3:$C$34,2,FALSE))=TRUE,0,VLOOKUP(B265,'Regioturnier 1'!$B$3:$C$34,2,FALSE)),IF(ISNA(VLOOKUP(B265,'Regioturnier 1'!$F$3:$G$34,2,FALSE))=TRUE,0,VLOOKUP(B265,'Regioturnier 1'!$F$3:$G$34,2,FALSE)),IF(ISNA(VLOOKUP(B265,'Regioturnier 1'!$J$3:$K$34,2,FALSE))=TRUE,0,VLOOKUP(B265,'Regioturnier 1'!$J$3:$K$34,2,FALSE)),IF(ISNA(VLOOKUP(B265,'Regioturnier 1'!$N$3:$O$34,2,FALSE))=TRUE,0,VLOOKUP(B265,'Regioturnier 1'!$N$3:$O$34,2,FALSE)),IF(ISNA(VLOOKUP(B265,'Regioturnier 1'!$R$3:$S$34,2,FALSE))=TRUE,0,VLOOKUP(B265,'Regioturnier 1'!$R$3:$S$34,2,FALSE)), IF(ISNA(VLOOKUP(B265,'Regioturnier 1'!$V$3:$W$34,2,FALSE))=TRUE,0,VLOOKUP(B265,'Regioturnier 1'!$V$3:$W$34,2,FALSE)), IF(ISNA(VLOOKUP(B265,'Regioturnier 1'!$Z$3:$AA$34,2,FALSE))=TRUE,0,VLOOKUP(B265,'Regioturnier 1'!$Z$3:$AA$34,2,FALSE)))</f>
        <v>0</v>
      </c>
      <c r="P265" s="15">
        <f>MAX(IF(ISNA(VLOOKUP(B265,'Regioturnier 2'!$B$3:$C$34,2,FALSE))=TRUE,0,VLOOKUP(B265,'Regioturnier 2'!$B$3:$C$34,2,FALSE)),IF(ISNA(VLOOKUP(B265,'Regioturnier 2'!$F$3:$G$34,2,FALSE))=TRUE,0,VLOOKUP(B265,'Regioturnier 2'!$F$3:$G$34,2,FALSE)),IF(ISNA(VLOOKUP(B265,'Regioturnier 2'!$J$3:$K$34,2,FALSE))=TRUE,0,VLOOKUP(B265,'Regioturnier 2'!$J$3:$K$34,2,FALSE)),IF(ISNA(VLOOKUP(B265,'Regioturnier 2'!$N$3:$O$34,2,FALSE))=TRUE,0,VLOOKUP(B265,'Regioturnier 2'!$N$3:$O$34,2,FALSE)),IF(ISNA(VLOOKUP(B265,'Regioturnier 2'!$R$3:$S$34,2,FALSE))=TRUE,0,VLOOKUP(B265,'Regioturnier 2'!$R$3:$S$34,2,FALSE)), IF(ISNA(VLOOKUP(B265,'Regioturnier 2'!$V$3:$W$34,2,FALSE))=TRUE,0,VLOOKUP(B265,'Regioturnier 2'!$V$3:$W$34,2,FALSE)), IF(ISNA(VLOOKUP(B265,'Regioturnier 2'!$Z$3:$AA$34,2,FALSE))=TRUE,0,VLOOKUP(B265,'Regioturnier 2'!$Z$3:$AA$34,2,FALSE)))</f>
        <v>0</v>
      </c>
      <c r="Q265" s="15">
        <f>MAX(IF(ISNA(VLOOKUP(B265,'Regioturnier 3'!$B$3:$C$34,2,FALSE))=TRUE,0,VLOOKUP(B265,'Regioturnier 3'!$B$3:$C$34,2,FALSE)),IF(ISNA(VLOOKUP(B265,'Regioturnier 3'!$F$3:$G$34,2,FALSE))=TRUE,0,VLOOKUP(B265,'Regioturnier 3'!$F$3:$G$34,2,FALSE)),IF(ISNA(VLOOKUP(B265,'Regioturnier 3'!$J$3:$K$34,2,FALSE))=TRUE,0,VLOOKUP(B265,'Regioturnier 3'!$J$3:$K$34,2,FALSE)),IF(ISNA(VLOOKUP(B265,'Regioturnier 3'!$N$3:$O$34,2,FALSE))=TRUE,0,VLOOKUP(B265,'Regioturnier 3'!$N$3:$O$34,2,FALSE)),IF(ISNA(VLOOKUP(B265,'Regioturnier 3'!$R$3:$S$34,2,FALSE))=TRUE,0,VLOOKUP(B265,'Regioturnier 3'!$R$3:$S$34,2,FALSE)), IF(ISNA(VLOOKUP(B265,'Regioturnier 3'!$V$3:$W$34,2,FALSE))=TRUE,0,VLOOKUP(B265,'Regioturnier 3'!$V$3:$W$34,2,FALSE)), IF(ISNA(VLOOKUP(B265,'Regioturnier 3'!$Z$3:$AA$34,2,FALSE))=TRUE,0,VLOOKUP(B265,'Regioturnier 3'!$Z$3:$AA$34,2,FALSE)))</f>
        <v>0</v>
      </c>
      <c r="R265" s="20">
        <f>0.5*INDEX($H265:$N265,MATCH(LARGE($H265:$N265,1),$H265:$N265,0))+0.3*INDEX($H265:$N265,MATCH(LARGE($H265:$N265,2),$H265:$N265,0))+0.2*INDEX($H265:$N265,MATCH(LARGE($H265:$N265,3),$H265:$N265,0))</f>
        <v>0</v>
      </c>
      <c r="S265" s="20">
        <f>0.6*INDEX(O265:Q265,MATCH(LARGE(O265:Q265,1),O265:Q265,0))+0.4*INDEX(O265:Q265,MATCH(LARGE(O265:Q265,2),O265:Q265,0))+0*INDEX(O265:Q265,MATCH(LARGE(O265:Q265,3),O265:Q265,0))</f>
        <v>0</v>
      </c>
      <c r="T265" s="15">
        <f>1*INDEX(R265:S265,MATCH(LARGE(R265:S265,1),R265:S265,0))+0*INDEX(R265:S265,MATCH(LARGE(R265:S265,2),R265:S265,0))</f>
        <v>0</v>
      </c>
      <c r="U265" s="21"/>
      <c r="V265" s="21"/>
      <c r="W265" s="21"/>
      <c r="X265" s="21"/>
      <c r="Y265" s="21"/>
      <c r="Z265" s="21"/>
    </row>
    <row r="266" spans="1:26" ht="12.75" customHeight="1" x14ac:dyDescent="0.3">
      <c r="A266" s="15">
        <v>265</v>
      </c>
      <c r="B266" s="16" t="s">
        <v>136</v>
      </c>
      <c r="C266" s="17" t="s">
        <v>130</v>
      </c>
      <c r="D266" s="15" t="s">
        <v>26</v>
      </c>
      <c r="E266" s="18" t="s">
        <v>23</v>
      </c>
      <c r="F266" s="15">
        <v>109473</v>
      </c>
      <c r="G266" s="22">
        <v>2010</v>
      </c>
      <c r="H266" s="15">
        <f>MAX(IF(ISNA(VLOOKUP(B266,'WBV 1'!$B$3:$C$34,2,FALSE))=TRUE,0,VLOOKUP(B266,'WBV 1'!$B$3:$C$34,2,FALSE)),IF(ISNA(VLOOKUP(B266,'WBV 1'!$F$3:$G$34,2,FALSE))=TRUE,0,VLOOKUP(B266,'WBV 1'!$F$3:$G$34,2,FALSE)),IF(ISNA(VLOOKUP(B266,'WBV 1'!$J$3:$K$34,2,FALSE))=TRUE,0,VLOOKUP(B266,'WBV 1'!$J$3:$K$34,2,FALSE)),IF(ISNA(VLOOKUP(B266,'WBV 1'!$N$3:$O$34,2,FALSE))=TRUE,0,VLOOKUP(B266,'WBV 1'!$N$3:$O$34,2,FALSE)))</f>
        <v>0</v>
      </c>
      <c r="I266" s="15">
        <f>MAX(IF(ISNA(VLOOKUP(B266,'WBV 2'!$B$3:$C$34,2,FALSE))=TRUE,0,VLOOKUP(B266,'WBV 2'!$B$3:$C$34,2,FALSE)),IF(ISNA(VLOOKUP(B266,'WBV 2'!$F$3:$G$34,2,FALSE))=TRUE,0,VLOOKUP(B266,'WBV 2'!$F$3:$G$34,2,FALSE)),IF(ISNA(VLOOKUP(B266,'WBV 2'!$J$3:$K$34,2,FALSE))=TRUE,0,VLOOKUP(B266,'WBV 2'!$J$3:$K$34,2,FALSE)),IF(ISNA(VLOOKUP(B266,'WBV 2'!$N$3:$O$34,2,FALSE))=TRUE,0,VLOOKUP(B266,'WBV 2'!$N$3:$O$34,2,FALSE)))</f>
        <v>0</v>
      </c>
      <c r="J266" s="15">
        <f>MAX(IF(ISNA(VLOOKUP(B266,'WBV 3'!$B$3:$C$34,2,FALSE))=TRUE,0,VLOOKUP(B266,'WBV 3'!$B$3:$C$34,2,FALSE)),IF(ISNA(VLOOKUP(B266,'WBV 3'!$F$3:$G$34,2,FALSE))=TRUE,0,VLOOKUP(B266,'WBV 3'!$F$3:$G$34,2,FALSE)),IF(ISNA(VLOOKUP(B266,'WBV 3'!$J$3:$K$34,2,FALSE))=TRUE,0,VLOOKUP(B266,'WBV 3'!$J$3:$K$34,2,FALSE)),IF(ISNA(VLOOKUP(B266,'WBV 3'!$N$3:$O$34,2,FALSE))=TRUE,0,VLOOKUP(B266,'WBV 3'!$N$3:$O$34,2,FALSE)))</f>
        <v>0</v>
      </c>
      <c r="K266" s="15">
        <f>MAX(IF(ISNA(VLOOKUP(B266,'WBV 4'!$B$3:$C$34,2,FALSE))=TRUE,0,VLOOKUP(B266,'WBV 4'!$B$3:$C$34,2,FALSE)),IF(ISNA(VLOOKUP(B266,'WBV 4'!$F$3:$G$34,2,FALSE))=TRUE,0,VLOOKUP(B266,'WBV 4'!$F$3:$G$34,2,FALSE)),IF(ISNA(VLOOKUP(B266,'WBV 4'!$J$3:$K$34,2,FALSE))=TRUE,0,VLOOKUP(B266,'WBV 4'!$J$3:$K$34,2,FALSE)),IF(ISNA(VLOOKUP(B266,'WBV 4'!$N$3:$O$34,2,FALSE))=TRUE,0,VLOOKUP(B266,'WBV 4'!$N$3:$O$34,2,FALSE)))</f>
        <v>0</v>
      </c>
      <c r="L266" s="19">
        <f>MAX(IF(ISNA(VLOOKUP(B266,'NÖBV 1'!$B$3:$C$34,2,FALSE))=TRUE,0,VLOOKUP(B266,'NÖBV 1'!$B$3:$C$34,2,FALSE)),IF(ISNA(VLOOKUP(B266,'NÖBV 1'!$F$3:$G$34,2,FALSE))=TRUE,0,VLOOKUP(B266,'NÖBV 1'!$F$3:$G$34,2,FALSE)),IF(ISNA(VLOOKUP(B266,'NÖBV 1'!$J$3:$K$34,2,FALSE))=TRUE,0,VLOOKUP(B266,'NÖBV 1'!$J$3:$K$34,2,FALSE)),IF(ISNA(VLOOKUP(B266,'NÖBV 1'!$N$3:$O$34,2,FALSE))=TRUE,0,VLOOKUP(B266,'NÖBV 1'!$N$3:$O$34,2,FALSE)))</f>
        <v>0</v>
      </c>
      <c r="M266" s="19">
        <f>MAX(IF(ISNA(VLOOKUP(B266,'NÖBV 2'!$B$3:$C$34,2,FALSE))=TRUE,0,VLOOKUP(B266,'NÖBV 2'!$B$3:$C$34,2,FALSE)),IF(ISNA(VLOOKUP(B266,'NÖBV 2'!$F$3:$G$34,2,FALSE))=TRUE,0,VLOOKUP(B266,'NÖBV 2'!$F$3:$G$34,2,FALSE)),IF(ISNA(VLOOKUP(B266,'NÖBV 2'!$J$3:$K$34,2,FALSE))=TRUE,0,VLOOKUP(B266,'NÖBV 2'!$J$3:$K$34,2,FALSE)),IF(ISNA(VLOOKUP(B266,'NÖBV 2'!$N$3:$O$34,2,FALSE))=TRUE,0,VLOOKUP(B266,'NÖBV 2'!$N$3:$O$34,2,FALSE)))</f>
        <v>0</v>
      </c>
      <c r="N266" s="19">
        <f>MAX(IF(ISNA(VLOOKUP(B266,'NÖBV 3'!$B$3:$C$34,2,FALSE))=TRUE,0,VLOOKUP(B266,'NÖBV 3'!$B$3:$C$34,2,FALSE)),IF(ISNA(VLOOKUP(B266,'NÖBV 3'!$F$3:$G$34,2,FALSE))=TRUE,0,VLOOKUP(B266,'NÖBV 3'!$F$3:$G$34,2,FALSE)),IF(ISNA(VLOOKUP(B266,'NÖBV 3'!$J$3:$K$34,2,FALSE))=TRUE,0,VLOOKUP(B266,'NÖBV 3'!$J$3:$K$34,2,FALSE)),IF(ISNA(VLOOKUP(B266,'NÖBV 3'!$N$3:$O$34,2,FALSE))=TRUE,0,VLOOKUP(B266,'NÖBV 3'!$N$3:$O$34,2,FALSE)))</f>
        <v>0</v>
      </c>
      <c r="O266" s="15">
        <f>MAX(IF(ISNA(VLOOKUP(B266,'Regioturnier 1'!$B$3:$C$34,2,FALSE))=TRUE,0,VLOOKUP(B266,'Regioturnier 1'!$B$3:$C$34,2,FALSE)),IF(ISNA(VLOOKUP(B266,'Regioturnier 1'!$F$3:$G$34,2,FALSE))=TRUE,0,VLOOKUP(B266,'Regioturnier 1'!$F$3:$G$34,2,FALSE)),IF(ISNA(VLOOKUP(B266,'Regioturnier 1'!$J$3:$K$34,2,FALSE))=TRUE,0,VLOOKUP(B266,'Regioturnier 1'!$J$3:$K$34,2,FALSE)),IF(ISNA(VLOOKUP(B266,'Regioturnier 1'!$N$3:$O$34,2,FALSE))=TRUE,0,VLOOKUP(B266,'Regioturnier 1'!$N$3:$O$34,2,FALSE)),IF(ISNA(VLOOKUP(B266,'Regioturnier 1'!$R$3:$S$34,2,FALSE))=TRUE,0,VLOOKUP(B266,'Regioturnier 1'!$R$3:$S$34,2,FALSE)), IF(ISNA(VLOOKUP(B266,'Regioturnier 1'!$V$3:$W$34,2,FALSE))=TRUE,0,VLOOKUP(B266,'Regioturnier 1'!$V$3:$W$34,2,FALSE)), IF(ISNA(VLOOKUP(B266,'Regioturnier 1'!$Z$3:$AA$34,2,FALSE))=TRUE,0,VLOOKUP(B266,'Regioturnier 1'!$Z$3:$AA$34,2,FALSE)))</f>
        <v>0</v>
      </c>
      <c r="P266" s="15">
        <f>MAX(IF(ISNA(VLOOKUP(B266,'Regioturnier 2'!$B$3:$C$34,2,FALSE))=TRUE,0,VLOOKUP(B266,'Regioturnier 2'!$B$3:$C$34,2,FALSE)),IF(ISNA(VLOOKUP(B266,'Regioturnier 2'!$F$3:$G$34,2,FALSE))=TRUE,0,VLOOKUP(B266,'Regioturnier 2'!$F$3:$G$34,2,FALSE)),IF(ISNA(VLOOKUP(B266,'Regioturnier 2'!$J$3:$K$34,2,FALSE))=TRUE,0,VLOOKUP(B266,'Regioturnier 2'!$J$3:$K$34,2,FALSE)),IF(ISNA(VLOOKUP(B266,'Regioturnier 2'!$N$3:$O$34,2,FALSE))=TRUE,0,VLOOKUP(B266,'Regioturnier 2'!$N$3:$O$34,2,FALSE)),IF(ISNA(VLOOKUP(B266,'Regioturnier 2'!$R$3:$S$34,2,FALSE))=TRUE,0,VLOOKUP(B266,'Regioturnier 2'!$R$3:$S$34,2,FALSE)), IF(ISNA(VLOOKUP(B266,'Regioturnier 2'!$V$3:$W$34,2,FALSE))=TRUE,0,VLOOKUP(B266,'Regioturnier 2'!$V$3:$W$34,2,FALSE)), IF(ISNA(VLOOKUP(B266,'Regioturnier 2'!$Z$3:$AA$34,2,FALSE))=TRUE,0,VLOOKUP(B266,'Regioturnier 2'!$Z$3:$AA$34,2,FALSE)))</f>
        <v>0</v>
      </c>
      <c r="Q266" s="15">
        <f>MAX(IF(ISNA(VLOOKUP(B266,'Regioturnier 3'!$B$3:$C$34,2,FALSE))=TRUE,0,VLOOKUP(B266,'Regioturnier 3'!$B$3:$C$34,2,FALSE)),IF(ISNA(VLOOKUP(B266,'Regioturnier 3'!$F$3:$G$34,2,FALSE))=TRUE,0,VLOOKUP(B266,'Regioturnier 3'!$F$3:$G$34,2,FALSE)),IF(ISNA(VLOOKUP(B266,'Regioturnier 3'!$J$3:$K$34,2,FALSE))=TRUE,0,VLOOKUP(B266,'Regioturnier 3'!$J$3:$K$34,2,FALSE)),IF(ISNA(VLOOKUP(B266,'Regioturnier 3'!$N$3:$O$34,2,FALSE))=TRUE,0,VLOOKUP(B266,'Regioturnier 3'!$N$3:$O$34,2,FALSE)),IF(ISNA(VLOOKUP(B266,'Regioturnier 3'!$R$3:$S$34,2,FALSE))=TRUE,0,VLOOKUP(B266,'Regioturnier 3'!$R$3:$S$34,2,FALSE)), IF(ISNA(VLOOKUP(B266,'Regioturnier 3'!$V$3:$W$34,2,FALSE))=TRUE,0,VLOOKUP(B266,'Regioturnier 3'!$V$3:$W$34,2,FALSE)), IF(ISNA(VLOOKUP(B266,'Regioturnier 3'!$Z$3:$AA$34,2,FALSE))=TRUE,0,VLOOKUP(B266,'Regioturnier 3'!$Z$3:$AA$34,2,FALSE)))</f>
        <v>0</v>
      </c>
      <c r="R266" s="20">
        <f>0.5*INDEX($H266:$N266,MATCH(LARGE($H266:$N266,1),$H266:$N266,0))+0.3*INDEX($H266:$N266,MATCH(LARGE($H266:$N266,2),$H266:$N266,0))+0.2*INDEX($H266:$N266,MATCH(LARGE($H266:$N266,3),$H266:$N266,0))</f>
        <v>0</v>
      </c>
      <c r="S266" s="20">
        <f>0.6*INDEX(O266:Q266,MATCH(LARGE(O266:Q266,1),O266:Q266,0))+0.4*INDEX(O266:Q266,MATCH(LARGE(O266:Q266,2),O266:Q266,0))+0*INDEX(O266:Q266,MATCH(LARGE(O266:Q266,3),O266:Q266,0))</f>
        <v>0</v>
      </c>
      <c r="T266" s="15">
        <f>1*INDEX(R266:S266,MATCH(LARGE(R266:S266,1),R266:S266,0))+0*INDEX(R266:S266,MATCH(LARGE(R266:S266,2),R266:S266,0))</f>
        <v>0</v>
      </c>
      <c r="U266" s="21"/>
      <c r="V266" s="21"/>
      <c r="W266" s="21"/>
      <c r="X266" s="21"/>
      <c r="Y266" s="21"/>
      <c r="Z266" s="21"/>
    </row>
    <row r="267" spans="1:26" ht="12.75" customHeight="1" x14ac:dyDescent="0.3">
      <c r="A267" s="15">
        <v>266</v>
      </c>
      <c r="B267" s="16" t="s">
        <v>163</v>
      </c>
      <c r="C267" s="17" t="s">
        <v>25</v>
      </c>
      <c r="D267" s="15" t="s">
        <v>26</v>
      </c>
      <c r="E267" s="18" t="s">
        <v>23</v>
      </c>
      <c r="F267" s="15">
        <v>110370</v>
      </c>
      <c r="G267" s="22">
        <v>2014</v>
      </c>
      <c r="H267" s="15">
        <f>MAX(IF(ISNA(VLOOKUP(B267,'WBV 1'!$B$3:$C$34,2,FALSE))=TRUE,0,VLOOKUP(B267,'WBV 1'!$B$3:$C$34,2,FALSE)),IF(ISNA(VLOOKUP(B267,'WBV 1'!$F$3:$G$34,2,FALSE))=TRUE,0,VLOOKUP(B267,'WBV 1'!$F$3:$G$34,2,FALSE)),IF(ISNA(VLOOKUP(B267,'WBV 1'!$J$3:$K$34,2,FALSE))=TRUE,0,VLOOKUP(B267,'WBV 1'!$J$3:$K$34,2,FALSE)),IF(ISNA(VLOOKUP(B267,'WBV 1'!$N$3:$O$34,2,FALSE))=TRUE,0,VLOOKUP(B267,'WBV 1'!$N$3:$O$34,2,FALSE)))</f>
        <v>0</v>
      </c>
      <c r="I267" s="15">
        <f>MAX(IF(ISNA(VLOOKUP(B267,'WBV 2'!$B$3:$C$34,2,FALSE))=TRUE,0,VLOOKUP(B267,'WBV 2'!$B$3:$C$34,2,FALSE)),IF(ISNA(VLOOKUP(B267,'WBV 2'!$F$3:$G$34,2,FALSE))=TRUE,0,VLOOKUP(B267,'WBV 2'!$F$3:$G$34,2,FALSE)),IF(ISNA(VLOOKUP(B267,'WBV 2'!$J$3:$K$34,2,FALSE))=TRUE,0,VLOOKUP(B267,'WBV 2'!$J$3:$K$34,2,FALSE)),IF(ISNA(VLOOKUP(B267,'WBV 2'!$N$3:$O$34,2,FALSE))=TRUE,0,VLOOKUP(B267,'WBV 2'!$N$3:$O$34,2,FALSE)))</f>
        <v>0</v>
      </c>
      <c r="J267" s="15">
        <f>MAX(IF(ISNA(VLOOKUP(B267,'WBV 3'!$B$3:$C$34,2,FALSE))=TRUE,0,VLOOKUP(B267,'WBV 3'!$B$3:$C$34,2,FALSE)),IF(ISNA(VLOOKUP(B267,'WBV 3'!$F$3:$G$34,2,FALSE))=TRUE,0,VLOOKUP(B267,'WBV 3'!$F$3:$G$34,2,FALSE)),IF(ISNA(VLOOKUP(B267,'WBV 3'!$J$3:$K$34,2,FALSE))=TRUE,0,VLOOKUP(B267,'WBV 3'!$J$3:$K$34,2,FALSE)),IF(ISNA(VLOOKUP(B267,'WBV 3'!$N$3:$O$34,2,FALSE))=TRUE,0,VLOOKUP(B267,'WBV 3'!$N$3:$O$34,2,FALSE)))</f>
        <v>0</v>
      </c>
      <c r="K267" s="15">
        <f>MAX(IF(ISNA(VLOOKUP(B267,'WBV 4'!$B$3:$C$34,2,FALSE))=TRUE,0,VLOOKUP(B267,'WBV 4'!$B$3:$C$34,2,FALSE)),IF(ISNA(VLOOKUP(B267,'WBV 4'!$F$3:$G$34,2,FALSE))=TRUE,0,VLOOKUP(B267,'WBV 4'!$F$3:$G$34,2,FALSE)),IF(ISNA(VLOOKUP(B267,'WBV 4'!$J$3:$K$34,2,FALSE))=TRUE,0,VLOOKUP(B267,'WBV 4'!$J$3:$K$34,2,FALSE)),IF(ISNA(VLOOKUP(B267,'WBV 4'!$N$3:$O$34,2,FALSE))=TRUE,0,VLOOKUP(B267,'WBV 4'!$N$3:$O$34,2,FALSE)))</f>
        <v>0</v>
      </c>
      <c r="L267" s="19">
        <f>MAX(IF(ISNA(VLOOKUP(B267,'NÖBV 1'!$B$3:$C$34,2,FALSE))=TRUE,0,VLOOKUP(B267,'NÖBV 1'!$B$3:$C$34,2,FALSE)),IF(ISNA(VLOOKUP(B267,'NÖBV 1'!$F$3:$G$34,2,FALSE))=TRUE,0,VLOOKUP(B267,'NÖBV 1'!$F$3:$G$34,2,FALSE)),IF(ISNA(VLOOKUP(B267,'NÖBV 1'!$J$3:$K$34,2,FALSE))=TRUE,0,VLOOKUP(B267,'NÖBV 1'!$J$3:$K$34,2,FALSE)),IF(ISNA(VLOOKUP(B267,'NÖBV 1'!$N$3:$O$34,2,FALSE))=TRUE,0,VLOOKUP(B267,'NÖBV 1'!$N$3:$O$34,2,FALSE)))</f>
        <v>0</v>
      </c>
      <c r="M267" s="19">
        <f>MAX(IF(ISNA(VLOOKUP(B267,'NÖBV 2'!$B$3:$C$34,2,FALSE))=TRUE,0,VLOOKUP(B267,'NÖBV 2'!$B$3:$C$34,2,FALSE)),IF(ISNA(VLOOKUP(B267,'NÖBV 2'!$F$3:$G$34,2,FALSE))=TRUE,0,VLOOKUP(B267,'NÖBV 2'!$F$3:$G$34,2,FALSE)),IF(ISNA(VLOOKUP(B267,'NÖBV 2'!$J$3:$K$34,2,FALSE))=TRUE,0,VLOOKUP(B267,'NÖBV 2'!$J$3:$K$34,2,FALSE)),IF(ISNA(VLOOKUP(B267,'NÖBV 2'!$N$3:$O$34,2,FALSE))=TRUE,0,VLOOKUP(B267,'NÖBV 2'!$N$3:$O$34,2,FALSE)))</f>
        <v>0</v>
      </c>
      <c r="N267" s="19">
        <f>MAX(IF(ISNA(VLOOKUP(B267,'NÖBV 3'!$B$3:$C$34,2,FALSE))=TRUE,0,VLOOKUP(B267,'NÖBV 3'!$B$3:$C$34,2,FALSE)),IF(ISNA(VLOOKUP(B267,'NÖBV 3'!$F$3:$G$34,2,FALSE))=TRUE,0,VLOOKUP(B267,'NÖBV 3'!$F$3:$G$34,2,FALSE)),IF(ISNA(VLOOKUP(B267,'NÖBV 3'!$J$3:$K$34,2,FALSE))=TRUE,0,VLOOKUP(B267,'NÖBV 3'!$J$3:$K$34,2,FALSE)),IF(ISNA(VLOOKUP(B267,'NÖBV 3'!$N$3:$O$34,2,FALSE))=TRUE,0,VLOOKUP(B267,'NÖBV 3'!$N$3:$O$34,2,FALSE)))</f>
        <v>0</v>
      </c>
      <c r="O267" s="15">
        <f>MAX(IF(ISNA(VLOOKUP(B267,'Regioturnier 1'!$B$3:$C$34,2,FALSE))=TRUE,0,VLOOKUP(B267,'Regioturnier 1'!$B$3:$C$34,2,FALSE)),IF(ISNA(VLOOKUP(B267,'Regioturnier 1'!$F$3:$G$34,2,FALSE))=TRUE,0,VLOOKUP(B267,'Regioturnier 1'!$F$3:$G$34,2,FALSE)),IF(ISNA(VLOOKUP(B267,'Regioturnier 1'!$J$3:$K$34,2,FALSE))=TRUE,0,VLOOKUP(B267,'Regioturnier 1'!$J$3:$K$34,2,FALSE)),IF(ISNA(VLOOKUP(B267,'Regioturnier 1'!$N$3:$O$34,2,FALSE))=TRUE,0,VLOOKUP(B267,'Regioturnier 1'!$N$3:$O$34,2,FALSE)),IF(ISNA(VLOOKUP(B267,'Regioturnier 1'!$R$3:$S$34,2,FALSE))=TRUE,0,VLOOKUP(B267,'Regioturnier 1'!$R$3:$S$34,2,FALSE)), IF(ISNA(VLOOKUP(B267,'Regioturnier 1'!$V$3:$W$34,2,FALSE))=TRUE,0,VLOOKUP(B267,'Regioturnier 1'!$V$3:$W$34,2,FALSE)), IF(ISNA(VLOOKUP(B267,'Regioturnier 1'!$Z$3:$AA$34,2,FALSE))=TRUE,0,VLOOKUP(B267,'Regioturnier 1'!$Z$3:$AA$34,2,FALSE)))</f>
        <v>0</v>
      </c>
      <c r="P267" s="15">
        <f>MAX(IF(ISNA(VLOOKUP(B267,'Regioturnier 2'!$B$3:$C$34,2,FALSE))=TRUE,0,VLOOKUP(B267,'Regioturnier 2'!$B$3:$C$34,2,FALSE)),IF(ISNA(VLOOKUP(B267,'Regioturnier 2'!$F$3:$G$34,2,FALSE))=TRUE,0,VLOOKUP(B267,'Regioturnier 2'!$F$3:$G$34,2,FALSE)),IF(ISNA(VLOOKUP(B267,'Regioturnier 2'!$J$3:$K$34,2,FALSE))=TRUE,0,VLOOKUP(B267,'Regioturnier 2'!$J$3:$K$34,2,FALSE)),IF(ISNA(VLOOKUP(B267,'Regioturnier 2'!$N$3:$O$34,2,FALSE))=TRUE,0,VLOOKUP(B267,'Regioturnier 2'!$N$3:$O$34,2,FALSE)),IF(ISNA(VLOOKUP(B267,'Regioturnier 2'!$R$3:$S$34,2,FALSE))=TRUE,0,VLOOKUP(B267,'Regioturnier 2'!$R$3:$S$34,2,FALSE)), IF(ISNA(VLOOKUP(B267,'Regioturnier 2'!$V$3:$W$34,2,FALSE))=TRUE,0,VLOOKUP(B267,'Regioturnier 2'!$V$3:$W$34,2,FALSE)), IF(ISNA(VLOOKUP(B267,'Regioturnier 2'!$Z$3:$AA$34,2,FALSE))=TRUE,0,VLOOKUP(B267,'Regioturnier 2'!$Z$3:$AA$34,2,FALSE)))</f>
        <v>0</v>
      </c>
      <c r="Q267" s="15">
        <f>MAX(IF(ISNA(VLOOKUP(B267,'Regioturnier 3'!$B$3:$C$34,2,FALSE))=TRUE,0,VLOOKUP(B267,'Regioturnier 3'!$B$3:$C$34,2,FALSE)),IF(ISNA(VLOOKUP(B267,'Regioturnier 3'!$F$3:$G$34,2,FALSE))=TRUE,0,VLOOKUP(B267,'Regioturnier 3'!$F$3:$G$34,2,FALSE)),IF(ISNA(VLOOKUP(B267,'Regioturnier 3'!$J$3:$K$34,2,FALSE))=TRUE,0,VLOOKUP(B267,'Regioturnier 3'!$J$3:$K$34,2,FALSE)),IF(ISNA(VLOOKUP(B267,'Regioturnier 3'!$N$3:$O$34,2,FALSE))=TRUE,0,VLOOKUP(B267,'Regioturnier 3'!$N$3:$O$34,2,FALSE)),IF(ISNA(VLOOKUP(B267,'Regioturnier 3'!$R$3:$S$34,2,FALSE))=TRUE,0,VLOOKUP(B267,'Regioturnier 3'!$R$3:$S$34,2,FALSE)), IF(ISNA(VLOOKUP(B267,'Regioturnier 3'!$V$3:$W$34,2,FALSE))=TRUE,0,VLOOKUP(B267,'Regioturnier 3'!$V$3:$W$34,2,FALSE)), IF(ISNA(VLOOKUP(B267,'Regioturnier 3'!$Z$3:$AA$34,2,FALSE))=TRUE,0,VLOOKUP(B267,'Regioturnier 3'!$Z$3:$AA$34,2,FALSE)))</f>
        <v>0</v>
      </c>
      <c r="R267" s="20">
        <f>0.5*INDEX($H267:$N267,MATCH(LARGE($H267:$N267,1),$H267:$N267,0))+0.3*INDEX($H267:$N267,MATCH(LARGE($H267:$N267,2),$H267:$N267,0))+0.2*INDEX($H267:$N267,MATCH(LARGE($H267:$N267,3),$H267:$N267,0))</f>
        <v>0</v>
      </c>
      <c r="S267" s="20">
        <f>0.6*INDEX(O267:Q267,MATCH(LARGE(O267:Q267,1),O267:Q267,0))+0.4*INDEX(O267:Q267,MATCH(LARGE(O267:Q267,2),O267:Q267,0))+0*INDEX(O267:Q267,MATCH(LARGE(O267:Q267,3),O267:Q267,0))</f>
        <v>0</v>
      </c>
      <c r="T267" s="15">
        <f>1*INDEX(R267:S267,MATCH(LARGE(R267:S267,1),R267:S267,0))+0*INDEX(R267:S267,MATCH(LARGE(R267:S267,2),R267:S267,0))</f>
        <v>0</v>
      </c>
      <c r="U267" s="21"/>
      <c r="V267" s="21"/>
      <c r="W267" s="21"/>
      <c r="X267" s="21"/>
      <c r="Y267" s="21"/>
      <c r="Z267" s="21"/>
    </row>
    <row r="268" spans="1:26" ht="12.75" customHeight="1" x14ac:dyDescent="0.3">
      <c r="A268" s="15">
        <v>267</v>
      </c>
      <c r="B268" s="16" t="s">
        <v>164</v>
      </c>
      <c r="C268" s="17" t="s">
        <v>31</v>
      </c>
      <c r="D268" s="15" t="s">
        <v>26</v>
      </c>
      <c r="E268" s="18" t="s">
        <v>23</v>
      </c>
      <c r="F268" s="15">
        <v>17030</v>
      </c>
      <c r="G268" s="22">
        <v>2008</v>
      </c>
      <c r="H268" s="15">
        <f>MAX(IF(ISNA(VLOOKUP(B268,'WBV 1'!$B$3:$C$34,2,FALSE))=TRUE,0,VLOOKUP(B268,'WBV 1'!$B$3:$C$34,2,FALSE)),IF(ISNA(VLOOKUP(B268,'WBV 1'!$F$3:$G$34,2,FALSE))=TRUE,0,VLOOKUP(B268,'WBV 1'!$F$3:$G$34,2,FALSE)),IF(ISNA(VLOOKUP(B268,'WBV 1'!$J$3:$K$34,2,FALSE))=TRUE,0,VLOOKUP(B268,'WBV 1'!$J$3:$K$34,2,FALSE)),IF(ISNA(VLOOKUP(B268,'WBV 1'!$N$3:$O$34,2,FALSE))=TRUE,0,VLOOKUP(B268,'WBV 1'!$N$3:$O$34,2,FALSE)))</f>
        <v>0</v>
      </c>
      <c r="I268" s="15">
        <f>MAX(IF(ISNA(VLOOKUP(B268,'WBV 2'!$B$3:$C$34,2,FALSE))=TRUE,0,VLOOKUP(B268,'WBV 2'!$B$3:$C$34,2,FALSE)),IF(ISNA(VLOOKUP(B268,'WBV 2'!$F$3:$G$34,2,FALSE))=TRUE,0,VLOOKUP(B268,'WBV 2'!$F$3:$G$34,2,FALSE)),IF(ISNA(VLOOKUP(B268,'WBV 2'!$J$3:$K$34,2,FALSE))=TRUE,0,VLOOKUP(B268,'WBV 2'!$J$3:$K$34,2,FALSE)),IF(ISNA(VLOOKUP(B268,'WBV 2'!$N$3:$O$34,2,FALSE))=TRUE,0,VLOOKUP(B268,'WBV 2'!$N$3:$O$34,2,FALSE)))</f>
        <v>0</v>
      </c>
      <c r="J268" s="15">
        <f>MAX(IF(ISNA(VLOOKUP(B268,'WBV 3'!$B$3:$C$34,2,FALSE))=TRUE,0,VLOOKUP(B268,'WBV 3'!$B$3:$C$34,2,FALSE)),IF(ISNA(VLOOKUP(B268,'WBV 3'!$F$3:$G$34,2,FALSE))=TRUE,0,VLOOKUP(B268,'WBV 3'!$F$3:$G$34,2,FALSE)),IF(ISNA(VLOOKUP(B268,'WBV 3'!$J$3:$K$34,2,FALSE))=TRUE,0,VLOOKUP(B268,'WBV 3'!$J$3:$K$34,2,FALSE)),IF(ISNA(VLOOKUP(B268,'WBV 3'!$N$3:$O$34,2,FALSE))=TRUE,0,VLOOKUP(B268,'WBV 3'!$N$3:$O$34,2,FALSE)))</f>
        <v>0</v>
      </c>
      <c r="K268" s="15">
        <f>MAX(IF(ISNA(VLOOKUP(B268,'WBV 4'!$B$3:$C$34,2,FALSE))=TRUE,0,VLOOKUP(B268,'WBV 4'!$B$3:$C$34,2,FALSE)),IF(ISNA(VLOOKUP(B268,'WBV 4'!$F$3:$G$34,2,FALSE))=TRUE,0,VLOOKUP(B268,'WBV 4'!$F$3:$G$34,2,FALSE)),IF(ISNA(VLOOKUP(B268,'WBV 4'!$J$3:$K$34,2,FALSE))=TRUE,0,VLOOKUP(B268,'WBV 4'!$J$3:$K$34,2,FALSE)),IF(ISNA(VLOOKUP(B268,'WBV 4'!$N$3:$O$34,2,FALSE))=TRUE,0,VLOOKUP(B268,'WBV 4'!$N$3:$O$34,2,FALSE)))</f>
        <v>0</v>
      </c>
      <c r="L268" s="19">
        <f>MAX(IF(ISNA(VLOOKUP(B268,'NÖBV 1'!$B$3:$C$34,2,FALSE))=TRUE,0,VLOOKUP(B268,'NÖBV 1'!$B$3:$C$34,2,FALSE)),IF(ISNA(VLOOKUP(B268,'NÖBV 1'!$F$3:$G$34,2,FALSE))=TRUE,0,VLOOKUP(B268,'NÖBV 1'!$F$3:$G$34,2,FALSE)),IF(ISNA(VLOOKUP(B268,'NÖBV 1'!$J$3:$K$34,2,FALSE))=TRUE,0,VLOOKUP(B268,'NÖBV 1'!$J$3:$K$34,2,FALSE)),IF(ISNA(VLOOKUP(B268,'NÖBV 1'!$N$3:$O$34,2,FALSE))=TRUE,0,VLOOKUP(B268,'NÖBV 1'!$N$3:$O$34,2,FALSE)))</f>
        <v>0</v>
      </c>
      <c r="M268" s="19">
        <f>MAX(IF(ISNA(VLOOKUP(B268,'NÖBV 2'!$B$3:$C$34,2,FALSE))=TRUE,0,VLOOKUP(B268,'NÖBV 2'!$B$3:$C$34,2,FALSE)),IF(ISNA(VLOOKUP(B268,'NÖBV 2'!$F$3:$G$34,2,FALSE))=TRUE,0,VLOOKUP(B268,'NÖBV 2'!$F$3:$G$34,2,FALSE)),IF(ISNA(VLOOKUP(B268,'NÖBV 2'!$J$3:$K$34,2,FALSE))=TRUE,0,VLOOKUP(B268,'NÖBV 2'!$J$3:$K$34,2,FALSE)),IF(ISNA(VLOOKUP(B268,'NÖBV 2'!$N$3:$O$34,2,FALSE))=TRUE,0,VLOOKUP(B268,'NÖBV 2'!$N$3:$O$34,2,FALSE)))</f>
        <v>0</v>
      </c>
      <c r="N268" s="19">
        <f>MAX(IF(ISNA(VLOOKUP(B268,'NÖBV 3'!$B$3:$C$34,2,FALSE))=TRUE,0,VLOOKUP(B268,'NÖBV 3'!$B$3:$C$34,2,FALSE)),IF(ISNA(VLOOKUP(B268,'NÖBV 3'!$F$3:$G$34,2,FALSE))=TRUE,0,VLOOKUP(B268,'NÖBV 3'!$F$3:$G$34,2,FALSE)),IF(ISNA(VLOOKUP(B268,'NÖBV 3'!$J$3:$K$34,2,FALSE))=TRUE,0,VLOOKUP(B268,'NÖBV 3'!$J$3:$K$34,2,FALSE)),IF(ISNA(VLOOKUP(B268,'NÖBV 3'!$N$3:$O$34,2,FALSE))=TRUE,0,VLOOKUP(B268,'NÖBV 3'!$N$3:$O$34,2,FALSE)))</f>
        <v>0</v>
      </c>
      <c r="O268" s="15">
        <f>MAX(IF(ISNA(VLOOKUP(B268,'Regioturnier 1'!$B$3:$C$34,2,FALSE))=TRUE,0,VLOOKUP(B268,'Regioturnier 1'!$B$3:$C$34,2,FALSE)),IF(ISNA(VLOOKUP(B268,'Regioturnier 1'!$F$3:$G$34,2,FALSE))=TRUE,0,VLOOKUP(B268,'Regioturnier 1'!$F$3:$G$34,2,FALSE)),IF(ISNA(VLOOKUP(B268,'Regioturnier 1'!$J$3:$K$34,2,FALSE))=TRUE,0,VLOOKUP(B268,'Regioturnier 1'!$J$3:$K$34,2,FALSE)),IF(ISNA(VLOOKUP(B268,'Regioturnier 1'!$N$3:$O$34,2,FALSE))=TRUE,0,VLOOKUP(B268,'Regioturnier 1'!$N$3:$O$34,2,FALSE)),IF(ISNA(VLOOKUP(B268,'Regioturnier 1'!$R$3:$S$34,2,FALSE))=TRUE,0,VLOOKUP(B268,'Regioturnier 1'!$R$3:$S$34,2,FALSE)), IF(ISNA(VLOOKUP(B268,'Regioturnier 1'!$V$3:$W$34,2,FALSE))=TRUE,0,VLOOKUP(B268,'Regioturnier 1'!$V$3:$W$34,2,FALSE)), IF(ISNA(VLOOKUP(B268,'Regioturnier 1'!$Z$3:$AA$34,2,FALSE))=TRUE,0,VLOOKUP(B268,'Regioturnier 1'!$Z$3:$AA$34,2,FALSE)))</f>
        <v>0</v>
      </c>
      <c r="P268" s="15">
        <f>MAX(IF(ISNA(VLOOKUP(B268,'Regioturnier 2'!$B$3:$C$34,2,FALSE))=TRUE,0,VLOOKUP(B268,'Regioturnier 2'!$B$3:$C$34,2,FALSE)),IF(ISNA(VLOOKUP(B268,'Regioturnier 2'!$F$3:$G$34,2,FALSE))=TRUE,0,VLOOKUP(B268,'Regioturnier 2'!$F$3:$G$34,2,FALSE)),IF(ISNA(VLOOKUP(B268,'Regioturnier 2'!$J$3:$K$34,2,FALSE))=TRUE,0,VLOOKUP(B268,'Regioturnier 2'!$J$3:$K$34,2,FALSE)),IF(ISNA(VLOOKUP(B268,'Regioturnier 2'!$N$3:$O$34,2,FALSE))=TRUE,0,VLOOKUP(B268,'Regioturnier 2'!$N$3:$O$34,2,FALSE)),IF(ISNA(VLOOKUP(B268,'Regioturnier 2'!$R$3:$S$34,2,FALSE))=TRUE,0,VLOOKUP(B268,'Regioturnier 2'!$R$3:$S$34,2,FALSE)), IF(ISNA(VLOOKUP(B268,'Regioturnier 2'!$V$3:$W$34,2,FALSE))=TRUE,0,VLOOKUP(B268,'Regioturnier 2'!$V$3:$W$34,2,FALSE)), IF(ISNA(VLOOKUP(B268,'Regioturnier 2'!$Z$3:$AA$34,2,FALSE))=TRUE,0,VLOOKUP(B268,'Regioturnier 2'!$Z$3:$AA$34,2,FALSE)))</f>
        <v>0</v>
      </c>
      <c r="Q268" s="15">
        <f>MAX(IF(ISNA(VLOOKUP(B268,'Regioturnier 3'!$B$3:$C$34,2,FALSE))=TRUE,0,VLOOKUP(B268,'Regioturnier 3'!$B$3:$C$34,2,FALSE)),IF(ISNA(VLOOKUP(B268,'Regioturnier 3'!$F$3:$G$34,2,FALSE))=TRUE,0,VLOOKUP(B268,'Regioturnier 3'!$F$3:$G$34,2,FALSE)),IF(ISNA(VLOOKUP(B268,'Regioturnier 3'!$J$3:$K$34,2,FALSE))=TRUE,0,VLOOKUP(B268,'Regioturnier 3'!$J$3:$K$34,2,FALSE)),IF(ISNA(VLOOKUP(B268,'Regioturnier 3'!$N$3:$O$34,2,FALSE))=TRUE,0,VLOOKUP(B268,'Regioturnier 3'!$N$3:$O$34,2,FALSE)),IF(ISNA(VLOOKUP(B268,'Regioturnier 3'!$R$3:$S$34,2,FALSE))=TRUE,0,VLOOKUP(B268,'Regioturnier 3'!$R$3:$S$34,2,FALSE)), IF(ISNA(VLOOKUP(B268,'Regioturnier 3'!$V$3:$W$34,2,FALSE))=TRUE,0,VLOOKUP(B268,'Regioturnier 3'!$V$3:$W$34,2,FALSE)), IF(ISNA(VLOOKUP(B268,'Regioturnier 3'!$Z$3:$AA$34,2,FALSE))=TRUE,0,VLOOKUP(B268,'Regioturnier 3'!$Z$3:$AA$34,2,FALSE)))</f>
        <v>0</v>
      </c>
      <c r="R268" s="20">
        <f>0.5*INDEX($H268:$N268,MATCH(LARGE($H268:$N268,1),$H268:$N268,0))+0.3*INDEX($H268:$N268,MATCH(LARGE($H268:$N268,2),$H268:$N268,0))+0.2*INDEX($H268:$N268,MATCH(LARGE($H268:$N268,3),$H268:$N268,0))</f>
        <v>0</v>
      </c>
      <c r="S268" s="20">
        <f>0.6*INDEX(O268:Q268,MATCH(LARGE(O268:Q268,1),O268:Q268,0))+0.4*INDEX(O268:Q268,MATCH(LARGE(O268:Q268,2),O268:Q268,0))+0*INDEX(O268:Q268,MATCH(LARGE(O268:Q268,3),O268:Q268,0))</f>
        <v>0</v>
      </c>
      <c r="T268" s="15">
        <f>1*INDEX(R268:S268,MATCH(LARGE(R268:S268,1),R268:S268,0))+0*INDEX(R268:S268,MATCH(LARGE(R268:S268,2),R268:S268,0))</f>
        <v>0</v>
      </c>
      <c r="U268" s="21"/>
      <c r="V268" s="21"/>
      <c r="W268" s="21"/>
      <c r="X268" s="21"/>
      <c r="Y268" s="21"/>
      <c r="Z268" s="21"/>
    </row>
    <row r="269" spans="1:26" ht="12.75" customHeight="1" x14ac:dyDescent="0.3">
      <c r="A269" s="15">
        <v>268</v>
      </c>
      <c r="B269" s="16" t="s">
        <v>187</v>
      </c>
      <c r="C269" s="17" t="s">
        <v>54</v>
      </c>
      <c r="D269" s="15" t="s">
        <v>22</v>
      </c>
      <c r="E269" s="18" t="s">
        <v>23</v>
      </c>
      <c r="F269" s="15">
        <v>206815</v>
      </c>
      <c r="G269" s="22">
        <v>2010</v>
      </c>
      <c r="H269" s="15">
        <f>MAX(IF(ISNA(VLOOKUP(B269,'WBV 1'!$B$3:$C$34,2,FALSE))=TRUE,0,VLOOKUP(B269,'WBV 1'!$B$3:$C$34,2,FALSE)),IF(ISNA(VLOOKUP(B269,'WBV 1'!$F$3:$G$34,2,FALSE))=TRUE,0,VLOOKUP(B269,'WBV 1'!$F$3:$G$34,2,FALSE)),IF(ISNA(VLOOKUP(B269,'WBV 1'!$J$3:$K$34,2,FALSE))=TRUE,0,VLOOKUP(B269,'WBV 1'!$J$3:$K$34,2,FALSE)),IF(ISNA(VLOOKUP(B269,'WBV 1'!$N$3:$O$34,2,FALSE))=TRUE,0,VLOOKUP(B269,'WBV 1'!$N$3:$O$34,2,FALSE)))</f>
        <v>0</v>
      </c>
      <c r="I269" s="15">
        <f>MAX(IF(ISNA(VLOOKUP(B269,'WBV 2'!$B$3:$C$34,2,FALSE))=TRUE,0,VLOOKUP(B269,'WBV 2'!$B$3:$C$34,2,FALSE)),IF(ISNA(VLOOKUP(B269,'WBV 2'!$F$3:$G$34,2,FALSE))=TRUE,0,VLOOKUP(B269,'WBV 2'!$F$3:$G$34,2,FALSE)),IF(ISNA(VLOOKUP(B269,'WBV 2'!$J$3:$K$34,2,FALSE))=TRUE,0,VLOOKUP(B269,'WBV 2'!$J$3:$K$34,2,FALSE)),IF(ISNA(VLOOKUP(B269,'WBV 2'!$N$3:$O$34,2,FALSE))=TRUE,0,VLOOKUP(B269,'WBV 2'!$N$3:$O$34,2,FALSE)))</f>
        <v>0</v>
      </c>
      <c r="J269" s="15">
        <f>MAX(IF(ISNA(VLOOKUP(B269,'WBV 3'!$B$3:$C$34,2,FALSE))=TRUE,0,VLOOKUP(B269,'WBV 3'!$B$3:$C$34,2,FALSE)),IF(ISNA(VLOOKUP(B269,'WBV 3'!$F$3:$G$34,2,FALSE))=TRUE,0,VLOOKUP(B269,'WBV 3'!$F$3:$G$34,2,FALSE)),IF(ISNA(VLOOKUP(B269,'WBV 3'!$J$3:$K$34,2,FALSE))=TRUE,0,VLOOKUP(B269,'WBV 3'!$J$3:$K$34,2,FALSE)),IF(ISNA(VLOOKUP(B269,'WBV 3'!$N$3:$O$34,2,FALSE))=TRUE,0,VLOOKUP(B269,'WBV 3'!$N$3:$O$34,2,FALSE)))</f>
        <v>0</v>
      </c>
      <c r="K269" s="15">
        <f>MAX(IF(ISNA(VLOOKUP(B269,'WBV 4'!$B$3:$C$34,2,FALSE))=TRUE,0,VLOOKUP(B269,'WBV 4'!$B$3:$C$34,2,FALSE)),IF(ISNA(VLOOKUP(B269,'WBV 4'!$F$3:$G$34,2,FALSE))=TRUE,0,VLOOKUP(B269,'WBV 4'!$F$3:$G$34,2,FALSE)),IF(ISNA(VLOOKUP(B269,'WBV 4'!$J$3:$K$34,2,FALSE))=TRUE,0,VLOOKUP(B269,'WBV 4'!$J$3:$K$34,2,FALSE)),IF(ISNA(VLOOKUP(B269,'WBV 4'!$N$3:$O$34,2,FALSE))=TRUE,0,VLOOKUP(B269,'WBV 4'!$N$3:$O$34,2,FALSE)))</f>
        <v>0</v>
      </c>
      <c r="L269" s="19">
        <f>MAX(IF(ISNA(VLOOKUP(B269,'NÖBV 1'!$B$3:$C$34,2,FALSE))=TRUE,0,VLOOKUP(B269,'NÖBV 1'!$B$3:$C$34,2,FALSE)),IF(ISNA(VLOOKUP(B269,'NÖBV 1'!$F$3:$G$34,2,FALSE))=TRUE,0,VLOOKUP(B269,'NÖBV 1'!$F$3:$G$34,2,FALSE)),IF(ISNA(VLOOKUP(B269,'NÖBV 1'!$J$3:$K$34,2,FALSE))=TRUE,0,VLOOKUP(B269,'NÖBV 1'!$J$3:$K$34,2,FALSE)),IF(ISNA(VLOOKUP(B269,'NÖBV 1'!$N$3:$O$34,2,FALSE))=TRUE,0,VLOOKUP(B269,'NÖBV 1'!$N$3:$O$34,2,FALSE)))</f>
        <v>0</v>
      </c>
      <c r="M269" s="19">
        <f>MAX(IF(ISNA(VLOOKUP(B269,'NÖBV 2'!$B$3:$C$34,2,FALSE))=TRUE,0,VLOOKUP(B269,'NÖBV 2'!$B$3:$C$34,2,FALSE)),IF(ISNA(VLOOKUP(B269,'NÖBV 2'!$F$3:$G$34,2,FALSE))=TRUE,0,VLOOKUP(B269,'NÖBV 2'!$F$3:$G$34,2,FALSE)),IF(ISNA(VLOOKUP(B269,'NÖBV 2'!$J$3:$K$34,2,FALSE))=TRUE,0,VLOOKUP(B269,'NÖBV 2'!$J$3:$K$34,2,FALSE)),IF(ISNA(VLOOKUP(B269,'NÖBV 2'!$N$3:$O$34,2,FALSE))=TRUE,0,VLOOKUP(B269,'NÖBV 2'!$N$3:$O$34,2,FALSE)))</f>
        <v>0</v>
      </c>
      <c r="N269" s="19">
        <f>MAX(IF(ISNA(VLOOKUP(B269,'NÖBV 3'!$B$3:$C$34,2,FALSE))=TRUE,0,VLOOKUP(B269,'NÖBV 3'!$B$3:$C$34,2,FALSE)),IF(ISNA(VLOOKUP(B269,'NÖBV 3'!$F$3:$G$34,2,FALSE))=TRUE,0,VLOOKUP(B269,'NÖBV 3'!$F$3:$G$34,2,FALSE)),IF(ISNA(VLOOKUP(B269,'NÖBV 3'!$J$3:$K$34,2,FALSE))=TRUE,0,VLOOKUP(B269,'NÖBV 3'!$J$3:$K$34,2,FALSE)),IF(ISNA(VLOOKUP(B269,'NÖBV 3'!$N$3:$O$34,2,FALSE))=TRUE,0,VLOOKUP(B269,'NÖBV 3'!$N$3:$O$34,2,FALSE)))</f>
        <v>0</v>
      </c>
      <c r="O269" s="15">
        <f>MAX(IF(ISNA(VLOOKUP(B269,'Regioturnier 1'!$B$3:$C$34,2,FALSE))=TRUE,0,VLOOKUP(B269,'Regioturnier 1'!$B$3:$C$34,2,FALSE)),IF(ISNA(VLOOKUP(B269,'Regioturnier 1'!$F$3:$G$34,2,FALSE))=TRUE,0,VLOOKUP(B269,'Regioturnier 1'!$F$3:$G$34,2,FALSE)),IF(ISNA(VLOOKUP(B269,'Regioturnier 1'!$J$3:$K$34,2,FALSE))=TRUE,0,VLOOKUP(B269,'Regioturnier 1'!$J$3:$K$34,2,FALSE)),IF(ISNA(VLOOKUP(B269,'Regioturnier 1'!$N$3:$O$34,2,FALSE))=TRUE,0,VLOOKUP(B269,'Regioturnier 1'!$N$3:$O$34,2,FALSE)),IF(ISNA(VLOOKUP(B269,'Regioturnier 1'!$R$3:$S$34,2,FALSE))=TRUE,0,VLOOKUP(B269,'Regioturnier 1'!$R$3:$S$34,2,FALSE)), IF(ISNA(VLOOKUP(B269,'Regioturnier 1'!$V$3:$W$34,2,FALSE))=TRUE,0,VLOOKUP(B269,'Regioturnier 1'!$V$3:$W$34,2,FALSE)), IF(ISNA(VLOOKUP(B269,'Regioturnier 1'!$Z$3:$AA$34,2,FALSE))=TRUE,0,VLOOKUP(B269,'Regioturnier 1'!$Z$3:$AA$34,2,FALSE)))</f>
        <v>0</v>
      </c>
      <c r="P269" s="15">
        <f>MAX(IF(ISNA(VLOOKUP(B269,'Regioturnier 2'!$B$3:$C$34,2,FALSE))=TRUE,0,VLOOKUP(B269,'Regioturnier 2'!$B$3:$C$34,2,FALSE)),IF(ISNA(VLOOKUP(B269,'Regioturnier 2'!$F$3:$G$34,2,FALSE))=TRUE,0,VLOOKUP(B269,'Regioturnier 2'!$F$3:$G$34,2,FALSE)),IF(ISNA(VLOOKUP(B269,'Regioturnier 2'!$J$3:$K$34,2,FALSE))=TRUE,0,VLOOKUP(B269,'Regioturnier 2'!$J$3:$K$34,2,FALSE)),IF(ISNA(VLOOKUP(B269,'Regioturnier 2'!$N$3:$O$34,2,FALSE))=TRUE,0,VLOOKUP(B269,'Regioturnier 2'!$N$3:$O$34,2,FALSE)),IF(ISNA(VLOOKUP(B269,'Regioturnier 2'!$R$3:$S$34,2,FALSE))=TRUE,0,VLOOKUP(B269,'Regioturnier 2'!$R$3:$S$34,2,FALSE)), IF(ISNA(VLOOKUP(B269,'Regioturnier 2'!$V$3:$W$34,2,FALSE))=TRUE,0,VLOOKUP(B269,'Regioturnier 2'!$V$3:$W$34,2,FALSE)), IF(ISNA(VLOOKUP(B269,'Regioturnier 2'!$Z$3:$AA$34,2,FALSE))=TRUE,0,VLOOKUP(B269,'Regioturnier 2'!$Z$3:$AA$34,2,FALSE)))</f>
        <v>0</v>
      </c>
      <c r="Q269" s="15">
        <f>MAX(IF(ISNA(VLOOKUP(B269,'Regioturnier 3'!$B$3:$C$34,2,FALSE))=TRUE,0,VLOOKUP(B269,'Regioturnier 3'!$B$3:$C$34,2,FALSE)),IF(ISNA(VLOOKUP(B269,'Regioturnier 3'!$F$3:$G$34,2,FALSE))=TRUE,0,VLOOKUP(B269,'Regioturnier 3'!$F$3:$G$34,2,FALSE)),IF(ISNA(VLOOKUP(B269,'Regioturnier 3'!$J$3:$K$34,2,FALSE))=TRUE,0,VLOOKUP(B269,'Regioturnier 3'!$J$3:$K$34,2,FALSE)),IF(ISNA(VLOOKUP(B269,'Regioturnier 3'!$N$3:$O$34,2,FALSE))=TRUE,0,VLOOKUP(B269,'Regioturnier 3'!$N$3:$O$34,2,FALSE)),IF(ISNA(VLOOKUP(B269,'Regioturnier 3'!$R$3:$S$34,2,FALSE))=TRUE,0,VLOOKUP(B269,'Regioturnier 3'!$R$3:$S$34,2,FALSE)), IF(ISNA(VLOOKUP(B269,'Regioturnier 3'!$V$3:$W$34,2,FALSE))=TRUE,0,VLOOKUP(B269,'Regioturnier 3'!$V$3:$W$34,2,FALSE)), IF(ISNA(VLOOKUP(B269,'Regioturnier 3'!$Z$3:$AA$34,2,FALSE))=TRUE,0,VLOOKUP(B269,'Regioturnier 3'!$Z$3:$AA$34,2,FALSE)))</f>
        <v>0</v>
      </c>
      <c r="R269" s="20">
        <f>0.5*INDEX($H269:$N269,MATCH(LARGE($H269:$N269,1),$H269:$N269,0))+0.3*INDEX($H269:$N269,MATCH(LARGE($H269:$N269,2),$H269:$N269,0))+0.2*INDEX($H269:$N269,MATCH(LARGE($H269:$N269,3),$H269:$N269,0))</f>
        <v>0</v>
      </c>
      <c r="S269" s="20">
        <f>0.6*INDEX(O269:Q269,MATCH(LARGE(O269:Q269,1),O269:Q269,0))+0.4*INDEX(O269:Q269,MATCH(LARGE(O269:Q269,2),O269:Q269,0))+0*INDEX(O269:Q269,MATCH(LARGE(O269:Q269,3),O269:Q269,0))</f>
        <v>0</v>
      </c>
      <c r="T269" s="15">
        <f>1*INDEX(R269:S269,MATCH(LARGE(R269:S269,1),R269:S269,0))+0*INDEX(R269:S269,MATCH(LARGE(R269:S269,2),R269:S269,0))</f>
        <v>0</v>
      </c>
      <c r="U269" s="21"/>
      <c r="V269" s="21"/>
      <c r="W269" s="21"/>
      <c r="X269" s="21"/>
      <c r="Y269" s="21"/>
      <c r="Z269" s="21"/>
    </row>
    <row r="270" spans="1:26" ht="12.75" customHeight="1" x14ac:dyDescent="0.3">
      <c r="A270" s="15">
        <v>269</v>
      </c>
      <c r="B270" s="16" t="s">
        <v>191</v>
      </c>
      <c r="C270" s="17" t="s">
        <v>192</v>
      </c>
      <c r="D270" s="15" t="s">
        <v>22</v>
      </c>
      <c r="E270" s="18" t="s">
        <v>23</v>
      </c>
      <c r="F270" s="15" t="s">
        <v>193</v>
      </c>
      <c r="G270" s="22">
        <v>2009</v>
      </c>
      <c r="H270" s="15">
        <f>MAX(IF(ISNA(VLOOKUP(B270,'WBV 1'!$B$3:$C$34,2,FALSE))=TRUE,0,VLOOKUP(B270,'WBV 1'!$B$3:$C$34,2,FALSE)),IF(ISNA(VLOOKUP(B270,'WBV 1'!$F$3:$G$34,2,FALSE))=TRUE,0,VLOOKUP(B270,'WBV 1'!$F$3:$G$34,2,FALSE)),IF(ISNA(VLOOKUP(B270,'WBV 1'!$J$3:$K$34,2,FALSE))=TRUE,0,VLOOKUP(B270,'WBV 1'!$J$3:$K$34,2,FALSE)),IF(ISNA(VLOOKUP(B270,'WBV 1'!$N$3:$O$34,2,FALSE))=TRUE,0,VLOOKUP(B270,'WBV 1'!$N$3:$O$34,2,FALSE)))</f>
        <v>0</v>
      </c>
      <c r="I270" s="15">
        <f>MAX(IF(ISNA(VLOOKUP(B270,'WBV 2'!$B$3:$C$34,2,FALSE))=TRUE,0,VLOOKUP(B270,'WBV 2'!$B$3:$C$34,2,FALSE)),IF(ISNA(VLOOKUP(B270,'WBV 2'!$F$3:$G$34,2,FALSE))=TRUE,0,VLOOKUP(B270,'WBV 2'!$F$3:$G$34,2,FALSE)),IF(ISNA(VLOOKUP(B270,'WBV 2'!$J$3:$K$34,2,FALSE))=TRUE,0,VLOOKUP(B270,'WBV 2'!$J$3:$K$34,2,FALSE)),IF(ISNA(VLOOKUP(B270,'WBV 2'!$N$3:$O$34,2,FALSE))=TRUE,0,VLOOKUP(B270,'WBV 2'!$N$3:$O$34,2,FALSE)))</f>
        <v>0</v>
      </c>
      <c r="J270" s="15">
        <f>MAX(IF(ISNA(VLOOKUP(B270,'WBV 3'!$B$3:$C$34,2,FALSE))=TRUE,0,VLOOKUP(B270,'WBV 3'!$B$3:$C$34,2,FALSE)),IF(ISNA(VLOOKUP(B270,'WBV 3'!$F$3:$G$34,2,FALSE))=TRUE,0,VLOOKUP(B270,'WBV 3'!$F$3:$G$34,2,FALSE)),IF(ISNA(VLOOKUP(B270,'WBV 3'!$J$3:$K$34,2,FALSE))=TRUE,0,VLOOKUP(B270,'WBV 3'!$J$3:$K$34,2,FALSE)),IF(ISNA(VLOOKUP(B270,'WBV 3'!$N$3:$O$34,2,FALSE))=TRUE,0,VLOOKUP(B270,'WBV 3'!$N$3:$O$34,2,FALSE)))</f>
        <v>0</v>
      </c>
      <c r="K270" s="15">
        <f>MAX(IF(ISNA(VLOOKUP(B270,'WBV 4'!$B$3:$C$34,2,FALSE))=TRUE,0,VLOOKUP(B270,'WBV 4'!$B$3:$C$34,2,FALSE)),IF(ISNA(VLOOKUP(B270,'WBV 4'!$F$3:$G$34,2,FALSE))=TRUE,0,VLOOKUP(B270,'WBV 4'!$F$3:$G$34,2,FALSE)),IF(ISNA(VLOOKUP(B270,'WBV 4'!$J$3:$K$34,2,FALSE))=TRUE,0,VLOOKUP(B270,'WBV 4'!$J$3:$K$34,2,FALSE)),IF(ISNA(VLOOKUP(B270,'WBV 4'!$N$3:$O$34,2,FALSE))=TRUE,0,VLOOKUP(B270,'WBV 4'!$N$3:$O$34,2,FALSE)))</f>
        <v>0</v>
      </c>
      <c r="L270" s="19">
        <f>MAX(IF(ISNA(VLOOKUP(B270,'NÖBV 1'!$B$3:$C$34,2,FALSE))=TRUE,0,VLOOKUP(B270,'NÖBV 1'!$B$3:$C$34,2,FALSE)),IF(ISNA(VLOOKUP(B270,'NÖBV 1'!$F$3:$G$34,2,FALSE))=TRUE,0,VLOOKUP(B270,'NÖBV 1'!$F$3:$G$34,2,FALSE)),IF(ISNA(VLOOKUP(B270,'NÖBV 1'!$J$3:$K$34,2,FALSE))=TRUE,0,VLOOKUP(B270,'NÖBV 1'!$J$3:$K$34,2,FALSE)),IF(ISNA(VLOOKUP(B270,'NÖBV 1'!$N$3:$O$34,2,FALSE))=TRUE,0,VLOOKUP(B270,'NÖBV 1'!$N$3:$O$34,2,FALSE)))</f>
        <v>0</v>
      </c>
      <c r="M270" s="19">
        <f>MAX(IF(ISNA(VLOOKUP(B270,'NÖBV 2'!$B$3:$C$34,2,FALSE))=TRUE,0,VLOOKUP(B270,'NÖBV 2'!$B$3:$C$34,2,FALSE)),IF(ISNA(VLOOKUP(B270,'NÖBV 2'!$F$3:$G$34,2,FALSE))=TRUE,0,VLOOKUP(B270,'NÖBV 2'!$F$3:$G$34,2,FALSE)),IF(ISNA(VLOOKUP(B270,'NÖBV 2'!$J$3:$K$34,2,FALSE))=TRUE,0,VLOOKUP(B270,'NÖBV 2'!$J$3:$K$34,2,FALSE)),IF(ISNA(VLOOKUP(B270,'NÖBV 2'!$N$3:$O$34,2,FALSE))=TRUE,0,VLOOKUP(B270,'NÖBV 2'!$N$3:$O$34,2,FALSE)))</f>
        <v>0</v>
      </c>
      <c r="N270" s="19">
        <f>MAX(IF(ISNA(VLOOKUP(B270,'NÖBV 3'!$B$3:$C$34,2,FALSE))=TRUE,0,VLOOKUP(B270,'NÖBV 3'!$B$3:$C$34,2,FALSE)),IF(ISNA(VLOOKUP(B270,'NÖBV 3'!$F$3:$G$34,2,FALSE))=TRUE,0,VLOOKUP(B270,'NÖBV 3'!$F$3:$G$34,2,FALSE)),IF(ISNA(VLOOKUP(B270,'NÖBV 3'!$J$3:$K$34,2,FALSE))=TRUE,0,VLOOKUP(B270,'NÖBV 3'!$J$3:$K$34,2,FALSE)),IF(ISNA(VLOOKUP(B270,'NÖBV 3'!$N$3:$O$34,2,FALSE))=TRUE,0,VLOOKUP(B270,'NÖBV 3'!$N$3:$O$34,2,FALSE)))</f>
        <v>0</v>
      </c>
      <c r="O270" s="15">
        <f>MAX(IF(ISNA(VLOOKUP(B270,'Regioturnier 1'!$B$3:$C$34,2,FALSE))=TRUE,0,VLOOKUP(B270,'Regioturnier 1'!$B$3:$C$34,2,FALSE)),IF(ISNA(VLOOKUP(B270,'Regioturnier 1'!$F$3:$G$34,2,FALSE))=TRUE,0,VLOOKUP(B270,'Regioturnier 1'!$F$3:$G$34,2,FALSE)),IF(ISNA(VLOOKUP(B270,'Regioturnier 1'!$J$3:$K$34,2,FALSE))=TRUE,0,VLOOKUP(B270,'Regioturnier 1'!$J$3:$K$34,2,FALSE)),IF(ISNA(VLOOKUP(B270,'Regioturnier 1'!$N$3:$O$34,2,FALSE))=TRUE,0,VLOOKUP(B270,'Regioturnier 1'!$N$3:$O$34,2,FALSE)),IF(ISNA(VLOOKUP(B270,'Regioturnier 1'!$R$3:$S$34,2,FALSE))=TRUE,0,VLOOKUP(B270,'Regioturnier 1'!$R$3:$S$34,2,FALSE)), IF(ISNA(VLOOKUP(B270,'Regioturnier 1'!$V$3:$W$34,2,FALSE))=TRUE,0,VLOOKUP(B270,'Regioturnier 1'!$V$3:$W$34,2,FALSE)), IF(ISNA(VLOOKUP(B270,'Regioturnier 1'!$Z$3:$AA$34,2,FALSE))=TRUE,0,VLOOKUP(B270,'Regioturnier 1'!$Z$3:$AA$34,2,FALSE)))</f>
        <v>0</v>
      </c>
      <c r="P270" s="15">
        <f>MAX(IF(ISNA(VLOOKUP(B270,'Regioturnier 2'!$B$3:$C$34,2,FALSE))=TRUE,0,VLOOKUP(B270,'Regioturnier 2'!$B$3:$C$34,2,FALSE)),IF(ISNA(VLOOKUP(B270,'Regioturnier 2'!$F$3:$G$34,2,FALSE))=TRUE,0,VLOOKUP(B270,'Regioturnier 2'!$F$3:$G$34,2,FALSE)),IF(ISNA(VLOOKUP(B270,'Regioturnier 2'!$J$3:$K$34,2,FALSE))=TRUE,0,VLOOKUP(B270,'Regioturnier 2'!$J$3:$K$34,2,FALSE)),IF(ISNA(VLOOKUP(B270,'Regioturnier 2'!$N$3:$O$34,2,FALSE))=TRUE,0,VLOOKUP(B270,'Regioturnier 2'!$N$3:$O$34,2,FALSE)),IF(ISNA(VLOOKUP(B270,'Regioturnier 2'!$R$3:$S$34,2,FALSE))=TRUE,0,VLOOKUP(B270,'Regioturnier 2'!$R$3:$S$34,2,FALSE)), IF(ISNA(VLOOKUP(B270,'Regioturnier 2'!$V$3:$W$34,2,FALSE))=TRUE,0,VLOOKUP(B270,'Regioturnier 2'!$V$3:$W$34,2,FALSE)), IF(ISNA(VLOOKUP(B270,'Regioturnier 2'!$Z$3:$AA$34,2,FALSE))=TRUE,0,VLOOKUP(B270,'Regioturnier 2'!$Z$3:$AA$34,2,FALSE)))</f>
        <v>0</v>
      </c>
      <c r="Q270" s="15">
        <f>MAX(IF(ISNA(VLOOKUP(B270,'Regioturnier 3'!$B$3:$C$34,2,FALSE))=TRUE,0,VLOOKUP(B270,'Regioturnier 3'!$B$3:$C$34,2,FALSE)),IF(ISNA(VLOOKUP(B270,'Regioturnier 3'!$F$3:$G$34,2,FALSE))=TRUE,0,VLOOKUP(B270,'Regioturnier 3'!$F$3:$G$34,2,FALSE)),IF(ISNA(VLOOKUP(B270,'Regioturnier 3'!$J$3:$K$34,2,FALSE))=TRUE,0,VLOOKUP(B270,'Regioturnier 3'!$J$3:$K$34,2,FALSE)),IF(ISNA(VLOOKUP(B270,'Regioturnier 3'!$N$3:$O$34,2,FALSE))=TRUE,0,VLOOKUP(B270,'Regioturnier 3'!$N$3:$O$34,2,FALSE)),IF(ISNA(VLOOKUP(B270,'Regioturnier 3'!$R$3:$S$34,2,FALSE))=TRUE,0,VLOOKUP(B270,'Regioturnier 3'!$R$3:$S$34,2,FALSE)), IF(ISNA(VLOOKUP(B270,'Regioturnier 3'!$V$3:$W$34,2,FALSE))=TRUE,0,VLOOKUP(B270,'Regioturnier 3'!$V$3:$W$34,2,FALSE)), IF(ISNA(VLOOKUP(B270,'Regioturnier 3'!$Z$3:$AA$34,2,FALSE))=TRUE,0,VLOOKUP(B270,'Regioturnier 3'!$Z$3:$AA$34,2,FALSE)))</f>
        <v>0</v>
      </c>
      <c r="R270" s="20">
        <f>0.5*INDEX($H270:$N270,MATCH(LARGE($H270:$N270,1),$H270:$N270,0))+0.3*INDEX($H270:$N270,MATCH(LARGE($H270:$N270,2),$H270:$N270,0))+0.2*INDEX($H270:$N270,MATCH(LARGE($H270:$N270,3),$H270:$N270,0))</f>
        <v>0</v>
      </c>
      <c r="S270" s="20">
        <f>0.6*INDEX(O270:Q270,MATCH(LARGE(O270:Q270,1),O270:Q270,0))+0.4*INDEX(O270:Q270,MATCH(LARGE(O270:Q270,2),O270:Q270,0))+0*INDEX(O270:Q270,MATCH(LARGE(O270:Q270,3),O270:Q270,0))</f>
        <v>0</v>
      </c>
      <c r="T270" s="15">
        <f>1*INDEX(R270:S270,MATCH(LARGE(R270:S270,1),R270:S270,0))+0*INDEX(R270:S270,MATCH(LARGE(R270:S270,2),R270:S270,0))</f>
        <v>0</v>
      </c>
      <c r="U270" s="21"/>
      <c r="V270" s="21"/>
      <c r="W270" s="21"/>
      <c r="X270" s="21"/>
      <c r="Y270" s="21"/>
      <c r="Z270" s="21"/>
    </row>
    <row r="271" spans="1:26" ht="12.75" customHeight="1" x14ac:dyDescent="0.3">
      <c r="A271" s="15">
        <v>270</v>
      </c>
      <c r="B271" s="16" t="s">
        <v>200</v>
      </c>
      <c r="C271" s="17" t="s">
        <v>54</v>
      </c>
      <c r="D271" s="15" t="s">
        <v>22</v>
      </c>
      <c r="E271" s="18" t="s">
        <v>40</v>
      </c>
      <c r="F271" s="15">
        <v>208193</v>
      </c>
      <c r="G271" s="22">
        <v>2011</v>
      </c>
      <c r="H271" s="15">
        <f>MAX(IF(ISNA(VLOOKUP(B271,'WBV 1'!$B$3:$C$34,2,FALSE))=TRUE,0,VLOOKUP(B271,'WBV 1'!$B$3:$C$34,2,FALSE)),IF(ISNA(VLOOKUP(B271,'WBV 1'!$F$3:$G$34,2,FALSE))=TRUE,0,VLOOKUP(B271,'WBV 1'!$F$3:$G$34,2,FALSE)),IF(ISNA(VLOOKUP(B271,'WBV 1'!$J$3:$K$34,2,FALSE))=TRUE,0,VLOOKUP(B271,'WBV 1'!$J$3:$K$34,2,FALSE)),IF(ISNA(VLOOKUP(B271,'WBV 1'!$N$3:$O$34,2,FALSE))=TRUE,0,VLOOKUP(B271,'WBV 1'!$N$3:$O$34,2,FALSE)))</f>
        <v>0</v>
      </c>
      <c r="I271" s="15">
        <f>MAX(IF(ISNA(VLOOKUP(B271,'WBV 2'!$B$3:$C$34,2,FALSE))=TRUE,0,VLOOKUP(B271,'WBV 2'!$B$3:$C$34,2,FALSE)),IF(ISNA(VLOOKUP(B271,'WBV 2'!$F$3:$G$34,2,FALSE))=TRUE,0,VLOOKUP(B271,'WBV 2'!$F$3:$G$34,2,FALSE)),IF(ISNA(VLOOKUP(B271,'WBV 2'!$J$3:$K$34,2,FALSE))=TRUE,0,VLOOKUP(B271,'WBV 2'!$J$3:$K$34,2,FALSE)),IF(ISNA(VLOOKUP(B271,'WBV 2'!$N$3:$O$34,2,FALSE))=TRUE,0,VLOOKUP(B271,'WBV 2'!$N$3:$O$34,2,FALSE)))</f>
        <v>0</v>
      </c>
      <c r="J271" s="15">
        <f>MAX(IF(ISNA(VLOOKUP(B271,'WBV 3'!$B$3:$C$34,2,FALSE))=TRUE,0,VLOOKUP(B271,'WBV 3'!$B$3:$C$34,2,FALSE)),IF(ISNA(VLOOKUP(B271,'WBV 3'!$F$3:$G$34,2,FALSE))=TRUE,0,VLOOKUP(B271,'WBV 3'!$F$3:$G$34,2,FALSE)),IF(ISNA(VLOOKUP(B271,'WBV 3'!$J$3:$K$34,2,FALSE))=TRUE,0,VLOOKUP(B271,'WBV 3'!$J$3:$K$34,2,FALSE)),IF(ISNA(VLOOKUP(B271,'WBV 3'!$N$3:$O$34,2,FALSE))=TRUE,0,VLOOKUP(B271,'WBV 3'!$N$3:$O$34,2,FALSE)))</f>
        <v>0</v>
      </c>
      <c r="K271" s="15">
        <f>MAX(IF(ISNA(VLOOKUP(B271,'WBV 4'!$B$3:$C$34,2,FALSE))=TRUE,0,VLOOKUP(B271,'WBV 4'!$B$3:$C$34,2,FALSE)),IF(ISNA(VLOOKUP(B271,'WBV 4'!$F$3:$G$34,2,FALSE))=TRUE,0,VLOOKUP(B271,'WBV 4'!$F$3:$G$34,2,FALSE)),IF(ISNA(VLOOKUP(B271,'WBV 4'!$J$3:$K$34,2,FALSE))=TRUE,0,VLOOKUP(B271,'WBV 4'!$J$3:$K$34,2,FALSE)),IF(ISNA(VLOOKUP(B271,'WBV 4'!$N$3:$O$34,2,FALSE))=TRUE,0,VLOOKUP(B271,'WBV 4'!$N$3:$O$34,2,FALSE)))</f>
        <v>0</v>
      </c>
      <c r="L271" s="19">
        <f>MAX(IF(ISNA(VLOOKUP(B271,'NÖBV 1'!$B$3:$C$34,2,FALSE))=TRUE,0,VLOOKUP(B271,'NÖBV 1'!$B$3:$C$34,2,FALSE)),IF(ISNA(VLOOKUP(B271,'NÖBV 1'!$F$3:$G$34,2,FALSE))=TRUE,0,VLOOKUP(B271,'NÖBV 1'!$F$3:$G$34,2,FALSE)),IF(ISNA(VLOOKUP(B271,'NÖBV 1'!$J$3:$K$34,2,FALSE))=TRUE,0,VLOOKUP(B271,'NÖBV 1'!$J$3:$K$34,2,FALSE)),IF(ISNA(VLOOKUP(B271,'NÖBV 1'!$N$3:$O$34,2,FALSE))=TRUE,0,VLOOKUP(B271,'NÖBV 1'!$N$3:$O$34,2,FALSE)))</f>
        <v>0</v>
      </c>
      <c r="M271" s="19">
        <f>MAX(IF(ISNA(VLOOKUP(B271,'NÖBV 2'!$B$3:$C$34,2,FALSE))=TRUE,0,VLOOKUP(B271,'NÖBV 2'!$B$3:$C$34,2,FALSE)),IF(ISNA(VLOOKUP(B271,'NÖBV 2'!$F$3:$G$34,2,FALSE))=TRUE,0,VLOOKUP(B271,'NÖBV 2'!$F$3:$G$34,2,FALSE)),IF(ISNA(VLOOKUP(B271,'NÖBV 2'!$J$3:$K$34,2,FALSE))=TRUE,0,VLOOKUP(B271,'NÖBV 2'!$J$3:$K$34,2,FALSE)),IF(ISNA(VLOOKUP(B271,'NÖBV 2'!$N$3:$O$34,2,FALSE))=TRUE,0,VLOOKUP(B271,'NÖBV 2'!$N$3:$O$34,2,FALSE)))</f>
        <v>0</v>
      </c>
      <c r="N271" s="19">
        <f>MAX(IF(ISNA(VLOOKUP(B271,'NÖBV 3'!$B$3:$C$34,2,FALSE))=TRUE,0,VLOOKUP(B271,'NÖBV 3'!$B$3:$C$34,2,FALSE)),IF(ISNA(VLOOKUP(B271,'NÖBV 3'!$F$3:$G$34,2,FALSE))=TRUE,0,VLOOKUP(B271,'NÖBV 3'!$F$3:$G$34,2,FALSE)),IF(ISNA(VLOOKUP(B271,'NÖBV 3'!$J$3:$K$34,2,FALSE))=TRUE,0,VLOOKUP(B271,'NÖBV 3'!$J$3:$K$34,2,FALSE)),IF(ISNA(VLOOKUP(B271,'NÖBV 3'!$N$3:$O$34,2,FALSE))=TRUE,0,VLOOKUP(B271,'NÖBV 3'!$N$3:$O$34,2,FALSE)))</f>
        <v>0</v>
      </c>
      <c r="O271" s="15">
        <f>MAX(IF(ISNA(VLOOKUP(B271,'Regioturnier 1'!$B$3:$C$34,2,FALSE))=TRUE,0,VLOOKUP(B271,'Regioturnier 1'!$B$3:$C$34,2,FALSE)),IF(ISNA(VLOOKUP(B271,'Regioturnier 1'!$F$3:$G$34,2,FALSE))=TRUE,0,VLOOKUP(B271,'Regioturnier 1'!$F$3:$G$34,2,FALSE)),IF(ISNA(VLOOKUP(B271,'Regioturnier 1'!$J$3:$K$34,2,FALSE))=TRUE,0,VLOOKUP(B271,'Regioturnier 1'!$J$3:$K$34,2,FALSE)),IF(ISNA(VLOOKUP(B271,'Regioturnier 1'!$N$3:$O$34,2,FALSE))=TRUE,0,VLOOKUP(B271,'Regioturnier 1'!$N$3:$O$34,2,FALSE)),IF(ISNA(VLOOKUP(B271,'Regioturnier 1'!$R$3:$S$34,2,FALSE))=TRUE,0,VLOOKUP(B271,'Regioturnier 1'!$R$3:$S$34,2,FALSE)), IF(ISNA(VLOOKUP(B271,'Regioturnier 1'!$V$3:$W$34,2,FALSE))=TRUE,0,VLOOKUP(B271,'Regioturnier 1'!$V$3:$W$34,2,FALSE)), IF(ISNA(VLOOKUP(B271,'Regioturnier 1'!$Z$3:$AA$34,2,FALSE))=TRUE,0,VLOOKUP(B271,'Regioturnier 1'!$Z$3:$AA$34,2,FALSE)))</f>
        <v>0</v>
      </c>
      <c r="P271" s="15">
        <f>MAX(IF(ISNA(VLOOKUP(B271,'Regioturnier 2'!$B$3:$C$34,2,FALSE))=TRUE,0,VLOOKUP(B271,'Regioturnier 2'!$B$3:$C$34,2,FALSE)),IF(ISNA(VLOOKUP(B271,'Regioturnier 2'!$F$3:$G$34,2,FALSE))=TRUE,0,VLOOKUP(B271,'Regioturnier 2'!$F$3:$G$34,2,FALSE)),IF(ISNA(VLOOKUP(B271,'Regioturnier 2'!$J$3:$K$34,2,FALSE))=TRUE,0,VLOOKUP(B271,'Regioturnier 2'!$J$3:$K$34,2,FALSE)),IF(ISNA(VLOOKUP(B271,'Regioturnier 2'!$N$3:$O$34,2,FALSE))=TRUE,0,VLOOKUP(B271,'Regioturnier 2'!$N$3:$O$34,2,FALSE)),IF(ISNA(VLOOKUP(B271,'Regioturnier 2'!$R$3:$S$34,2,FALSE))=TRUE,0,VLOOKUP(B271,'Regioturnier 2'!$R$3:$S$34,2,FALSE)), IF(ISNA(VLOOKUP(B271,'Regioturnier 2'!$V$3:$W$34,2,FALSE))=TRUE,0,VLOOKUP(B271,'Regioturnier 2'!$V$3:$W$34,2,FALSE)), IF(ISNA(VLOOKUP(B271,'Regioturnier 2'!$Z$3:$AA$34,2,FALSE))=TRUE,0,VLOOKUP(B271,'Regioturnier 2'!$Z$3:$AA$34,2,FALSE)))</f>
        <v>0</v>
      </c>
      <c r="Q271" s="15">
        <f>MAX(IF(ISNA(VLOOKUP(B271,'Regioturnier 3'!$B$3:$C$34,2,FALSE))=TRUE,0,VLOOKUP(B271,'Regioturnier 3'!$B$3:$C$34,2,FALSE)),IF(ISNA(VLOOKUP(B271,'Regioturnier 3'!$F$3:$G$34,2,FALSE))=TRUE,0,VLOOKUP(B271,'Regioturnier 3'!$F$3:$G$34,2,FALSE)),IF(ISNA(VLOOKUP(B271,'Regioturnier 3'!$J$3:$K$34,2,FALSE))=TRUE,0,VLOOKUP(B271,'Regioturnier 3'!$J$3:$K$34,2,FALSE)),IF(ISNA(VLOOKUP(B271,'Regioturnier 3'!$N$3:$O$34,2,FALSE))=TRUE,0,VLOOKUP(B271,'Regioturnier 3'!$N$3:$O$34,2,FALSE)),IF(ISNA(VLOOKUP(B271,'Regioturnier 3'!$R$3:$S$34,2,FALSE))=TRUE,0,VLOOKUP(B271,'Regioturnier 3'!$R$3:$S$34,2,FALSE)), IF(ISNA(VLOOKUP(B271,'Regioturnier 3'!$V$3:$W$34,2,FALSE))=TRUE,0,VLOOKUP(B271,'Regioturnier 3'!$V$3:$W$34,2,FALSE)), IF(ISNA(VLOOKUP(B271,'Regioturnier 3'!$Z$3:$AA$34,2,FALSE))=TRUE,0,VLOOKUP(B271,'Regioturnier 3'!$Z$3:$AA$34,2,FALSE)))</f>
        <v>0</v>
      </c>
      <c r="R271" s="20">
        <f>0.5*INDEX($H271:$N271,MATCH(LARGE($H271:$N271,1),$H271:$N271,0))+0.3*INDEX($H271:$N271,MATCH(LARGE($H271:$N271,2),$H271:$N271,0))+0.2*INDEX($H271:$N271,MATCH(LARGE($H271:$N271,3),$H271:$N271,0))</f>
        <v>0</v>
      </c>
      <c r="S271" s="20">
        <f>0.6*INDEX(O271:Q271,MATCH(LARGE(O271:Q271,1),O271:Q271,0))+0.4*INDEX(O271:Q271,MATCH(LARGE(O271:Q271,2),O271:Q271,0))+0*INDEX(O271:Q271,MATCH(LARGE(O271:Q271,3),O271:Q271,0))</f>
        <v>0</v>
      </c>
      <c r="T271" s="15">
        <f>1*INDEX(R271:S271,MATCH(LARGE(R271:S271,1),R271:S271,0))+0*INDEX(R271:S271,MATCH(LARGE(R271:S271,2),R271:S271,0))</f>
        <v>0</v>
      </c>
      <c r="U271" s="21"/>
      <c r="V271" s="21"/>
      <c r="W271" s="21"/>
      <c r="X271" s="21"/>
      <c r="Y271" s="21"/>
      <c r="Z271" s="21"/>
    </row>
    <row r="272" spans="1:26" ht="12.75" customHeight="1" x14ac:dyDescent="0.3">
      <c r="A272" s="15">
        <v>271</v>
      </c>
      <c r="B272" s="16" t="s">
        <v>202</v>
      </c>
      <c r="C272" s="17" t="s">
        <v>192</v>
      </c>
      <c r="D272" s="15" t="s">
        <v>22</v>
      </c>
      <c r="E272" s="18" t="s">
        <v>23</v>
      </c>
      <c r="F272" s="15" t="s">
        <v>203</v>
      </c>
      <c r="G272" s="22">
        <v>2009</v>
      </c>
      <c r="H272" s="15">
        <f>MAX(IF(ISNA(VLOOKUP(B272,'WBV 1'!$B$3:$C$34,2,FALSE))=TRUE,0,VLOOKUP(B272,'WBV 1'!$B$3:$C$34,2,FALSE)),IF(ISNA(VLOOKUP(B272,'WBV 1'!$F$3:$G$34,2,FALSE))=TRUE,0,VLOOKUP(B272,'WBV 1'!$F$3:$G$34,2,FALSE)),IF(ISNA(VLOOKUP(B272,'WBV 1'!$J$3:$K$34,2,FALSE))=TRUE,0,VLOOKUP(B272,'WBV 1'!$J$3:$K$34,2,FALSE)),IF(ISNA(VLOOKUP(B272,'WBV 1'!$N$3:$O$34,2,FALSE))=TRUE,0,VLOOKUP(B272,'WBV 1'!$N$3:$O$34,2,FALSE)))</f>
        <v>0</v>
      </c>
      <c r="I272" s="15">
        <f>MAX(IF(ISNA(VLOOKUP(B272,'WBV 2'!$B$3:$C$34,2,FALSE))=TRUE,0,VLOOKUP(B272,'WBV 2'!$B$3:$C$34,2,FALSE)),IF(ISNA(VLOOKUP(B272,'WBV 2'!$F$3:$G$34,2,FALSE))=TRUE,0,VLOOKUP(B272,'WBV 2'!$F$3:$G$34,2,FALSE)),IF(ISNA(VLOOKUP(B272,'WBV 2'!$J$3:$K$34,2,FALSE))=TRUE,0,VLOOKUP(B272,'WBV 2'!$J$3:$K$34,2,FALSE)),IF(ISNA(VLOOKUP(B272,'WBV 2'!$N$3:$O$34,2,FALSE))=TRUE,0,VLOOKUP(B272,'WBV 2'!$N$3:$O$34,2,FALSE)))</f>
        <v>0</v>
      </c>
      <c r="J272" s="15">
        <f>MAX(IF(ISNA(VLOOKUP(B272,'WBV 3'!$B$3:$C$34,2,FALSE))=TRUE,0,VLOOKUP(B272,'WBV 3'!$B$3:$C$34,2,FALSE)),IF(ISNA(VLOOKUP(B272,'WBV 3'!$F$3:$G$34,2,FALSE))=TRUE,0,VLOOKUP(B272,'WBV 3'!$F$3:$G$34,2,FALSE)),IF(ISNA(VLOOKUP(B272,'WBV 3'!$J$3:$K$34,2,FALSE))=TRUE,0,VLOOKUP(B272,'WBV 3'!$J$3:$K$34,2,FALSE)),IF(ISNA(VLOOKUP(B272,'WBV 3'!$N$3:$O$34,2,FALSE))=TRUE,0,VLOOKUP(B272,'WBV 3'!$N$3:$O$34,2,FALSE)))</f>
        <v>0</v>
      </c>
      <c r="K272" s="15">
        <f>MAX(IF(ISNA(VLOOKUP(B272,'WBV 4'!$B$3:$C$34,2,FALSE))=TRUE,0,VLOOKUP(B272,'WBV 4'!$B$3:$C$34,2,FALSE)),IF(ISNA(VLOOKUP(B272,'WBV 4'!$F$3:$G$34,2,FALSE))=TRUE,0,VLOOKUP(B272,'WBV 4'!$F$3:$G$34,2,FALSE)),IF(ISNA(VLOOKUP(B272,'WBV 4'!$J$3:$K$34,2,FALSE))=TRUE,0,VLOOKUP(B272,'WBV 4'!$J$3:$K$34,2,FALSE)),IF(ISNA(VLOOKUP(B272,'WBV 4'!$N$3:$O$34,2,FALSE))=TRUE,0,VLOOKUP(B272,'WBV 4'!$N$3:$O$34,2,FALSE)))</f>
        <v>0</v>
      </c>
      <c r="L272" s="19">
        <f>MAX(IF(ISNA(VLOOKUP(B272,'NÖBV 1'!$B$3:$C$34,2,FALSE))=TRUE,0,VLOOKUP(B272,'NÖBV 1'!$B$3:$C$34,2,FALSE)),IF(ISNA(VLOOKUP(B272,'NÖBV 1'!$F$3:$G$34,2,FALSE))=TRUE,0,VLOOKUP(B272,'NÖBV 1'!$F$3:$G$34,2,FALSE)),IF(ISNA(VLOOKUP(B272,'NÖBV 1'!$J$3:$K$34,2,FALSE))=TRUE,0,VLOOKUP(B272,'NÖBV 1'!$J$3:$K$34,2,FALSE)),IF(ISNA(VLOOKUP(B272,'NÖBV 1'!$N$3:$O$34,2,FALSE))=TRUE,0,VLOOKUP(B272,'NÖBV 1'!$N$3:$O$34,2,FALSE)))</f>
        <v>0</v>
      </c>
      <c r="M272" s="19">
        <f>MAX(IF(ISNA(VLOOKUP(B272,'NÖBV 2'!$B$3:$C$34,2,FALSE))=TRUE,0,VLOOKUP(B272,'NÖBV 2'!$B$3:$C$34,2,FALSE)),IF(ISNA(VLOOKUP(B272,'NÖBV 2'!$F$3:$G$34,2,FALSE))=TRUE,0,VLOOKUP(B272,'NÖBV 2'!$F$3:$G$34,2,FALSE)),IF(ISNA(VLOOKUP(B272,'NÖBV 2'!$J$3:$K$34,2,FALSE))=TRUE,0,VLOOKUP(B272,'NÖBV 2'!$J$3:$K$34,2,FALSE)),IF(ISNA(VLOOKUP(B272,'NÖBV 2'!$N$3:$O$34,2,FALSE))=TRUE,0,VLOOKUP(B272,'NÖBV 2'!$N$3:$O$34,2,FALSE)))</f>
        <v>0</v>
      </c>
      <c r="N272" s="19">
        <f>MAX(IF(ISNA(VLOOKUP(B272,'NÖBV 3'!$B$3:$C$34,2,FALSE))=TRUE,0,VLOOKUP(B272,'NÖBV 3'!$B$3:$C$34,2,FALSE)),IF(ISNA(VLOOKUP(B272,'NÖBV 3'!$F$3:$G$34,2,FALSE))=TRUE,0,VLOOKUP(B272,'NÖBV 3'!$F$3:$G$34,2,FALSE)),IF(ISNA(VLOOKUP(B272,'NÖBV 3'!$J$3:$K$34,2,FALSE))=TRUE,0,VLOOKUP(B272,'NÖBV 3'!$J$3:$K$34,2,FALSE)),IF(ISNA(VLOOKUP(B272,'NÖBV 3'!$N$3:$O$34,2,FALSE))=TRUE,0,VLOOKUP(B272,'NÖBV 3'!$N$3:$O$34,2,FALSE)))</f>
        <v>0</v>
      </c>
      <c r="O272" s="15">
        <f>MAX(IF(ISNA(VLOOKUP(B272,'Regioturnier 1'!$B$3:$C$34,2,FALSE))=TRUE,0,VLOOKUP(B272,'Regioturnier 1'!$B$3:$C$34,2,FALSE)),IF(ISNA(VLOOKUP(B272,'Regioturnier 1'!$F$3:$G$34,2,FALSE))=TRUE,0,VLOOKUP(B272,'Regioturnier 1'!$F$3:$G$34,2,FALSE)),IF(ISNA(VLOOKUP(B272,'Regioturnier 1'!$J$3:$K$34,2,FALSE))=TRUE,0,VLOOKUP(B272,'Regioturnier 1'!$J$3:$K$34,2,FALSE)),IF(ISNA(VLOOKUP(B272,'Regioturnier 1'!$N$3:$O$34,2,FALSE))=TRUE,0,VLOOKUP(B272,'Regioturnier 1'!$N$3:$O$34,2,FALSE)),IF(ISNA(VLOOKUP(B272,'Regioturnier 1'!$R$3:$S$34,2,FALSE))=TRUE,0,VLOOKUP(B272,'Regioturnier 1'!$R$3:$S$34,2,FALSE)), IF(ISNA(VLOOKUP(B272,'Regioturnier 1'!$V$3:$W$34,2,FALSE))=TRUE,0,VLOOKUP(B272,'Regioturnier 1'!$V$3:$W$34,2,FALSE)), IF(ISNA(VLOOKUP(B272,'Regioturnier 1'!$Z$3:$AA$34,2,FALSE))=TRUE,0,VLOOKUP(B272,'Regioturnier 1'!$Z$3:$AA$34,2,FALSE)))</f>
        <v>0</v>
      </c>
      <c r="P272" s="15">
        <f>MAX(IF(ISNA(VLOOKUP(B272,'Regioturnier 2'!$B$3:$C$34,2,FALSE))=TRUE,0,VLOOKUP(B272,'Regioturnier 2'!$B$3:$C$34,2,FALSE)),IF(ISNA(VLOOKUP(B272,'Regioturnier 2'!$F$3:$G$34,2,FALSE))=TRUE,0,VLOOKUP(B272,'Regioturnier 2'!$F$3:$G$34,2,FALSE)),IF(ISNA(VLOOKUP(B272,'Regioturnier 2'!$J$3:$K$34,2,FALSE))=TRUE,0,VLOOKUP(B272,'Regioturnier 2'!$J$3:$K$34,2,FALSE)),IF(ISNA(VLOOKUP(B272,'Regioturnier 2'!$N$3:$O$34,2,FALSE))=TRUE,0,VLOOKUP(B272,'Regioturnier 2'!$N$3:$O$34,2,FALSE)),IF(ISNA(VLOOKUP(B272,'Regioturnier 2'!$R$3:$S$34,2,FALSE))=TRUE,0,VLOOKUP(B272,'Regioturnier 2'!$R$3:$S$34,2,FALSE)), IF(ISNA(VLOOKUP(B272,'Regioturnier 2'!$V$3:$W$34,2,FALSE))=TRUE,0,VLOOKUP(B272,'Regioturnier 2'!$V$3:$W$34,2,FALSE)), IF(ISNA(VLOOKUP(B272,'Regioturnier 2'!$Z$3:$AA$34,2,FALSE))=TRUE,0,VLOOKUP(B272,'Regioturnier 2'!$Z$3:$AA$34,2,FALSE)))</f>
        <v>0</v>
      </c>
      <c r="Q272" s="15">
        <f>MAX(IF(ISNA(VLOOKUP(B272,'Regioturnier 3'!$B$3:$C$34,2,FALSE))=TRUE,0,VLOOKUP(B272,'Regioturnier 3'!$B$3:$C$34,2,FALSE)),IF(ISNA(VLOOKUP(B272,'Regioturnier 3'!$F$3:$G$34,2,FALSE))=TRUE,0,VLOOKUP(B272,'Regioturnier 3'!$F$3:$G$34,2,FALSE)),IF(ISNA(VLOOKUP(B272,'Regioturnier 3'!$J$3:$K$34,2,FALSE))=TRUE,0,VLOOKUP(B272,'Regioturnier 3'!$J$3:$K$34,2,FALSE)),IF(ISNA(VLOOKUP(B272,'Regioturnier 3'!$N$3:$O$34,2,FALSE))=TRUE,0,VLOOKUP(B272,'Regioturnier 3'!$N$3:$O$34,2,FALSE)),IF(ISNA(VLOOKUP(B272,'Regioturnier 3'!$R$3:$S$34,2,FALSE))=TRUE,0,VLOOKUP(B272,'Regioturnier 3'!$R$3:$S$34,2,FALSE)), IF(ISNA(VLOOKUP(B272,'Regioturnier 3'!$V$3:$W$34,2,FALSE))=TRUE,0,VLOOKUP(B272,'Regioturnier 3'!$V$3:$W$34,2,FALSE)), IF(ISNA(VLOOKUP(B272,'Regioturnier 3'!$Z$3:$AA$34,2,FALSE))=TRUE,0,VLOOKUP(B272,'Regioturnier 3'!$Z$3:$AA$34,2,FALSE)))</f>
        <v>0</v>
      </c>
      <c r="R272" s="20">
        <f>0.5*INDEX($H272:$N272,MATCH(LARGE($H272:$N272,1),$H272:$N272,0))+0.3*INDEX($H272:$N272,MATCH(LARGE($H272:$N272,2),$H272:$N272,0))+0.2*INDEX($H272:$N272,MATCH(LARGE($H272:$N272,3),$H272:$N272,0))</f>
        <v>0</v>
      </c>
      <c r="S272" s="20">
        <f>0.6*INDEX(O272:Q272,MATCH(LARGE(O272:Q272,1),O272:Q272,0))+0.4*INDEX(O272:Q272,MATCH(LARGE(O272:Q272,2),O272:Q272,0))+0*INDEX(O272:Q272,MATCH(LARGE(O272:Q272,3),O272:Q272,0))</f>
        <v>0</v>
      </c>
      <c r="T272" s="15">
        <f>1*INDEX(R272:S272,MATCH(LARGE(R272:S272,1),R272:S272,0))+0*INDEX(R272:S272,MATCH(LARGE(R272:S272,2),R272:S272,0))</f>
        <v>0</v>
      </c>
      <c r="U272" s="21"/>
      <c r="V272" s="21"/>
      <c r="W272" s="21"/>
      <c r="X272" s="21"/>
      <c r="Y272" s="21"/>
      <c r="Z272" s="21"/>
    </row>
    <row r="273" spans="1:26" ht="12.75" customHeight="1" x14ac:dyDescent="0.3">
      <c r="A273" s="15">
        <v>272</v>
      </c>
      <c r="B273" s="16" t="s">
        <v>214</v>
      </c>
      <c r="C273" s="17" t="s">
        <v>31</v>
      </c>
      <c r="D273" s="15" t="s">
        <v>26</v>
      </c>
      <c r="E273" s="18" t="s">
        <v>23</v>
      </c>
      <c r="F273" s="15">
        <v>110808</v>
      </c>
      <c r="G273" s="22">
        <v>2013</v>
      </c>
      <c r="H273" s="15">
        <f>MAX(IF(ISNA(VLOOKUP(B273,'WBV 1'!$B$3:$C$34,2,FALSE))=TRUE,0,VLOOKUP(B273,'WBV 1'!$B$3:$C$34,2,FALSE)),IF(ISNA(VLOOKUP(B273,'WBV 1'!$F$3:$G$34,2,FALSE))=TRUE,0,VLOOKUP(B273,'WBV 1'!$F$3:$G$34,2,FALSE)),IF(ISNA(VLOOKUP(B273,'WBV 1'!$J$3:$K$34,2,FALSE))=TRUE,0,VLOOKUP(B273,'WBV 1'!$J$3:$K$34,2,FALSE)),IF(ISNA(VLOOKUP(B273,'WBV 1'!$N$3:$O$34,2,FALSE))=TRUE,0,VLOOKUP(B273,'WBV 1'!$N$3:$O$34,2,FALSE)))</f>
        <v>0</v>
      </c>
      <c r="I273" s="15">
        <f>MAX(IF(ISNA(VLOOKUP(B273,'WBV 2'!$B$3:$C$34,2,FALSE))=TRUE,0,VLOOKUP(B273,'WBV 2'!$B$3:$C$34,2,FALSE)),IF(ISNA(VLOOKUP(B273,'WBV 2'!$F$3:$G$34,2,FALSE))=TRUE,0,VLOOKUP(B273,'WBV 2'!$F$3:$G$34,2,FALSE)),IF(ISNA(VLOOKUP(B273,'WBV 2'!$J$3:$K$34,2,FALSE))=TRUE,0,VLOOKUP(B273,'WBV 2'!$J$3:$K$34,2,FALSE)),IF(ISNA(VLOOKUP(B273,'WBV 2'!$N$3:$O$34,2,FALSE))=TRUE,0,VLOOKUP(B273,'WBV 2'!$N$3:$O$34,2,FALSE)))</f>
        <v>0</v>
      </c>
      <c r="J273" s="15">
        <f>MAX(IF(ISNA(VLOOKUP(B273,'WBV 3'!$B$3:$C$34,2,FALSE))=TRUE,0,VLOOKUP(B273,'WBV 3'!$B$3:$C$34,2,FALSE)),IF(ISNA(VLOOKUP(B273,'WBV 3'!$F$3:$G$34,2,FALSE))=TRUE,0,VLOOKUP(B273,'WBV 3'!$F$3:$G$34,2,FALSE)),IF(ISNA(VLOOKUP(B273,'WBV 3'!$J$3:$K$34,2,FALSE))=TRUE,0,VLOOKUP(B273,'WBV 3'!$J$3:$K$34,2,FALSE)),IF(ISNA(VLOOKUP(B273,'WBV 3'!$N$3:$O$34,2,FALSE))=TRUE,0,VLOOKUP(B273,'WBV 3'!$N$3:$O$34,2,FALSE)))</f>
        <v>0</v>
      </c>
      <c r="K273" s="15">
        <f>MAX(IF(ISNA(VLOOKUP(B273,'WBV 4'!$B$3:$C$34,2,FALSE))=TRUE,0,VLOOKUP(B273,'WBV 4'!$B$3:$C$34,2,FALSE)),IF(ISNA(VLOOKUP(B273,'WBV 4'!$F$3:$G$34,2,FALSE))=TRUE,0,VLOOKUP(B273,'WBV 4'!$F$3:$G$34,2,FALSE)),IF(ISNA(VLOOKUP(B273,'WBV 4'!$J$3:$K$34,2,FALSE))=TRUE,0,VLOOKUP(B273,'WBV 4'!$J$3:$K$34,2,FALSE)),IF(ISNA(VLOOKUP(B273,'WBV 4'!$N$3:$O$34,2,FALSE))=TRUE,0,VLOOKUP(B273,'WBV 4'!$N$3:$O$34,2,FALSE)))</f>
        <v>0</v>
      </c>
      <c r="L273" s="19">
        <f>MAX(IF(ISNA(VLOOKUP(B273,'NÖBV 1'!$B$3:$C$34,2,FALSE))=TRUE,0,VLOOKUP(B273,'NÖBV 1'!$B$3:$C$34,2,FALSE)),IF(ISNA(VLOOKUP(B273,'NÖBV 1'!$F$3:$G$34,2,FALSE))=TRUE,0,VLOOKUP(B273,'NÖBV 1'!$F$3:$G$34,2,FALSE)),IF(ISNA(VLOOKUP(B273,'NÖBV 1'!$J$3:$K$34,2,FALSE))=TRUE,0,VLOOKUP(B273,'NÖBV 1'!$J$3:$K$34,2,FALSE)),IF(ISNA(VLOOKUP(B273,'NÖBV 1'!$N$3:$O$34,2,FALSE))=TRUE,0,VLOOKUP(B273,'NÖBV 1'!$N$3:$O$34,2,FALSE)))</f>
        <v>0</v>
      </c>
      <c r="M273" s="19">
        <f>MAX(IF(ISNA(VLOOKUP(B273,'NÖBV 2'!$B$3:$C$34,2,FALSE))=TRUE,0,VLOOKUP(B273,'NÖBV 2'!$B$3:$C$34,2,FALSE)),IF(ISNA(VLOOKUP(B273,'NÖBV 2'!$F$3:$G$34,2,FALSE))=TRUE,0,VLOOKUP(B273,'NÖBV 2'!$F$3:$G$34,2,FALSE)),IF(ISNA(VLOOKUP(B273,'NÖBV 2'!$J$3:$K$34,2,FALSE))=TRUE,0,VLOOKUP(B273,'NÖBV 2'!$J$3:$K$34,2,FALSE)),IF(ISNA(VLOOKUP(B273,'NÖBV 2'!$N$3:$O$34,2,FALSE))=TRUE,0,VLOOKUP(B273,'NÖBV 2'!$N$3:$O$34,2,FALSE)))</f>
        <v>0</v>
      </c>
      <c r="N273" s="19">
        <f>MAX(IF(ISNA(VLOOKUP(B273,'NÖBV 3'!$B$3:$C$34,2,FALSE))=TRUE,0,VLOOKUP(B273,'NÖBV 3'!$B$3:$C$34,2,FALSE)),IF(ISNA(VLOOKUP(B273,'NÖBV 3'!$F$3:$G$34,2,FALSE))=TRUE,0,VLOOKUP(B273,'NÖBV 3'!$F$3:$G$34,2,FALSE)),IF(ISNA(VLOOKUP(B273,'NÖBV 3'!$J$3:$K$34,2,FALSE))=TRUE,0,VLOOKUP(B273,'NÖBV 3'!$J$3:$K$34,2,FALSE)),IF(ISNA(VLOOKUP(B273,'NÖBV 3'!$N$3:$O$34,2,FALSE))=TRUE,0,VLOOKUP(B273,'NÖBV 3'!$N$3:$O$34,2,FALSE)))</f>
        <v>0</v>
      </c>
      <c r="O273" s="15">
        <f>MAX(IF(ISNA(VLOOKUP(B273,'Regioturnier 1'!$B$3:$C$34,2,FALSE))=TRUE,0,VLOOKUP(B273,'Regioturnier 1'!$B$3:$C$34,2,FALSE)),IF(ISNA(VLOOKUP(B273,'Regioturnier 1'!$F$3:$G$34,2,FALSE))=TRUE,0,VLOOKUP(B273,'Regioturnier 1'!$F$3:$G$34,2,FALSE)),IF(ISNA(VLOOKUP(B273,'Regioturnier 1'!$J$3:$K$34,2,FALSE))=TRUE,0,VLOOKUP(B273,'Regioturnier 1'!$J$3:$K$34,2,FALSE)),IF(ISNA(VLOOKUP(B273,'Regioturnier 1'!$N$3:$O$34,2,FALSE))=TRUE,0,VLOOKUP(B273,'Regioturnier 1'!$N$3:$O$34,2,FALSE)),IF(ISNA(VLOOKUP(B273,'Regioturnier 1'!$R$3:$S$34,2,FALSE))=TRUE,0,VLOOKUP(B273,'Regioturnier 1'!$R$3:$S$34,2,FALSE)), IF(ISNA(VLOOKUP(B273,'Regioturnier 1'!$V$3:$W$34,2,FALSE))=TRUE,0,VLOOKUP(B273,'Regioturnier 1'!$V$3:$W$34,2,FALSE)), IF(ISNA(VLOOKUP(B273,'Regioturnier 1'!$Z$3:$AA$34,2,FALSE))=TRUE,0,VLOOKUP(B273,'Regioturnier 1'!$Z$3:$AA$34,2,FALSE)))</f>
        <v>0</v>
      </c>
      <c r="P273" s="15">
        <f>MAX(IF(ISNA(VLOOKUP(B273,'Regioturnier 2'!$B$3:$C$34,2,FALSE))=TRUE,0,VLOOKUP(B273,'Regioturnier 2'!$B$3:$C$34,2,FALSE)),IF(ISNA(VLOOKUP(B273,'Regioturnier 2'!$F$3:$G$34,2,FALSE))=TRUE,0,VLOOKUP(B273,'Regioturnier 2'!$F$3:$G$34,2,FALSE)),IF(ISNA(VLOOKUP(B273,'Regioturnier 2'!$J$3:$K$34,2,FALSE))=TRUE,0,VLOOKUP(B273,'Regioturnier 2'!$J$3:$K$34,2,FALSE)),IF(ISNA(VLOOKUP(B273,'Regioturnier 2'!$N$3:$O$34,2,FALSE))=TRUE,0,VLOOKUP(B273,'Regioturnier 2'!$N$3:$O$34,2,FALSE)),IF(ISNA(VLOOKUP(B273,'Regioturnier 2'!$R$3:$S$34,2,FALSE))=TRUE,0,VLOOKUP(B273,'Regioturnier 2'!$R$3:$S$34,2,FALSE)), IF(ISNA(VLOOKUP(B273,'Regioturnier 2'!$V$3:$W$34,2,FALSE))=TRUE,0,VLOOKUP(B273,'Regioturnier 2'!$V$3:$W$34,2,FALSE)), IF(ISNA(VLOOKUP(B273,'Regioturnier 2'!$Z$3:$AA$34,2,FALSE))=TRUE,0,VLOOKUP(B273,'Regioturnier 2'!$Z$3:$AA$34,2,FALSE)))</f>
        <v>0</v>
      </c>
      <c r="Q273" s="15">
        <f>MAX(IF(ISNA(VLOOKUP(B273,'Regioturnier 3'!$B$3:$C$34,2,FALSE))=TRUE,0,VLOOKUP(B273,'Regioturnier 3'!$B$3:$C$34,2,FALSE)),IF(ISNA(VLOOKUP(B273,'Regioturnier 3'!$F$3:$G$34,2,FALSE))=TRUE,0,VLOOKUP(B273,'Regioturnier 3'!$F$3:$G$34,2,FALSE)),IF(ISNA(VLOOKUP(B273,'Regioturnier 3'!$J$3:$K$34,2,FALSE))=TRUE,0,VLOOKUP(B273,'Regioturnier 3'!$J$3:$K$34,2,FALSE)),IF(ISNA(VLOOKUP(B273,'Regioturnier 3'!$N$3:$O$34,2,FALSE))=TRUE,0,VLOOKUP(B273,'Regioturnier 3'!$N$3:$O$34,2,FALSE)),IF(ISNA(VLOOKUP(B273,'Regioturnier 3'!$R$3:$S$34,2,FALSE))=TRUE,0,VLOOKUP(B273,'Regioturnier 3'!$R$3:$S$34,2,FALSE)), IF(ISNA(VLOOKUP(B273,'Regioturnier 3'!$V$3:$W$34,2,FALSE))=TRUE,0,VLOOKUP(B273,'Regioturnier 3'!$V$3:$W$34,2,FALSE)), IF(ISNA(VLOOKUP(B273,'Regioturnier 3'!$Z$3:$AA$34,2,FALSE))=TRUE,0,VLOOKUP(B273,'Regioturnier 3'!$Z$3:$AA$34,2,FALSE)))</f>
        <v>0</v>
      </c>
      <c r="R273" s="20">
        <f>0.5*INDEX($H273:$N273,MATCH(LARGE($H273:$N273,1),$H273:$N273,0))+0.3*INDEX($H273:$N273,MATCH(LARGE($H273:$N273,2),$H273:$N273,0))+0.2*INDEX($H273:$N273,MATCH(LARGE($H273:$N273,3),$H273:$N273,0))</f>
        <v>0</v>
      </c>
      <c r="S273" s="20">
        <f>0.6*INDEX(O273:Q273,MATCH(LARGE(O273:Q273,1),O273:Q273,0))+0.4*INDEX(O273:Q273,MATCH(LARGE(O273:Q273,2),O273:Q273,0))+0*INDEX(O273:Q273,MATCH(LARGE(O273:Q273,3),O273:Q273,0))</f>
        <v>0</v>
      </c>
      <c r="T273" s="15">
        <f>1*INDEX(R273:S273,MATCH(LARGE(R273:S273,1),R273:S273,0))+0*INDEX(R273:S273,MATCH(LARGE(R273:S273,2),R273:S273,0))</f>
        <v>0</v>
      </c>
      <c r="U273" s="21"/>
      <c r="V273" s="21"/>
      <c r="W273" s="21"/>
      <c r="X273" s="21"/>
      <c r="Y273" s="21"/>
      <c r="Z273" s="21"/>
    </row>
    <row r="274" spans="1:26" ht="12.75" customHeight="1" x14ac:dyDescent="0.3">
      <c r="A274" s="15">
        <v>273</v>
      </c>
      <c r="B274" s="16" t="s">
        <v>215</v>
      </c>
      <c r="C274" s="17" t="s">
        <v>31</v>
      </c>
      <c r="D274" s="15" t="s">
        <v>26</v>
      </c>
      <c r="E274" s="18" t="s">
        <v>23</v>
      </c>
      <c r="F274" s="15">
        <v>110807</v>
      </c>
      <c r="G274" s="22">
        <v>2014</v>
      </c>
      <c r="H274" s="15">
        <f>MAX(IF(ISNA(VLOOKUP(B274,'WBV 1'!$B$3:$C$34,2,FALSE))=TRUE,0,VLOOKUP(B274,'WBV 1'!$B$3:$C$34,2,FALSE)),IF(ISNA(VLOOKUP(B274,'WBV 1'!$F$3:$G$34,2,FALSE))=TRUE,0,VLOOKUP(B274,'WBV 1'!$F$3:$G$34,2,FALSE)),IF(ISNA(VLOOKUP(B274,'WBV 1'!$J$3:$K$34,2,FALSE))=TRUE,0,VLOOKUP(B274,'WBV 1'!$J$3:$K$34,2,FALSE)),IF(ISNA(VLOOKUP(B274,'WBV 1'!$N$3:$O$34,2,FALSE))=TRUE,0,VLOOKUP(B274,'WBV 1'!$N$3:$O$34,2,FALSE)))</f>
        <v>0</v>
      </c>
      <c r="I274" s="15">
        <f>MAX(IF(ISNA(VLOOKUP(B274,'WBV 2'!$B$3:$C$34,2,FALSE))=TRUE,0,VLOOKUP(B274,'WBV 2'!$B$3:$C$34,2,FALSE)),IF(ISNA(VLOOKUP(B274,'WBV 2'!$F$3:$G$34,2,FALSE))=TRUE,0,VLOOKUP(B274,'WBV 2'!$F$3:$G$34,2,FALSE)),IF(ISNA(VLOOKUP(B274,'WBV 2'!$J$3:$K$34,2,FALSE))=TRUE,0,VLOOKUP(B274,'WBV 2'!$J$3:$K$34,2,FALSE)),IF(ISNA(VLOOKUP(B274,'WBV 2'!$N$3:$O$34,2,FALSE))=TRUE,0,VLOOKUP(B274,'WBV 2'!$N$3:$O$34,2,FALSE)))</f>
        <v>0</v>
      </c>
      <c r="J274" s="15">
        <f>MAX(IF(ISNA(VLOOKUP(B274,'WBV 3'!$B$3:$C$34,2,FALSE))=TRUE,0,VLOOKUP(B274,'WBV 3'!$B$3:$C$34,2,FALSE)),IF(ISNA(VLOOKUP(B274,'WBV 3'!$F$3:$G$34,2,FALSE))=TRUE,0,VLOOKUP(B274,'WBV 3'!$F$3:$G$34,2,FALSE)),IF(ISNA(VLOOKUP(B274,'WBV 3'!$J$3:$K$34,2,FALSE))=TRUE,0,VLOOKUP(B274,'WBV 3'!$J$3:$K$34,2,FALSE)),IF(ISNA(VLOOKUP(B274,'WBV 3'!$N$3:$O$34,2,FALSE))=TRUE,0,VLOOKUP(B274,'WBV 3'!$N$3:$O$34,2,FALSE)))</f>
        <v>0</v>
      </c>
      <c r="K274" s="15">
        <f>MAX(IF(ISNA(VLOOKUP(B274,'WBV 4'!$B$3:$C$34,2,FALSE))=TRUE,0,VLOOKUP(B274,'WBV 4'!$B$3:$C$34,2,FALSE)),IF(ISNA(VLOOKUP(B274,'WBV 4'!$F$3:$G$34,2,FALSE))=TRUE,0,VLOOKUP(B274,'WBV 4'!$F$3:$G$34,2,FALSE)),IF(ISNA(VLOOKUP(B274,'WBV 4'!$J$3:$K$34,2,FALSE))=TRUE,0,VLOOKUP(B274,'WBV 4'!$J$3:$K$34,2,FALSE)),IF(ISNA(VLOOKUP(B274,'WBV 4'!$N$3:$O$34,2,FALSE))=TRUE,0,VLOOKUP(B274,'WBV 4'!$N$3:$O$34,2,FALSE)))</f>
        <v>0</v>
      </c>
      <c r="L274" s="19">
        <f>MAX(IF(ISNA(VLOOKUP(B274,'NÖBV 1'!$B$3:$C$34,2,FALSE))=TRUE,0,VLOOKUP(B274,'NÖBV 1'!$B$3:$C$34,2,FALSE)),IF(ISNA(VLOOKUP(B274,'NÖBV 1'!$F$3:$G$34,2,FALSE))=TRUE,0,VLOOKUP(B274,'NÖBV 1'!$F$3:$G$34,2,FALSE)),IF(ISNA(VLOOKUP(B274,'NÖBV 1'!$J$3:$K$34,2,FALSE))=TRUE,0,VLOOKUP(B274,'NÖBV 1'!$J$3:$K$34,2,FALSE)),IF(ISNA(VLOOKUP(B274,'NÖBV 1'!$N$3:$O$34,2,FALSE))=TRUE,0,VLOOKUP(B274,'NÖBV 1'!$N$3:$O$34,2,FALSE)))</f>
        <v>0</v>
      </c>
      <c r="M274" s="19">
        <f>MAX(IF(ISNA(VLOOKUP(B274,'NÖBV 2'!$B$3:$C$34,2,FALSE))=TRUE,0,VLOOKUP(B274,'NÖBV 2'!$B$3:$C$34,2,FALSE)),IF(ISNA(VLOOKUP(B274,'NÖBV 2'!$F$3:$G$34,2,FALSE))=TRUE,0,VLOOKUP(B274,'NÖBV 2'!$F$3:$G$34,2,FALSE)),IF(ISNA(VLOOKUP(B274,'NÖBV 2'!$J$3:$K$34,2,FALSE))=TRUE,0,VLOOKUP(B274,'NÖBV 2'!$J$3:$K$34,2,FALSE)),IF(ISNA(VLOOKUP(B274,'NÖBV 2'!$N$3:$O$34,2,FALSE))=TRUE,0,VLOOKUP(B274,'NÖBV 2'!$N$3:$O$34,2,FALSE)))</f>
        <v>0</v>
      </c>
      <c r="N274" s="19">
        <f>MAX(IF(ISNA(VLOOKUP(B274,'NÖBV 3'!$B$3:$C$34,2,FALSE))=TRUE,0,VLOOKUP(B274,'NÖBV 3'!$B$3:$C$34,2,FALSE)),IF(ISNA(VLOOKUP(B274,'NÖBV 3'!$F$3:$G$34,2,FALSE))=TRUE,0,VLOOKUP(B274,'NÖBV 3'!$F$3:$G$34,2,FALSE)),IF(ISNA(VLOOKUP(B274,'NÖBV 3'!$J$3:$K$34,2,FALSE))=TRUE,0,VLOOKUP(B274,'NÖBV 3'!$J$3:$K$34,2,FALSE)),IF(ISNA(VLOOKUP(B274,'NÖBV 3'!$N$3:$O$34,2,FALSE))=TRUE,0,VLOOKUP(B274,'NÖBV 3'!$N$3:$O$34,2,FALSE)))</f>
        <v>0</v>
      </c>
      <c r="O274" s="15">
        <f>MAX(IF(ISNA(VLOOKUP(B274,'Regioturnier 1'!$B$3:$C$34,2,FALSE))=TRUE,0,VLOOKUP(B274,'Regioturnier 1'!$B$3:$C$34,2,FALSE)),IF(ISNA(VLOOKUP(B274,'Regioturnier 1'!$F$3:$G$34,2,FALSE))=TRUE,0,VLOOKUP(B274,'Regioturnier 1'!$F$3:$G$34,2,FALSE)),IF(ISNA(VLOOKUP(B274,'Regioturnier 1'!$J$3:$K$34,2,FALSE))=TRUE,0,VLOOKUP(B274,'Regioturnier 1'!$J$3:$K$34,2,FALSE)),IF(ISNA(VLOOKUP(B274,'Regioturnier 1'!$N$3:$O$34,2,FALSE))=TRUE,0,VLOOKUP(B274,'Regioturnier 1'!$N$3:$O$34,2,FALSE)),IF(ISNA(VLOOKUP(B274,'Regioturnier 1'!$R$3:$S$34,2,FALSE))=TRUE,0,VLOOKUP(B274,'Regioturnier 1'!$R$3:$S$34,2,FALSE)), IF(ISNA(VLOOKUP(B274,'Regioturnier 1'!$V$3:$W$34,2,FALSE))=TRUE,0,VLOOKUP(B274,'Regioturnier 1'!$V$3:$W$34,2,FALSE)), IF(ISNA(VLOOKUP(B274,'Regioturnier 1'!$Z$3:$AA$34,2,FALSE))=TRUE,0,VLOOKUP(B274,'Regioturnier 1'!$Z$3:$AA$34,2,FALSE)))</f>
        <v>0</v>
      </c>
      <c r="P274" s="15">
        <f>MAX(IF(ISNA(VLOOKUP(B274,'Regioturnier 2'!$B$3:$C$34,2,FALSE))=TRUE,0,VLOOKUP(B274,'Regioturnier 2'!$B$3:$C$34,2,FALSE)),IF(ISNA(VLOOKUP(B274,'Regioturnier 2'!$F$3:$G$34,2,FALSE))=TRUE,0,VLOOKUP(B274,'Regioturnier 2'!$F$3:$G$34,2,FALSE)),IF(ISNA(VLOOKUP(B274,'Regioturnier 2'!$J$3:$K$34,2,FALSE))=TRUE,0,VLOOKUP(B274,'Regioturnier 2'!$J$3:$K$34,2,FALSE)),IF(ISNA(VLOOKUP(B274,'Regioturnier 2'!$N$3:$O$34,2,FALSE))=TRUE,0,VLOOKUP(B274,'Regioturnier 2'!$N$3:$O$34,2,FALSE)),IF(ISNA(VLOOKUP(B274,'Regioturnier 2'!$R$3:$S$34,2,FALSE))=TRUE,0,VLOOKUP(B274,'Regioturnier 2'!$R$3:$S$34,2,FALSE)), IF(ISNA(VLOOKUP(B274,'Regioturnier 2'!$V$3:$W$34,2,FALSE))=TRUE,0,VLOOKUP(B274,'Regioturnier 2'!$V$3:$W$34,2,FALSE)), IF(ISNA(VLOOKUP(B274,'Regioturnier 2'!$Z$3:$AA$34,2,FALSE))=TRUE,0,VLOOKUP(B274,'Regioturnier 2'!$Z$3:$AA$34,2,FALSE)))</f>
        <v>0</v>
      </c>
      <c r="Q274" s="15">
        <f>MAX(IF(ISNA(VLOOKUP(B274,'Regioturnier 3'!$B$3:$C$34,2,FALSE))=TRUE,0,VLOOKUP(B274,'Regioturnier 3'!$B$3:$C$34,2,FALSE)),IF(ISNA(VLOOKUP(B274,'Regioturnier 3'!$F$3:$G$34,2,FALSE))=TRUE,0,VLOOKUP(B274,'Regioturnier 3'!$F$3:$G$34,2,FALSE)),IF(ISNA(VLOOKUP(B274,'Regioturnier 3'!$J$3:$K$34,2,FALSE))=TRUE,0,VLOOKUP(B274,'Regioturnier 3'!$J$3:$K$34,2,FALSE)),IF(ISNA(VLOOKUP(B274,'Regioturnier 3'!$N$3:$O$34,2,FALSE))=TRUE,0,VLOOKUP(B274,'Regioturnier 3'!$N$3:$O$34,2,FALSE)),IF(ISNA(VLOOKUP(B274,'Regioturnier 3'!$R$3:$S$34,2,FALSE))=TRUE,0,VLOOKUP(B274,'Regioturnier 3'!$R$3:$S$34,2,FALSE)), IF(ISNA(VLOOKUP(B274,'Regioturnier 3'!$V$3:$W$34,2,FALSE))=TRUE,0,VLOOKUP(B274,'Regioturnier 3'!$V$3:$W$34,2,FALSE)), IF(ISNA(VLOOKUP(B274,'Regioturnier 3'!$Z$3:$AA$34,2,FALSE))=TRUE,0,VLOOKUP(B274,'Regioturnier 3'!$Z$3:$AA$34,2,FALSE)))</f>
        <v>0</v>
      </c>
      <c r="R274" s="20">
        <f>0.5*INDEX($H274:$N274,MATCH(LARGE($H274:$N274,1),$H274:$N274,0))+0.3*INDEX($H274:$N274,MATCH(LARGE($H274:$N274,2),$H274:$N274,0))+0.2*INDEX($H274:$N274,MATCH(LARGE($H274:$N274,3),$H274:$N274,0))</f>
        <v>0</v>
      </c>
      <c r="S274" s="20">
        <f>0.6*INDEX(O274:Q274,MATCH(LARGE(O274:Q274,1),O274:Q274,0))+0.4*INDEX(O274:Q274,MATCH(LARGE(O274:Q274,2),O274:Q274,0))+0*INDEX(O274:Q274,MATCH(LARGE(O274:Q274,3),O274:Q274,0))</f>
        <v>0</v>
      </c>
      <c r="T274" s="15">
        <f>1*INDEX(R274:S274,MATCH(LARGE(R274:S274,1),R274:S274,0))+0*INDEX(R274:S274,MATCH(LARGE(R274:S274,2),R274:S274,0))</f>
        <v>0</v>
      </c>
      <c r="U274" s="21"/>
      <c r="V274" s="21"/>
      <c r="W274" s="21"/>
      <c r="X274" s="21"/>
      <c r="Y274" s="21"/>
      <c r="Z274" s="21"/>
    </row>
    <row r="275" spans="1:26" ht="12.75" customHeight="1" x14ac:dyDescent="0.3">
      <c r="A275" s="15">
        <v>274</v>
      </c>
      <c r="B275" s="16" t="s">
        <v>253</v>
      </c>
      <c r="C275" s="17" t="s">
        <v>254</v>
      </c>
      <c r="D275" s="15" t="s">
        <v>22</v>
      </c>
      <c r="E275" s="18" t="s">
        <v>23</v>
      </c>
      <c r="F275" s="15">
        <v>109670</v>
      </c>
      <c r="G275" s="22">
        <v>2007</v>
      </c>
      <c r="H275" s="15">
        <f>MAX(IF(ISNA(VLOOKUP(B275,'WBV 1'!$B$3:$C$34,2,FALSE))=TRUE,0,VLOOKUP(B275,'WBV 1'!$B$3:$C$34,2,FALSE)),IF(ISNA(VLOOKUP(B275,'WBV 1'!$F$3:$G$34,2,FALSE))=TRUE,0,VLOOKUP(B275,'WBV 1'!$F$3:$G$34,2,FALSE)),IF(ISNA(VLOOKUP(B275,'WBV 1'!$J$3:$K$34,2,FALSE))=TRUE,0,VLOOKUP(B275,'WBV 1'!$J$3:$K$34,2,FALSE)),IF(ISNA(VLOOKUP(B275,'WBV 1'!$N$3:$O$34,2,FALSE))=TRUE,0,VLOOKUP(B275,'WBV 1'!$N$3:$O$34,2,FALSE)))</f>
        <v>0</v>
      </c>
      <c r="I275" s="15">
        <f>MAX(IF(ISNA(VLOOKUP(B275,'WBV 2'!$B$3:$C$34,2,FALSE))=TRUE,0,VLOOKUP(B275,'WBV 2'!$B$3:$C$34,2,FALSE)),IF(ISNA(VLOOKUP(B275,'WBV 2'!$F$3:$G$34,2,FALSE))=TRUE,0,VLOOKUP(B275,'WBV 2'!$F$3:$G$34,2,FALSE)),IF(ISNA(VLOOKUP(B275,'WBV 2'!$J$3:$K$34,2,FALSE))=TRUE,0,VLOOKUP(B275,'WBV 2'!$J$3:$K$34,2,FALSE)),IF(ISNA(VLOOKUP(B275,'WBV 2'!$N$3:$O$34,2,FALSE))=TRUE,0,VLOOKUP(B275,'WBV 2'!$N$3:$O$34,2,FALSE)))</f>
        <v>0</v>
      </c>
      <c r="J275" s="15">
        <f>MAX(IF(ISNA(VLOOKUP(B275,'WBV 3'!$B$3:$C$34,2,FALSE))=TRUE,0,VLOOKUP(B275,'WBV 3'!$B$3:$C$34,2,FALSE)),IF(ISNA(VLOOKUP(B275,'WBV 3'!$F$3:$G$34,2,FALSE))=TRUE,0,VLOOKUP(B275,'WBV 3'!$F$3:$G$34,2,FALSE)),IF(ISNA(VLOOKUP(B275,'WBV 3'!$J$3:$K$34,2,FALSE))=TRUE,0,VLOOKUP(B275,'WBV 3'!$J$3:$K$34,2,FALSE)),IF(ISNA(VLOOKUP(B275,'WBV 3'!$N$3:$O$34,2,FALSE))=TRUE,0,VLOOKUP(B275,'WBV 3'!$N$3:$O$34,2,FALSE)))</f>
        <v>0</v>
      </c>
      <c r="K275" s="15">
        <f>MAX(IF(ISNA(VLOOKUP(B275,'WBV 4'!$B$3:$C$34,2,FALSE))=TRUE,0,VLOOKUP(B275,'WBV 4'!$B$3:$C$34,2,FALSE)),IF(ISNA(VLOOKUP(B275,'WBV 4'!$F$3:$G$34,2,FALSE))=TRUE,0,VLOOKUP(B275,'WBV 4'!$F$3:$G$34,2,FALSE)),IF(ISNA(VLOOKUP(B275,'WBV 4'!$J$3:$K$34,2,FALSE))=TRUE,0,VLOOKUP(B275,'WBV 4'!$J$3:$K$34,2,FALSE)),IF(ISNA(VLOOKUP(B275,'WBV 4'!$N$3:$O$34,2,FALSE))=TRUE,0,VLOOKUP(B275,'WBV 4'!$N$3:$O$34,2,FALSE)))</f>
        <v>0</v>
      </c>
      <c r="L275" s="19">
        <f>MAX(IF(ISNA(VLOOKUP(B275,'NÖBV 1'!$B$3:$C$34,2,FALSE))=TRUE,0,VLOOKUP(B275,'NÖBV 1'!$B$3:$C$34,2,FALSE)),IF(ISNA(VLOOKUP(B275,'NÖBV 1'!$F$3:$G$34,2,FALSE))=TRUE,0,VLOOKUP(B275,'NÖBV 1'!$F$3:$G$34,2,FALSE)),IF(ISNA(VLOOKUP(B275,'NÖBV 1'!$J$3:$K$34,2,FALSE))=TRUE,0,VLOOKUP(B275,'NÖBV 1'!$J$3:$K$34,2,FALSE)),IF(ISNA(VLOOKUP(B275,'NÖBV 1'!$N$3:$O$34,2,FALSE))=TRUE,0,VLOOKUP(B275,'NÖBV 1'!$N$3:$O$34,2,FALSE)))</f>
        <v>0</v>
      </c>
      <c r="M275" s="19">
        <f>MAX(IF(ISNA(VLOOKUP(B275,'NÖBV 2'!$B$3:$C$34,2,FALSE))=TRUE,0,VLOOKUP(B275,'NÖBV 2'!$B$3:$C$34,2,FALSE)),IF(ISNA(VLOOKUP(B275,'NÖBV 2'!$F$3:$G$34,2,FALSE))=TRUE,0,VLOOKUP(B275,'NÖBV 2'!$F$3:$G$34,2,FALSE)),IF(ISNA(VLOOKUP(B275,'NÖBV 2'!$J$3:$K$34,2,FALSE))=TRUE,0,VLOOKUP(B275,'NÖBV 2'!$J$3:$K$34,2,FALSE)),IF(ISNA(VLOOKUP(B275,'NÖBV 2'!$N$3:$O$34,2,FALSE))=TRUE,0,VLOOKUP(B275,'NÖBV 2'!$N$3:$O$34,2,FALSE)))</f>
        <v>0</v>
      </c>
      <c r="N275" s="19">
        <f>MAX(IF(ISNA(VLOOKUP(B275,'NÖBV 3'!$B$3:$C$34,2,FALSE))=TRUE,0,VLOOKUP(B275,'NÖBV 3'!$B$3:$C$34,2,FALSE)),IF(ISNA(VLOOKUP(B275,'NÖBV 3'!$F$3:$G$34,2,FALSE))=TRUE,0,VLOOKUP(B275,'NÖBV 3'!$F$3:$G$34,2,FALSE)),IF(ISNA(VLOOKUP(B275,'NÖBV 3'!$J$3:$K$34,2,FALSE))=TRUE,0,VLOOKUP(B275,'NÖBV 3'!$J$3:$K$34,2,FALSE)),IF(ISNA(VLOOKUP(B275,'NÖBV 3'!$N$3:$O$34,2,FALSE))=TRUE,0,VLOOKUP(B275,'NÖBV 3'!$N$3:$O$34,2,FALSE)))</f>
        <v>0</v>
      </c>
      <c r="O275" s="15">
        <f>MAX(IF(ISNA(VLOOKUP(B275,'Regioturnier 1'!$B$3:$C$34,2,FALSE))=TRUE,0,VLOOKUP(B275,'Regioturnier 1'!$B$3:$C$34,2,FALSE)),IF(ISNA(VLOOKUP(B275,'Regioturnier 1'!$F$3:$G$34,2,FALSE))=TRUE,0,VLOOKUP(B275,'Regioturnier 1'!$F$3:$G$34,2,FALSE)),IF(ISNA(VLOOKUP(B275,'Regioturnier 1'!$J$3:$K$34,2,FALSE))=TRUE,0,VLOOKUP(B275,'Regioturnier 1'!$J$3:$K$34,2,FALSE)),IF(ISNA(VLOOKUP(B275,'Regioturnier 1'!$N$3:$O$34,2,FALSE))=TRUE,0,VLOOKUP(B275,'Regioturnier 1'!$N$3:$O$34,2,FALSE)),IF(ISNA(VLOOKUP(B275,'Regioturnier 1'!$R$3:$S$34,2,FALSE))=TRUE,0,VLOOKUP(B275,'Regioturnier 1'!$R$3:$S$34,2,FALSE)), IF(ISNA(VLOOKUP(B275,'Regioturnier 1'!$V$3:$W$34,2,FALSE))=TRUE,0,VLOOKUP(B275,'Regioturnier 1'!$V$3:$W$34,2,FALSE)), IF(ISNA(VLOOKUP(B275,'Regioturnier 1'!$Z$3:$AA$34,2,FALSE))=TRUE,0,VLOOKUP(B275,'Regioturnier 1'!$Z$3:$AA$34,2,FALSE)))</f>
        <v>0</v>
      </c>
      <c r="P275" s="15">
        <f>MAX(IF(ISNA(VLOOKUP(B275,'Regioturnier 2'!$B$3:$C$34,2,FALSE))=TRUE,0,VLOOKUP(B275,'Regioturnier 2'!$B$3:$C$34,2,FALSE)),IF(ISNA(VLOOKUP(B275,'Regioturnier 2'!$F$3:$G$34,2,FALSE))=TRUE,0,VLOOKUP(B275,'Regioturnier 2'!$F$3:$G$34,2,FALSE)),IF(ISNA(VLOOKUP(B275,'Regioturnier 2'!$J$3:$K$34,2,FALSE))=TRUE,0,VLOOKUP(B275,'Regioturnier 2'!$J$3:$K$34,2,FALSE)),IF(ISNA(VLOOKUP(B275,'Regioturnier 2'!$N$3:$O$34,2,FALSE))=TRUE,0,VLOOKUP(B275,'Regioturnier 2'!$N$3:$O$34,2,FALSE)),IF(ISNA(VLOOKUP(B275,'Regioturnier 2'!$R$3:$S$34,2,FALSE))=TRUE,0,VLOOKUP(B275,'Regioturnier 2'!$R$3:$S$34,2,FALSE)), IF(ISNA(VLOOKUP(B275,'Regioturnier 2'!$V$3:$W$34,2,FALSE))=TRUE,0,VLOOKUP(B275,'Regioturnier 2'!$V$3:$W$34,2,FALSE)), IF(ISNA(VLOOKUP(B275,'Regioturnier 2'!$Z$3:$AA$34,2,FALSE))=TRUE,0,VLOOKUP(B275,'Regioturnier 2'!$Z$3:$AA$34,2,FALSE)))</f>
        <v>0</v>
      </c>
      <c r="Q275" s="15">
        <f>MAX(IF(ISNA(VLOOKUP(B275,'Regioturnier 3'!$B$3:$C$34,2,FALSE))=TRUE,0,VLOOKUP(B275,'Regioturnier 3'!$B$3:$C$34,2,FALSE)),IF(ISNA(VLOOKUP(B275,'Regioturnier 3'!$F$3:$G$34,2,FALSE))=TRUE,0,VLOOKUP(B275,'Regioturnier 3'!$F$3:$G$34,2,FALSE)),IF(ISNA(VLOOKUP(B275,'Regioturnier 3'!$J$3:$K$34,2,FALSE))=TRUE,0,VLOOKUP(B275,'Regioturnier 3'!$J$3:$K$34,2,FALSE)),IF(ISNA(VLOOKUP(B275,'Regioturnier 3'!$N$3:$O$34,2,FALSE))=TRUE,0,VLOOKUP(B275,'Regioturnier 3'!$N$3:$O$34,2,FALSE)),IF(ISNA(VLOOKUP(B275,'Regioturnier 3'!$R$3:$S$34,2,FALSE))=TRUE,0,VLOOKUP(B275,'Regioturnier 3'!$R$3:$S$34,2,FALSE)), IF(ISNA(VLOOKUP(B275,'Regioturnier 3'!$V$3:$W$34,2,FALSE))=TRUE,0,VLOOKUP(B275,'Regioturnier 3'!$V$3:$W$34,2,FALSE)), IF(ISNA(VLOOKUP(B275,'Regioturnier 3'!$Z$3:$AA$34,2,FALSE))=TRUE,0,VLOOKUP(B275,'Regioturnier 3'!$Z$3:$AA$34,2,FALSE)))</f>
        <v>0</v>
      </c>
      <c r="R275" s="20">
        <f>0.5*INDEX($H275:$N275,MATCH(LARGE($H275:$N275,1),$H275:$N275,0))+0.3*INDEX($H275:$N275,MATCH(LARGE($H275:$N275,2),$H275:$N275,0))+0.2*INDEX($H275:$N275,MATCH(LARGE($H275:$N275,3),$H275:$N275,0))</f>
        <v>0</v>
      </c>
      <c r="S275" s="20">
        <f>0.6*INDEX(O275:Q275,MATCH(LARGE(O275:Q275,1),O275:Q275,0))+0.4*INDEX(O275:Q275,MATCH(LARGE(O275:Q275,2),O275:Q275,0))+0*INDEX(O275:Q275,MATCH(LARGE(O275:Q275,3),O275:Q275,0))</f>
        <v>0</v>
      </c>
      <c r="T275" s="15">
        <f>1*INDEX(R275:S275,MATCH(LARGE(R275:S275,1),R275:S275,0))+0*INDEX(R275:S275,MATCH(LARGE(R275:S275,2),R275:S275,0))</f>
        <v>0</v>
      </c>
      <c r="U275" s="21"/>
      <c r="V275" s="21"/>
      <c r="W275" s="21"/>
      <c r="X275" s="21"/>
      <c r="Y275" s="21"/>
      <c r="Z275" s="21"/>
    </row>
    <row r="276" spans="1:26" ht="12.75" customHeight="1" x14ac:dyDescent="0.3">
      <c r="A276" s="15">
        <v>275</v>
      </c>
      <c r="B276" s="16" t="s">
        <v>255</v>
      </c>
      <c r="C276" s="17" t="s">
        <v>48</v>
      </c>
      <c r="D276" s="15" t="s">
        <v>26</v>
      </c>
      <c r="E276" s="18" t="s">
        <v>23</v>
      </c>
      <c r="F276" s="15">
        <v>110333</v>
      </c>
      <c r="G276" s="22">
        <v>2010</v>
      </c>
      <c r="H276" s="15">
        <f>MAX(IF(ISNA(VLOOKUP(B276,'WBV 1'!$B$3:$C$34,2,FALSE))=TRUE,0,VLOOKUP(B276,'WBV 1'!$B$3:$C$34,2,FALSE)),IF(ISNA(VLOOKUP(B276,'WBV 1'!$F$3:$G$34,2,FALSE))=TRUE,0,VLOOKUP(B276,'WBV 1'!$F$3:$G$34,2,FALSE)),IF(ISNA(VLOOKUP(B276,'WBV 1'!$J$3:$K$34,2,FALSE))=TRUE,0,VLOOKUP(B276,'WBV 1'!$J$3:$K$34,2,FALSE)),IF(ISNA(VLOOKUP(B276,'WBV 1'!$N$3:$O$34,2,FALSE))=TRUE,0,VLOOKUP(B276,'WBV 1'!$N$3:$O$34,2,FALSE)))</f>
        <v>0</v>
      </c>
      <c r="I276" s="15">
        <f>MAX(IF(ISNA(VLOOKUP(B276,'WBV 2'!$B$3:$C$34,2,FALSE))=TRUE,0,VLOOKUP(B276,'WBV 2'!$B$3:$C$34,2,FALSE)),IF(ISNA(VLOOKUP(B276,'WBV 2'!$F$3:$G$34,2,FALSE))=TRUE,0,VLOOKUP(B276,'WBV 2'!$F$3:$G$34,2,FALSE)),IF(ISNA(VLOOKUP(B276,'WBV 2'!$J$3:$K$34,2,FALSE))=TRUE,0,VLOOKUP(B276,'WBV 2'!$J$3:$K$34,2,FALSE)),IF(ISNA(VLOOKUP(B276,'WBV 2'!$N$3:$O$34,2,FALSE))=TRUE,0,VLOOKUP(B276,'WBV 2'!$N$3:$O$34,2,FALSE)))</f>
        <v>0</v>
      </c>
      <c r="J276" s="15">
        <f>MAX(IF(ISNA(VLOOKUP(B276,'WBV 3'!$B$3:$C$34,2,FALSE))=TRUE,0,VLOOKUP(B276,'WBV 3'!$B$3:$C$34,2,FALSE)),IF(ISNA(VLOOKUP(B276,'WBV 3'!$F$3:$G$34,2,FALSE))=TRUE,0,VLOOKUP(B276,'WBV 3'!$F$3:$G$34,2,FALSE)),IF(ISNA(VLOOKUP(B276,'WBV 3'!$J$3:$K$34,2,FALSE))=TRUE,0,VLOOKUP(B276,'WBV 3'!$J$3:$K$34,2,FALSE)),IF(ISNA(VLOOKUP(B276,'WBV 3'!$N$3:$O$34,2,FALSE))=TRUE,0,VLOOKUP(B276,'WBV 3'!$N$3:$O$34,2,FALSE)))</f>
        <v>0</v>
      </c>
      <c r="K276" s="15">
        <f>MAX(IF(ISNA(VLOOKUP(B276,'WBV 4'!$B$3:$C$34,2,FALSE))=TRUE,0,VLOOKUP(B276,'WBV 4'!$B$3:$C$34,2,FALSE)),IF(ISNA(VLOOKUP(B276,'WBV 4'!$F$3:$G$34,2,FALSE))=TRUE,0,VLOOKUP(B276,'WBV 4'!$F$3:$G$34,2,FALSE)),IF(ISNA(VLOOKUP(B276,'WBV 4'!$J$3:$K$34,2,FALSE))=TRUE,0,VLOOKUP(B276,'WBV 4'!$J$3:$K$34,2,FALSE)),IF(ISNA(VLOOKUP(B276,'WBV 4'!$N$3:$O$34,2,FALSE))=TRUE,0,VLOOKUP(B276,'WBV 4'!$N$3:$O$34,2,FALSE)))</f>
        <v>0</v>
      </c>
      <c r="L276" s="19">
        <f>MAX(IF(ISNA(VLOOKUP(B276,'NÖBV 1'!$B$3:$C$34,2,FALSE))=TRUE,0,VLOOKUP(B276,'NÖBV 1'!$B$3:$C$34,2,FALSE)),IF(ISNA(VLOOKUP(B276,'NÖBV 1'!$F$3:$G$34,2,FALSE))=TRUE,0,VLOOKUP(B276,'NÖBV 1'!$F$3:$G$34,2,FALSE)),IF(ISNA(VLOOKUP(B276,'NÖBV 1'!$J$3:$K$34,2,FALSE))=TRUE,0,VLOOKUP(B276,'NÖBV 1'!$J$3:$K$34,2,FALSE)),IF(ISNA(VLOOKUP(B276,'NÖBV 1'!$N$3:$O$34,2,FALSE))=TRUE,0,VLOOKUP(B276,'NÖBV 1'!$N$3:$O$34,2,FALSE)))</f>
        <v>0</v>
      </c>
      <c r="M276" s="19">
        <f>MAX(IF(ISNA(VLOOKUP(B276,'NÖBV 2'!$B$3:$C$34,2,FALSE))=TRUE,0,VLOOKUP(B276,'NÖBV 2'!$B$3:$C$34,2,FALSE)),IF(ISNA(VLOOKUP(B276,'NÖBV 2'!$F$3:$G$34,2,FALSE))=TRUE,0,VLOOKUP(B276,'NÖBV 2'!$F$3:$G$34,2,FALSE)),IF(ISNA(VLOOKUP(B276,'NÖBV 2'!$J$3:$K$34,2,FALSE))=TRUE,0,VLOOKUP(B276,'NÖBV 2'!$J$3:$K$34,2,FALSE)),IF(ISNA(VLOOKUP(B276,'NÖBV 2'!$N$3:$O$34,2,FALSE))=TRUE,0,VLOOKUP(B276,'NÖBV 2'!$N$3:$O$34,2,FALSE)))</f>
        <v>0</v>
      </c>
      <c r="N276" s="19">
        <f>MAX(IF(ISNA(VLOOKUP(B276,'NÖBV 3'!$B$3:$C$34,2,FALSE))=TRUE,0,VLOOKUP(B276,'NÖBV 3'!$B$3:$C$34,2,FALSE)),IF(ISNA(VLOOKUP(B276,'NÖBV 3'!$F$3:$G$34,2,FALSE))=TRUE,0,VLOOKUP(B276,'NÖBV 3'!$F$3:$G$34,2,FALSE)),IF(ISNA(VLOOKUP(B276,'NÖBV 3'!$J$3:$K$34,2,FALSE))=TRUE,0,VLOOKUP(B276,'NÖBV 3'!$J$3:$K$34,2,FALSE)),IF(ISNA(VLOOKUP(B276,'NÖBV 3'!$N$3:$O$34,2,FALSE))=TRUE,0,VLOOKUP(B276,'NÖBV 3'!$N$3:$O$34,2,FALSE)))</f>
        <v>0</v>
      </c>
      <c r="O276" s="15">
        <f>MAX(IF(ISNA(VLOOKUP(B276,'Regioturnier 1'!$B$3:$C$34,2,FALSE))=TRUE,0,VLOOKUP(B276,'Regioturnier 1'!$B$3:$C$34,2,FALSE)),IF(ISNA(VLOOKUP(B276,'Regioturnier 1'!$F$3:$G$34,2,FALSE))=TRUE,0,VLOOKUP(B276,'Regioturnier 1'!$F$3:$G$34,2,FALSE)),IF(ISNA(VLOOKUP(B276,'Regioturnier 1'!$J$3:$K$34,2,FALSE))=TRUE,0,VLOOKUP(B276,'Regioturnier 1'!$J$3:$K$34,2,FALSE)),IF(ISNA(VLOOKUP(B276,'Regioturnier 1'!$N$3:$O$34,2,FALSE))=TRUE,0,VLOOKUP(B276,'Regioturnier 1'!$N$3:$O$34,2,FALSE)),IF(ISNA(VLOOKUP(B276,'Regioturnier 1'!$R$3:$S$34,2,FALSE))=TRUE,0,VLOOKUP(B276,'Regioturnier 1'!$R$3:$S$34,2,FALSE)), IF(ISNA(VLOOKUP(B276,'Regioturnier 1'!$V$3:$W$34,2,FALSE))=TRUE,0,VLOOKUP(B276,'Regioturnier 1'!$V$3:$W$34,2,FALSE)), IF(ISNA(VLOOKUP(B276,'Regioturnier 1'!$Z$3:$AA$34,2,FALSE))=TRUE,0,VLOOKUP(B276,'Regioturnier 1'!$Z$3:$AA$34,2,FALSE)))</f>
        <v>0</v>
      </c>
      <c r="P276" s="15">
        <f>MAX(IF(ISNA(VLOOKUP(B276,'Regioturnier 2'!$B$3:$C$34,2,FALSE))=TRUE,0,VLOOKUP(B276,'Regioturnier 2'!$B$3:$C$34,2,FALSE)),IF(ISNA(VLOOKUP(B276,'Regioturnier 2'!$F$3:$G$34,2,FALSE))=TRUE,0,VLOOKUP(B276,'Regioturnier 2'!$F$3:$G$34,2,FALSE)),IF(ISNA(VLOOKUP(B276,'Regioturnier 2'!$J$3:$K$34,2,FALSE))=TRUE,0,VLOOKUP(B276,'Regioturnier 2'!$J$3:$K$34,2,FALSE)),IF(ISNA(VLOOKUP(B276,'Regioturnier 2'!$N$3:$O$34,2,FALSE))=TRUE,0,VLOOKUP(B276,'Regioturnier 2'!$N$3:$O$34,2,FALSE)),IF(ISNA(VLOOKUP(B276,'Regioturnier 2'!$R$3:$S$34,2,FALSE))=TRUE,0,VLOOKUP(B276,'Regioturnier 2'!$R$3:$S$34,2,FALSE)), IF(ISNA(VLOOKUP(B276,'Regioturnier 2'!$V$3:$W$34,2,FALSE))=TRUE,0,VLOOKUP(B276,'Regioturnier 2'!$V$3:$W$34,2,FALSE)), IF(ISNA(VLOOKUP(B276,'Regioturnier 2'!$Z$3:$AA$34,2,FALSE))=TRUE,0,VLOOKUP(B276,'Regioturnier 2'!$Z$3:$AA$34,2,FALSE)))</f>
        <v>0</v>
      </c>
      <c r="Q276" s="15">
        <f>MAX(IF(ISNA(VLOOKUP(B276,'Regioturnier 3'!$B$3:$C$34,2,FALSE))=TRUE,0,VLOOKUP(B276,'Regioturnier 3'!$B$3:$C$34,2,FALSE)),IF(ISNA(VLOOKUP(B276,'Regioturnier 3'!$F$3:$G$34,2,FALSE))=TRUE,0,VLOOKUP(B276,'Regioturnier 3'!$F$3:$G$34,2,FALSE)),IF(ISNA(VLOOKUP(B276,'Regioturnier 3'!$J$3:$K$34,2,FALSE))=TRUE,0,VLOOKUP(B276,'Regioturnier 3'!$J$3:$K$34,2,FALSE)),IF(ISNA(VLOOKUP(B276,'Regioturnier 3'!$N$3:$O$34,2,FALSE))=TRUE,0,VLOOKUP(B276,'Regioturnier 3'!$N$3:$O$34,2,FALSE)),IF(ISNA(VLOOKUP(B276,'Regioturnier 3'!$R$3:$S$34,2,FALSE))=TRUE,0,VLOOKUP(B276,'Regioturnier 3'!$R$3:$S$34,2,FALSE)), IF(ISNA(VLOOKUP(B276,'Regioturnier 3'!$V$3:$W$34,2,FALSE))=TRUE,0,VLOOKUP(B276,'Regioturnier 3'!$V$3:$W$34,2,FALSE)), IF(ISNA(VLOOKUP(B276,'Regioturnier 3'!$Z$3:$AA$34,2,FALSE))=TRUE,0,VLOOKUP(B276,'Regioturnier 3'!$Z$3:$AA$34,2,FALSE)))</f>
        <v>0</v>
      </c>
      <c r="R276" s="20">
        <f>0.5*INDEX($H276:$N276,MATCH(LARGE($H276:$N276,1),$H276:$N276,0))+0.3*INDEX($H276:$N276,MATCH(LARGE($H276:$N276,2),$H276:$N276,0))+0.2*INDEX($H276:$N276,MATCH(LARGE($H276:$N276,3),$H276:$N276,0))</f>
        <v>0</v>
      </c>
      <c r="S276" s="20">
        <f>0.6*INDEX(O276:Q276,MATCH(LARGE(O276:Q276,1),O276:Q276,0))+0.4*INDEX(O276:Q276,MATCH(LARGE(O276:Q276,2),O276:Q276,0))+0*INDEX(O276:Q276,MATCH(LARGE(O276:Q276,3),O276:Q276,0))</f>
        <v>0</v>
      </c>
      <c r="T276" s="15">
        <f>1*INDEX(R276:S276,MATCH(LARGE(R276:S276,1),R276:S276,0))+0*INDEX(R276:S276,MATCH(LARGE(R276:S276,2),R276:S276,0))</f>
        <v>0</v>
      </c>
      <c r="U276" s="21"/>
      <c r="V276" s="21"/>
      <c r="W276" s="21"/>
      <c r="X276" s="21"/>
      <c r="Y276" s="21"/>
      <c r="Z276" s="21"/>
    </row>
    <row r="277" spans="1:26" ht="12.75" customHeight="1" x14ac:dyDescent="0.3">
      <c r="A277" s="15">
        <v>276</v>
      </c>
      <c r="B277" s="16" t="s">
        <v>256</v>
      </c>
      <c r="C277" s="17" t="s">
        <v>31</v>
      </c>
      <c r="D277" s="15" t="s">
        <v>26</v>
      </c>
      <c r="E277" s="18" t="s">
        <v>23</v>
      </c>
      <c r="F277" s="15">
        <v>110688</v>
      </c>
      <c r="G277" s="22">
        <v>2009</v>
      </c>
      <c r="H277" s="15">
        <f>MAX(IF(ISNA(VLOOKUP(B277,'WBV 1'!$B$3:$C$34,2,FALSE))=TRUE,0,VLOOKUP(B277,'WBV 1'!$B$3:$C$34,2,FALSE)),IF(ISNA(VLOOKUP(B277,'WBV 1'!$F$3:$G$34,2,FALSE))=TRUE,0,VLOOKUP(B277,'WBV 1'!$F$3:$G$34,2,FALSE)),IF(ISNA(VLOOKUP(B277,'WBV 1'!$J$3:$K$34,2,FALSE))=TRUE,0,VLOOKUP(B277,'WBV 1'!$J$3:$K$34,2,FALSE)),IF(ISNA(VLOOKUP(B277,'WBV 1'!$N$3:$O$34,2,FALSE))=TRUE,0,VLOOKUP(B277,'WBV 1'!$N$3:$O$34,2,FALSE)))</f>
        <v>0</v>
      </c>
      <c r="I277" s="15">
        <f>MAX(IF(ISNA(VLOOKUP(B277,'WBV 2'!$B$3:$C$34,2,FALSE))=TRUE,0,VLOOKUP(B277,'WBV 2'!$B$3:$C$34,2,FALSE)),IF(ISNA(VLOOKUP(B277,'WBV 2'!$F$3:$G$34,2,FALSE))=TRUE,0,VLOOKUP(B277,'WBV 2'!$F$3:$G$34,2,FALSE)),IF(ISNA(VLOOKUP(B277,'WBV 2'!$J$3:$K$34,2,FALSE))=TRUE,0,VLOOKUP(B277,'WBV 2'!$J$3:$K$34,2,FALSE)),IF(ISNA(VLOOKUP(B277,'WBV 2'!$N$3:$O$34,2,FALSE))=TRUE,0,VLOOKUP(B277,'WBV 2'!$N$3:$O$34,2,FALSE)))</f>
        <v>0</v>
      </c>
      <c r="J277" s="15">
        <f>MAX(IF(ISNA(VLOOKUP(B277,'WBV 3'!$B$3:$C$34,2,FALSE))=TRUE,0,VLOOKUP(B277,'WBV 3'!$B$3:$C$34,2,FALSE)),IF(ISNA(VLOOKUP(B277,'WBV 3'!$F$3:$G$34,2,FALSE))=TRUE,0,VLOOKUP(B277,'WBV 3'!$F$3:$G$34,2,FALSE)),IF(ISNA(VLOOKUP(B277,'WBV 3'!$J$3:$K$34,2,FALSE))=TRUE,0,VLOOKUP(B277,'WBV 3'!$J$3:$K$34,2,FALSE)),IF(ISNA(VLOOKUP(B277,'WBV 3'!$N$3:$O$34,2,FALSE))=TRUE,0,VLOOKUP(B277,'WBV 3'!$N$3:$O$34,2,FALSE)))</f>
        <v>0</v>
      </c>
      <c r="K277" s="15">
        <f>MAX(IF(ISNA(VLOOKUP(B277,'WBV 4'!$B$3:$C$34,2,FALSE))=TRUE,0,VLOOKUP(B277,'WBV 4'!$B$3:$C$34,2,FALSE)),IF(ISNA(VLOOKUP(B277,'WBV 4'!$F$3:$G$34,2,FALSE))=TRUE,0,VLOOKUP(B277,'WBV 4'!$F$3:$G$34,2,FALSE)),IF(ISNA(VLOOKUP(B277,'WBV 4'!$J$3:$K$34,2,FALSE))=TRUE,0,VLOOKUP(B277,'WBV 4'!$J$3:$K$34,2,FALSE)),IF(ISNA(VLOOKUP(B277,'WBV 4'!$N$3:$O$34,2,FALSE))=TRUE,0,VLOOKUP(B277,'WBV 4'!$N$3:$O$34,2,FALSE)))</f>
        <v>0</v>
      </c>
      <c r="L277" s="19">
        <f>MAX(IF(ISNA(VLOOKUP(B277,'NÖBV 1'!$B$3:$C$34,2,FALSE))=TRUE,0,VLOOKUP(B277,'NÖBV 1'!$B$3:$C$34,2,FALSE)),IF(ISNA(VLOOKUP(B277,'NÖBV 1'!$F$3:$G$34,2,FALSE))=TRUE,0,VLOOKUP(B277,'NÖBV 1'!$F$3:$G$34,2,FALSE)),IF(ISNA(VLOOKUP(B277,'NÖBV 1'!$J$3:$K$34,2,FALSE))=TRUE,0,VLOOKUP(B277,'NÖBV 1'!$J$3:$K$34,2,FALSE)),IF(ISNA(VLOOKUP(B277,'NÖBV 1'!$N$3:$O$34,2,FALSE))=TRUE,0,VLOOKUP(B277,'NÖBV 1'!$N$3:$O$34,2,FALSE)))</f>
        <v>0</v>
      </c>
      <c r="M277" s="19">
        <f>MAX(IF(ISNA(VLOOKUP(B277,'NÖBV 2'!$B$3:$C$34,2,FALSE))=TRUE,0,VLOOKUP(B277,'NÖBV 2'!$B$3:$C$34,2,FALSE)),IF(ISNA(VLOOKUP(B277,'NÖBV 2'!$F$3:$G$34,2,FALSE))=TRUE,0,VLOOKUP(B277,'NÖBV 2'!$F$3:$G$34,2,FALSE)),IF(ISNA(VLOOKUP(B277,'NÖBV 2'!$J$3:$K$34,2,FALSE))=TRUE,0,VLOOKUP(B277,'NÖBV 2'!$J$3:$K$34,2,FALSE)),IF(ISNA(VLOOKUP(B277,'NÖBV 2'!$N$3:$O$34,2,FALSE))=TRUE,0,VLOOKUP(B277,'NÖBV 2'!$N$3:$O$34,2,FALSE)))</f>
        <v>0</v>
      </c>
      <c r="N277" s="19">
        <f>MAX(IF(ISNA(VLOOKUP(B277,'NÖBV 3'!$B$3:$C$34,2,FALSE))=TRUE,0,VLOOKUP(B277,'NÖBV 3'!$B$3:$C$34,2,FALSE)),IF(ISNA(VLOOKUP(B277,'NÖBV 3'!$F$3:$G$34,2,FALSE))=TRUE,0,VLOOKUP(B277,'NÖBV 3'!$F$3:$G$34,2,FALSE)),IF(ISNA(VLOOKUP(B277,'NÖBV 3'!$J$3:$K$34,2,FALSE))=TRUE,0,VLOOKUP(B277,'NÖBV 3'!$J$3:$K$34,2,FALSE)),IF(ISNA(VLOOKUP(B277,'NÖBV 3'!$N$3:$O$34,2,FALSE))=TRUE,0,VLOOKUP(B277,'NÖBV 3'!$N$3:$O$34,2,FALSE)))</f>
        <v>0</v>
      </c>
      <c r="O277" s="15">
        <f>MAX(IF(ISNA(VLOOKUP(B277,'Regioturnier 1'!$B$3:$C$34,2,FALSE))=TRUE,0,VLOOKUP(B277,'Regioturnier 1'!$B$3:$C$34,2,FALSE)),IF(ISNA(VLOOKUP(B277,'Regioturnier 1'!$F$3:$G$34,2,FALSE))=TRUE,0,VLOOKUP(B277,'Regioturnier 1'!$F$3:$G$34,2,FALSE)),IF(ISNA(VLOOKUP(B277,'Regioturnier 1'!$J$3:$K$34,2,FALSE))=TRUE,0,VLOOKUP(B277,'Regioturnier 1'!$J$3:$K$34,2,FALSE)),IF(ISNA(VLOOKUP(B277,'Regioturnier 1'!$N$3:$O$34,2,FALSE))=TRUE,0,VLOOKUP(B277,'Regioturnier 1'!$N$3:$O$34,2,FALSE)),IF(ISNA(VLOOKUP(B277,'Regioturnier 1'!$R$3:$S$34,2,FALSE))=TRUE,0,VLOOKUP(B277,'Regioturnier 1'!$R$3:$S$34,2,FALSE)), IF(ISNA(VLOOKUP(B277,'Regioturnier 1'!$V$3:$W$34,2,FALSE))=TRUE,0,VLOOKUP(B277,'Regioturnier 1'!$V$3:$W$34,2,FALSE)), IF(ISNA(VLOOKUP(B277,'Regioturnier 1'!$Z$3:$AA$34,2,FALSE))=TRUE,0,VLOOKUP(B277,'Regioturnier 1'!$Z$3:$AA$34,2,FALSE)))</f>
        <v>0</v>
      </c>
      <c r="P277" s="15">
        <f>MAX(IF(ISNA(VLOOKUP(B277,'Regioturnier 2'!$B$3:$C$34,2,FALSE))=TRUE,0,VLOOKUP(B277,'Regioturnier 2'!$B$3:$C$34,2,FALSE)),IF(ISNA(VLOOKUP(B277,'Regioturnier 2'!$F$3:$G$34,2,FALSE))=TRUE,0,VLOOKUP(B277,'Regioturnier 2'!$F$3:$G$34,2,FALSE)),IF(ISNA(VLOOKUP(B277,'Regioturnier 2'!$J$3:$K$34,2,FALSE))=TRUE,0,VLOOKUP(B277,'Regioturnier 2'!$J$3:$K$34,2,FALSE)),IF(ISNA(VLOOKUP(B277,'Regioturnier 2'!$N$3:$O$34,2,FALSE))=TRUE,0,VLOOKUP(B277,'Regioturnier 2'!$N$3:$O$34,2,FALSE)),IF(ISNA(VLOOKUP(B277,'Regioturnier 2'!$R$3:$S$34,2,FALSE))=TRUE,0,VLOOKUP(B277,'Regioturnier 2'!$R$3:$S$34,2,FALSE)), IF(ISNA(VLOOKUP(B277,'Regioturnier 2'!$V$3:$W$34,2,FALSE))=TRUE,0,VLOOKUP(B277,'Regioturnier 2'!$V$3:$W$34,2,FALSE)), IF(ISNA(VLOOKUP(B277,'Regioturnier 2'!$Z$3:$AA$34,2,FALSE))=TRUE,0,VLOOKUP(B277,'Regioturnier 2'!$Z$3:$AA$34,2,FALSE)))</f>
        <v>0</v>
      </c>
      <c r="Q277" s="15">
        <f>MAX(IF(ISNA(VLOOKUP(B277,'Regioturnier 3'!$B$3:$C$34,2,FALSE))=TRUE,0,VLOOKUP(B277,'Regioturnier 3'!$B$3:$C$34,2,FALSE)),IF(ISNA(VLOOKUP(B277,'Regioturnier 3'!$F$3:$G$34,2,FALSE))=TRUE,0,VLOOKUP(B277,'Regioturnier 3'!$F$3:$G$34,2,FALSE)),IF(ISNA(VLOOKUP(B277,'Regioturnier 3'!$J$3:$K$34,2,FALSE))=TRUE,0,VLOOKUP(B277,'Regioturnier 3'!$J$3:$K$34,2,FALSE)),IF(ISNA(VLOOKUP(B277,'Regioturnier 3'!$N$3:$O$34,2,FALSE))=TRUE,0,VLOOKUP(B277,'Regioturnier 3'!$N$3:$O$34,2,FALSE)),IF(ISNA(VLOOKUP(B277,'Regioturnier 3'!$R$3:$S$34,2,FALSE))=TRUE,0,VLOOKUP(B277,'Regioturnier 3'!$R$3:$S$34,2,FALSE)), IF(ISNA(VLOOKUP(B277,'Regioturnier 3'!$V$3:$W$34,2,FALSE))=TRUE,0,VLOOKUP(B277,'Regioturnier 3'!$V$3:$W$34,2,FALSE)), IF(ISNA(VLOOKUP(B277,'Regioturnier 3'!$Z$3:$AA$34,2,FALSE))=TRUE,0,VLOOKUP(B277,'Regioturnier 3'!$Z$3:$AA$34,2,FALSE)))</f>
        <v>0</v>
      </c>
      <c r="R277" s="20">
        <f>0.5*INDEX($H277:$N277,MATCH(LARGE($H277:$N277,1),$H277:$N277,0))+0.3*INDEX($H277:$N277,MATCH(LARGE($H277:$N277,2),$H277:$N277,0))+0.2*INDEX($H277:$N277,MATCH(LARGE($H277:$N277,3),$H277:$N277,0))</f>
        <v>0</v>
      </c>
      <c r="S277" s="20">
        <f>0.6*INDEX(O277:Q277,MATCH(LARGE(O277:Q277,1),O277:Q277,0))+0.4*INDEX(O277:Q277,MATCH(LARGE(O277:Q277,2),O277:Q277,0))+0*INDEX(O277:Q277,MATCH(LARGE(O277:Q277,3),O277:Q277,0))</f>
        <v>0</v>
      </c>
      <c r="T277" s="15">
        <f>1*INDEX(R277:S277,MATCH(LARGE(R277:S277,1),R277:S277,0))+0*INDEX(R277:S277,MATCH(LARGE(R277:S277,2),R277:S277,0))</f>
        <v>0</v>
      </c>
      <c r="U277" s="21"/>
      <c r="V277" s="21"/>
      <c r="W277" s="21"/>
      <c r="X277" s="21"/>
      <c r="Y277" s="21"/>
      <c r="Z277" s="21"/>
    </row>
    <row r="278" spans="1:26" ht="12.75" customHeight="1" x14ac:dyDescent="0.3">
      <c r="A278" s="15">
        <v>277</v>
      </c>
      <c r="B278" s="16" t="s">
        <v>257</v>
      </c>
      <c r="C278" s="17" t="s">
        <v>43</v>
      </c>
      <c r="D278" s="15" t="s">
        <v>26</v>
      </c>
      <c r="E278" s="18" t="s">
        <v>23</v>
      </c>
      <c r="F278" s="15"/>
      <c r="G278" s="22">
        <v>2011</v>
      </c>
      <c r="H278" s="15">
        <f>MAX(IF(ISNA(VLOOKUP(B278,'WBV 1'!$B$3:$C$34,2,FALSE))=TRUE,0,VLOOKUP(B278,'WBV 1'!$B$3:$C$34,2,FALSE)),IF(ISNA(VLOOKUP(B278,'WBV 1'!$F$3:$G$34,2,FALSE))=TRUE,0,VLOOKUP(B278,'WBV 1'!$F$3:$G$34,2,FALSE)),IF(ISNA(VLOOKUP(B278,'WBV 1'!$J$3:$K$34,2,FALSE))=TRUE,0,VLOOKUP(B278,'WBV 1'!$J$3:$K$34,2,FALSE)),IF(ISNA(VLOOKUP(B278,'WBV 1'!$N$3:$O$34,2,FALSE))=TRUE,0,VLOOKUP(B278,'WBV 1'!$N$3:$O$34,2,FALSE)))</f>
        <v>0</v>
      </c>
      <c r="I278" s="15">
        <f>MAX(IF(ISNA(VLOOKUP(B278,'WBV 2'!$B$3:$C$34,2,FALSE))=TRUE,0,VLOOKUP(B278,'WBV 2'!$B$3:$C$34,2,FALSE)),IF(ISNA(VLOOKUP(B278,'WBV 2'!$F$3:$G$34,2,FALSE))=TRUE,0,VLOOKUP(B278,'WBV 2'!$F$3:$G$34,2,FALSE)),IF(ISNA(VLOOKUP(B278,'WBV 2'!$J$3:$K$34,2,FALSE))=TRUE,0,VLOOKUP(B278,'WBV 2'!$J$3:$K$34,2,FALSE)),IF(ISNA(VLOOKUP(B278,'WBV 2'!$N$3:$O$34,2,FALSE))=TRUE,0,VLOOKUP(B278,'WBV 2'!$N$3:$O$34,2,FALSE)))</f>
        <v>0</v>
      </c>
      <c r="J278" s="15">
        <f>MAX(IF(ISNA(VLOOKUP(B278,'WBV 3'!$B$3:$C$34,2,FALSE))=TRUE,0,VLOOKUP(B278,'WBV 3'!$B$3:$C$34,2,FALSE)),IF(ISNA(VLOOKUP(B278,'WBV 3'!$F$3:$G$34,2,FALSE))=TRUE,0,VLOOKUP(B278,'WBV 3'!$F$3:$G$34,2,FALSE)),IF(ISNA(VLOOKUP(B278,'WBV 3'!$J$3:$K$34,2,FALSE))=TRUE,0,VLOOKUP(B278,'WBV 3'!$J$3:$K$34,2,FALSE)),IF(ISNA(VLOOKUP(B278,'WBV 3'!$N$3:$O$34,2,FALSE))=TRUE,0,VLOOKUP(B278,'WBV 3'!$N$3:$O$34,2,FALSE)))</f>
        <v>0</v>
      </c>
      <c r="K278" s="15">
        <f>MAX(IF(ISNA(VLOOKUP(B278,'WBV 4'!$B$3:$C$34,2,FALSE))=TRUE,0,VLOOKUP(B278,'WBV 4'!$B$3:$C$34,2,FALSE)),IF(ISNA(VLOOKUP(B278,'WBV 4'!$F$3:$G$34,2,FALSE))=TRUE,0,VLOOKUP(B278,'WBV 4'!$F$3:$G$34,2,FALSE)),IF(ISNA(VLOOKUP(B278,'WBV 4'!$J$3:$K$34,2,FALSE))=TRUE,0,VLOOKUP(B278,'WBV 4'!$J$3:$K$34,2,FALSE)),IF(ISNA(VLOOKUP(B278,'WBV 4'!$N$3:$O$34,2,FALSE))=TRUE,0,VLOOKUP(B278,'WBV 4'!$N$3:$O$34,2,FALSE)))</f>
        <v>0</v>
      </c>
      <c r="L278" s="19">
        <f>MAX(IF(ISNA(VLOOKUP(B278,'NÖBV 1'!$B$3:$C$34,2,FALSE))=TRUE,0,VLOOKUP(B278,'NÖBV 1'!$B$3:$C$34,2,FALSE)),IF(ISNA(VLOOKUP(B278,'NÖBV 1'!$F$3:$G$34,2,FALSE))=TRUE,0,VLOOKUP(B278,'NÖBV 1'!$F$3:$G$34,2,FALSE)),IF(ISNA(VLOOKUP(B278,'NÖBV 1'!$J$3:$K$34,2,FALSE))=TRUE,0,VLOOKUP(B278,'NÖBV 1'!$J$3:$K$34,2,FALSE)),IF(ISNA(VLOOKUP(B278,'NÖBV 1'!$N$3:$O$34,2,FALSE))=TRUE,0,VLOOKUP(B278,'NÖBV 1'!$N$3:$O$34,2,FALSE)))</f>
        <v>0</v>
      </c>
      <c r="M278" s="19">
        <f>MAX(IF(ISNA(VLOOKUP(B278,'NÖBV 2'!$B$3:$C$34,2,FALSE))=TRUE,0,VLOOKUP(B278,'NÖBV 2'!$B$3:$C$34,2,FALSE)),IF(ISNA(VLOOKUP(B278,'NÖBV 2'!$F$3:$G$34,2,FALSE))=TRUE,0,VLOOKUP(B278,'NÖBV 2'!$F$3:$G$34,2,FALSE)),IF(ISNA(VLOOKUP(B278,'NÖBV 2'!$J$3:$K$34,2,FALSE))=TRUE,0,VLOOKUP(B278,'NÖBV 2'!$J$3:$K$34,2,FALSE)),IF(ISNA(VLOOKUP(B278,'NÖBV 2'!$N$3:$O$34,2,FALSE))=TRUE,0,VLOOKUP(B278,'NÖBV 2'!$N$3:$O$34,2,FALSE)))</f>
        <v>0</v>
      </c>
      <c r="N278" s="19">
        <f>MAX(IF(ISNA(VLOOKUP(B278,'NÖBV 3'!$B$3:$C$34,2,FALSE))=TRUE,0,VLOOKUP(B278,'NÖBV 3'!$B$3:$C$34,2,FALSE)),IF(ISNA(VLOOKUP(B278,'NÖBV 3'!$F$3:$G$34,2,FALSE))=TRUE,0,VLOOKUP(B278,'NÖBV 3'!$F$3:$G$34,2,FALSE)),IF(ISNA(VLOOKUP(B278,'NÖBV 3'!$J$3:$K$34,2,FALSE))=TRUE,0,VLOOKUP(B278,'NÖBV 3'!$J$3:$K$34,2,FALSE)),IF(ISNA(VLOOKUP(B278,'NÖBV 3'!$N$3:$O$34,2,FALSE))=TRUE,0,VLOOKUP(B278,'NÖBV 3'!$N$3:$O$34,2,FALSE)))</f>
        <v>0</v>
      </c>
      <c r="O278" s="15">
        <f>MAX(IF(ISNA(VLOOKUP(B278,'Regioturnier 1'!$B$3:$C$34,2,FALSE))=TRUE,0,VLOOKUP(B278,'Regioturnier 1'!$B$3:$C$34,2,FALSE)),IF(ISNA(VLOOKUP(B278,'Regioturnier 1'!$F$3:$G$34,2,FALSE))=TRUE,0,VLOOKUP(B278,'Regioturnier 1'!$F$3:$G$34,2,FALSE)),IF(ISNA(VLOOKUP(B278,'Regioturnier 1'!$J$3:$K$34,2,FALSE))=TRUE,0,VLOOKUP(B278,'Regioturnier 1'!$J$3:$K$34,2,FALSE)),IF(ISNA(VLOOKUP(B278,'Regioturnier 1'!$N$3:$O$34,2,FALSE))=TRUE,0,VLOOKUP(B278,'Regioturnier 1'!$N$3:$O$34,2,FALSE)),IF(ISNA(VLOOKUP(B278,'Regioturnier 1'!$R$3:$S$34,2,FALSE))=TRUE,0,VLOOKUP(B278,'Regioturnier 1'!$R$3:$S$34,2,FALSE)), IF(ISNA(VLOOKUP(B278,'Regioturnier 1'!$V$3:$W$34,2,FALSE))=TRUE,0,VLOOKUP(B278,'Regioturnier 1'!$V$3:$W$34,2,FALSE)), IF(ISNA(VLOOKUP(B278,'Regioturnier 1'!$Z$3:$AA$34,2,FALSE))=TRUE,0,VLOOKUP(B278,'Regioturnier 1'!$Z$3:$AA$34,2,FALSE)))</f>
        <v>0</v>
      </c>
      <c r="P278" s="15">
        <f>MAX(IF(ISNA(VLOOKUP(B278,'Regioturnier 2'!$B$3:$C$34,2,FALSE))=TRUE,0,VLOOKUP(B278,'Regioturnier 2'!$B$3:$C$34,2,FALSE)),IF(ISNA(VLOOKUP(B278,'Regioturnier 2'!$F$3:$G$34,2,FALSE))=TRUE,0,VLOOKUP(B278,'Regioturnier 2'!$F$3:$G$34,2,FALSE)),IF(ISNA(VLOOKUP(B278,'Regioturnier 2'!$J$3:$K$34,2,FALSE))=TRUE,0,VLOOKUP(B278,'Regioturnier 2'!$J$3:$K$34,2,FALSE)),IF(ISNA(VLOOKUP(B278,'Regioturnier 2'!$N$3:$O$34,2,FALSE))=TRUE,0,VLOOKUP(B278,'Regioturnier 2'!$N$3:$O$34,2,FALSE)),IF(ISNA(VLOOKUP(B278,'Regioturnier 2'!$R$3:$S$34,2,FALSE))=TRUE,0,VLOOKUP(B278,'Regioturnier 2'!$R$3:$S$34,2,FALSE)), IF(ISNA(VLOOKUP(B278,'Regioturnier 2'!$V$3:$W$34,2,FALSE))=TRUE,0,VLOOKUP(B278,'Regioturnier 2'!$V$3:$W$34,2,FALSE)), IF(ISNA(VLOOKUP(B278,'Regioturnier 2'!$Z$3:$AA$34,2,FALSE))=TRUE,0,VLOOKUP(B278,'Regioturnier 2'!$Z$3:$AA$34,2,FALSE)))</f>
        <v>0</v>
      </c>
      <c r="Q278" s="15">
        <f>MAX(IF(ISNA(VLOOKUP(B278,'Regioturnier 3'!$B$3:$C$34,2,FALSE))=TRUE,0,VLOOKUP(B278,'Regioturnier 3'!$B$3:$C$34,2,FALSE)),IF(ISNA(VLOOKUP(B278,'Regioturnier 3'!$F$3:$G$34,2,FALSE))=TRUE,0,VLOOKUP(B278,'Regioturnier 3'!$F$3:$G$34,2,FALSE)),IF(ISNA(VLOOKUP(B278,'Regioturnier 3'!$J$3:$K$34,2,FALSE))=TRUE,0,VLOOKUP(B278,'Regioturnier 3'!$J$3:$K$34,2,FALSE)),IF(ISNA(VLOOKUP(B278,'Regioturnier 3'!$N$3:$O$34,2,FALSE))=TRUE,0,VLOOKUP(B278,'Regioturnier 3'!$N$3:$O$34,2,FALSE)),IF(ISNA(VLOOKUP(B278,'Regioturnier 3'!$R$3:$S$34,2,FALSE))=TRUE,0,VLOOKUP(B278,'Regioturnier 3'!$R$3:$S$34,2,FALSE)), IF(ISNA(VLOOKUP(B278,'Regioturnier 3'!$V$3:$W$34,2,FALSE))=TRUE,0,VLOOKUP(B278,'Regioturnier 3'!$V$3:$W$34,2,FALSE)), IF(ISNA(VLOOKUP(B278,'Regioturnier 3'!$Z$3:$AA$34,2,FALSE))=TRUE,0,VLOOKUP(B278,'Regioturnier 3'!$Z$3:$AA$34,2,FALSE)))</f>
        <v>0</v>
      </c>
      <c r="R278" s="20">
        <f>0.5*INDEX($H278:$N278,MATCH(LARGE($H278:$N278,1),$H278:$N278,0))+0.3*INDEX($H278:$N278,MATCH(LARGE($H278:$N278,2),$H278:$N278,0))+0.2*INDEX($H278:$N278,MATCH(LARGE($H278:$N278,3),$H278:$N278,0))</f>
        <v>0</v>
      </c>
      <c r="S278" s="20">
        <f>0.6*INDEX(O278:Q278,MATCH(LARGE(O278:Q278,1),O278:Q278,0))+0.4*INDEX(O278:Q278,MATCH(LARGE(O278:Q278,2),O278:Q278,0))+0*INDEX(O278:Q278,MATCH(LARGE(O278:Q278,3),O278:Q278,0))</f>
        <v>0</v>
      </c>
      <c r="T278" s="15">
        <f>1*INDEX(R278:S278,MATCH(LARGE(R278:S278,1),R278:S278,0))+0*INDEX(R278:S278,MATCH(LARGE(R278:S278,2),R278:S278,0))</f>
        <v>0</v>
      </c>
      <c r="U278" s="21"/>
      <c r="V278" s="21"/>
      <c r="W278" s="21"/>
      <c r="X278" s="21"/>
      <c r="Y278" s="21"/>
      <c r="Z278" s="21"/>
    </row>
    <row r="279" spans="1:26" ht="12.75" customHeight="1" x14ac:dyDescent="0.3">
      <c r="A279" s="15">
        <v>278</v>
      </c>
      <c r="B279" s="16" t="s">
        <v>258</v>
      </c>
      <c r="C279" s="17" t="s">
        <v>39</v>
      </c>
      <c r="D279" s="15" t="s">
        <v>26</v>
      </c>
      <c r="E279" s="18" t="s">
        <v>40</v>
      </c>
      <c r="F279" s="15">
        <v>110788</v>
      </c>
      <c r="G279" s="22">
        <v>2014</v>
      </c>
      <c r="H279" s="15">
        <f>MAX(IF(ISNA(VLOOKUP(B279,'WBV 1'!$B$3:$C$34,2,FALSE))=TRUE,0,VLOOKUP(B279,'WBV 1'!$B$3:$C$34,2,FALSE)),IF(ISNA(VLOOKUP(B279,'WBV 1'!$F$3:$G$34,2,FALSE))=TRUE,0,VLOOKUP(B279,'WBV 1'!$F$3:$G$34,2,FALSE)),IF(ISNA(VLOOKUP(B279,'WBV 1'!$J$3:$K$34,2,FALSE))=TRUE,0,VLOOKUP(B279,'WBV 1'!$J$3:$K$34,2,FALSE)),IF(ISNA(VLOOKUP(B279,'WBV 1'!$N$3:$O$34,2,FALSE))=TRUE,0,VLOOKUP(B279,'WBV 1'!$N$3:$O$34,2,FALSE)))</f>
        <v>0</v>
      </c>
      <c r="I279" s="15">
        <f>MAX(IF(ISNA(VLOOKUP(B279,'WBV 2'!$B$3:$C$34,2,FALSE))=TRUE,0,VLOOKUP(B279,'WBV 2'!$B$3:$C$34,2,FALSE)),IF(ISNA(VLOOKUP(B279,'WBV 2'!$F$3:$G$34,2,FALSE))=TRUE,0,VLOOKUP(B279,'WBV 2'!$F$3:$G$34,2,FALSE)),IF(ISNA(VLOOKUP(B279,'WBV 2'!$J$3:$K$34,2,FALSE))=TRUE,0,VLOOKUP(B279,'WBV 2'!$J$3:$K$34,2,FALSE)),IF(ISNA(VLOOKUP(B279,'WBV 2'!$N$3:$O$34,2,FALSE))=TRUE,0,VLOOKUP(B279,'WBV 2'!$N$3:$O$34,2,FALSE)))</f>
        <v>0</v>
      </c>
      <c r="J279" s="15">
        <f>MAX(IF(ISNA(VLOOKUP(B279,'WBV 3'!$B$3:$C$34,2,FALSE))=TRUE,0,VLOOKUP(B279,'WBV 3'!$B$3:$C$34,2,FALSE)),IF(ISNA(VLOOKUP(B279,'WBV 3'!$F$3:$G$34,2,FALSE))=TRUE,0,VLOOKUP(B279,'WBV 3'!$F$3:$G$34,2,FALSE)),IF(ISNA(VLOOKUP(B279,'WBV 3'!$J$3:$K$34,2,FALSE))=TRUE,0,VLOOKUP(B279,'WBV 3'!$J$3:$K$34,2,FALSE)),IF(ISNA(VLOOKUP(B279,'WBV 3'!$N$3:$O$34,2,FALSE))=TRUE,0,VLOOKUP(B279,'WBV 3'!$N$3:$O$34,2,FALSE)))</f>
        <v>0</v>
      </c>
      <c r="K279" s="15">
        <f>MAX(IF(ISNA(VLOOKUP(B279,'WBV 4'!$B$3:$C$34,2,FALSE))=TRUE,0,VLOOKUP(B279,'WBV 4'!$B$3:$C$34,2,FALSE)),IF(ISNA(VLOOKUP(B279,'WBV 4'!$F$3:$G$34,2,FALSE))=TRUE,0,VLOOKUP(B279,'WBV 4'!$F$3:$G$34,2,FALSE)),IF(ISNA(VLOOKUP(B279,'WBV 4'!$J$3:$K$34,2,FALSE))=TRUE,0,VLOOKUP(B279,'WBV 4'!$J$3:$K$34,2,FALSE)),IF(ISNA(VLOOKUP(B279,'WBV 4'!$N$3:$O$34,2,FALSE))=TRUE,0,VLOOKUP(B279,'WBV 4'!$N$3:$O$34,2,FALSE)))</f>
        <v>0</v>
      </c>
      <c r="L279" s="19">
        <f>MAX(IF(ISNA(VLOOKUP(B279,'NÖBV 1'!$B$3:$C$34,2,FALSE))=TRUE,0,VLOOKUP(B279,'NÖBV 1'!$B$3:$C$34,2,FALSE)),IF(ISNA(VLOOKUP(B279,'NÖBV 1'!$F$3:$G$34,2,FALSE))=TRUE,0,VLOOKUP(B279,'NÖBV 1'!$F$3:$G$34,2,FALSE)),IF(ISNA(VLOOKUP(B279,'NÖBV 1'!$J$3:$K$34,2,FALSE))=TRUE,0,VLOOKUP(B279,'NÖBV 1'!$J$3:$K$34,2,FALSE)),IF(ISNA(VLOOKUP(B279,'NÖBV 1'!$N$3:$O$34,2,FALSE))=TRUE,0,VLOOKUP(B279,'NÖBV 1'!$N$3:$O$34,2,FALSE)))</f>
        <v>0</v>
      </c>
      <c r="M279" s="19">
        <f>MAX(IF(ISNA(VLOOKUP(B279,'NÖBV 2'!$B$3:$C$34,2,FALSE))=TRUE,0,VLOOKUP(B279,'NÖBV 2'!$B$3:$C$34,2,FALSE)),IF(ISNA(VLOOKUP(B279,'NÖBV 2'!$F$3:$G$34,2,FALSE))=TRUE,0,VLOOKUP(B279,'NÖBV 2'!$F$3:$G$34,2,FALSE)),IF(ISNA(VLOOKUP(B279,'NÖBV 2'!$J$3:$K$34,2,FALSE))=TRUE,0,VLOOKUP(B279,'NÖBV 2'!$J$3:$K$34,2,FALSE)),IF(ISNA(VLOOKUP(B279,'NÖBV 2'!$N$3:$O$34,2,FALSE))=TRUE,0,VLOOKUP(B279,'NÖBV 2'!$N$3:$O$34,2,FALSE)))</f>
        <v>0</v>
      </c>
      <c r="N279" s="19">
        <f>MAX(IF(ISNA(VLOOKUP(B279,'NÖBV 3'!$B$3:$C$34,2,FALSE))=TRUE,0,VLOOKUP(B279,'NÖBV 3'!$B$3:$C$34,2,FALSE)),IF(ISNA(VLOOKUP(B279,'NÖBV 3'!$F$3:$G$34,2,FALSE))=TRUE,0,VLOOKUP(B279,'NÖBV 3'!$F$3:$G$34,2,FALSE)),IF(ISNA(VLOOKUP(B279,'NÖBV 3'!$J$3:$K$34,2,FALSE))=TRUE,0,VLOOKUP(B279,'NÖBV 3'!$J$3:$K$34,2,FALSE)),IF(ISNA(VLOOKUP(B279,'NÖBV 3'!$N$3:$O$34,2,FALSE))=TRUE,0,VLOOKUP(B279,'NÖBV 3'!$N$3:$O$34,2,FALSE)))</f>
        <v>0</v>
      </c>
      <c r="O279" s="15">
        <f>MAX(IF(ISNA(VLOOKUP(B279,'Regioturnier 1'!$B$3:$C$34,2,FALSE))=TRUE,0,VLOOKUP(B279,'Regioturnier 1'!$B$3:$C$34,2,FALSE)),IF(ISNA(VLOOKUP(B279,'Regioturnier 1'!$F$3:$G$34,2,FALSE))=TRUE,0,VLOOKUP(B279,'Regioturnier 1'!$F$3:$G$34,2,FALSE)),IF(ISNA(VLOOKUP(B279,'Regioturnier 1'!$J$3:$K$34,2,FALSE))=TRUE,0,VLOOKUP(B279,'Regioturnier 1'!$J$3:$K$34,2,FALSE)),IF(ISNA(VLOOKUP(B279,'Regioturnier 1'!$N$3:$O$34,2,FALSE))=TRUE,0,VLOOKUP(B279,'Regioturnier 1'!$N$3:$O$34,2,FALSE)),IF(ISNA(VLOOKUP(B279,'Regioturnier 1'!$R$3:$S$34,2,FALSE))=TRUE,0,VLOOKUP(B279,'Regioturnier 1'!$R$3:$S$34,2,FALSE)), IF(ISNA(VLOOKUP(B279,'Regioturnier 1'!$V$3:$W$34,2,FALSE))=TRUE,0,VLOOKUP(B279,'Regioturnier 1'!$V$3:$W$34,2,FALSE)), IF(ISNA(VLOOKUP(B279,'Regioturnier 1'!$Z$3:$AA$34,2,FALSE))=TRUE,0,VLOOKUP(B279,'Regioturnier 1'!$Z$3:$AA$34,2,FALSE)))</f>
        <v>0</v>
      </c>
      <c r="P279" s="15">
        <f>MAX(IF(ISNA(VLOOKUP(B279,'Regioturnier 2'!$B$3:$C$34,2,FALSE))=TRUE,0,VLOOKUP(B279,'Regioturnier 2'!$B$3:$C$34,2,FALSE)),IF(ISNA(VLOOKUP(B279,'Regioturnier 2'!$F$3:$G$34,2,FALSE))=TRUE,0,VLOOKUP(B279,'Regioturnier 2'!$F$3:$G$34,2,FALSE)),IF(ISNA(VLOOKUP(B279,'Regioturnier 2'!$J$3:$K$34,2,FALSE))=TRUE,0,VLOOKUP(B279,'Regioturnier 2'!$J$3:$K$34,2,FALSE)),IF(ISNA(VLOOKUP(B279,'Regioturnier 2'!$N$3:$O$34,2,FALSE))=TRUE,0,VLOOKUP(B279,'Regioturnier 2'!$N$3:$O$34,2,FALSE)),IF(ISNA(VLOOKUP(B279,'Regioturnier 2'!$R$3:$S$34,2,FALSE))=TRUE,0,VLOOKUP(B279,'Regioturnier 2'!$R$3:$S$34,2,FALSE)), IF(ISNA(VLOOKUP(B279,'Regioturnier 2'!$V$3:$W$34,2,FALSE))=TRUE,0,VLOOKUP(B279,'Regioturnier 2'!$V$3:$W$34,2,FALSE)), IF(ISNA(VLOOKUP(B279,'Regioturnier 2'!$Z$3:$AA$34,2,FALSE))=TRUE,0,VLOOKUP(B279,'Regioturnier 2'!$Z$3:$AA$34,2,FALSE)))</f>
        <v>0</v>
      </c>
      <c r="Q279" s="15">
        <f>MAX(IF(ISNA(VLOOKUP(B279,'Regioturnier 3'!$B$3:$C$34,2,FALSE))=TRUE,0,VLOOKUP(B279,'Regioturnier 3'!$B$3:$C$34,2,FALSE)),IF(ISNA(VLOOKUP(B279,'Regioturnier 3'!$F$3:$G$34,2,FALSE))=TRUE,0,VLOOKUP(B279,'Regioturnier 3'!$F$3:$G$34,2,FALSE)),IF(ISNA(VLOOKUP(B279,'Regioturnier 3'!$J$3:$K$34,2,FALSE))=TRUE,0,VLOOKUP(B279,'Regioturnier 3'!$J$3:$K$34,2,FALSE)),IF(ISNA(VLOOKUP(B279,'Regioturnier 3'!$N$3:$O$34,2,FALSE))=TRUE,0,VLOOKUP(B279,'Regioturnier 3'!$N$3:$O$34,2,FALSE)),IF(ISNA(VLOOKUP(B279,'Regioturnier 3'!$R$3:$S$34,2,FALSE))=TRUE,0,VLOOKUP(B279,'Regioturnier 3'!$R$3:$S$34,2,FALSE)), IF(ISNA(VLOOKUP(B279,'Regioturnier 3'!$V$3:$W$34,2,FALSE))=TRUE,0,VLOOKUP(B279,'Regioturnier 3'!$V$3:$W$34,2,FALSE)), IF(ISNA(VLOOKUP(B279,'Regioturnier 3'!$Z$3:$AA$34,2,FALSE))=TRUE,0,VLOOKUP(B279,'Regioturnier 3'!$Z$3:$AA$34,2,FALSE)))</f>
        <v>0</v>
      </c>
      <c r="R279" s="20">
        <f>0.5*INDEX($H279:$N279,MATCH(LARGE($H279:$N279,1),$H279:$N279,0))+0.3*INDEX($H279:$N279,MATCH(LARGE($H279:$N279,2),$H279:$N279,0))+0.2*INDEX($H279:$N279,MATCH(LARGE($H279:$N279,3),$H279:$N279,0))</f>
        <v>0</v>
      </c>
      <c r="S279" s="20">
        <f>0.6*INDEX(O279:Q279,MATCH(LARGE(O279:Q279,1),O279:Q279,0))+0.4*INDEX(O279:Q279,MATCH(LARGE(O279:Q279,2),O279:Q279,0))+0*INDEX(O279:Q279,MATCH(LARGE(O279:Q279,3),O279:Q279,0))</f>
        <v>0</v>
      </c>
      <c r="T279" s="15">
        <f>1*INDEX(R279:S279,MATCH(LARGE(R279:S279,1),R279:S279,0))+0*INDEX(R279:S279,MATCH(LARGE(R279:S279,2),R279:S279,0))</f>
        <v>0</v>
      </c>
      <c r="U279" s="21"/>
      <c r="V279" s="21"/>
      <c r="W279" s="21"/>
      <c r="X279" s="21"/>
      <c r="Y279" s="21"/>
      <c r="Z279" s="21"/>
    </row>
    <row r="280" spans="1:26" ht="12.75" customHeight="1" x14ac:dyDescent="0.3">
      <c r="A280" s="15">
        <v>279</v>
      </c>
      <c r="B280" s="16" t="s">
        <v>259</v>
      </c>
      <c r="C280" s="17" t="s">
        <v>39</v>
      </c>
      <c r="D280" s="15" t="s">
        <v>26</v>
      </c>
      <c r="E280" s="18" t="s">
        <v>40</v>
      </c>
      <c r="F280" s="15">
        <v>110767</v>
      </c>
      <c r="G280" s="22">
        <v>2012</v>
      </c>
      <c r="H280" s="15">
        <f>MAX(IF(ISNA(VLOOKUP(B280,'WBV 1'!$B$3:$C$34,2,FALSE))=TRUE,0,VLOOKUP(B280,'WBV 1'!$B$3:$C$34,2,FALSE)),IF(ISNA(VLOOKUP(B280,'WBV 1'!$F$3:$G$34,2,FALSE))=TRUE,0,VLOOKUP(B280,'WBV 1'!$F$3:$G$34,2,FALSE)),IF(ISNA(VLOOKUP(B280,'WBV 1'!$J$3:$K$34,2,FALSE))=TRUE,0,VLOOKUP(B280,'WBV 1'!$J$3:$K$34,2,FALSE)),IF(ISNA(VLOOKUP(B280,'WBV 1'!$N$3:$O$34,2,FALSE))=TRUE,0,VLOOKUP(B280,'WBV 1'!$N$3:$O$34,2,FALSE)))</f>
        <v>0</v>
      </c>
      <c r="I280" s="15">
        <f>MAX(IF(ISNA(VLOOKUP(B280,'WBV 2'!$B$3:$C$34,2,FALSE))=TRUE,0,VLOOKUP(B280,'WBV 2'!$B$3:$C$34,2,FALSE)),IF(ISNA(VLOOKUP(B280,'WBV 2'!$F$3:$G$34,2,FALSE))=TRUE,0,VLOOKUP(B280,'WBV 2'!$F$3:$G$34,2,FALSE)),IF(ISNA(VLOOKUP(B280,'WBV 2'!$J$3:$K$34,2,FALSE))=TRUE,0,VLOOKUP(B280,'WBV 2'!$J$3:$K$34,2,FALSE)),IF(ISNA(VLOOKUP(B280,'WBV 2'!$N$3:$O$34,2,FALSE))=TRUE,0,VLOOKUP(B280,'WBV 2'!$N$3:$O$34,2,FALSE)))</f>
        <v>0</v>
      </c>
      <c r="J280" s="15">
        <f>MAX(IF(ISNA(VLOOKUP(B280,'WBV 3'!$B$3:$C$34,2,FALSE))=TRUE,0,VLOOKUP(B280,'WBV 3'!$B$3:$C$34,2,FALSE)),IF(ISNA(VLOOKUP(B280,'WBV 3'!$F$3:$G$34,2,FALSE))=TRUE,0,VLOOKUP(B280,'WBV 3'!$F$3:$G$34,2,FALSE)),IF(ISNA(VLOOKUP(B280,'WBV 3'!$J$3:$K$34,2,FALSE))=TRUE,0,VLOOKUP(B280,'WBV 3'!$J$3:$K$34,2,FALSE)),IF(ISNA(VLOOKUP(B280,'WBV 3'!$N$3:$O$34,2,FALSE))=TRUE,0,VLOOKUP(B280,'WBV 3'!$N$3:$O$34,2,FALSE)))</f>
        <v>0</v>
      </c>
      <c r="K280" s="15">
        <f>MAX(IF(ISNA(VLOOKUP(B280,'WBV 4'!$B$3:$C$34,2,FALSE))=TRUE,0,VLOOKUP(B280,'WBV 4'!$B$3:$C$34,2,FALSE)),IF(ISNA(VLOOKUP(B280,'WBV 4'!$F$3:$G$34,2,FALSE))=TRUE,0,VLOOKUP(B280,'WBV 4'!$F$3:$G$34,2,FALSE)),IF(ISNA(VLOOKUP(B280,'WBV 4'!$J$3:$K$34,2,FALSE))=TRUE,0,VLOOKUP(B280,'WBV 4'!$J$3:$K$34,2,FALSE)),IF(ISNA(VLOOKUP(B280,'WBV 4'!$N$3:$O$34,2,FALSE))=TRUE,0,VLOOKUP(B280,'WBV 4'!$N$3:$O$34,2,FALSE)))</f>
        <v>0</v>
      </c>
      <c r="L280" s="19">
        <f>MAX(IF(ISNA(VLOOKUP(B280,'NÖBV 1'!$B$3:$C$34,2,FALSE))=TRUE,0,VLOOKUP(B280,'NÖBV 1'!$B$3:$C$34,2,FALSE)),IF(ISNA(VLOOKUP(B280,'NÖBV 1'!$F$3:$G$34,2,FALSE))=TRUE,0,VLOOKUP(B280,'NÖBV 1'!$F$3:$G$34,2,FALSE)),IF(ISNA(VLOOKUP(B280,'NÖBV 1'!$J$3:$K$34,2,FALSE))=TRUE,0,VLOOKUP(B280,'NÖBV 1'!$J$3:$K$34,2,FALSE)),IF(ISNA(VLOOKUP(B280,'NÖBV 1'!$N$3:$O$34,2,FALSE))=TRUE,0,VLOOKUP(B280,'NÖBV 1'!$N$3:$O$34,2,FALSE)))</f>
        <v>0</v>
      </c>
      <c r="M280" s="19">
        <f>MAX(IF(ISNA(VLOOKUP(B280,'NÖBV 2'!$B$3:$C$34,2,FALSE))=TRUE,0,VLOOKUP(B280,'NÖBV 2'!$B$3:$C$34,2,FALSE)),IF(ISNA(VLOOKUP(B280,'NÖBV 2'!$F$3:$G$34,2,FALSE))=TRUE,0,VLOOKUP(B280,'NÖBV 2'!$F$3:$G$34,2,FALSE)),IF(ISNA(VLOOKUP(B280,'NÖBV 2'!$J$3:$K$34,2,FALSE))=TRUE,0,VLOOKUP(B280,'NÖBV 2'!$J$3:$K$34,2,FALSE)),IF(ISNA(VLOOKUP(B280,'NÖBV 2'!$N$3:$O$34,2,FALSE))=TRUE,0,VLOOKUP(B280,'NÖBV 2'!$N$3:$O$34,2,FALSE)))</f>
        <v>0</v>
      </c>
      <c r="N280" s="19">
        <f>MAX(IF(ISNA(VLOOKUP(B280,'NÖBV 3'!$B$3:$C$34,2,FALSE))=TRUE,0,VLOOKUP(B280,'NÖBV 3'!$B$3:$C$34,2,FALSE)),IF(ISNA(VLOOKUP(B280,'NÖBV 3'!$F$3:$G$34,2,FALSE))=TRUE,0,VLOOKUP(B280,'NÖBV 3'!$F$3:$G$34,2,FALSE)),IF(ISNA(VLOOKUP(B280,'NÖBV 3'!$J$3:$K$34,2,FALSE))=TRUE,0,VLOOKUP(B280,'NÖBV 3'!$J$3:$K$34,2,FALSE)),IF(ISNA(VLOOKUP(B280,'NÖBV 3'!$N$3:$O$34,2,FALSE))=TRUE,0,VLOOKUP(B280,'NÖBV 3'!$N$3:$O$34,2,FALSE)))</f>
        <v>0</v>
      </c>
      <c r="O280" s="15">
        <f>MAX(IF(ISNA(VLOOKUP(B280,'Regioturnier 1'!$B$3:$C$34,2,FALSE))=TRUE,0,VLOOKUP(B280,'Regioturnier 1'!$B$3:$C$34,2,FALSE)),IF(ISNA(VLOOKUP(B280,'Regioturnier 1'!$F$3:$G$34,2,FALSE))=TRUE,0,VLOOKUP(B280,'Regioturnier 1'!$F$3:$G$34,2,FALSE)),IF(ISNA(VLOOKUP(B280,'Regioturnier 1'!$J$3:$K$34,2,FALSE))=TRUE,0,VLOOKUP(B280,'Regioturnier 1'!$J$3:$K$34,2,FALSE)),IF(ISNA(VLOOKUP(B280,'Regioturnier 1'!$N$3:$O$34,2,FALSE))=TRUE,0,VLOOKUP(B280,'Regioturnier 1'!$N$3:$O$34,2,FALSE)),IF(ISNA(VLOOKUP(B280,'Regioturnier 1'!$R$3:$S$34,2,FALSE))=TRUE,0,VLOOKUP(B280,'Regioturnier 1'!$R$3:$S$34,2,FALSE)), IF(ISNA(VLOOKUP(B280,'Regioturnier 1'!$V$3:$W$34,2,FALSE))=TRUE,0,VLOOKUP(B280,'Regioturnier 1'!$V$3:$W$34,2,FALSE)), IF(ISNA(VLOOKUP(B280,'Regioturnier 1'!$Z$3:$AA$34,2,FALSE))=TRUE,0,VLOOKUP(B280,'Regioturnier 1'!$Z$3:$AA$34,2,FALSE)))</f>
        <v>0</v>
      </c>
      <c r="P280" s="15">
        <f>MAX(IF(ISNA(VLOOKUP(B280,'Regioturnier 2'!$B$3:$C$34,2,FALSE))=TRUE,0,VLOOKUP(B280,'Regioturnier 2'!$B$3:$C$34,2,FALSE)),IF(ISNA(VLOOKUP(B280,'Regioturnier 2'!$F$3:$G$34,2,FALSE))=TRUE,0,VLOOKUP(B280,'Regioturnier 2'!$F$3:$G$34,2,FALSE)),IF(ISNA(VLOOKUP(B280,'Regioturnier 2'!$J$3:$K$34,2,FALSE))=TRUE,0,VLOOKUP(B280,'Regioturnier 2'!$J$3:$K$34,2,FALSE)),IF(ISNA(VLOOKUP(B280,'Regioturnier 2'!$N$3:$O$34,2,FALSE))=TRUE,0,VLOOKUP(B280,'Regioturnier 2'!$N$3:$O$34,2,FALSE)),IF(ISNA(VLOOKUP(B280,'Regioturnier 2'!$R$3:$S$34,2,FALSE))=TRUE,0,VLOOKUP(B280,'Regioturnier 2'!$R$3:$S$34,2,FALSE)), IF(ISNA(VLOOKUP(B280,'Regioturnier 2'!$V$3:$W$34,2,FALSE))=TRUE,0,VLOOKUP(B280,'Regioturnier 2'!$V$3:$W$34,2,FALSE)), IF(ISNA(VLOOKUP(B280,'Regioturnier 2'!$Z$3:$AA$34,2,FALSE))=TRUE,0,VLOOKUP(B280,'Regioturnier 2'!$Z$3:$AA$34,2,FALSE)))</f>
        <v>0</v>
      </c>
      <c r="Q280" s="15">
        <f>MAX(IF(ISNA(VLOOKUP(B280,'Regioturnier 3'!$B$3:$C$34,2,FALSE))=TRUE,0,VLOOKUP(B280,'Regioturnier 3'!$B$3:$C$34,2,FALSE)),IF(ISNA(VLOOKUP(B280,'Regioturnier 3'!$F$3:$G$34,2,FALSE))=TRUE,0,VLOOKUP(B280,'Regioturnier 3'!$F$3:$G$34,2,FALSE)),IF(ISNA(VLOOKUP(B280,'Regioturnier 3'!$J$3:$K$34,2,FALSE))=TRUE,0,VLOOKUP(B280,'Regioturnier 3'!$J$3:$K$34,2,FALSE)),IF(ISNA(VLOOKUP(B280,'Regioturnier 3'!$N$3:$O$34,2,FALSE))=TRUE,0,VLOOKUP(B280,'Regioturnier 3'!$N$3:$O$34,2,FALSE)),IF(ISNA(VLOOKUP(B280,'Regioturnier 3'!$R$3:$S$34,2,FALSE))=TRUE,0,VLOOKUP(B280,'Regioturnier 3'!$R$3:$S$34,2,FALSE)), IF(ISNA(VLOOKUP(B280,'Regioturnier 3'!$V$3:$W$34,2,FALSE))=TRUE,0,VLOOKUP(B280,'Regioturnier 3'!$V$3:$W$34,2,FALSE)), IF(ISNA(VLOOKUP(B280,'Regioturnier 3'!$Z$3:$AA$34,2,FALSE))=TRUE,0,VLOOKUP(B280,'Regioturnier 3'!$Z$3:$AA$34,2,FALSE)))</f>
        <v>0</v>
      </c>
      <c r="R280" s="20">
        <f>0.5*INDEX($H280:$N280,MATCH(LARGE($H280:$N280,1),$H280:$N280,0))+0.3*INDEX($H280:$N280,MATCH(LARGE($H280:$N280,2),$H280:$N280,0))+0.2*INDEX($H280:$N280,MATCH(LARGE($H280:$N280,3),$H280:$N280,0))</f>
        <v>0</v>
      </c>
      <c r="S280" s="20">
        <f>0.6*INDEX(O280:Q280,MATCH(LARGE(O280:Q280,1),O280:Q280,0))+0.4*INDEX(O280:Q280,MATCH(LARGE(O280:Q280,2),O280:Q280,0))+0*INDEX(O280:Q280,MATCH(LARGE(O280:Q280,3),O280:Q280,0))</f>
        <v>0</v>
      </c>
      <c r="T280" s="15">
        <f>1*INDEX(R280:S280,MATCH(LARGE(R280:S280,1),R280:S280,0))+0*INDEX(R280:S280,MATCH(LARGE(R280:S280,2),R280:S280,0))</f>
        <v>0</v>
      </c>
      <c r="U280" s="21"/>
      <c r="V280" s="21"/>
      <c r="W280" s="21"/>
      <c r="X280" s="21"/>
      <c r="Y280" s="21"/>
      <c r="Z280" s="21"/>
    </row>
    <row r="281" spans="1:26" ht="12.75" customHeight="1" x14ac:dyDescent="0.3">
      <c r="A281" s="15">
        <v>280</v>
      </c>
      <c r="B281" s="16" t="s">
        <v>260</v>
      </c>
      <c r="C281" s="17" t="s">
        <v>48</v>
      </c>
      <c r="D281" s="15" t="s">
        <v>26</v>
      </c>
      <c r="E281" s="18" t="s">
        <v>23</v>
      </c>
      <c r="F281" s="15"/>
      <c r="G281" s="22"/>
      <c r="H281" s="15">
        <f>MAX(IF(ISNA(VLOOKUP(B281,'WBV 1'!$B$3:$C$34,2,FALSE))=TRUE,0,VLOOKUP(B281,'WBV 1'!$B$3:$C$34,2,FALSE)),IF(ISNA(VLOOKUP(B281,'WBV 1'!$F$3:$G$34,2,FALSE))=TRUE,0,VLOOKUP(B281,'WBV 1'!$F$3:$G$34,2,FALSE)),IF(ISNA(VLOOKUP(B281,'WBV 1'!$J$3:$K$34,2,FALSE))=TRUE,0,VLOOKUP(B281,'WBV 1'!$J$3:$K$34,2,FALSE)),IF(ISNA(VLOOKUP(B281,'WBV 1'!$N$3:$O$34,2,FALSE))=TRUE,0,VLOOKUP(B281,'WBV 1'!$N$3:$O$34,2,FALSE)))</f>
        <v>0</v>
      </c>
      <c r="I281" s="15">
        <f>MAX(IF(ISNA(VLOOKUP(B281,'WBV 2'!$B$3:$C$34,2,FALSE))=TRUE,0,VLOOKUP(B281,'WBV 2'!$B$3:$C$34,2,FALSE)),IF(ISNA(VLOOKUP(B281,'WBV 2'!$F$3:$G$34,2,FALSE))=TRUE,0,VLOOKUP(B281,'WBV 2'!$F$3:$G$34,2,FALSE)),IF(ISNA(VLOOKUP(B281,'WBV 2'!$J$3:$K$34,2,FALSE))=TRUE,0,VLOOKUP(B281,'WBV 2'!$J$3:$K$34,2,FALSE)),IF(ISNA(VLOOKUP(B281,'WBV 2'!$N$3:$O$34,2,FALSE))=TRUE,0,VLOOKUP(B281,'WBV 2'!$N$3:$O$34,2,FALSE)))</f>
        <v>0</v>
      </c>
      <c r="J281" s="15">
        <f>MAX(IF(ISNA(VLOOKUP(B281,'WBV 3'!$B$3:$C$34,2,FALSE))=TRUE,0,VLOOKUP(B281,'WBV 3'!$B$3:$C$34,2,FALSE)),IF(ISNA(VLOOKUP(B281,'WBV 3'!$F$3:$G$34,2,FALSE))=TRUE,0,VLOOKUP(B281,'WBV 3'!$F$3:$G$34,2,FALSE)),IF(ISNA(VLOOKUP(B281,'WBV 3'!$J$3:$K$34,2,FALSE))=TRUE,0,VLOOKUP(B281,'WBV 3'!$J$3:$K$34,2,FALSE)),IF(ISNA(VLOOKUP(B281,'WBV 3'!$N$3:$O$34,2,FALSE))=TRUE,0,VLOOKUP(B281,'WBV 3'!$N$3:$O$34,2,FALSE)))</f>
        <v>0</v>
      </c>
      <c r="K281" s="15">
        <f>MAX(IF(ISNA(VLOOKUP(B281,'WBV 4'!$B$3:$C$34,2,FALSE))=TRUE,0,VLOOKUP(B281,'WBV 4'!$B$3:$C$34,2,FALSE)),IF(ISNA(VLOOKUP(B281,'WBV 4'!$F$3:$G$34,2,FALSE))=TRUE,0,VLOOKUP(B281,'WBV 4'!$F$3:$G$34,2,FALSE)),IF(ISNA(VLOOKUP(B281,'WBV 4'!$J$3:$K$34,2,FALSE))=TRUE,0,VLOOKUP(B281,'WBV 4'!$J$3:$K$34,2,FALSE)),IF(ISNA(VLOOKUP(B281,'WBV 4'!$N$3:$O$34,2,FALSE))=TRUE,0,VLOOKUP(B281,'WBV 4'!$N$3:$O$34,2,FALSE)))</f>
        <v>0</v>
      </c>
      <c r="L281" s="19">
        <f>MAX(IF(ISNA(VLOOKUP(B281,'NÖBV 1'!$B$3:$C$34,2,FALSE))=TRUE,0,VLOOKUP(B281,'NÖBV 1'!$B$3:$C$34,2,FALSE)),IF(ISNA(VLOOKUP(B281,'NÖBV 1'!$F$3:$G$34,2,FALSE))=TRUE,0,VLOOKUP(B281,'NÖBV 1'!$F$3:$G$34,2,FALSE)),IF(ISNA(VLOOKUP(B281,'NÖBV 1'!$J$3:$K$34,2,FALSE))=TRUE,0,VLOOKUP(B281,'NÖBV 1'!$J$3:$K$34,2,FALSE)),IF(ISNA(VLOOKUP(B281,'NÖBV 1'!$N$3:$O$34,2,FALSE))=TRUE,0,VLOOKUP(B281,'NÖBV 1'!$N$3:$O$34,2,FALSE)))</f>
        <v>0</v>
      </c>
      <c r="M281" s="19">
        <f>MAX(IF(ISNA(VLOOKUP(B281,'NÖBV 2'!$B$3:$C$34,2,FALSE))=TRUE,0,VLOOKUP(B281,'NÖBV 2'!$B$3:$C$34,2,FALSE)),IF(ISNA(VLOOKUP(B281,'NÖBV 2'!$F$3:$G$34,2,FALSE))=TRUE,0,VLOOKUP(B281,'NÖBV 2'!$F$3:$G$34,2,FALSE)),IF(ISNA(VLOOKUP(B281,'NÖBV 2'!$J$3:$K$34,2,FALSE))=TRUE,0,VLOOKUP(B281,'NÖBV 2'!$J$3:$K$34,2,FALSE)),IF(ISNA(VLOOKUP(B281,'NÖBV 2'!$N$3:$O$34,2,FALSE))=TRUE,0,VLOOKUP(B281,'NÖBV 2'!$N$3:$O$34,2,FALSE)))</f>
        <v>0</v>
      </c>
      <c r="N281" s="19">
        <f>MAX(IF(ISNA(VLOOKUP(B281,'NÖBV 3'!$B$3:$C$34,2,FALSE))=TRUE,0,VLOOKUP(B281,'NÖBV 3'!$B$3:$C$34,2,FALSE)),IF(ISNA(VLOOKUP(B281,'NÖBV 3'!$F$3:$G$34,2,FALSE))=TRUE,0,VLOOKUP(B281,'NÖBV 3'!$F$3:$G$34,2,FALSE)),IF(ISNA(VLOOKUP(B281,'NÖBV 3'!$J$3:$K$34,2,FALSE))=TRUE,0,VLOOKUP(B281,'NÖBV 3'!$J$3:$K$34,2,FALSE)),IF(ISNA(VLOOKUP(B281,'NÖBV 3'!$N$3:$O$34,2,FALSE))=TRUE,0,VLOOKUP(B281,'NÖBV 3'!$N$3:$O$34,2,FALSE)))</f>
        <v>0</v>
      </c>
      <c r="O281" s="15">
        <f>MAX(IF(ISNA(VLOOKUP(B281,'Regioturnier 1'!$B$3:$C$34,2,FALSE))=TRUE,0,VLOOKUP(B281,'Regioturnier 1'!$B$3:$C$34,2,FALSE)),IF(ISNA(VLOOKUP(B281,'Regioturnier 1'!$F$3:$G$34,2,FALSE))=TRUE,0,VLOOKUP(B281,'Regioturnier 1'!$F$3:$G$34,2,FALSE)),IF(ISNA(VLOOKUP(B281,'Regioturnier 1'!$J$3:$K$34,2,FALSE))=TRUE,0,VLOOKUP(B281,'Regioturnier 1'!$J$3:$K$34,2,FALSE)),IF(ISNA(VLOOKUP(B281,'Regioturnier 1'!$N$3:$O$34,2,FALSE))=TRUE,0,VLOOKUP(B281,'Regioturnier 1'!$N$3:$O$34,2,FALSE)),IF(ISNA(VLOOKUP(B281,'Regioturnier 1'!$R$3:$S$34,2,FALSE))=TRUE,0,VLOOKUP(B281,'Regioturnier 1'!$R$3:$S$34,2,FALSE)), IF(ISNA(VLOOKUP(B281,'Regioturnier 1'!$V$3:$W$34,2,FALSE))=TRUE,0,VLOOKUP(B281,'Regioturnier 1'!$V$3:$W$34,2,FALSE)), IF(ISNA(VLOOKUP(B281,'Regioturnier 1'!$Z$3:$AA$34,2,FALSE))=TRUE,0,VLOOKUP(B281,'Regioturnier 1'!$Z$3:$AA$34,2,FALSE)))</f>
        <v>0</v>
      </c>
      <c r="P281" s="15">
        <f>MAX(IF(ISNA(VLOOKUP(B281,'Regioturnier 2'!$B$3:$C$34,2,FALSE))=TRUE,0,VLOOKUP(B281,'Regioturnier 2'!$B$3:$C$34,2,FALSE)),IF(ISNA(VLOOKUP(B281,'Regioturnier 2'!$F$3:$G$34,2,FALSE))=TRUE,0,VLOOKUP(B281,'Regioturnier 2'!$F$3:$G$34,2,FALSE)),IF(ISNA(VLOOKUP(B281,'Regioturnier 2'!$J$3:$K$34,2,FALSE))=TRUE,0,VLOOKUP(B281,'Regioturnier 2'!$J$3:$K$34,2,FALSE)),IF(ISNA(VLOOKUP(B281,'Regioturnier 2'!$N$3:$O$34,2,FALSE))=TRUE,0,VLOOKUP(B281,'Regioturnier 2'!$N$3:$O$34,2,FALSE)),IF(ISNA(VLOOKUP(B281,'Regioturnier 2'!$R$3:$S$34,2,FALSE))=TRUE,0,VLOOKUP(B281,'Regioturnier 2'!$R$3:$S$34,2,FALSE)), IF(ISNA(VLOOKUP(B281,'Regioturnier 2'!$V$3:$W$34,2,FALSE))=TRUE,0,VLOOKUP(B281,'Regioturnier 2'!$V$3:$W$34,2,FALSE)), IF(ISNA(VLOOKUP(B281,'Regioturnier 2'!$Z$3:$AA$34,2,FALSE))=TRUE,0,VLOOKUP(B281,'Regioturnier 2'!$Z$3:$AA$34,2,FALSE)))</f>
        <v>0</v>
      </c>
      <c r="Q281" s="15">
        <f>MAX(IF(ISNA(VLOOKUP(B281,'Regioturnier 3'!$B$3:$C$34,2,FALSE))=TRUE,0,VLOOKUP(B281,'Regioturnier 3'!$B$3:$C$34,2,FALSE)),IF(ISNA(VLOOKUP(B281,'Regioturnier 3'!$F$3:$G$34,2,FALSE))=TRUE,0,VLOOKUP(B281,'Regioturnier 3'!$F$3:$G$34,2,FALSE)),IF(ISNA(VLOOKUP(B281,'Regioturnier 3'!$J$3:$K$34,2,FALSE))=TRUE,0,VLOOKUP(B281,'Regioturnier 3'!$J$3:$K$34,2,FALSE)),IF(ISNA(VLOOKUP(B281,'Regioturnier 3'!$N$3:$O$34,2,FALSE))=TRUE,0,VLOOKUP(B281,'Regioturnier 3'!$N$3:$O$34,2,FALSE)),IF(ISNA(VLOOKUP(B281,'Regioturnier 3'!$R$3:$S$34,2,FALSE))=TRUE,0,VLOOKUP(B281,'Regioturnier 3'!$R$3:$S$34,2,FALSE)), IF(ISNA(VLOOKUP(B281,'Regioturnier 3'!$V$3:$W$34,2,FALSE))=TRUE,0,VLOOKUP(B281,'Regioturnier 3'!$V$3:$W$34,2,FALSE)), IF(ISNA(VLOOKUP(B281,'Regioturnier 3'!$Z$3:$AA$34,2,FALSE))=TRUE,0,VLOOKUP(B281,'Regioturnier 3'!$Z$3:$AA$34,2,FALSE)))</f>
        <v>0</v>
      </c>
      <c r="R281" s="20">
        <f>0.5*INDEX($H281:$N281,MATCH(LARGE($H281:$N281,1),$H281:$N281,0))+0.3*INDEX($H281:$N281,MATCH(LARGE($H281:$N281,2),$H281:$N281,0))+0.2*INDEX($H281:$N281,MATCH(LARGE($H281:$N281,3),$H281:$N281,0))</f>
        <v>0</v>
      </c>
      <c r="S281" s="20">
        <f>0.6*INDEX(O281:Q281,MATCH(LARGE(O281:Q281,1),O281:Q281,0))+0.4*INDEX(O281:Q281,MATCH(LARGE(O281:Q281,2),O281:Q281,0))+0*INDEX(O281:Q281,MATCH(LARGE(O281:Q281,3),O281:Q281,0))</f>
        <v>0</v>
      </c>
      <c r="T281" s="15">
        <f>1*INDEX(R281:S281,MATCH(LARGE(R281:S281,1),R281:S281,0))+0*INDEX(R281:S281,MATCH(LARGE(R281:S281,2),R281:S281,0))</f>
        <v>0</v>
      </c>
      <c r="U281" s="21"/>
      <c r="V281" s="21"/>
      <c r="W281" s="21"/>
      <c r="X281" s="21"/>
      <c r="Y281" s="21"/>
      <c r="Z281" s="21"/>
    </row>
    <row r="282" spans="1:26" ht="12.75" customHeight="1" x14ac:dyDescent="0.3">
      <c r="A282" s="15">
        <v>281</v>
      </c>
      <c r="B282" s="16" t="s">
        <v>261</v>
      </c>
      <c r="C282" s="17"/>
      <c r="D282" s="15" t="s">
        <v>26</v>
      </c>
      <c r="E282" s="18" t="s">
        <v>23</v>
      </c>
      <c r="F282" s="15"/>
      <c r="G282" s="22">
        <v>2011</v>
      </c>
      <c r="H282" s="15">
        <f>MAX(IF(ISNA(VLOOKUP(B282,'WBV 1'!$B$3:$C$34,2,FALSE))=TRUE,0,VLOOKUP(B282,'WBV 1'!$B$3:$C$34,2,FALSE)),IF(ISNA(VLOOKUP(B282,'WBV 1'!$F$3:$G$34,2,FALSE))=TRUE,0,VLOOKUP(B282,'WBV 1'!$F$3:$G$34,2,FALSE)),IF(ISNA(VLOOKUP(B282,'WBV 1'!$J$3:$K$34,2,FALSE))=TRUE,0,VLOOKUP(B282,'WBV 1'!$J$3:$K$34,2,FALSE)),IF(ISNA(VLOOKUP(B282,'WBV 1'!$N$3:$O$34,2,FALSE))=TRUE,0,VLOOKUP(B282,'WBV 1'!$N$3:$O$34,2,FALSE)))</f>
        <v>0</v>
      </c>
      <c r="I282" s="15">
        <f>MAX(IF(ISNA(VLOOKUP(B282,'WBV 2'!$B$3:$C$34,2,FALSE))=TRUE,0,VLOOKUP(B282,'WBV 2'!$B$3:$C$34,2,FALSE)),IF(ISNA(VLOOKUP(B282,'WBV 2'!$F$3:$G$34,2,FALSE))=TRUE,0,VLOOKUP(B282,'WBV 2'!$F$3:$G$34,2,FALSE)),IF(ISNA(VLOOKUP(B282,'WBV 2'!$J$3:$K$34,2,FALSE))=TRUE,0,VLOOKUP(B282,'WBV 2'!$J$3:$K$34,2,FALSE)),IF(ISNA(VLOOKUP(B282,'WBV 2'!$N$3:$O$34,2,FALSE))=TRUE,0,VLOOKUP(B282,'WBV 2'!$N$3:$O$34,2,FALSE)))</f>
        <v>0</v>
      </c>
      <c r="J282" s="15">
        <f>MAX(IF(ISNA(VLOOKUP(B282,'WBV 3'!$B$3:$C$34,2,FALSE))=TRUE,0,VLOOKUP(B282,'WBV 3'!$B$3:$C$34,2,FALSE)),IF(ISNA(VLOOKUP(B282,'WBV 3'!$F$3:$G$34,2,FALSE))=TRUE,0,VLOOKUP(B282,'WBV 3'!$F$3:$G$34,2,FALSE)),IF(ISNA(VLOOKUP(B282,'WBV 3'!$J$3:$K$34,2,FALSE))=TRUE,0,VLOOKUP(B282,'WBV 3'!$J$3:$K$34,2,FALSE)),IF(ISNA(VLOOKUP(B282,'WBV 3'!$N$3:$O$34,2,FALSE))=TRUE,0,VLOOKUP(B282,'WBV 3'!$N$3:$O$34,2,FALSE)))</f>
        <v>0</v>
      </c>
      <c r="K282" s="15">
        <f>MAX(IF(ISNA(VLOOKUP(B282,'WBV 4'!$B$3:$C$34,2,FALSE))=TRUE,0,VLOOKUP(B282,'WBV 4'!$B$3:$C$34,2,FALSE)),IF(ISNA(VLOOKUP(B282,'WBV 4'!$F$3:$G$34,2,FALSE))=TRUE,0,VLOOKUP(B282,'WBV 4'!$F$3:$G$34,2,FALSE)),IF(ISNA(VLOOKUP(B282,'WBV 4'!$J$3:$K$34,2,FALSE))=TRUE,0,VLOOKUP(B282,'WBV 4'!$J$3:$K$34,2,FALSE)),IF(ISNA(VLOOKUP(B282,'WBV 4'!$N$3:$O$34,2,FALSE))=TRUE,0,VLOOKUP(B282,'WBV 4'!$N$3:$O$34,2,FALSE)))</f>
        <v>0</v>
      </c>
      <c r="L282" s="19">
        <f>MAX(IF(ISNA(VLOOKUP(B282,'NÖBV 1'!$B$3:$C$34,2,FALSE))=TRUE,0,VLOOKUP(B282,'NÖBV 1'!$B$3:$C$34,2,FALSE)),IF(ISNA(VLOOKUP(B282,'NÖBV 1'!$F$3:$G$34,2,FALSE))=TRUE,0,VLOOKUP(B282,'NÖBV 1'!$F$3:$G$34,2,FALSE)),IF(ISNA(VLOOKUP(B282,'NÖBV 1'!$J$3:$K$34,2,FALSE))=TRUE,0,VLOOKUP(B282,'NÖBV 1'!$J$3:$K$34,2,FALSE)),IF(ISNA(VLOOKUP(B282,'NÖBV 1'!$N$3:$O$34,2,FALSE))=TRUE,0,VLOOKUP(B282,'NÖBV 1'!$N$3:$O$34,2,FALSE)))</f>
        <v>0</v>
      </c>
      <c r="M282" s="19">
        <f>MAX(IF(ISNA(VLOOKUP(B282,'NÖBV 2'!$B$3:$C$34,2,FALSE))=TRUE,0,VLOOKUP(B282,'NÖBV 2'!$B$3:$C$34,2,FALSE)),IF(ISNA(VLOOKUP(B282,'NÖBV 2'!$F$3:$G$34,2,FALSE))=TRUE,0,VLOOKUP(B282,'NÖBV 2'!$F$3:$G$34,2,FALSE)),IF(ISNA(VLOOKUP(B282,'NÖBV 2'!$J$3:$K$34,2,FALSE))=TRUE,0,VLOOKUP(B282,'NÖBV 2'!$J$3:$K$34,2,FALSE)),IF(ISNA(VLOOKUP(B282,'NÖBV 2'!$N$3:$O$34,2,FALSE))=TRUE,0,VLOOKUP(B282,'NÖBV 2'!$N$3:$O$34,2,FALSE)))</f>
        <v>0</v>
      </c>
      <c r="N282" s="19">
        <f>MAX(IF(ISNA(VLOOKUP(B282,'NÖBV 3'!$B$3:$C$34,2,FALSE))=TRUE,0,VLOOKUP(B282,'NÖBV 3'!$B$3:$C$34,2,FALSE)),IF(ISNA(VLOOKUP(B282,'NÖBV 3'!$F$3:$G$34,2,FALSE))=TRUE,0,VLOOKUP(B282,'NÖBV 3'!$F$3:$G$34,2,FALSE)),IF(ISNA(VLOOKUP(B282,'NÖBV 3'!$J$3:$K$34,2,FALSE))=TRUE,0,VLOOKUP(B282,'NÖBV 3'!$J$3:$K$34,2,FALSE)),IF(ISNA(VLOOKUP(B282,'NÖBV 3'!$N$3:$O$34,2,FALSE))=TRUE,0,VLOOKUP(B282,'NÖBV 3'!$N$3:$O$34,2,FALSE)))</f>
        <v>0</v>
      </c>
      <c r="O282" s="15">
        <f>MAX(IF(ISNA(VLOOKUP(B282,'Regioturnier 1'!$B$3:$C$34,2,FALSE))=TRUE,0,VLOOKUP(B282,'Regioturnier 1'!$B$3:$C$34,2,FALSE)),IF(ISNA(VLOOKUP(B282,'Regioturnier 1'!$F$3:$G$34,2,FALSE))=TRUE,0,VLOOKUP(B282,'Regioturnier 1'!$F$3:$G$34,2,FALSE)),IF(ISNA(VLOOKUP(B282,'Regioturnier 1'!$J$3:$K$34,2,FALSE))=TRUE,0,VLOOKUP(B282,'Regioturnier 1'!$J$3:$K$34,2,FALSE)),IF(ISNA(VLOOKUP(B282,'Regioturnier 1'!$N$3:$O$34,2,FALSE))=TRUE,0,VLOOKUP(B282,'Regioturnier 1'!$N$3:$O$34,2,FALSE)),IF(ISNA(VLOOKUP(B282,'Regioturnier 1'!$R$3:$S$34,2,FALSE))=TRUE,0,VLOOKUP(B282,'Regioturnier 1'!$R$3:$S$34,2,FALSE)), IF(ISNA(VLOOKUP(B282,'Regioturnier 1'!$V$3:$W$34,2,FALSE))=TRUE,0,VLOOKUP(B282,'Regioturnier 1'!$V$3:$W$34,2,FALSE)), IF(ISNA(VLOOKUP(B282,'Regioturnier 1'!$Z$3:$AA$34,2,FALSE))=TRUE,0,VLOOKUP(B282,'Regioturnier 1'!$Z$3:$AA$34,2,FALSE)))</f>
        <v>0</v>
      </c>
      <c r="P282" s="15">
        <f>MAX(IF(ISNA(VLOOKUP(B282,'Regioturnier 2'!$B$3:$C$34,2,FALSE))=TRUE,0,VLOOKUP(B282,'Regioturnier 2'!$B$3:$C$34,2,FALSE)),IF(ISNA(VLOOKUP(B282,'Regioturnier 2'!$F$3:$G$34,2,FALSE))=TRUE,0,VLOOKUP(B282,'Regioturnier 2'!$F$3:$G$34,2,FALSE)),IF(ISNA(VLOOKUP(B282,'Regioturnier 2'!$J$3:$K$34,2,FALSE))=TRUE,0,VLOOKUP(B282,'Regioturnier 2'!$J$3:$K$34,2,FALSE)),IF(ISNA(VLOOKUP(B282,'Regioturnier 2'!$N$3:$O$34,2,FALSE))=TRUE,0,VLOOKUP(B282,'Regioturnier 2'!$N$3:$O$34,2,FALSE)),IF(ISNA(VLOOKUP(B282,'Regioturnier 2'!$R$3:$S$34,2,FALSE))=TRUE,0,VLOOKUP(B282,'Regioturnier 2'!$R$3:$S$34,2,FALSE)), IF(ISNA(VLOOKUP(B282,'Regioturnier 2'!$V$3:$W$34,2,FALSE))=TRUE,0,VLOOKUP(B282,'Regioturnier 2'!$V$3:$W$34,2,FALSE)), IF(ISNA(VLOOKUP(B282,'Regioturnier 2'!$Z$3:$AA$34,2,FALSE))=TRUE,0,VLOOKUP(B282,'Regioturnier 2'!$Z$3:$AA$34,2,FALSE)))</f>
        <v>0</v>
      </c>
      <c r="Q282" s="15">
        <f>MAX(IF(ISNA(VLOOKUP(B282,'Regioturnier 3'!$B$3:$C$34,2,FALSE))=TRUE,0,VLOOKUP(B282,'Regioturnier 3'!$B$3:$C$34,2,FALSE)),IF(ISNA(VLOOKUP(B282,'Regioturnier 3'!$F$3:$G$34,2,FALSE))=TRUE,0,VLOOKUP(B282,'Regioturnier 3'!$F$3:$G$34,2,FALSE)),IF(ISNA(VLOOKUP(B282,'Regioturnier 3'!$J$3:$K$34,2,FALSE))=TRUE,0,VLOOKUP(B282,'Regioturnier 3'!$J$3:$K$34,2,FALSE)),IF(ISNA(VLOOKUP(B282,'Regioturnier 3'!$N$3:$O$34,2,FALSE))=TRUE,0,VLOOKUP(B282,'Regioturnier 3'!$N$3:$O$34,2,FALSE)),IF(ISNA(VLOOKUP(B282,'Regioturnier 3'!$R$3:$S$34,2,FALSE))=TRUE,0,VLOOKUP(B282,'Regioturnier 3'!$R$3:$S$34,2,FALSE)), IF(ISNA(VLOOKUP(B282,'Regioturnier 3'!$V$3:$W$34,2,FALSE))=TRUE,0,VLOOKUP(B282,'Regioturnier 3'!$V$3:$W$34,2,FALSE)), IF(ISNA(VLOOKUP(B282,'Regioturnier 3'!$Z$3:$AA$34,2,FALSE))=TRUE,0,VLOOKUP(B282,'Regioturnier 3'!$Z$3:$AA$34,2,FALSE)))</f>
        <v>0</v>
      </c>
      <c r="R282" s="20">
        <f>0.5*INDEX($H282:$N282,MATCH(LARGE($H282:$N282,1),$H282:$N282,0))+0.3*INDEX($H282:$N282,MATCH(LARGE($H282:$N282,2),$H282:$N282,0))+0.2*INDEX($H282:$N282,MATCH(LARGE($H282:$N282,3),$H282:$N282,0))</f>
        <v>0</v>
      </c>
      <c r="S282" s="20">
        <f>0.6*INDEX(O282:Q282,MATCH(LARGE(O282:Q282,1),O282:Q282,0))+0.4*INDEX(O282:Q282,MATCH(LARGE(O282:Q282,2),O282:Q282,0))+0*INDEX(O282:Q282,MATCH(LARGE(O282:Q282,3),O282:Q282,0))</f>
        <v>0</v>
      </c>
      <c r="T282" s="15">
        <f>1*INDEX(R282:S282,MATCH(LARGE(R282:S282,1),R282:S282,0))+0*INDEX(R282:S282,MATCH(LARGE(R282:S282,2),R282:S282,0))</f>
        <v>0</v>
      </c>
      <c r="U282" s="21"/>
      <c r="V282" s="21"/>
      <c r="W282" s="21"/>
      <c r="X282" s="21"/>
      <c r="Y282" s="21"/>
      <c r="Z282" s="21"/>
    </row>
    <row r="283" spans="1:26" ht="12.75" customHeight="1" x14ac:dyDescent="0.3">
      <c r="A283" s="15">
        <v>282</v>
      </c>
      <c r="B283" s="16" t="s">
        <v>262</v>
      </c>
      <c r="C283" s="17"/>
      <c r="D283" s="15"/>
      <c r="E283" s="18" t="s">
        <v>23</v>
      </c>
      <c r="F283" s="15"/>
      <c r="G283" s="22"/>
      <c r="H283" s="15">
        <f>MAX(IF(ISNA(VLOOKUP(B283,'WBV 1'!$B$3:$C$34,2,FALSE))=TRUE,0,VLOOKUP(B283,'WBV 1'!$B$3:$C$34,2,FALSE)),IF(ISNA(VLOOKUP(B283,'WBV 1'!$F$3:$G$34,2,FALSE))=TRUE,0,VLOOKUP(B283,'WBV 1'!$F$3:$G$34,2,FALSE)),IF(ISNA(VLOOKUP(B283,'WBV 1'!$J$3:$K$34,2,FALSE))=TRUE,0,VLOOKUP(B283,'WBV 1'!$J$3:$K$34,2,FALSE)),IF(ISNA(VLOOKUP(B283,'WBV 1'!$N$3:$O$34,2,FALSE))=TRUE,0,VLOOKUP(B283,'WBV 1'!$N$3:$O$34,2,FALSE)))</f>
        <v>0</v>
      </c>
      <c r="I283" s="15">
        <f>MAX(IF(ISNA(VLOOKUP(B283,'WBV 2'!$B$3:$C$34,2,FALSE))=TRUE,0,VLOOKUP(B283,'WBV 2'!$B$3:$C$34,2,FALSE)),IF(ISNA(VLOOKUP(B283,'WBV 2'!$F$3:$G$34,2,FALSE))=TRUE,0,VLOOKUP(B283,'WBV 2'!$F$3:$G$34,2,FALSE)),IF(ISNA(VLOOKUP(B283,'WBV 2'!$J$3:$K$34,2,FALSE))=TRUE,0,VLOOKUP(B283,'WBV 2'!$J$3:$K$34,2,FALSE)),IF(ISNA(VLOOKUP(B283,'WBV 2'!$N$3:$O$34,2,FALSE))=TRUE,0,VLOOKUP(B283,'WBV 2'!$N$3:$O$34,2,FALSE)))</f>
        <v>0</v>
      </c>
      <c r="J283" s="15">
        <f>MAX(IF(ISNA(VLOOKUP(B283,'WBV 3'!$B$3:$C$34,2,FALSE))=TRUE,0,VLOOKUP(B283,'WBV 3'!$B$3:$C$34,2,FALSE)),IF(ISNA(VLOOKUP(B283,'WBV 3'!$F$3:$G$34,2,FALSE))=TRUE,0,VLOOKUP(B283,'WBV 3'!$F$3:$G$34,2,FALSE)),IF(ISNA(VLOOKUP(B283,'WBV 3'!$J$3:$K$34,2,FALSE))=TRUE,0,VLOOKUP(B283,'WBV 3'!$J$3:$K$34,2,FALSE)),IF(ISNA(VLOOKUP(B283,'WBV 3'!$N$3:$O$34,2,FALSE))=TRUE,0,VLOOKUP(B283,'WBV 3'!$N$3:$O$34,2,FALSE)))</f>
        <v>0</v>
      </c>
      <c r="K283" s="15">
        <f>MAX(IF(ISNA(VLOOKUP(B283,'WBV 4'!$B$3:$C$34,2,FALSE))=TRUE,0,VLOOKUP(B283,'WBV 4'!$B$3:$C$34,2,FALSE)),IF(ISNA(VLOOKUP(B283,'WBV 4'!$F$3:$G$34,2,FALSE))=TRUE,0,VLOOKUP(B283,'WBV 4'!$F$3:$G$34,2,FALSE)),IF(ISNA(VLOOKUP(B283,'WBV 4'!$J$3:$K$34,2,FALSE))=TRUE,0,VLOOKUP(B283,'WBV 4'!$J$3:$K$34,2,FALSE)),IF(ISNA(VLOOKUP(B283,'WBV 4'!$N$3:$O$34,2,FALSE))=TRUE,0,VLOOKUP(B283,'WBV 4'!$N$3:$O$34,2,FALSE)))</f>
        <v>0</v>
      </c>
      <c r="L283" s="19">
        <f>MAX(IF(ISNA(VLOOKUP(B283,'NÖBV 1'!$B$3:$C$34,2,FALSE))=TRUE,0,VLOOKUP(B283,'NÖBV 1'!$B$3:$C$34,2,FALSE)),IF(ISNA(VLOOKUP(B283,'NÖBV 1'!$F$3:$G$34,2,FALSE))=TRUE,0,VLOOKUP(B283,'NÖBV 1'!$F$3:$G$34,2,FALSE)),IF(ISNA(VLOOKUP(B283,'NÖBV 1'!$J$3:$K$34,2,FALSE))=TRUE,0,VLOOKUP(B283,'NÖBV 1'!$J$3:$K$34,2,FALSE)),IF(ISNA(VLOOKUP(B283,'NÖBV 1'!$N$3:$O$34,2,FALSE))=TRUE,0,VLOOKUP(B283,'NÖBV 1'!$N$3:$O$34,2,FALSE)))</f>
        <v>0</v>
      </c>
      <c r="M283" s="19">
        <f>MAX(IF(ISNA(VLOOKUP(B283,'NÖBV 2'!$B$3:$C$34,2,FALSE))=TRUE,0,VLOOKUP(B283,'NÖBV 2'!$B$3:$C$34,2,FALSE)),IF(ISNA(VLOOKUP(B283,'NÖBV 2'!$F$3:$G$34,2,FALSE))=TRUE,0,VLOOKUP(B283,'NÖBV 2'!$F$3:$G$34,2,FALSE)),IF(ISNA(VLOOKUP(B283,'NÖBV 2'!$J$3:$K$34,2,FALSE))=TRUE,0,VLOOKUP(B283,'NÖBV 2'!$J$3:$K$34,2,FALSE)),IF(ISNA(VLOOKUP(B283,'NÖBV 2'!$N$3:$O$34,2,FALSE))=TRUE,0,VLOOKUP(B283,'NÖBV 2'!$N$3:$O$34,2,FALSE)))</f>
        <v>0</v>
      </c>
      <c r="N283" s="19">
        <f>MAX(IF(ISNA(VLOOKUP(B283,'NÖBV 3'!$B$3:$C$34,2,FALSE))=TRUE,0,VLOOKUP(B283,'NÖBV 3'!$B$3:$C$34,2,FALSE)),IF(ISNA(VLOOKUP(B283,'NÖBV 3'!$F$3:$G$34,2,FALSE))=TRUE,0,VLOOKUP(B283,'NÖBV 3'!$F$3:$G$34,2,FALSE)),IF(ISNA(VLOOKUP(B283,'NÖBV 3'!$J$3:$K$34,2,FALSE))=TRUE,0,VLOOKUP(B283,'NÖBV 3'!$J$3:$K$34,2,FALSE)),IF(ISNA(VLOOKUP(B283,'NÖBV 3'!$N$3:$O$34,2,FALSE))=TRUE,0,VLOOKUP(B283,'NÖBV 3'!$N$3:$O$34,2,FALSE)))</f>
        <v>0</v>
      </c>
      <c r="O283" s="15">
        <f>MAX(IF(ISNA(VLOOKUP(B283,'Regioturnier 1'!$B$3:$C$34,2,FALSE))=TRUE,0,VLOOKUP(B283,'Regioturnier 1'!$B$3:$C$34,2,FALSE)),IF(ISNA(VLOOKUP(B283,'Regioturnier 1'!$F$3:$G$34,2,FALSE))=TRUE,0,VLOOKUP(B283,'Regioturnier 1'!$F$3:$G$34,2,FALSE)),IF(ISNA(VLOOKUP(B283,'Regioturnier 1'!$J$3:$K$34,2,FALSE))=TRUE,0,VLOOKUP(B283,'Regioturnier 1'!$J$3:$K$34,2,FALSE)),IF(ISNA(VLOOKUP(B283,'Regioturnier 1'!$N$3:$O$34,2,FALSE))=TRUE,0,VLOOKUP(B283,'Regioturnier 1'!$N$3:$O$34,2,FALSE)),IF(ISNA(VLOOKUP(B283,'Regioturnier 1'!$R$3:$S$34,2,FALSE))=TRUE,0,VLOOKUP(B283,'Regioturnier 1'!$R$3:$S$34,2,FALSE)), IF(ISNA(VLOOKUP(B283,'Regioturnier 1'!$V$3:$W$34,2,FALSE))=TRUE,0,VLOOKUP(B283,'Regioturnier 1'!$V$3:$W$34,2,FALSE)), IF(ISNA(VLOOKUP(B283,'Regioturnier 1'!$Z$3:$AA$34,2,FALSE))=TRUE,0,VLOOKUP(B283,'Regioturnier 1'!$Z$3:$AA$34,2,FALSE)))</f>
        <v>0</v>
      </c>
      <c r="P283" s="15">
        <f>MAX(IF(ISNA(VLOOKUP(B283,'Regioturnier 2'!$B$3:$C$34,2,FALSE))=TRUE,0,VLOOKUP(B283,'Regioturnier 2'!$B$3:$C$34,2,FALSE)),IF(ISNA(VLOOKUP(B283,'Regioturnier 2'!$F$3:$G$34,2,FALSE))=TRUE,0,VLOOKUP(B283,'Regioturnier 2'!$F$3:$G$34,2,FALSE)),IF(ISNA(VLOOKUP(B283,'Regioturnier 2'!$J$3:$K$34,2,FALSE))=TRUE,0,VLOOKUP(B283,'Regioturnier 2'!$J$3:$K$34,2,FALSE)),IF(ISNA(VLOOKUP(B283,'Regioturnier 2'!$N$3:$O$34,2,FALSE))=TRUE,0,VLOOKUP(B283,'Regioturnier 2'!$N$3:$O$34,2,FALSE)),IF(ISNA(VLOOKUP(B283,'Regioturnier 2'!$R$3:$S$34,2,FALSE))=TRUE,0,VLOOKUP(B283,'Regioturnier 2'!$R$3:$S$34,2,FALSE)), IF(ISNA(VLOOKUP(B283,'Regioturnier 2'!$V$3:$W$34,2,FALSE))=TRUE,0,VLOOKUP(B283,'Regioturnier 2'!$V$3:$W$34,2,FALSE)), IF(ISNA(VLOOKUP(B283,'Regioturnier 2'!$Z$3:$AA$34,2,FALSE))=TRUE,0,VLOOKUP(B283,'Regioturnier 2'!$Z$3:$AA$34,2,FALSE)))</f>
        <v>0</v>
      </c>
      <c r="Q283" s="15">
        <f>MAX(IF(ISNA(VLOOKUP(B283,'Regioturnier 3'!$B$3:$C$34,2,FALSE))=TRUE,0,VLOOKUP(B283,'Regioturnier 3'!$B$3:$C$34,2,FALSE)),IF(ISNA(VLOOKUP(B283,'Regioturnier 3'!$F$3:$G$34,2,FALSE))=TRUE,0,VLOOKUP(B283,'Regioturnier 3'!$F$3:$G$34,2,FALSE)),IF(ISNA(VLOOKUP(B283,'Regioturnier 3'!$J$3:$K$34,2,FALSE))=TRUE,0,VLOOKUP(B283,'Regioturnier 3'!$J$3:$K$34,2,FALSE)),IF(ISNA(VLOOKUP(B283,'Regioturnier 3'!$N$3:$O$34,2,FALSE))=TRUE,0,VLOOKUP(B283,'Regioturnier 3'!$N$3:$O$34,2,FALSE)),IF(ISNA(VLOOKUP(B283,'Regioturnier 3'!$R$3:$S$34,2,FALSE))=TRUE,0,VLOOKUP(B283,'Regioturnier 3'!$R$3:$S$34,2,FALSE)), IF(ISNA(VLOOKUP(B283,'Regioturnier 3'!$V$3:$W$34,2,FALSE))=TRUE,0,VLOOKUP(B283,'Regioturnier 3'!$V$3:$W$34,2,FALSE)), IF(ISNA(VLOOKUP(B283,'Regioturnier 3'!$Z$3:$AA$34,2,FALSE))=TRUE,0,VLOOKUP(B283,'Regioturnier 3'!$Z$3:$AA$34,2,FALSE)))</f>
        <v>0</v>
      </c>
      <c r="R283" s="20">
        <f>0.5*INDEX($H283:$N283,MATCH(LARGE($H283:$N283,1),$H283:$N283,0))+0.3*INDEX($H283:$N283,MATCH(LARGE($H283:$N283,2),$H283:$N283,0))+0.2*INDEX($H283:$N283,MATCH(LARGE($H283:$N283,3),$H283:$N283,0))</f>
        <v>0</v>
      </c>
      <c r="S283" s="20">
        <f>0.6*INDEX(O283:Q283,MATCH(LARGE(O283:Q283,1),O283:Q283,0))+0.4*INDEX(O283:Q283,MATCH(LARGE(O283:Q283,2),O283:Q283,0))+0*INDEX(O283:Q283,MATCH(LARGE(O283:Q283,3),O283:Q283,0))</f>
        <v>0</v>
      </c>
      <c r="T283" s="15">
        <f>1*INDEX(R283:S283,MATCH(LARGE(R283:S283,1),R283:S283,0))+0*INDEX(R283:S283,MATCH(LARGE(R283:S283,2),R283:S283,0))</f>
        <v>0</v>
      </c>
      <c r="U283" s="21"/>
      <c r="V283" s="21"/>
      <c r="W283" s="21"/>
      <c r="X283" s="21"/>
      <c r="Y283" s="21"/>
      <c r="Z283" s="21"/>
    </row>
    <row r="284" spans="1:26" ht="12.75" customHeight="1" x14ac:dyDescent="0.3">
      <c r="A284" s="15">
        <v>283</v>
      </c>
      <c r="B284" s="16" t="s">
        <v>263</v>
      </c>
      <c r="C284" s="17"/>
      <c r="D284" s="15"/>
      <c r="E284" s="18" t="s">
        <v>23</v>
      </c>
      <c r="F284" s="15"/>
      <c r="G284" s="22">
        <v>2010</v>
      </c>
      <c r="H284" s="15">
        <f>MAX(IF(ISNA(VLOOKUP(B284,'WBV 1'!$B$3:$C$34,2,FALSE))=TRUE,0,VLOOKUP(B284,'WBV 1'!$B$3:$C$34,2,FALSE)),IF(ISNA(VLOOKUP(B284,'WBV 1'!$F$3:$G$34,2,FALSE))=TRUE,0,VLOOKUP(B284,'WBV 1'!$F$3:$G$34,2,FALSE)),IF(ISNA(VLOOKUP(B284,'WBV 1'!$J$3:$K$34,2,FALSE))=TRUE,0,VLOOKUP(B284,'WBV 1'!$J$3:$K$34,2,FALSE)),IF(ISNA(VLOOKUP(B284,'WBV 1'!$N$3:$O$34,2,FALSE))=TRUE,0,VLOOKUP(B284,'WBV 1'!$N$3:$O$34,2,FALSE)))</f>
        <v>0</v>
      </c>
      <c r="I284" s="15">
        <f>MAX(IF(ISNA(VLOOKUP(B284,'WBV 2'!$B$3:$C$34,2,FALSE))=TRUE,0,VLOOKUP(B284,'WBV 2'!$B$3:$C$34,2,FALSE)),IF(ISNA(VLOOKUP(B284,'WBV 2'!$F$3:$G$34,2,FALSE))=TRUE,0,VLOOKUP(B284,'WBV 2'!$F$3:$G$34,2,FALSE)),IF(ISNA(VLOOKUP(B284,'WBV 2'!$J$3:$K$34,2,FALSE))=TRUE,0,VLOOKUP(B284,'WBV 2'!$J$3:$K$34,2,FALSE)),IF(ISNA(VLOOKUP(B284,'WBV 2'!$N$3:$O$34,2,FALSE))=TRUE,0,VLOOKUP(B284,'WBV 2'!$N$3:$O$34,2,FALSE)))</f>
        <v>0</v>
      </c>
      <c r="J284" s="15">
        <f>MAX(IF(ISNA(VLOOKUP(B284,'WBV 3'!$B$3:$C$34,2,FALSE))=TRUE,0,VLOOKUP(B284,'WBV 3'!$B$3:$C$34,2,FALSE)),IF(ISNA(VLOOKUP(B284,'WBV 3'!$F$3:$G$34,2,FALSE))=TRUE,0,VLOOKUP(B284,'WBV 3'!$F$3:$G$34,2,FALSE)),IF(ISNA(VLOOKUP(B284,'WBV 3'!$J$3:$K$34,2,FALSE))=TRUE,0,VLOOKUP(B284,'WBV 3'!$J$3:$K$34,2,FALSE)),IF(ISNA(VLOOKUP(B284,'WBV 3'!$N$3:$O$34,2,FALSE))=TRUE,0,VLOOKUP(B284,'WBV 3'!$N$3:$O$34,2,FALSE)))</f>
        <v>0</v>
      </c>
      <c r="K284" s="15">
        <f>MAX(IF(ISNA(VLOOKUP(B284,'WBV 4'!$B$3:$C$34,2,FALSE))=TRUE,0,VLOOKUP(B284,'WBV 4'!$B$3:$C$34,2,FALSE)),IF(ISNA(VLOOKUP(B284,'WBV 4'!$F$3:$G$34,2,FALSE))=TRUE,0,VLOOKUP(B284,'WBV 4'!$F$3:$G$34,2,FALSE)),IF(ISNA(VLOOKUP(B284,'WBV 4'!$J$3:$K$34,2,FALSE))=TRUE,0,VLOOKUP(B284,'WBV 4'!$J$3:$K$34,2,FALSE)),IF(ISNA(VLOOKUP(B284,'WBV 4'!$N$3:$O$34,2,FALSE))=TRUE,0,VLOOKUP(B284,'WBV 4'!$N$3:$O$34,2,FALSE)))</f>
        <v>0</v>
      </c>
      <c r="L284" s="19">
        <f>MAX(IF(ISNA(VLOOKUP(B284,'NÖBV 1'!$B$3:$C$34,2,FALSE))=TRUE,0,VLOOKUP(B284,'NÖBV 1'!$B$3:$C$34,2,FALSE)),IF(ISNA(VLOOKUP(B284,'NÖBV 1'!$F$3:$G$34,2,FALSE))=TRUE,0,VLOOKUP(B284,'NÖBV 1'!$F$3:$G$34,2,FALSE)),IF(ISNA(VLOOKUP(B284,'NÖBV 1'!$J$3:$K$34,2,FALSE))=TRUE,0,VLOOKUP(B284,'NÖBV 1'!$J$3:$K$34,2,FALSE)),IF(ISNA(VLOOKUP(B284,'NÖBV 1'!$N$3:$O$34,2,FALSE))=TRUE,0,VLOOKUP(B284,'NÖBV 1'!$N$3:$O$34,2,FALSE)))</f>
        <v>0</v>
      </c>
      <c r="M284" s="19">
        <f>MAX(IF(ISNA(VLOOKUP(B284,'NÖBV 2'!$B$3:$C$34,2,FALSE))=TRUE,0,VLOOKUP(B284,'NÖBV 2'!$B$3:$C$34,2,FALSE)),IF(ISNA(VLOOKUP(B284,'NÖBV 2'!$F$3:$G$34,2,FALSE))=TRUE,0,VLOOKUP(B284,'NÖBV 2'!$F$3:$G$34,2,FALSE)),IF(ISNA(VLOOKUP(B284,'NÖBV 2'!$J$3:$K$34,2,FALSE))=TRUE,0,VLOOKUP(B284,'NÖBV 2'!$J$3:$K$34,2,FALSE)),IF(ISNA(VLOOKUP(B284,'NÖBV 2'!$N$3:$O$34,2,FALSE))=TRUE,0,VLOOKUP(B284,'NÖBV 2'!$N$3:$O$34,2,FALSE)))</f>
        <v>0</v>
      </c>
      <c r="N284" s="19">
        <f>MAX(IF(ISNA(VLOOKUP(B284,'NÖBV 3'!$B$3:$C$34,2,FALSE))=TRUE,0,VLOOKUP(B284,'NÖBV 3'!$B$3:$C$34,2,FALSE)),IF(ISNA(VLOOKUP(B284,'NÖBV 3'!$F$3:$G$34,2,FALSE))=TRUE,0,VLOOKUP(B284,'NÖBV 3'!$F$3:$G$34,2,FALSE)),IF(ISNA(VLOOKUP(B284,'NÖBV 3'!$J$3:$K$34,2,FALSE))=TRUE,0,VLOOKUP(B284,'NÖBV 3'!$J$3:$K$34,2,FALSE)),IF(ISNA(VLOOKUP(B284,'NÖBV 3'!$N$3:$O$34,2,FALSE))=TRUE,0,VLOOKUP(B284,'NÖBV 3'!$N$3:$O$34,2,FALSE)))</f>
        <v>0</v>
      </c>
      <c r="O284" s="15">
        <f>MAX(IF(ISNA(VLOOKUP(B284,'Regioturnier 1'!$B$3:$C$34,2,FALSE))=TRUE,0,VLOOKUP(B284,'Regioturnier 1'!$B$3:$C$34,2,FALSE)),IF(ISNA(VLOOKUP(B284,'Regioturnier 1'!$F$3:$G$34,2,FALSE))=TRUE,0,VLOOKUP(B284,'Regioturnier 1'!$F$3:$G$34,2,FALSE)),IF(ISNA(VLOOKUP(B284,'Regioturnier 1'!$J$3:$K$34,2,FALSE))=TRUE,0,VLOOKUP(B284,'Regioturnier 1'!$J$3:$K$34,2,FALSE)),IF(ISNA(VLOOKUP(B284,'Regioturnier 1'!$N$3:$O$34,2,FALSE))=TRUE,0,VLOOKUP(B284,'Regioturnier 1'!$N$3:$O$34,2,FALSE)),IF(ISNA(VLOOKUP(B284,'Regioturnier 1'!$R$3:$S$34,2,FALSE))=TRUE,0,VLOOKUP(B284,'Regioturnier 1'!$R$3:$S$34,2,FALSE)), IF(ISNA(VLOOKUP(B284,'Regioturnier 1'!$V$3:$W$34,2,FALSE))=TRUE,0,VLOOKUP(B284,'Regioturnier 1'!$V$3:$W$34,2,FALSE)), IF(ISNA(VLOOKUP(B284,'Regioturnier 1'!$Z$3:$AA$34,2,FALSE))=TRUE,0,VLOOKUP(B284,'Regioturnier 1'!$Z$3:$AA$34,2,FALSE)))</f>
        <v>0</v>
      </c>
      <c r="P284" s="15">
        <f>MAX(IF(ISNA(VLOOKUP(B284,'Regioturnier 2'!$B$3:$C$34,2,FALSE))=TRUE,0,VLOOKUP(B284,'Regioturnier 2'!$B$3:$C$34,2,FALSE)),IF(ISNA(VLOOKUP(B284,'Regioturnier 2'!$F$3:$G$34,2,FALSE))=TRUE,0,VLOOKUP(B284,'Regioturnier 2'!$F$3:$G$34,2,FALSE)),IF(ISNA(VLOOKUP(B284,'Regioturnier 2'!$J$3:$K$34,2,FALSE))=TRUE,0,VLOOKUP(B284,'Regioturnier 2'!$J$3:$K$34,2,FALSE)),IF(ISNA(VLOOKUP(B284,'Regioturnier 2'!$N$3:$O$34,2,FALSE))=TRUE,0,VLOOKUP(B284,'Regioturnier 2'!$N$3:$O$34,2,FALSE)),IF(ISNA(VLOOKUP(B284,'Regioturnier 2'!$R$3:$S$34,2,FALSE))=TRUE,0,VLOOKUP(B284,'Regioturnier 2'!$R$3:$S$34,2,FALSE)), IF(ISNA(VLOOKUP(B284,'Regioturnier 2'!$V$3:$W$34,2,FALSE))=TRUE,0,VLOOKUP(B284,'Regioturnier 2'!$V$3:$W$34,2,FALSE)), IF(ISNA(VLOOKUP(B284,'Regioturnier 2'!$Z$3:$AA$34,2,FALSE))=TRUE,0,VLOOKUP(B284,'Regioturnier 2'!$Z$3:$AA$34,2,FALSE)))</f>
        <v>0</v>
      </c>
      <c r="Q284" s="15">
        <f>MAX(IF(ISNA(VLOOKUP(B284,'Regioturnier 3'!$B$3:$C$34,2,FALSE))=TRUE,0,VLOOKUP(B284,'Regioturnier 3'!$B$3:$C$34,2,FALSE)),IF(ISNA(VLOOKUP(B284,'Regioturnier 3'!$F$3:$G$34,2,FALSE))=TRUE,0,VLOOKUP(B284,'Regioturnier 3'!$F$3:$G$34,2,FALSE)),IF(ISNA(VLOOKUP(B284,'Regioturnier 3'!$J$3:$K$34,2,FALSE))=TRUE,0,VLOOKUP(B284,'Regioturnier 3'!$J$3:$K$34,2,FALSE)),IF(ISNA(VLOOKUP(B284,'Regioturnier 3'!$N$3:$O$34,2,FALSE))=TRUE,0,VLOOKUP(B284,'Regioturnier 3'!$N$3:$O$34,2,FALSE)),IF(ISNA(VLOOKUP(B284,'Regioturnier 3'!$R$3:$S$34,2,FALSE))=TRUE,0,VLOOKUP(B284,'Regioturnier 3'!$R$3:$S$34,2,FALSE)), IF(ISNA(VLOOKUP(B284,'Regioturnier 3'!$V$3:$W$34,2,FALSE))=TRUE,0,VLOOKUP(B284,'Regioturnier 3'!$V$3:$W$34,2,FALSE)), IF(ISNA(VLOOKUP(B284,'Regioturnier 3'!$Z$3:$AA$34,2,FALSE))=TRUE,0,VLOOKUP(B284,'Regioturnier 3'!$Z$3:$AA$34,2,FALSE)))</f>
        <v>0</v>
      </c>
      <c r="R284" s="20">
        <f>0.5*INDEX($H284:$N284,MATCH(LARGE($H284:$N284,1),$H284:$N284,0))+0.3*INDEX($H284:$N284,MATCH(LARGE($H284:$N284,2),$H284:$N284,0))+0.2*INDEX($H284:$N284,MATCH(LARGE($H284:$N284,3),$H284:$N284,0))</f>
        <v>0</v>
      </c>
      <c r="S284" s="20">
        <f>0.6*INDEX(O284:Q284,MATCH(LARGE(O284:Q284,1),O284:Q284,0))+0.4*INDEX(O284:Q284,MATCH(LARGE(O284:Q284,2),O284:Q284,0))+0*INDEX(O284:Q284,MATCH(LARGE(O284:Q284,3),O284:Q284,0))</f>
        <v>0</v>
      </c>
      <c r="T284" s="15">
        <f>1*INDEX(R284:S284,MATCH(LARGE(R284:S284,1),R284:S284,0))+0*INDEX(R284:S284,MATCH(LARGE(R284:S284,2),R284:S284,0))</f>
        <v>0</v>
      </c>
      <c r="U284" s="21"/>
      <c r="V284" s="21"/>
      <c r="W284" s="21"/>
      <c r="X284" s="21"/>
      <c r="Y284" s="21"/>
      <c r="Z284" s="21"/>
    </row>
    <row r="285" spans="1:26" ht="12.75" customHeight="1" x14ac:dyDescent="0.3">
      <c r="A285" s="15">
        <v>284</v>
      </c>
      <c r="B285" s="16" t="s">
        <v>264</v>
      </c>
      <c r="C285" s="17"/>
      <c r="D285" s="15"/>
      <c r="E285" s="18" t="s">
        <v>40</v>
      </c>
      <c r="F285" s="15"/>
      <c r="G285" s="22"/>
      <c r="H285" s="15">
        <f>MAX(IF(ISNA(VLOOKUP(B285,'WBV 1'!$B$3:$C$34,2,FALSE))=TRUE,0,VLOOKUP(B285,'WBV 1'!$B$3:$C$34,2,FALSE)),IF(ISNA(VLOOKUP(B285,'WBV 1'!$F$3:$G$34,2,FALSE))=TRUE,0,VLOOKUP(B285,'WBV 1'!$F$3:$G$34,2,FALSE)),IF(ISNA(VLOOKUP(B285,'WBV 1'!$J$3:$K$34,2,FALSE))=TRUE,0,VLOOKUP(B285,'WBV 1'!$J$3:$K$34,2,FALSE)),IF(ISNA(VLOOKUP(B285,'WBV 1'!$N$3:$O$34,2,FALSE))=TRUE,0,VLOOKUP(B285,'WBV 1'!$N$3:$O$34,2,FALSE)))</f>
        <v>0</v>
      </c>
      <c r="I285" s="15">
        <f>MAX(IF(ISNA(VLOOKUP(B285,'WBV 2'!$B$3:$C$34,2,FALSE))=TRUE,0,VLOOKUP(B285,'WBV 2'!$B$3:$C$34,2,FALSE)),IF(ISNA(VLOOKUP(B285,'WBV 2'!$F$3:$G$34,2,FALSE))=TRUE,0,VLOOKUP(B285,'WBV 2'!$F$3:$G$34,2,FALSE)),IF(ISNA(VLOOKUP(B285,'WBV 2'!$J$3:$K$34,2,FALSE))=TRUE,0,VLOOKUP(B285,'WBV 2'!$J$3:$K$34,2,FALSE)),IF(ISNA(VLOOKUP(B285,'WBV 2'!$N$3:$O$34,2,FALSE))=TRUE,0,VLOOKUP(B285,'WBV 2'!$N$3:$O$34,2,FALSE)))</f>
        <v>0</v>
      </c>
      <c r="J285" s="15">
        <f>MAX(IF(ISNA(VLOOKUP(B285,'WBV 3'!$B$3:$C$34,2,FALSE))=TRUE,0,VLOOKUP(B285,'WBV 3'!$B$3:$C$34,2,FALSE)),IF(ISNA(VLOOKUP(B285,'WBV 3'!$F$3:$G$34,2,FALSE))=TRUE,0,VLOOKUP(B285,'WBV 3'!$F$3:$G$34,2,FALSE)),IF(ISNA(VLOOKUP(B285,'WBV 3'!$J$3:$K$34,2,FALSE))=TRUE,0,VLOOKUP(B285,'WBV 3'!$J$3:$K$34,2,FALSE)),IF(ISNA(VLOOKUP(B285,'WBV 3'!$N$3:$O$34,2,FALSE))=TRUE,0,VLOOKUP(B285,'WBV 3'!$N$3:$O$34,2,FALSE)))</f>
        <v>0</v>
      </c>
      <c r="K285" s="15">
        <f>MAX(IF(ISNA(VLOOKUP(B285,'WBV 4'!$B$3:$C$34,2,FALSE))=TRUE,0,VLOOKUP(B285,'WBV 4'!$B$3:$C$34,2,FALSE)),IF(ISNA(VLOOKUP(B285,'WBV 4'!$F$3:$G$34,2,FALSE))=TRUE,0,VLOOKUP(B285,'WBV 4'!$F$3:$G$34,2,FALSE)),IF(ISNA(VLOOKUP(B285,'WBV 4'!$J$3:$K$34,2,FALSE))=TRUE,0,VLOOKUP(B285,'WBV 4'!$J$3:$K$34,2,FALSE)),IF(ISNA(VLOOKUP(B285,'WBV 4'!$N$3:$O$34,2,FALSE))=TRUE,0,VLOOKUP(B285,'WBV 4'!$N$3:$O$34,2,FALSE)))</f>
        <v>0</v>
      </c>
      <c r="L285" s="19">
        <f>MAX(IF(ISNA(VLOOKUP(B285,'NÖBV 1'!$B$3:$C$34,2,FALSE))=TRUE,0,VLOOKUP(B285,'NÖBV 1'!$B$3:$C$34,2,FALSE)),IF(ISNA(VLOOKUP(B285,'NÖBV 1'!$F$3:$G$34,2,FALSE))=TRUE,0,VLOOKUP(B285,'NÖBV 1'!$F$3:$G$34,2,FALSE)),IF(ISNA(VLOOKUP(B285,'NÖBV 1'!$J$3:$K$34,2,FALSE))=TRUE,0,VLOOKUP(B285,'NÖBV 1'!$J$3:$K$34,2,FALSE)),IF(ISNA(VLOOKUP(B285,'NÖBV 1'!$N$3:$O$34,2,FALSE))=TRUE,0,VLOOKUP(B285,'NÖBV 1'!$N$3:$O$34,2,FALSE)))</f>
        <v>0</v>
      </c>
      <c r="M285" s="19">
        <f>MAX(IF(ISNA(VLOOKUP(B285,'NÖBV 2'!$B$3:$C$34,2,FALSE))=TRUE,0,VLOOKUP(B285,'NÖBV 2'!$B$3:$C$34,2,FALSE)),IF(ISNA(VLOOKUP(B285,'NÖBV 2'!$F$3:$G$34,2,FALSE))=TRUE,0,VLOOKUP(B285,'NÖBV 2'!$F$3:$G$34,2,FALSE)),IF(ISNA(VLOOKUP(B285,'NÖBV 2'!$J$3:$K$34,2,FALSE))=TRUE,0,VLOOKUP(B285,'NÖBV 2'!$J$3:$K$34,2,FALSE)),IF(ISNA(VLOOKUP(B285,'NÖBV 2'!$N$3:$O$34,2,FALSE))=TRUE,0,VLOOKUP(B285,'NÖBV 2'!$N$3:$O$34,2,FALSE)))</f>
        <v>0</v>
      </c>
      <c r="N285" s="19">
        <f>MAX(IF(ISNA(VLOOKUP(B285,'NÖBV 3'!$B$3:$C$34,2,FALSE))=TRUE,0,VLOOKUP(B285,'NÖBV 3'!$B$3:$C$34,2,FALSE)),IF(ISNA(VLOOKUP(B285,'NÖBV 3'!$F$3:$G$34,2,FALSE))=TRUE,0,VLOOKUP(B285,'NÖBV 3'!$F$3:$G$34,2,FALSE)),IF(ISNA(VLOOKUP(B285,'NÖBV 3'!$J$3:$K$34,2,FALSE))=TRUE,0,VLOOKUP(B285,'NÖBV 3'!$J$3:$K$34,2,FALSE)),IF(ISNA(VLOOKUP(B285,'NÖBV 3'!$N$3:$O$34,2,FALSE))=TRUE,0,VLOOKUP(B285,'NÖBV 3'!$N$3:$O$34,2,FALSE)))</f>
        <v>0</v>
      </c>
      <c r="O285" s="15">
        <f>MAX(IF(ISNA(VLOOKUP(B285,'Regioturnier 1'!$B$3:$C$34,2,FALSE))=TRUE,0,VLOOKUP(B285,'Regioturnier 1'!$B$3:$C$34,2,FALSE)),IF(ISNA(VLOOKUP(B285,'Regioturnier 1'!$F$3:$G$34,2,FALSE))=TRUE,0,VLOOKUP(B285,'Regioturnier 1'!$F$3:$G$34,2,FALSE)),IF(ISNA(VLOOKUP(B285,'Regioturnier 1'!$J$3:$K$34,2,FALSE))=TRUE,0,VLOOKUP(B285,'Regioturnier 1'!$J$3:$K$34,2,FALSE)),IF(ISNA(VLOOKUP(B285,'Regioturnier 1'!$N$3:$O$34,2,FALSE))=TRUE,0,VLOOKUP(B285,'Regioturnier 1'!$N$3:$O$34,2,FALSE)),IF(ISNA(VLOOKUP(B285,'Regioturnier 1'!$R$3:$S$34,2,FALSE))=TRUE,0,VLOOKUP(B285,'Regioturnier 1'!$R$3:$S$34,2,FALSE)), IF(ISNA(VLOOKUP(B285,'Regioturnier 1'!$V$3:$W$34,2,FALSE))=TRUE,0,VLOOKUP(B285,'Regioturnier 1'!$V$3:$W$34,2,FALSE)), IF(ISNA(VLOOKUP(B285,'Regioturnier 1'!$Z$3:$AA$34,2,FALSE))=TRUE,0,VLOOKUP(B285,'Regioturnier 1'!$Z$3:$AA$34,2,FALSE)))</f>
        <v>0</v>
      </c>
      <c r="P285" s="15">
        <f>MAX(IF(ISNA(VLOOKUP(B285,'Regioturnier 2'!$B$3:$C$34,2,FALSE))=TRUE,0,VLOOKUP(B285,'Regioturnier 2'!$B$3:$C$34,2,FALSE)),IF(ISNA(VLOOKUP(B285,'Regioturnier 2'!$F$3:$G$34,2,FALSE))=TRUE,0,VLOOKUP(B285,'Regioturnier 2'!$F$3:$G$34,2,FALSE)),IF(ISNA(VLOOKUP(B285,'Regioturnier 2'!$J$3:$K$34,2,FALSE))=TRUE,0,VLOOKUP(B285,'Regioturnier 2'!$J$3:$K$34,2,FALSE)),IF(ISNA(VLOOKUP(B285,'Regioturnier 2'!$N$3:$O$34,2,FALSE))=TRUE,0,VLOOKUP(B285,'Regioturnier 2'!$N$3:$O$34,2,FALSE)),IF(ISNA(VLOOKUP(B285,'Regioturnier 2'!$R$3:$S$34,2,FALSE))=TRUE,0,VLOOKUP(B285,'Regioturnier 2'!$R$3:$S$34,2,FALSE)), IF(ISNA(VLOOKUP(B285,'Regioturnier 2'!$V$3:$W$34,2,FALSE))=TRUE,0,VLOOKUP(B285,'Regioturnier 2'!$V$3:$W$34,2,FALSE)), IF(ISNA(VLOOKUP(B285,'Regioturnier 2'!$Z$3:$AA$34,2,FALSE))=TRUE,0,VLOOKUP(B285,'Regioturnier 2'!$Z$3:$AA$34,2,FALSE)))</f>
        <v>0</v>
      </c>
      <c r="Q285" s="15">
        <f>MAX(IF(ISNA(VLOOKUP(B285,'Regioturnier 3'!$B$3:$C$34,2,FALSE))=TRUE,0,VLOOKUP(B285,'Regioturnier 3'!$B$3:$C$34,2,FALSE)),IF(ISNA(VLOOKUP(B285,'Regioturnier 3'!$F$3:$G$34,2,FALSE))=TRUE,0,VLOOKUP(B285,'Regioturnier 3'!$F$3:$G$34,2,FALSE)),IF(ISNA(VLOOKUP(B285,'Regioturnier 3'!$J$3:$K$34,2,FALSE))=TRUE,0,VLOOKUP(B285,'Regioturnier 3'!$J$3:$K$34,2,FALSE)),IF(ISNA(VLOOKUP(B285,'Regioturnier 3'!$N$3:$O$34,2,FALSE))=TRUE,0,VLOOKUP(B285,'Regioturnier 3'!$N$3:$O$34,2,FALSE)),IF(ISNA(VLOOKUP(B285,'Regioturnier 3'!$R$3:$S$34,2,FALSE))=TRUE,0,VLOOKUP(B285,'Regioturnier 3'!$R$3:$S$34,2,FALSE)), IF(ISNA(VLOOKUP(B285,'Regioturnier 3'!$V$3:$W$34,2,FALSE))=TRUE,0,VLOOKUP(B285,'Regioturnier 3'!$V$3:$W$34,2,FALSE)), IF(ISNA(VLOOKUP(B285,'Regioturnier 3'!$Z$3:$AA$34,2,FALSE))=TRUE,0,VLOOKUP(B285,'Regioturnier 3'!$Z$3:$AA$34,2,FALSE)))</f>
        <v>0</v>
      </c>
      <c r="R285" s="20">
        <f>0.5*INDEX($H285:$N285,MATCH(LARGE($H285:$N285,1),$H285:$N285,0))+0.3*INDEX($H285:$N285,MATCH(LARGE($H285:$N285,2),$H285:$N285,0))+0.2*INDEX($H285:$N285,MATCH(LARGE($H285:$N285,3),$H285:$N285,0))</f>
        <v>0</v>
      </c>
      <c r="S285" s="20">
        <f>0.6*INDEX(O285:Q285,MATCH(LARGE(O285:Q285,1),O285:Q285,0))+0.4*INDEX(O285:Q285,MATCH(LARGE(O285:Q285,2),O285:Q285,0))+0*INDEX(O285:Q285,MATCH(LARGE(O285:Q285,3),O285:Q285,0))</f>
        <v>0</v>
      </c>
      <c r="T285" s="15">
        <f>1*INDEX(R285:S285,MATCH(LARGE(R285:S285,1),R285:S285,0))+0*INDEX(R285:S285,MATCH(LARGE(R285:S285,2),R285:S285,0))</f>
        <v>0</v>
      </c>
      <c r="U285" s="21"/>
      <c r="V285" s="21"/>
      <c r="W285" s="21"/>
      <c r="X285" s="21"/>
      <c r="Y285" s="21"/>
      <c r="Z285" s="21"/>
    </row>
    <row r="286" spans="1:26" ht="12.75" customHeight="1" x14ac:dyDescent="0.3">
      <c r="A286" s="15">
        <v>285</v>
      </c>
      <c r="B286" s="16" t="s">
        <v>265</v>
      </c>
      <c r="C286" s="17" t="s">
        <v>130</v>
      </c>
      <c r="D286" s="15" t="s">
        <v>26</v>
      </c>
      <c r="E286" s="18" t="s">
        <v>23</v>
      </c>
      <c r="F286" s="15">
        <v>110467</v>
      </c>
      <c r="G286" s="22">
        <v>2011</v>
      </c>
      <c r="H286" s="15">
        <f>MAX(IF(ISNA(VLOOKUP(B286,'WBV 1'!$B$3:$C$34,2,FALSE))=TRUE,0,VLOOKUP(B286,'WBV 1'!$B$3:$C$34,2,FALSE)),IF(ISNA(VLOOKUP(B286,'WBV 1'!$F$3:$G$34,2,FALSE))=TRUE,0,VLOOKUP(B286,'WBV 1'!$F$3:$G$34,2,FALSE)),IF(ISNA(VLOOKUP(B286,'WBV 1'!$J$3:$K$34,2,FALSE))=TRUE,0,VLOOKUP(B286,'WBV 1'!$J$3:$K$34,2,FALSE)),IF(ISNA(VLOOKUP(B286,'WBV 1'!$N$3:$O$34,2,FALSE))=TRUE,0,VLOOKUP(B286,'WBV 1'!$N$3:$O$34,2,FALSE)))</f>
        <v>0</v>
      </c>
      <c r="I286" s="15">
        <f>MAX(IF(ISNA(VLOOKUP(B286,'WBV 2'!$B$3:$C$34,2,FALSE))=TRUE,0,VLOOKUP(B286,'WBV 2'!$B$3:$C$34,2,FALSE)),IF(ISNA(VLOOKUP(B286,'WBV 2'!$F$3:$G$34,2,FALSE))=TRUE,0,VLOOKUP(B286,'WBV 2'!$F$3:$G$34,2,FALSE)),IF(ISNA(VLOOKUP(B286,'WBV 2'!$J$3:$K$34,2,FALSE))=TRUE,0,VLOOKUP(B286,'WBV 2'!$J$3:$K$34,2,FALSE)),IF(ISNA(VLOOKUP(B286,'WBV 2'!$N$3:$O$34,2,FALSE))=TRUE,0,VLOOKUP(B286,'WBV 2'!$N$3:$O$34,2,FALSE)))</f>
        <v>0</v>
      </c>
      <c r="J286" s="15">
        <f>MAX(IF(ISNA(VLOOKUP(B286,'WBV 3'!$B$3:$C$34,2,FALSE))=TRUE,0,VLOOKUP(B286,'WBV 3'!$B$3:$C$34,2,FALSE)),IF(ISNA(VLOOKUP(B286,'WBV 3'!$F$3:$G$34,2,FALSE))=TRUE,0,VLOOKUP(B286,'WBV 3'!$F$3:$G$34,2,FALSE)),IF(ISNA(VLOOKUP(B286,'WBV 3'!$J$3:$K$34,2,FALSE))=TRUE,0,VLOOKUP(B286,'WBV 3'!$J$3:$K$34,2,FALSE)),IF(ISNA(VLOOKUP(B286,'WBV 3'!$N$3:$O$34,2,FALSE))=TRUE,0,VLOOKUP(B286,'WBV 3'!$N$3:$O$34,2,FALSE)))</f>
        <v>0</v>
      </c>
      <c r="K286" s="15">
        <f>MAX(IF(ISNA(VLOOKUP(B286,'WBV 4'!$B$3:$C$34,2,FALSE))=TRUE,0,VLOOKUP(B286,'WBV 4'!$B$3:$C$34,2,FALSE)),IF(ISNA(VLOOKUP(B286,'WBV 4'!$F$3:$G$34,2,FALSE))=TRUE,0,VLOOKUP(B286,'WBV 4'!$F$3:$G$34,2,FALSE)),IF(ISNA(VLOOKUP(B286,'WBV 4'!$J$3:$K$34,2,FALSE))=TRUE,0,VLOOKUP(B286,'WBV 4'!$J$3:$K$34,2,FALSE)),IF(ISNA(VLOOKUP(B286,'WBV 4'!$N$3:$O$34,2,FALSE))=TRUE,0,VLOOKUP(B286,'WBV 4'!$N$3:$O$34,2,FALSE)))</f>
        <v>0</v>
      </c>
      <c r="L286" s="19">
        <f>MAX(IF(ISNA(VLOOKUP(B286,'NÖBV 1'!$B$3:$C$34,2,FALSE))=TRUE,0,VLOOKUP(B286,'NÖBV 1'!$B$3:$C$34,2,FALSE)),IF(ISNA(VLOOKUP(B286,'NÖBV 1'!$F$3:$G$34,2,FALSE))=TRUE,0,VLOOKUP(B286,'NÖBV 1'!$F$3:$G$34,2,FALSE)),IF(ISNA(VLOOKUP(B286,'NÖBV 1'!$J$3:$K$34,2,FALSE))=TRUE,0,VLOOKUP(B286,'NÖBV 1'!$J$3:$K$34,2,FALSE)),IF(ISNA(VLOOKUP(B286,'NÖBV 1'!$N$3:$O$34,2,FALSE))=TRUE,0,VLOOKUP(B286,'NÖBV 1'!$N$3:$O$34,2,FALSE)))</f>
        <v>0</v>
      </c>
      <c r="M286" s="19">
        <f>MAX(IF(ISNA(VLOOKUP(B286,'NÖBV 2'!$B$3:$C$34,2,FALSE))=TRUE,0,VLOOKUP(B286,'NÖBV 2'!$B$3:$C$34,2,FALSE)),IF(ISNA(VLOOKUP(B286,'NÖBV 2'!$F$3:$G$34,2,FALSE))=TRUE,0,VLOOKUP(B286,'NÖBV 2'!$F$3:$G$34,2,FALSE)),IF(ISNA(VLOOKUP(B286,'NÖBV 2'!$J$3:$K$34,2,FALSE))=TRUE,0,VLOOKUP(B286,'NÖBV 2'!$J$3:$K$34,2,FALSE)),IF(ISNA(VLOOKUP(B286,'NÖBV 2'!$N$3:$O$34,2,FALSE))=TRUE,0,VLOOKUP(B286,'NÖBV 2'!$N$3:$O$34,2,FALSE)))</f>
        <v>0</v>
      </c>
      <c r="N286" s="19">
        <f>MAX(IF(ISNA(VLOOKUP(B286,'NÖBV 3'!$B$3:$C$34,2,FALSE))=TRUE,0,VLOOKUP(B286,'NÖBV 3'!$B$3:$C$34,2,FALSE)),IF(ISNA(VLOOKUP(B286,'NÖBV 3'!$F$3:$G$34,2,FALSE))=TRUE,0,VLOOKUP(B286,'NÖBV 3'!$F$3:$G$34,2,FALSE)),IF(ISNA(VLOOKUP(B286,'NÖBV 3'!$J$3:$K$34,2,FALSE))=TRUE,0,VLOOKUP(B286,'NÖBV 3'!$J$3:$K$34,2,FALSE)),IF(ISNA(VLOOKUP(B286,'NÖBV 3'!$N$3:$O$34,2,FALSE))=TRUE,0,VLOOKUP(B286,'NÖBV 3'!$N$3:$O$34,2,FALSE)))</f>
        <v>0</v>
      </c>
      <c r="O286" s="15">
        <f>MAX(IF(ISNA(VLOOKUP(B286,'Regioturnier 1'!$B$3:$C$34,2,FALSE))=TRUE,0,VLOOKUP(B286,'Regioturnier 1'!$B$3:$C$34,2,FALSE)),IF(ISNA(VLOOKUP(B286,'Regioturnier 1'!$F$3:$G$34,2,FALSE))=TRUE,0,VLOOKUP(B286,'Regioturnier 1'!$F$3:$G$34,2,FALSE)),IF(ISNA(VLOOKUP(B286,'Regioturnier 1'!$J$3:$K$34,2,FALSE))=TRUE,0,VLOOKUP(B286,'Regioturnier 1'!$J$3:$K$34,2,FALSE)),IF(ISNA(VLOOKUP(B286,'Regioturnier 1'!$N$3:$O$34,2,FALSE))=TRUE,0,VLOOKUP(B286,'Regioturnier 1'!$N$3:$O$34,2,FALSE)),IF(ISNA(VLOOKUP(B286,'Regioturnier 1'!$R$3:$S$34,2,FALSE))=TRUE,0,VLOOKUP(B286,'Regioturnier 1'!$R$3:$S$34,2,FALSE)), IF(ISNA(VLOOKUP(B286,'Regioturnier 1'!$V$3:$W$34,2,FALSE))=TRUE,0,VLOOKUP(B286,'Regioturnier 1'!$V$3:$W$34,2,FALSE)), IF(ISNA(VLOOKUP(B286,'Regioturnier 1'!$Z$3:$AA$34,2,FALSE))=TRUE,0,VLOOKUP(B286,'Regioturnier 1'!$Z$3:$AA$34,2,FALSE)))</f>
        <v>0</v>
      </c>
      <c r="P286" s="15">
        <f>MAX(IF(ISNA(VLOOKUP(B286,'Regioturnier 2'!$B$3:$C$34,2,FALSE))=TRUE,0,VLOOKUP(B286,'Regioturnier 2'!$B$3:$C$34,2,FALSE)),IF(ISNA(VLOOKUP(B286,'Regioturnier 2'!$F$3:$G$34,2,FALSE))=TRUE,0,VLOOKUP(B286,'Regioturnier 2'!$F$3:$G$34,2,FALSE)),IF(ISNA(VLOOKUP(B286,'Regioturnier 2'!$J$3:$K$34,2,FALSE))=TRUE,0,VLOOKUP(B286,'Regioturnier 2'!$J$3:$K$34,2,FALSE)),IF(ISNA(VLOOKUP(B286,'Regioturnier 2'!$N$3:$O$34,2,FALSE))=TRUE,0,VLOOKUP(B286,'Regioturnier 2'!$N$3:$O$34,2,FALSE)),IF(ISNA(VLOOKUP(B286,'Regioturnier 2'!$R$3:$S$34,2,FALSE))=TRUE,0,VLOOKUP(B286,'Regioturnier 2'!$R$3:$S$34,2,FALSE)), IF(ISNA(VLOOKUP(B286,'Regioturnier 2'!$V$3:$W$34,2,FALSE))=TRUE,0,VLOOKUP(B286,'Regioturnier 2'!$V$3:$W$34,2,FALSE)), IF(ISNA(VLOOKUP(B286,'Regioturnier 2'!$Z$3:$AA$34,2,FALSE))=TRUE,0,VLOOKUP(B286,'Regioturnier 2'!$Z$3:$AA$34,2,FALSE)))</f>
        <v>0</v>
      </c>
      <c r="Q286" s="15">
        <f>MAX(IF(ISNA(VLOOKUP(B286,'Regioturnier 3'!$B$3:$C$34,2,FALSE))=TRUE,0,VLOOKUP(B286,'Regioturnier 3'!$B$3:$C$34,2,FALSE)),IF(ISNA(VLOOKUP(B286,'Regioturnier 3'!$F$3:$G$34,2,FALSE))=TRUE,0,VLOOKUP(B286,'Regioturnier 3'!$F$3:$G$34,2,FALSE)),IF(ISNA(VLOOKUP(B286,'Regioturnier 3'!$J$3:$K$34,2,FALSE))=TRUE,0,VLOOKUP(B286,'Regioturnier 3'!$J$3:$K$34,2,FALSE)),IF(ISNA(VLOOKUP(B286,'Regioturnier 3'!$N$3:$O$34,2,FALSE))=TRUE,0,VLOOKUP(B286,'Regioturnier 3'!$N$3:$O$34,2,FALSE)),IF(ISNA(VLOOKUP(B286,'Regioturnier 3'!$R$3:$S$34,2,FALSE))=TRUE,0,VLOOKUP(B286,'Regioturnier 3'!$R$3:$S$34,2,FALSE)), IF(ISNA(VLOOKUP(B286,'Regioturnier 3'!$V$3:$W$34,2,FALSE))=TRUE,0,VLOOKUP(B286,'Regioturnier 3'!$V$3:$W$34,2,FALSE)), IF(ISNA(VLOOKUP(B286,'Regioturnier 3'!$Z$3:$AA$34,2,FALSE))=TRUE,0,VLOOKUP(B286,'Regioturnier 3'!$Z$3:$AA$34,2,FALSE)))</f>
        <v>0</v>
      </c>
      <c r="R286" s="20">
        <f>0.5*INDEX($H286:$N286,MATCH(LARGE($H286:$N286,1),$H286:$N286,0))+0.3*INDEX($H286:$N286,MATCH(LARGE($H286:$N286,2),$H286:$N286,0))+0.2*INDEX($H286:$N286,MATCH(LARGE($H286:$N286,3),$H286:$N286,0))</f>
        <v>0</v>
      </c>
      <c r="S286" s="20">
        <f>0.6*INDEX(O286:Q286,MATCH(LARGE(O286:Q286,1),O286:Q286,0))+0.4*INDEX(O286:Q286,MATCH(LARGE(O286:Q286,2),O286:Q286,0))+0*INDEX(O286:Q286,MATCH(LARGE(O286:Q286,3),O286:Q286,0))</f>
        <v>0</v>
      </c>
      <c r="T286" s="15">
        <f>1*INDEX(R286:S286,MATCH(LARGE(R286:S286,1),R286:S286,0))+0*INDEX(R286:S286,MATCH(LARGE(R286:S286,2),R286:S286,0))</f>
        <v>0</v>
      </c>
      <c r="U286" s="21"/>
      <c r="V286" s="21"/>
      <c r="W286" s="21"/>
      <c r="X286" s="21"/>
      <c r="Y286" s="21"/>
      <c r="Z286" s="21"/>
    </row>
    <row r="287" spans="1:26" ht="12.75" customHeight="1" x14ac:dyDescent="0.3">
      <c r="A287" s="15">
        <v>286</v>
      </c>
      <c r="B287" s="16" t="s">
        <v>266</v>
      </c>
      <c r="C287" s="17" t="s">
        <v>267</v>
      </c>
      <c r="D287" s="15" t="s">
        <v>268</v>
      </c>
      <c r="E287" s="18" t="s">
        <v>23</v>
      </c>
      <c r="F287" s="15"/>
      <c r="G287" s="22">
        <v>2009</v>
      </c>
      <c r="H287" s="15">
        <f>MAX(IF(ISNA(VLOOKUP(B287,'WBV 1'!$B$3:$C$34,2,FALSE))=TRUE,0,VLOOKUP(B287,'WBV 1'!$B$3:$C$34,2,FALSE)),IF(ISNA(VLOOKUP(B287,'WBV 1'!$F$3:$G$34,2,FALSE))=TRUE,0,VLOOKUP(B287,'WBV 1'!$F$3:$G$34,2,FALSE)),IF(ISNA(VLOOKUP(B287,'WBV 1'!$J$3:$K$34,2,FALSE))=TRUE,0,VLOOKUP(B287,'WBV 1'!$J$3:$K$34,2,FALSE)),IF(ISNA(VLOOKUP(B287,'WBV 1'!$N$3:$O$34,2,FALSE))=TRUE,0,VLOOKUP(B287,'WBV 1'!$N$3:$O$34,2,FALSE)))</f>
        <v>0</v>
      </c>
      <c r="I287" s="15">
        <f>MAX(IF(ISNA(VLOOKUP(B287,'WBV 2'!$B$3:$C$34,2,FALSE))=TRUE,0,VLOOKUP(B287,'WBV 2'!$B$3:$C$34,2,FALSE)),IF(ISNA(VLOOKUP(B287,'WBV 2'!$F$3:$G$34,2,FALSE))=TRUE,0,VLOOKUP(B287,'WBV 2'!$F$3:$G$34,2,FALSE)),IF(ISNA(VLOOKUP(B287,'WBV 2'!$J$3:$K$34,2,FALSE))=TRUE,0,VLOOKUP(B287,'WBV 2'!$J$3:$K$34,2,FALSE)),IF(ISNA(VLOOKUP(B287,'WBV 2'!$N$3:$O$34,2,FALSE))=TRUE,0,VLOOKUP(B287,'WBV 2'!$N$3:$O$34,2,FALSE)))</f>
        <v>0</v>
      </c>
      <c r="J287" s="15">
        <f>MAX(IF(ISNA(VLOOKUP(B287,'WBV 3'!$B$3:$C$34,2,FALSE))=TRUE,0,VLOOKUP(B287,'WBV 3'!$B$3:$C$34,2,FALSE)),IF(ISNA(VLOOKUP(B287,'WBV 3'!$F$3:$G$34,2,FALSE))=TRUE,0,VLOOKUP(B287,'WBV 3'!$F$3:$G$34,2,FALSE)),IF(ISNA(VLOOKUP(B287,'WBV 3'!$J$3:$K$34,2,FALSE))=TRUE,0,VLOOKUP(B287,'WBV 3'!$J$3:$K$34,2,FALSE)),IF(ISNA(VLOOKUP(B287,'WBV 3'!$N$3:$O$34,2,FALSE))=TRUE,0,VLOOKUP(B287,'WBV 3'!$N$3:$O$34,2,FALSE)))</f>
        <v>0</v>
      </c>
      <c r="K287" s="15">
        <f>MAX(IF(ISNA(VLOOKUP(B287,'WBV 4'!$B$3:$C$34,2,FALSE))=TRUE,0,VLOOKUP(B287,'WBV 4'!$B$3:$C$34,2,FALSE)),IF(ISNA(VLOOKUP(B287,'WBV 4'!$F$3:$G$34,2,FALSE))=TRUE,0,VLOOKUP(B287,'WBV 4'!$F$3:$G$34,2,FALSE)),IF(ISNA(VLOOKUP(B287,'WBV 4'!$J$3:$K$34,2,FALSE))=TRUE,0,VLOOKUP(B287,'WBV 4'!$J$3:$K$34,2,FALSE)),IF(ISNA(VLOOKUP(B287,'WBV 4'!$N$3:$O$34,2,FALSE))=TRUE,0,VLOOKUP(B287,'WBV 4'!$N$3:$O$34,2,FALSE)))</f>
        <v>0</v>
      </c>
      <c r="L287" s="19">
        <f>MAX(IF(ISNA(VLOOKUP(B287,'NÖBV 1'!$B$3:$C$34,2,FALSE))=TRUE,0,VLOOKUP(B287,'NÖBV 1'!$B$3:$C$34,2,FALSE)),IF(ISNA(VLOOKUP(B287,'NÖBV 1'!$F$3:$G$34,2,FALSE))=TRUE,0,VLOOKUP(B287,'NÖBV 1'!$F$3:$G$34,2,FALSE)),IF(ISNA(VLOOKUP(B287,'NÖBV 1'!$J$3:$K$34,2,FALSE))=TRUE,0,VLOOKUP(B287,'NÖBV 1'!$J$3:$K$34,2,FALSE)),IF(ISNA(VLOOKUP(B287,'NÖBV 1'!$N$3:$O$34,2,FALSE))=TRUE,0,VLOOKUP(B287,'NÖBV 1'!$N$3:$O$34,2,FALSE)))</f>
        <v>0</v>
      </c>
      <c r="M287" s="19">
        <f>MAX(IF(ISNA(VLOOKUP(B287,'NÖBV 2'!$B$3:$C$34,2,FALSE))=TRUE,0,VLOOKUP(B287,'NÖBV 2'!$B$3:$C$34,2,FALSE)),IF(ISNA(VLOOKUP(B287,'NÖBV 2'!$F$3:$G$34,2,FALSE))=TRUE,0,VLOOKUP(B287,'NÖBV 2'!$F$3:$G$34,2,FALSE)),IF(ISNA(VLOOKUP(B287,'NÖBV 2'!$J$3:$K$34,2,FALSE))=TRUE,0,VLOOKUP(B287,'NÖBV 2'!$J$3:$K$34,2,FALSE)),IF(ISNA(VLOOKUP(B287,'NÖBV 2'!$N$3:$O$34,2,FALSE))=TRUE,0,VLOOKUP(B287,'NÖBV 2'!$N$3:$O$34,2,FALSE)))</f>
        <v>0</v>
      </c>
      <c r="N287" s="19">
        <f>MAX(IF(ISNA(VLOOKUP(B287,'NÖBV 3'!$B$3:$C$34,2,FALSE))=TRUE,0,VLOOKUP(B287,'NÖBV 3'!$B$3:$C$34,2,FALSE)),IF(ISNA(VLOOKUP(B287,'NÖBV 3'!$F$3:$G$34,2,FALSE))=TRUE,0,VLOOKUP(B287,'NÖBV 3'!$F$3:$G$34,2,FALSE)),IF(ISNA(VLOOKUP(B287,'NÖBV 3'!$J$3:$K$34,2,FALSE))=TRUE,0,VLOOKUP(B287,'NÖBV 3'!$J$3:$K$34,2,FALSE)),IF(ISNA(VLOOKUP(B287,'NÖBV 3'!$N$3:$O$34,2,FALSE))=TRUE,0,VLOOKUP(B287,'NÖBV 3'!$N$3:$O$34,2,FALSE)))</f>
        <v>0</v>
      </c>
      <c r="O287" s="15">
        <f>MAX(IF(ISNA(VLOOKUP(B287,'Regioturnier 1'!$B$3:$C$34,2,FALSE))=TRUE,0,VLOOKUP(B287,'Regioturnier 1'!$B$3:$C$34,2,FALSE)),IF(ISNA(VLOOKUP(B287,'Regioturnier 1'!$F$3:$G$34,2,FALSE))=TRUE,0,VLOOKUP(B287,'Regioturnier 1'!$F$3:$G$34,2,FALSE)),IF(ISNA(VLOOKUP(B287,'Regioturnier 1'!$J$3:$K$34,2,FALSE))=TRUE,0,VLOOKUP(B287,'Regioturnier 1'!$J$3:$K$34,2,FALSE)),IF(ISNA(VLOOKUP(B287,'Regioturnier 1'!$N$3:$O$34,2,FALSE))=TRUE,0,VLOOKUP(B287,'Regioturnier 1'!$N$3:$O$34,2,FALSE)),IF(ISNA(VLOOKUP(B287,'Regioturnier 1'!$R$3:$S$34,2,FALSE))=TRUE,0,VLOOKUP(B287,'Regioturnier 1'!$R$3:$S$34,2,FALSE)), IF(ISNA(VLOOKUP(B287,'Regioturnier 1'!$V$3:$W$34,2,FALSE))=TRUE,0,VLOOKUP(B287,'Regioturnier 1'!$V$3:$W$34,2,FALSE)), IF(ISNA(VLOOKUP(B287,'Regioturnier 1'!$Z$3:$AA$34,2,FALSE))=TRUE,0,VLOOKUP(B287,'Regioturnier 1'!$Z$3:$AA$34,2,FALSE)))</f>
        <v>0</v>
      </c>
      <c r="P287" s="15">
        <f>MAX(IF(ISNA(VLOOKUP(B287,'Regioturnier 2'!$B$3:$C$34,2,FALSE))=TRUE,0,VLOOKUP(B287,'Regioturnier 2'!$B$3:$C$34,2,FALSE)),IF(ISNA(VLOOKUP(B287,'Regioturnier 2'!$F$3:$G$34,2,FALSE))=TRUE,0,VLOOKUP(B287,'Regioturnier 2'!$F$3:$G$34,2,FALSE)),IF(ISNA(VLOOKUP(B287,'Regioturnier 2'!$J$3:$K$34,2,FALSE))=TRUE,0,VLOOKUP(B287,'Regioturnier 2'!$J$3:$K$34,2,FALSE)),IF(ISNA(VLOOKUP(B287,'Regioturnier 2'!$N$3:$O$34,2,FALSE))=TRUE,0,VLOOKUP(B287,'Regioturnier 2'!$N$3:$O$34,2,FALSE)),IF(ISNA(VLOOKUP(B287,'Regioturnier 2'!$R$3:$S$34,2,FALSE))=TRUE,0,VLOOKUP(B287,'Regioturnier 2'!$R$3:$S$34,2,FALSE)), IF(ISNA(VLOOKUP(B287,'Regioturnier 2'!$V$3:$W$34,2,FALSE))=TRUE,0,VLOOKUP(B287,'Regioturnier 2'!$V$3:$W$34,2,FALSE)), IF(ISNA(VLOOKUP(B287,'Regioturnier 2'!$Z$3:$AA$34,2,FALSE))=TRUE,0,VLOOKUP(B287,'Regioturnier 2'!$Z$3:$AA$34,2,FALSE)))</f>
        <v>0</v>
      </c>
      <c r="Q287" s="15">
        <f>MAX(IF(ISNA(VLOOKUP(B287,'Regioturnier 3'!$B$3:$C$34,2,FALSE))=TRUE,0,VLOOKUP(B287,'Regioturnier 3'!$B$3:$C$34,2,FALSE)),IF(ISNA(VLOOKUP(B287,'Regioturnier 3'!$F$3:$G$34,2,FALSE))=TRUE,0,VLOOKUP(B287,'Regioturnier 3'!$F$3:$G$34,2,FALSE)),IF(ISNA(VLOOKUP(B287,'Regioturnier 3'!$J$3:$K$34,2,FALSE))=TRUE,0,VLOOKUP(B287,'Regioturnier 3'!$J$3:$K$34,2,FALSE)),IF(ISNA(VLOOKUP(B287,'Regioturnier 3'!$N$3:$O$34,2,FALSE))=TRUE,0,VLOOKUP(B287,'Regioturnier 3'!$N$3:$O$34,2,FALSE)),IF(ISNA(VLOOKUP(B287,'Regioturnier 3'!$R$3:$S$34,2,FALSE))=TRUE,0,VLOOKUP(B287,'Regioturnier 3'!$R$3:$S$34,2,FALSE)), IF(ISNA(VLOOKUP(B287,'Regioturnier 3'!$V$3:$W$34,2,FALSE))=TRUE,0,VLOOKUP(B287,'Regioturnier 3'!$V$3:$W$34,2,FALSE)), IF(ISNA(VLOOKUP(B287,'Regioturnier 3'!$Z$3:$AA$34,2,FALSE))=TRUE,0,VLOOKUP(B287,'Regioturnier 3'!$Z$3:$AA$34,2,FALSE)))</f>
        <v>0</v>
      </c>
      <c r="R287" s="20">
        <f>0.5*INDEX($H287:$N287,MATCH(LARGE($H287:$N287,1),$H287:$N287,0))+0.3*INDEX($H287:$N287,MATCH(LARGE($H287:$N287,2),$H287:$N287,0))+0.2*INDEX($H287:$N287,MATCH(LARGE($H287:$N287,3),$H287:$N287,0))</f>
        <v>0</v>
      </c>
      <c r="S287" s="20">
        <f>0.6*INDEX(O287:Q287,MATCH(LARGE(O287:Q287,1),O287:Q287,0))+0.4*INDEX(O287:Q287,MATCH(LARGE(O287:Q287,2),O287:Q287,0))+0*INDEX(O287:Q287,MATCH(LARGE(O287:Q287,3),O287:Q287,0))</f>
        <v>0</v>
      </c>
      <c r="T287" s="15">
        <f>1*INDEX(R287:S287,MATCH(LARGE(R287:S287,1),R287:S287,0))+0*INDEX(R287:S287,MATCH(LARGE(R287:S287,2),R287:S287,0))</f>
        <v>0</v>
      </c>
      <c r="U287" s="21"/>
      <c r="V287" s="21"/>
      <c r="W287" s="21"/>
      <c r="X287" s="21"/>
      <c r="Y287" s="21"/>
      <c r="Z287" s="21"/>
    </row>
    <row r="288" spans="1:26" ht="12.75" customHeight="1" x14ac:dyDescent="0.3">
      <c r="A288" s="15">
        <v>287</v>
      </c>
      <c r="B288" s="16" t="s">
        <v>269</v>
      </c>
      <c r="C288" s="17"/>
      <c r="D288" s="15" t="s">
        <v>26</v>
      </c>
      <c r="E288" s="18" t="s">
        <v>23</v>
      </c>
      <c r="F288" s="15"/>
      <c r="G288" s="22"/>
      <c r="H288" s="15">
        <f>MAX(IF(ISNA(VLOOKUP(B288,'WBV 1'!$B$3:$C$34,2,FALSE))=TRUE,0,VLOOKUP(B288,'WBV 1'!$B$3:$C$34,2,FALSE)),IF(ISNA(VLOOKUP(B288,'WBV 1'!$F$3:$G$34,2,FALSE))=TRUE,0,VLOOKUP(B288,'WBV 1'!$F$3:$G$34,2,FALSE)),IF(ISNA(VLOOKUP(B288,'WBV 1'!$J$3:$K$34,2,FALSE))=TRUE,0,VLOOKUP(B288,'WBV 1'!$J$3:$K$34,2,FALSE)),IF(ISNA(VLOOKUP(B288,'WBV 1'!$N$3:$O$34,2,FALSE))=TRUE,0,VLOOKUP(B288,'WBV 1'!$N$3:$O$34,2,FALSE)))</f>
        <v>0</v>
      </c>
      <c r="I288" s="15">
        <f>MAX(IF(ISNA(VLOOKUP(B288,'WBV 2'!$B$3:$C$34,2,FALSE))=TRUE,0,VLOOKUP(B288,'WBV 2'!$B$3:$C$34,2,FALSE)),IF(ISNA(VLOOKUP(B288,'WBV 2'!$F$3:$G$34,2,FALSE))=TRUE,0,VLOOKUP(B288,'WBV 2'!$F$3:$G$34,2,FALSE)),IF(ISNA(VLOOKUP(B288,'WBV 2'!$J$3:$K$34,2,FALSE))=TRUE,0,VLOOKUP(B288,'WBV 2'!$J$3:$K$34,2,FALSE)),IF(ISNA(VLOOKUP(B288,'WBV 2'!$N$3:$O$34,2,FALSE))=TRUE,0,VLOOKUP(B288,'WBV 2'!$N$3:$O$34,2,FALSE)))</f>
        <v>0</v>
      </c>
      <c r="J288" s="15">
        <f>MAX(IF(ISNA(VLOOKUP(B288,'WBV 3'!$B$3:$C$34,2,FALSE))=TRUE,0,VLOOKUP(B288,'WBV 3'!$B$3:$C$34,2,FALSE)),IF(ISNA(VLOOKUP(B288,'WBV 3'!$F$3:$G$34,2,FALSE))=TRUE,0,VLOOKUP(B288,'WBV 3'!$F$3:$G$34,2,FALSE)),IF(ISNA(VLOOKUP(B288,'WBV 3'!$J$3:$K$34,2,FALSE))=TRUE,0,VLOOKUP(B288,'WBV 3'!$J$3:$K$34,2,FALSE)),IF(ISNA(VLOOKUP(B288,'WBV 3'!$N$3:$O$34,2,FALSE))=TRUE,0,VLOOKUP(B288,'WBV 3'!$N$3:$O$34,2,FALSE)))</f>
        <v>0</v>
      </c>
      <c r="K288" s="15">
        <f>MAX(IF(ISNA(VLOOKUP(B288,'WBV 4'!$B$3:$C$34,2,FALSE))=TRUE,0,VLOOKUP(B288,'WBV 4'!$B$3:$C$34,2,FALSE)),IF(ISNA(VLOOKUP(B288,'WBV 4'!$F$3:$G$34,2,FALSE))=TRUE,0,VLOOKUP(B288,'WBV 4'!$F$3:$G$34,2,FALSE)),IF(ISNA(VLOOKUP(B288,'WBV 4'!$J$3:$K$34,2,FALSE))=TRUE,0,VLOOKUP(B288,'WBV 4'!$J$3:$K$34,2,FALSE)),IF(ISNA(VLOOKUP(B288,'WBV 4'!$N$3:$O$34,2,FALSE))=TRUE,0,VLOOKUP(B288,'WBV 4'!$N$3:$O$34,2,FALSE)))</f>
        <v>0</v>
      </c>
      <c r="L288" s="19">
        <f>MAX(IF(ISNA(VLOOKUP(B288,'NÖBV 1'!$B$3:$C$34,2,FALSE))=TRUE,0,VLOOKUP(B288,'NÖBV 1'!$B$3:$C$34,2,FALSE)),IF(ISNA(VLOOKUP(B288,'NÖBV 1'!$F$3:$G$34,2,FALSE))=TRUE,0,VLOOKUP(B288,'NÖBV 1'!$F$3:$G$34,2,FALSE)),IF(ISNA(VLOOKUP(B288,'NÖBV 1'!$J$3:$K$34,2,FALSE))=TRUE,0,VLOOKUP(B288,'NÖBV 1'!$J$3:$K$34,2,FALSE)),IF(ISNA(VLOOKUP(B288,'NÖBV 1'!$N$3:$O$34,2,FALSE))=TRUE,0,VLOOKUP(B288,'NÖBV 1'!$N$3:$O$34,2,FALSE)))</f>
        <v>0</v>
      </c>
      <c r="M288" s="19">
        <f>MAX(IF(ISNA(VLOOKUP(B288,'NÖBV 2'!$B$3:$C$34,2,FALSE))=TRUE,0,VLOOKUP(B288,'NÖBV 2'!$B$3:$C$34,2,FALSE)),IF(ISNA(VLOOKUP(B288,'NÖBV 2'!$F$3:$G$34,2,FALSE))=TRUE,0,VLOOKUP(B288,'NÖBV 2'!$F$3:$G$34,2,FALSE)),IF(ISNA(VLOOKUP(B288,'NÖBV 2'!$J$3:$K$34,2,FALSE))=TRUE,0,VLOOKUP(B288,'NÖBV 2'!$J$3:$K$34,2,FALSE)),IF(ISNA(VLOOKUP(B288,'NÖBV 2'!$N$3:$O$34,2,FALSE))=TRUE,0,VLOOKUP(B288,'NÖBV 2'!$N$3:$O$34,2,FALSE)))</f>
        <v>0</v>
      </c>
      <c r="N288" s="19">
        <f>MAX(IF(ISNA(VLOOKUP(B288,'NÖBV 3'!$B$3:$C$34,2,FALSE))=TRUE,0,VLOOKUP(B288,'NÖBV 3'!$B$3:$C$34,2,FALSE)),IF(ISNA(VLOOKUP(B288,'NÖBV 3'!$F$3:$G$34,2,FALSE))=TRUE,0,VLOOKUP(B288,'NÖBV 3'!$F$3:$G$34,2,FALSE)),IF(ISNA(VLOOKUP(B288,'NÖBV 3'!$J$3:$K$34,2,FALSE))=TRUE,0,VLOOKUP(B288,'NÖBV 3'!$J$3:$K$34,2,FALSE)),IF(ISNA(VLOOKUP(B288,'NÖBV 3'!$N$3:$O$34,2,FALSE))=TRUE,0,VLOOKUP(B288,'NÖBV 3'!$N$3:$O$34,2,FALSE)))</f>
        <v>0</v>
      </c>
      <c r="O288" s="15">
        <f>MAX(IF(ISNA(VLOOKUP(B288,'Regioturnier 1'!$B$3:$C$34,2,FALSE))=TRUE,0,VLOOKUP(B288,'Regioturnier 1'!$B$3:$C$34,2,FALSE)),IF(ISNA(VLOOKUP(B288,'Regioturnier 1'!$F$3:$G$34,2,FALSE))=TRUE,0,VLOOKUP(B288,'Regioturnier 1'!$F$3:$G$34,2,FALSE)),IF(ISNA(VLOOKUP(B288,'Regioturnier 1'!$J$3:$K$34,2,FALSE))=TRUE,0,VLOOKUP(B288,'Regioturnier 1'!$J$3:$K$34,2,FALSE)),IF(ISNA(VLOOKUP(B288,'Regioturnier 1'!$N$3:$O$34,2,FALSE))=TRUE,0,VLOOKUP(B288,'Regioturnier 1'!$N$3:$O$34,2,FALSE)),IF(ISNA(VLOOKUP(B288,'Regioturnier 1'!$R$3:$S$34,2,FALSE))=TRUE,0,VLOOKUP(B288,'Regioturnier 1'!$R$3:$S$34,2,FALSE)), IF(ISNA(VLOOKUP(B288,'Regioturnier 1'!$V$3:$W$34,2,FALSE))=TRUE,0,VLOOKUP(B288,'Regioturnier 1'!$V$3:$W$34,2,FALSE)), IF(ISNA(VLOOKUP(B288,'Regioturnier 1'!$Z$3:$AA$34,2,FALSE))=TRUE,0,VLOOKUP(B288,'Regioturnier 1'!$Z$3:$AA$34,2,FALSE)))</f>
        <v>0</v>
      </c>
      <c r="P288" s="15">
        <f>MAX(IF(ISNA(VLOOKUP(B288,'Regioturnier 2'!$B$3:$C$34,2,FALSE))=TRUE,0,VLOOKUP(B288,'Regioturnier 2'!$B$3:$C$34,2,FALSE)),IF(ISNA(VLOOKUP(B288,'Regioturnier 2'!$F$3:$G$34,2,FALSE))=TRUE,0,VLOOKUP(B288,'Regioturnier 2'!$F$3:$G$34,2,FALSE)),IF(ISNA(VLOOKUP(B288,'Regioturnier 2'!$J$3:$K$34,2,FALSE))=TRUE,0,VLOOKUP(B288,'Regioturnier 2'!$J$3:$K$34,2,FALSE)),IF(ISNA(VLOOKUP(B288,'Regioturnier 2'!$N$3:$O$34,2,FALSE))=TRUE,0,VLOOKUP(B288,'Regioturnier 2'!$N$3:$O$34,2,FALSE)),IF(ISNA(VLOOKUP(B288,'Regioturnier 2'!$R$3:$S$34,2,FALSE))=TRUE,0,VLOOKUP(B288,'Regioturnier 2'!$R$3:$S$34,2,FALSE)), IF(ISNA(VLOOKUP(B288,'Regioturnier 2'!$V$3:$W$34,2,FALSE))=TRUE,0,VLOOKUP(B288,'Regioturnier 2'!$V$3:$W$34,2,FALSE)), IF(ISNA(VLOOKUP(B288,'Regioturnier 2'!$Z$3:$AA$34,2,FALSE))=TRUE,0,VLOOKUP(B288,'Regioturnier 2'!$Z$3:$AA$34,2,FALSE)))</f>
        <v>0</v>
      </c>
      <c r="Q288" s="15">
        <f>MAX(IF(ISNA(VLOOKUP(B288,'Regioturnier 3'!$B$3:$C$34,2,FALSE))=TRUE,0,VLOOKUP(B288,'Regioturnier 3'!$B$3:$C$34,2,FALSE)),IF(ISNA(VLOOKUP(B288,'Regioturnier 3'!$F$3:$G$34,2,FALSE))=TRUE,0,VLOOKUP(B288,'Regioturnier 3'!$F$3:$G$34,2,FALSE)),IF(ISNA(VLOOKUP(B288,'Regioturnier 3'!$J$3:$K$34,2,FALSE))=TRUE,0,VLOOKUP(B288,'Regioturnier 3'!$J$3:$K$34,2,FALSE)),IF(ISNA(VLOOKUP(B288,'Regioturnier 3'!$N$3:$O$34,2,FALSE))=TRUE,0,VLOOKUP(B288,'Regioturnier 3'!$N$3:$O$34,2,FALSE)),IF(ISNA(VLOOKUP(B288,'Regioturnier 3'!$R$3:$S$34,2,FALSE))=TRUE,0,VLOOKUP(B288,'Regioturnier 3'!$R$3:$S$34,2,FALSE)), IF(ISNA(VLOOKUP(B288,'Regioturnier 3'!$V$3:$W$34,2,FALSE))=TRUE,0,VLOOKUP(B288,'Regioturnier 3'!$V$3:$W$34,2,FALSE)), IF(ISNA(VLOOKUP(B288,'Regioturnier 3'!$Z$3:$AA$34,2,FALSE))=TRUE,0,VLOOKUP(B288,'Regioturnier 3'!$Z$3:$AA$34,2,FALSE)))</f>
        <v>0</v>
      </c>
      <c r="R288" s="20">
        <f>0.5*INDEX($H288:$N288,MATCH(LARGE($H288:$N288,1),$H288:$N288,0))+0.3*INDEX($H288:$N288,MATCH(LARGE($H288:$N288,2),$H288:$N288,0))+0.2*INDEX($H288:$N288,MATCH(LARGE($H288:$N288,3),$H288:$N288,0))</f>
        <v>0</v>
      </c>
      <c r="S288" s="20">
        <f>0.6*INDEX(O288:Q288,MATCH(LARGE(O288:Q288,1),O288:Q288,0))+0.4*INDEX(O288:Q288,MATCH(LARGE(O288:Q288,2),O288:Q288,0))+0*INDEX(O288:Q288,MATCH(LARGE(O288:Q288,3),O288:Q288,0))</f>
        <v>0</v>
      </c>
      <c r="T288" s="15">
        <f>1*INDEX(R288:S288,MATCH(LARGE(R288:S288,1),R288:S288,0))+0*INDEX(R288:S288,MATCH(LARGE(R288:S288,2),R288:S288,0))</f>
        <v>0</v>
      </c>
      <c r="U288" s="21"/>
      <c r="V288" s="21"/>
      <c r="W288" s="21"/>
      <c r="X288" s="21"/>
      <c r="Y288" s="21"/>
      <c r="Z288" s="21"/>
    </row>
    <row r="289" spans="1:26" ht="12.75" customHeight="1" x14ac:dyDescent="0.3">
      <c r="A289" s="15">
        <v>288</v>
      </c>
      <c r="B289" s="16" t="s">
        <v>270</v>
      </c>
      <c r="C289" s="17" t="s">
        <v>31</v>
      </c>
      <c r="D289" s="15" t="s">
        <v>26</v>
      </c>
      <c r="E289" s="18" t="s">
        <v>23</v>
      </c>
      <c r="F289" s="15">
        <v>109549</v>
      </c>
      <c r="G289" s="22">
        <v>2008</v>
      </c>
      <c r="H289" s="15">
        <f>MAX(IF(ISNA(VLOOKUP(B289,'WBV 1'!$B$3:$C$34,2,FALSE))=TRUE,0,VLOOKUP(B289,'WBV 1'!$B$3:$C$34,2,FALSE)),IF(ISNA(VLOOKUP(B289,'WBV 1'!$F$3:$G$34,2,FALSE))=TRUE,0,VLOOKUP(B289,'WBV 1'!$F$3:$G$34,2,FALSE)),IF(ISNA(VLOOKUP(B289,'WBV 1'!$J$3:$K$34,2,FALSE))=TRUE,0,VLOOKUP(B289,'WBV 1'!$J$3:$K$34,2,FALSE)),IF(ISNA(VLOOKUP(B289,'WBV 1'!$N$3:$O$34,2,FALSE))=TRUE,0,VLOOKUP(B289,'WBV 1'!$N$3:$O$34,2,FALSE)))</f>
        <v>0</v>
      </c>
      <c r="I289" s="15">
        <f>MAX(IF(ISNA(VLOOKUP(B289,'WBV 2'!$B$3:$C$34,2,FALSE))=TRUE,0,VLOOKUP(B289,'WBV 2'!$B$3:$C$34,2,FALSE)),IF(ISNA(VLOOKUP(B289,'WBV 2'!$F$3:$G$34,2,FALSE))=TRUE,0,VLOOKUP(B289,'WBV 2'!$F$3:$G$34,2,FALSE)),IF(ISNA(VLOOKUP(B289,'WBV 2'!$J$3:$K$34,2,FALSE))=TRUE,0,VLOOKUP(B289,'WBV 2'!$J$3:$K$34,2,FALSE)),IF(ISNA(VLOOKUP(B289,'WBV 2'!$N$3:$O$34,2,FALSE))=TRUE,0,VLOOKUP(B289,'WBV 2'!$N$3:$O$34,2,FALSE)))</f>
        <v>0</v>
      </c>
      <c r="J289" s="15">
        <f>MAX(IF(ISNA(VLOOKUP(B289,'WBV 3'!$B$3:$C$34,2,FALSE))=TRUE,0,VLOOKUP(B289,'WBV 3'!$B$3:$C$34,2,FALSE)),IF(ISNA(VLOOKUP(B289,'WBV 3'!$F$3:$G$34,2,FALSE))=TRUE,0,VLOOKUP(B289,'WBV 3'!$F$3:$G$34,2,FALSE)),IF(ISNA(VLOOKUP(B289,'WBV 3'!$J$3:$K$34,2,FALSE))=TRUE,0,VLOOKUP(B289,'WBV 3'!$J$3:$K$34,2,FALSE)),IF(ISNA(VLOOKUP(B289,'WBV 3'!$N$3:$O$34,2,FALSE))=TRUE,0,VLOOKUP(B289,'WBV 3'!$N$3:$O$34,2,FALSE)))</f>
        <v>0</v>
      </c>
      <c r="K289" s="15">
        <f>MAX(IF(ISNA(VLOOKUP(B289,'WBV 4'!$B$3:$C$34,2,FALSE))=TRUE,0,VLOOKUP(B289,'WBV 4'!$B$3:$C$34,2,FALSE)),IF(ISNA(VLOOKUP(B289,'WBV 4'!$F$3:$G$34,2,FALSE))=TRUE,0,VLOOKUP(B289,'WBV 4'!$F$3:$G$34,2,FALSE)),IF(ISNA(VLOOKUP(B289,'WBV 4'!$J$3:$K$34,2,FALSE))=TRUE,0,VLOOKUP(B289,'WBV 4'!$J$3:$K$34,2,FALSE)),IF(ISNA(VLOOKUP(B289,'WBV 4'!$N$3:$O$34,2,FALSE))=TRUE,0,VLOOKUP(B289,'WBV 4'!$N$3:$O$34,2,FALSE)))</f>
        <v>0</v>
      </c>
      <c r="L289" s="19">
        <f>MAX(IF(ISNA(VLOOKUP(B289,'NÖBV 1'!$B$3:$C$34,2,FALSE))=TRUE,0,VLOOKUP(B289,'NÖBV 1'!$B$3:$C$34,2,FALSE)),IF(ISNA(VLOOKUP(B289,'NÖBV 1'!$F$3:$G$34,2,FALSE))=TRUE,0,VLOOKUP(B289,'NÖBV 1'!$F$3:$G$34,2,FALSE)),IF(ISNA(VLOOKUP(B289,'NÖBV 1'!$J$3:$K$34,2,FALSE))=TRUE,0,VLOOKUP(B289,'NÖBV 1'!$J$3:$K$34,2,FALSE)),IF(ISNA(VLOOKUP(B289,'NÖBV 1'!$N$3:$O$34,2,FALSE))=TRUE,0,VLOOKUP(B289,'NÖBV 1'!$N$3:$O$34,2,FALSE)))</f>
        <v>0</v>
      </c>
      <c r="M289" s="19">
        <f>MAX(IF(ISNA(VLOOKUP(B289,'NÖBV 2'!$B$3:$C$34,2,FALSE))=TRUE,0,VLOOKUP(B289,'NÖBV 2'!$B$3:$C$34,2,FALSE)),IF(ISNA(VLOOKUP(B289,'NÖBV 2'!$F$3:$G$34,2,FALSE))=TRUE,0,VLOOKUP(B289,'NÖBV 2'!$F$3:$G$34,2,FALSE)),IF(ISNA(VLOOKUP(B289,'NÖBV 2'!$J$3:$K$34,2,FALSE))=TRUE,0,VLOOKUP(B289,'NÖBV 2'!$J$3:$K$34,2,FALSE)),IF(ISNA(VLOOKUP(B289,'NÖBV 2'!$N$3:$O$34,2,FALSE))=TRUE,0,VLOOKUP(B289,'NÖBV 2'!$N$3:$O$34,2,FALSE)))</f>
        <v>0</v>
      </c>
      <c r="N289" s="19">
        <f>MAX(IF(ISNA(VLOOKUP(B289,'NÖBV 3'!$B$3:$C$34,2,FALSE))=TRUE,0,VLOOKUP(B289,'NÖBV 3'!$B$3:$C$34,2,FALSE)),IF(ISNA(VLOOKUP(B289,'NÖBV 3'!$F$3:$G$34,2,FALSE))=TRUE,0,VLOOKUP(B289,'NÖBV 3'!$F$3:$G$34,2,FALSE)),IF(ISNA(VLOOKUP(B289,'NÖBV 3'!$J$3:$K$34,2,FALSE))=TRUE,0,VLOOKUP(B289,'NÖBV 3'!$J$3:$K$34,2,FALSE)),IF(ISNA(VLOOKUP(B289,'NÖBV 3'!$N$3:$O$34,2,FALSE))=TRUE,0,VLOOKUP(B289,'NÖBV 3'!$N$3:$O$34,2,FALSE)))</f>
        <v>0</v>
      </c>
      <c r="O289" s="15">
        <f>MAX(IF(ISNA(VLOOKUP(B289,'Regioturnier 1'!$B$3:$C$34,2,FALSE))=TRUE,0,VLOOKUP(B289,'Regioturnier 1'!$B$3:$C$34,2,FALSE)),IF(ISNA(VLOOKUP(B289,'Regioturnier 1'!$F$3:$G$34,2,FALSE))=TRUE,0,VLOOKUP(B289,'Regioturnier 1'!$F$3:$G$34,2,FALSE)),IF(ISNA(VLOOKUP(B289,'Regioturnier 1'!$J$3:$K$34,2,FALSE))=TRUE,0,VLOOKUP(B289,'Regioturnier 1'!$J$3:$K$34,2,FALSE)),IF(ISNA(VLOOKUP(B289,'Regioturnier 1'!$N$3:$O$34,2,FALSE))=TRUE,0,VLOOKUP(B289,'Regioturnier 1'!$N$3:$O$34,2,FALSE)),IF(ISNA(VLOOKUP(B289,'Regioturnier 1'!$R$3:$S$34,2,FALSE))=TRUE,0,VLOOKUP(B289,'Regioturnier 1'!$R$3:$S$34,2,FALSE)), IF(ISNA(VLOOKUP(B289,'Regioturnier 1'!$V$3:$W$34,2,FALSE))=TRUE,0,VLOOKUP(B289,'Regioturnier 1'!$V$3:$W$34,2,FALSE)), IF(ISNA(VLOOKUP(B289,'Regioturnier 1'!$Z$3:$AA$34,2,FALSE))=TRUE,0,VLOOKUP(B289,'Regioturnier 1'!$Z$3:$AA$34,2,FALSE)))</f>
        <v>0</v>
      </c>
      <c r="P289" s="15">
        <f>MAX(IF(ISNA(VLOOKUP(B289,'Regioturnier 2'!$B$3:$C$34,2,FALSE))=TRUE,0,VLOOKUP(B289,'Regioturnier 2'!$B$3:$C$34,2,FALSE)),IF(ISNA(VLOOKUP(B289,'Regioturnier 2'!$F$3:$G$34,2,FALSE))=TRUE,0,VLOOKUP(B289,'Regioturnier 2'!$F$3:$G$34,2,FALSE)),IF(ISNA(VLOOKUP(B289,'Regioturnier 2'!$J$3:$K$34,2,FALSE))=TRUE,0,VLOOKUP(B289,'Regioturnier 2'!$J$3:$K$34,2,FALSE)),IF(ISNA(VLOOKUP(B289,'Regioturnier 2'!$N$3:$O$34,2,FALSE))=TRUE,0,VLOOKUP(B289,'Regioturnier 2'!$N$3:$O$34,2,FALSE)),IF(ISNA(VLOOKUP(B289,'Regioturnier 2'!$R$3:$S$34,2,FALSE))=TRUE,0,VLOOKUP(B289,'Regioturnier 2'!$R$3:$S$34,2,FALSE)), IF(ISNA(VLOOKUP(B289,'Regioturnier 2'!$V$3:$W$34,2,FALSE))=TRUE,0,VLOOKUP(B289,'Regioturnier 2'!$V$3:$W$34,2,FALSE)), IF(ISNA(VLOOKUP(B289,'Regioturnier 2'!$Z$3:$AA$34,2,FALSE))=TRUE,0,VLOOKUP(B289,'Regioturnier 2'!$Z$3:$AA$34,2,FALSE)))</f>
        <v>0</v>
      </c>
      <c r="Q289" s="15">
        <f>MAX(IF(ISNA(VLOOKUP(B289,'Regioturnier 3'!$B$3:$C$34,2,FALSE))=TRUE,0,VLOOKUP(B289,'Regioturnier 3'!$B$3:$C$34,2,FALSE)),IF(ISNA(VLOOKUP(B289,'Regioturnier 3'!$F$3:$G$34,2,FALSE))=TRUE,0,VLOOKUP(B289,'Regioturnier 3'!$F$3:$G$34,2,FALSE)),IF(ISNA(VLOOKUP(B289,'Regioturnier 3'!$J$3:$K$34,2,FALSE))=TRUE,0,VLOOKUP(B289,'Regioturnier 3'!$J$3:$K$34,2,FALSE)),IF(ISNA(VLOOKUP(B289,'Regioturnier 3'!$N$3:$O$34,2,FALSE))=TRUE,0,VLOOKUP(B289,'Regioturnier 3'!$N$3:$O$34,2,FALSE)),IF(ISNA(VLOOKUP(B289,'Regioturnier 3'!$R$3:$S$34,2,FALSE))=TRUE,0,VLOOKUP(B289,'Regioturnier 3'!$R$3:$S$34,2,FALSE)), IF(ISNA(VLOOKUP(B289,'Regioturnier 3'!$V$3:$W$34,2,FALSE))=TRUE,0,VLOOKUP(B289,'Regioturnier 3'!$V$3:$W$34,2,FALSE)), IF(ISNA(VLOOKUP(B289,'Regioturnier 3'!$Z$3:$AA$34,2,FALSE))=TRUE,0,VLOOKUP(B289,'Regioturnier 3'!$Z$3:$AA$34,2,FALSE)))</f>
        <v>0</v>
      </c>
      <c r="R289" s="20">
        <f>0.5*INDEX($H289:$N289,MATCH(LARGE($H289:$N289,1),$H289:$N289,0))+0.3*INDEX($H289:$N289,MATCH(LARGE($H289:$N289,2),$H289:$N289,0))+0.2*INDEX($H289:$N289,MATCH(LARGE($H289:$N289,3),$H289:$N289,0))</f>
        <v>0</v>
      </c>
      <c r="S289" s="20">
        <f>0.6*INDEX(O289:Q289,MATCH(LARGE(O289:Q289,1),O289:Q289,0))+0.4*INDEX(O289:Q289,MATCH(LARGE(O289:Q289,2),O289:Q289,0))+0*INDEX(O289:Q289,MATCH(LARGE(O289:Q289,3),O289:Q289,0))</f>
        <v>0</v>
      </c>
      <c r="T289" s="15">
        <f>1*INDEX(R289:S289,MATCH(LARGE(R289:S289,1),R289:S289,0))+0*INDEX(R289:S289,MATCH(LARGE(R289:S289,2),R289:S289,0))</f>
        <v>0</v>
      </c>
      <c r="U289" s="21"/>
      <c r="V289" s="21"/>
      <c r="W289" s="21"/>
      <c r="X289" s="21"/>
      <c r="Y289" s="21"/>
      <c r="Z289" s="21"/>
    </row>
    <row r="290" spans="1:26" ht="12.75" customHeight="1" x14ac:dyDescent="0.3">
      <c r="A290" s="15">
        <v>289</v>
      </c>
      <c r="B290" s="16" t="s">
        <v>271</v>
      </c>
      <c r="C290" s="17" t="s">
        <v>267</v>
      </c>
      <c r="D290" s="15" t="s">
        <v>268</v>
      </c>
      <c r="E290" s="18" t="s">
        <v>23</v>
      </c>
      <c r="F290" s="15"/>
      <c r="G290" s="22"/>
      <c r="H290" s="15">
        <f>MAX(IF(ISNA(VLOOKUP(B290,'WBV 1'!$B$3:$C$34,2,FALSE))=TRUE,0,VLOOKUP(B290,'WBV 1'!$B$3:$C$34,2,FALSE)),IF(ISNA(VLOOKUP(B290,'WBV 1'!$F$3:$G$34,2,FALSE))=TRUE,0,VLOOKUP(B290,'WBV 1'!$F$3:$G$34,2,FALSE)),IF(ISNA(VLOOKUP(B290,'WBV 1'!$J$3:$K$34,2,FALSE))=TRUE,0,VLOOKUP(B290,'WBV 1'!$J$3:$K$34,2,FALSE)),IF(ISNA(VLOOKUP(B290,'WBV 1'!$N$3:$O$34,2,FALSE))=TRUE,0,VLOOKUP(B290,'WBV 1'!$N$3:$O$34,2,FALSE)))</f>
        <v>0</v>
      </c>
      <c r="I290" s="15">
        <f>MAX(IF(ISNA(VLOOKUP(B290,'WBV 2'!$B$3:$C$34,2,FALSE))=TRUE,0,VLOOKUP(B290,'WBV 2'!$B$3:$C$34,2,FALSE)),IF(ISNA(VLOOKUP(B290,'WBV 2'!$F$3:$G$34,2,FALSE))=TRUE,0,VLOOKUP(B290,'WBV 2'!$F$3:$G$34,2,FALSE)),IF(ISNA(VLOOKUP(B290,'WBV 2'!$J$3:$K$34,2,FALSE))=TRUE,0,VLOOKUP(B290,'WBV 2'!$J$3:$K$34,2,FALSE)),IF(ISNA(VLOOKUP(B290,'WBV 2'!$N$3:$O$34,2,FALSE))=TRUE,0,VLOOKUP(B290,'WBV 2'!$N$3:$O$34,2,FALSE)))</f>
        <v>0</v>
      </c>
      <c r="J290" s="15">
        <f>MAX(IF(ISNA(VLOOKUP(B290,'WBV 3'!$B$3:$C$34,2,FALSE))=TRUE,0,VLOOKUP(B290,'WBV 3'!$B$3:$C$34,2,FALSE)),IF(ISNA(VLOOKUP(B290,'WBV 3'!$F$3:$G$34,2,FALSE))=TRUE,0,VLOOKUP(B290,'WBV 3'!$F$3:$G$34,2,FALSE)),IF(ISNA(VLOOKUP(B290,'WBV 3'!$J$3:$K$34,2,FALSE))=TRUE,0,VLOOKUP(B290,'WBV 3'!$J$3:$K$34,2,FALSE)),IF(ISNA(VLOOKUP(B290,'WBV 3'!$N$3:$O$34,2,FALSE))=TRUE,0,VLOOKUP(B290,'WBV 3'!$N$3:$O$34,2,FALSE)))</f>
        <v>0</v>
      </c>
      <c r="K290" s="15">
        <f>MAX(IF(ISNA(VLOOKUP(B290,'WBV 4'!$B$3:$C$34,2,FALSE))=TRUE,0,VLOOKUP(B290,'WBV 4'!$B$3:$C$34,2,FALSE)),IF(ISNA(VLOOKUP(B290,'WBV 4'!$F$3:$G$34,2,FALSE))=TRUE,0,VLOOKUP(B290,'WBV 4'!$F$3:$G$34,2,FALSE)),IF(ISNA(VLOOKUP(B290,'WBV 4'!$J$3:$K$34,2,FALSE))=TRUE,0,VLOOKUP(B290,'WBV 4'!$J$3:$K$34,2,FALSE)),IF(ISNA(VLOOKUP(B290,'WBV 4'!$N$3:$O$34,2,FALSE))=TRUE,0,VLOOKUP(B290,'WBV 4'!$N$3:$O$34,2,FALSE)))</f>
        <v>0</v>
      </c>
      <c r="L290" s="19">
        <f>MAX(IF(ISNA(VLOOKUP(B290,'NÖBV 1'!$B$3:$C$34,2,FALSE))=TRUE,0,VLOOKUP(B290,'NÖBV 1'!$B$3:$C$34,2,FALSE)),IF(ISNA(VLOOKUP(B290,'NÖBV 1'!$F$3:$G$34,2,FALSE))=TRUE,0,VLOOKUP(B290,'NÖBV 1'!$F$3:$G$34,2,FALSE)),IF(ISNA(VLOOKUP(B290,'NÖBV 1'!$J$3:$K$34,2,FALSE))=TRUE,0,VLOOKUP(B290,'NÖBV 1'!$J$3:$K$34,2,FALSE)),IF(ISNA(VLOOKUP(B290,'NÖBV 1'!$N$3:$O$34,2,FALSE))=TRUE,0,VLOOKUP(B290,'NÖBV 1'!$N$3:$O$34,2,FALSE)))</f>
        <v>0</v>
      </c>
      <c r="M290" s="19">
        <f>MAX(IF(ISNA(VLOOKUP(B290,'NÖBV 2'!$B$3:$C$34,2,FALSE))=TRUE,0,VLOOKUP(B290,'NÖBV 2'!$B$3:$C$34,2,FALSE)),IF(ISNA(VLOOKUP(B290,'NÖBV 2'!$F$3:$G$34,2,FALSE))=TRUE,0,VLOOKUP(B290,'NÖBV 2'!$F$3:$G$34,2,FALSE)),IF(ISNA(VLOOKUP(B290,'NÖBV 2'!$J$3:$K$34,2,FALSE))=TRUE,0,VLOOKUP(B290,'NÖBV 2'!$J$3:$K$34,2,FALSE)),IF(ISNA(VLOOKUP(B290,'NÖBV 2'!$N$3:$O$34,2,FALSE))=TRUE,0,VLOOKUP(B290,'NÖBV 2'!$N$3:$O$34,2,FALSE)))</f>
        <v>0</v>
      </c>
      <c r="N290" s="19">
        <f>MAX(IF(ISNA(VLOOKUP(B290,'NÖBV 3'!$B$3:$C$34,2,FALSE))=TRUE,0,VLOOKUP(B290,'NÖBV 3'!$B$3:$C$34,2,FALSE)),IF(ISNA(VLOOKUP(B290,'NÖBV 3'!$F$3:$G$34,2,FALSE))=TRUE,0,VLOOKUP(B290,'NÖBV 3'!$F$3:$G$34,2,FALSE)),IF(ISNA(VLOOKUP(B290,'NÖBV 3'!$J$3:$K$34,2,FALSE))=TRUE,0,VLOOKUP(B290,'NÖBV 3'!$J$3:$K$34,2,FALSE)),IF(ISNA(VLOOKUP(B290,'NÖBV 3'!$N$3:$O$34,2,FALSE))=TRUE,0,VLOOKUP(B290,'NÖBV 3'!$N$3:$O$34,2,FALSE)))</f>
        <v>0</v>
      </c>
      <c r="O290" s="15">
        <f>MAX(IF(ISNA(VLOOKUP(B290,'Regioturnier 1'!$B$3:$C$34,2,FALSE))=TRUE,0,VLOOKUP(B290,'Regioturnier 1'!$B$3:$C$34,2,FALSE)),IF(ISNA(VLOOKUP(B290,'Regioturnier 1'!$F$3:$G$34,2,FALSE))=TRUE,0,VLOOKUP(B290,'Regioturnier 1'!$F$3:$G$34,2,FALSE)),IF(ISNA(VLOOKUP(B290,'Regioturnier 1'!$J$3:$K$34,2,FALSE))=TRUE,0,VLOOKUP(B290,'Regioturnier 1'!$J$3:$K$34,2,FALSE)),IF(ISNA(VLOOKUP(B290,'Regioturnier 1'!$N$3:$O$34,2,FALSE))=TRUE,0,VLOOKUP(B290,'Regioturnier 1'!$N$3:$O$34,2,FALSE)),IF(ISNA(VLOOKUP(B290,'Regioturnier 1'!$R$3:$S$34,2,FALSE))=TRUE,0,VLOOKUP(B290,'Regioturnier 1'!$R$3:$S$34,2,FALSE)), IF(ISNA(VLOOKUP(B290,'Regioturnier 1'!$V$3:$W$34,2,FALSE))=TRUE,0,VLOOKUP(B290,'Regioturnier 1'!$V$3:$W$34,2,FALSE)), IF(ISNA(VLOOKUP(B290,'Regioturnier 1'!$Z$3:$AA$34,2,FALSE))=TRUE,0,VLOOKUP(B290,'Regioturnier 1'!$Z$3:$AA$34,2,FALSE)))</f>
        <v>0</v>
      </c>
      <c r="P290" s="15">
        <f>MAX(IF(ISNA(VLOOKUP(B290,'Regioturnier 2'!$B$3:$C$34,2,FALSE))=TRUE,0,VLOOKUP(B290,'Regioturnier 2'!$B$3:$C$34,2,FALSE)),IF(ISNA(VLOOKUP(B290,'Regioturnier 2'!$F$3:$G$34,2,FALSE))=TRUE,0,VLOOKUP(B290,'Regioturnier 2'!$F$3:$G$34,2,FALSE)),IF(ISNA(VLOOKUP(B290,'Regioturnier 2'!$J$3:$K$34,2,FALSE))=TRUE,0,VLOOKUP(B290,'Regioturnier 2'!$J$3:$K$34,2,FALSE)),IF(ISNA(VLOOKUP(B290,'Regioturnier 2'!$N$3:$O$34,2,FALSE))=TRUE,0,VLOOKUP(B290,'Regioturnier 2'!$N$3:$O$34,2,FALSE)),IF(ISNA(VLOOKUP(B290,'Regioturnier 2'!$R$3:$S$34,2,FALSE))=TRUE,0,VLOOKUP(B290,'Regioturnier 2'!$R$3:$S$34,2,FALSE)), IF(ISNA(VLOOKUP(B290,'Regioturnier 2'!$V$3:$W$34,2,FALSE))=TRUE,0,VLOOKUP(B290,'Regioturnier 2'!$V$3:$W$34,2,FALSE)), IF(ISNA(VLOOKUP(B290,'Regioturnier 2'!$Z$3:$AA$34,2,FALSE))=TRUE,0,VLOOKUP(B290,'Regioturnier 2'!$Z$3:$AA$34,2,FALSE)))</f>
        <v>0</v>
      </c>
      <c r="Q290" s="15">
        <f>MAX(IF(ISNA(VLOOKUP(B290,'Regioturnier 3'!$B$3:$C$34,2,FALSE))=TRUE,0,VLOOKUP(B290,'Regioturnier 3'!$B$3:$C$34,2,FALSE)),IF(ISNA(VLOOKUP(B290,'Regioturnier 3'!$F$3:$G$34,2,FALSE))=TRUE,0,VLOOKUP(B290,'Regioturnier 3'!$F$3:$G$34,2,FALSE)),IF(ISNA(VLOOKUP(B290,'Regioturnier 3'!$J$3:$K$34,2,FALSE))=TRUE,0,VLOOKUP(B290,'Regioturnier 3'!$J$3:$K$34,2,FALSE)),IF(ISNA(VLOOKUP(B290,'Regioturnier 3'!$N$3:$O$34,2,FALSE))=TRUE,0,VLOOKUP(B290,'Regioturnier 3'!$N$3:$O$34,2,FALSE)),IF(ISNA(VLOOKUP(B290,'Regioturnier 3'!$R$3:$S$34,2,FALSE))=TRUE,0,VLOOKUP(B290,'Regioturnier 3'!$R$3:$S$34,2,FALSE)), IF(ISNA(VLOOKUP(B290,'Regioturnier 3'!$V$3:$W$34,2,FALSE))=TRUE,0,VLOOKUP(B290,'Regioturnier 3'!$V$3:$W$34,2,FALSE)), IF(ISNA(VLOOKUP(B290,'Regioturnier 3'!$Z$3:$AA$34,2,FALSE))=TRUE,0,VLOOKUP(B290,'Regioturnier 3'!$Z$3:$AA$34,2,FALSE)))</f>
        <v>0</v>
      </c>
      <c r="R290" s="20">
        <f>0.5*INDEX($H290:$N290,MATCH(LARGE($H290:$N290,1),$H290:$N290,0))+0.3*INDEX($H290:$N290,MATCH(LARGE($H290:$N290,2),$H290:$N290,0))+0.2*INDEX($H290:$N290,MATCH(LARGE($H290:$N290,3),$H290:$N290,0))</f>
        <v>0</v>
      </c>
      <c r="S290" s="20">
        <f>0.6*INDEX(O290:Q290,MATCH(LARGE(O290:Q290,1),O290:Q290,0))+0.4*INDEX(O290:Q290,MATCH(LARGE(O290:Q290,2),O290:Q290,0))+0*INDEX(O290:Q290,MATCH(LARGE(O290:Q290,3),O290:Q290,0))</f>
        <v>0</v>
      </c>
      <c r="T290" s="15">
        <f>1*INDEX(R290:S290,MATCH(LARGE(R290:S290,1),R290:S290,0))+0*INDEX(R290:S290,MATCH(LARGE(R290:S290,2),R290:S290,0))</f>
        <v>0</v>
      </c>
      <c r="U290" s="21"/>
      <c r="V290" s="21"/>
      <c r="W290" s="21"/>
      <c r="X290" s="21"/>
      <c r="Y290" s="21"/>
      <c r="Z290" s="21"/>
    </row>
    <row r="291" spans="1:26" ht="12.75" customHeight="1" x14ac:dyDescent="0.3">
      <c r="A291" s="15">
        <v>290</v>
      </c>
      <c r="B291" s="16" t="s">
        <v>272</v>
      </c>
      <c r="C291" s="17" t="s">
        <v>130</v>
      </c>
      <c r="D291" s="15" t="s">
        <v>26</v>
      </c>
      <c r="E291" s="18" t="s">
        <v>40</v>
      </c>
      <c r="F291" s="15">
        <v>109829</v>
      </c>
      <c r="G291" s="22">
        <v>2009</v>
      </c>
      <c r="H291" s="15">
        <f>MAX(IF(ISNA(VLOOKUP(B291,'WBV 1'!$B$3:$C$34,2,FALSE))=TRUE,0,VLOOKUP(B291,'WBV 1'!$B$3:$C$34,2,FALSE)),IF(ISNA(VLOOKUP(B291,'WBV 1'!$F$3:$G$34,2,FALSE))=TRUE,0,VLOOKUP(B291,'WBV 1'!$F$3:$G$34,2,FALSE)),IF(ISNA(VLOOKUP(B291,'WBV 1'!$J$3:$K$34,2,FALSE))=TRUE,0,VLOOKUP(B291,'WBV 1'!$J$3:$K$34,2,FALSE)),IF(ISNA(VLOOKUP(B291,'WBV 1'!$N$3:$O$34,2,FALSE))=TRUE,0,VLOOKUP(B291,'WBV 1'!$N$3:$O$34,2,FALSE)))</f>
        <v>0</v>
      </c>
      <c r="I291" s="15">
        <f>MAX(IF(ISNA(VLOOKUP(B291,'WBV 2'!$B$3:$C$34,2,FALSE))=TRUE,0,VLOOKUP(B291,'WBV 2'!$B$3:$C$34,2,FALSE)),IF(ISNA(VLOOKUP(B291,'WBV 2'!$F$3:$G$34,2,FALSE))=TRUE,0,VLOOKUP(B291,'WBV 2'!$F$3:$G$34,2,FALSE)),IF(ISNA(VLOOKUP(B291,'WBV 2'!$J$3:$K$34,2,FALSE))=TRUE,0,VLOOKUP(B291,'WBV 2'!$J$3:$K$34,2,FALSE)),IF(ISNA(VLOOKUP(B291,'WBV 2'!$N$3:$O$34,2,FALSE))=TRUE,0,VLOOKUP(B291,'WBV 2'!$N$3:$O$34,2,FALSE)))</f>
        <v>0</v>
      </c>
      <c r="J291" s="15">
        <f>MAX(IF(ISNA(VLOOKUP(B291,'WBV 3'!$B$3:$C$34,2,FALSE))=TRUE,0,VLOOKUP(B291,'WBV 3'!$B$3:$C$34,2,FALSE)),IF(ISNA(VLOOKUP(B291,'WBV 3'!$F$3:$G$34,2,FALSE))=TRUE,0,VLOOKUP(B291,'WBV 3'!$F$3:$G$34,2,FALSE)),IF(ISNA(VLOOKUP(B291,'WBV 3'!$J$3:$K$34,2,FALSE))=TRUE,0,VLOOKUP(B291,'WBV 3'!$J$3:$K$34,2,FALSE)),IF(ISNA(VLOOKUP(B291,'WBV 3'!$N$3:$O$34,2,FALSE))=TRUE,0,VLOOKUP(B291,'WBV 3'!$N$3:$O$34,2,FALSE)))</f>
        <v>0</v>
      </c>
      <c r="K291" s="15">
        <f>MAX(IF(ISNA(VLOOKUP(B291,'WBV 4'!$B$3:$C$34,2,FALSE))=TRUE,0,VLOOKUP(B291,'WBV 4'!$B$3:$C$34,2,FALSE)),IF(ISNA(VLOOKUP(B291,'WBV 4'!$F$3:$G$34,2,FALSE))=TRUE,0,VLOOKUP(B291,'WBV 4'!$F$3:$G$34,2,FALSE)),IF(ISNA(VLOOKUP(B291,'WBV 4'!$J$3:$K$34,2,FALSE))=TRUE,0,VLOOKUP(B291,'WBV 4'!$J$3:$K$34,2,FALSE)),IF(ISNA(VLOOKUP(B291,'WBV 4'!$N$3:$O$34,2,FALSE))=TRUE,0,VLOOKUP(B291,'WBV 4'!$N$3:$O$34,2,FALSE)))</f>
        <v>0</v>
      </c>
      <c r="L291" s="19">
        <f>MAX(IF(ISNA(VLOOKUP(B291,'NÖBV 1'!$B$3:$C$34,2,FALSE))=TRUE,0,VLOOKUP(B291,'NÖBV 1'!$B$3:$C$34,2,FALSE)),IF(ISNA(VLOOKUP(B291,'NÖBV 1'!$F$3:$G$34,2,FALSE))=TRUE,0,VLOOKUP(B291,'NÖBV 1'!$F$3:$G$34,2,FALSE)),IF(ISNA(VLOOKUP(B291,'NÖBV 1'!$J$3:$K$34,2,FALSE))=TRUE,0,VLOOKUP(B291,'NÖBV 1'!$J$3:$K$34,2,FALSE)),IF(ISNA(VLOOKUP(B291,'NÖBV 1'!$N$3:$O$34,2,FALSE))=TRUE,0,VLOOKUP(B291,'NÖBV 1'!$N$3:$O$34,2,FALSE)))</f>
        <v>0</v>
      </c>
      <c r="M291" s="19">
        <f>MAX(IF(ISNA(VLOOKUP(B291,'NÖBV 2'!$B$3:$C$34,2,FALSE))=TRUE,0,VLOOKUP(B291,'NÖBV 2'!$B$3:$C$34,2,FALSE)),IF(ISNA(VLOOKUP(B291,'NÖBV 2'!$F$3:$G$34,2,FALSE))=TRUE,0,VLOOKUP(B291,'NÖBV 2'!$F$3:$G$34,2,FALSE)),IF(ISNA(VLOOKUP(B291,'NÖBV 2'!$J$3:$K$34,2,FALSE))=TRUE,0,VLOOKUP(B291,'NÖBV 2'!$J$3:$K$34,2,FALSE)),IF(ISNA(VLOOKUP(B291,'NÖBV 2'!$N$3:$O$34,2,FALSE))=TRUE,0,VLOOKUP(B291,'NÖBV 2'!$N$3:$O$34,2,FALSE)))</f>
        <v>0</v>
      </c>
      <c r="N291" s="19">
        <f>MAX(IF(ISNA(VLOOKUP(B291,'NÖBV 3'!$B$3:$C$34,2,FALSE))=TRUE,0,VLOOKUP(B291,'NÖBV 3'!$B$3:$C$34,2,FALSE)),IF(ISNA(VLOOKUP(B291,'NÖBV 3'!$F$3:$G$34,2,FALSE))=TRUE,0,VLOOKUP(B291,'NÖBV 3'!$F$3:$G$34,2,FALSE)),IF(ISNA(VLOOKUP(B291,'NÖBV 3'!$J$3:$K$34,2,FALSE))=TRUE,0,VLOOKUP(B291,'NÖBV 3'!$J$3:$K$34,2,FALSE)),IF(ISNA(VLOOKUP(B291,'NÖBV 3'!$N$3:$O$34,2,FALSE))=TRUE,0,VLOOKUP(B291,'NÖBV 3'!$N$3:$O$34,2,FALSE)))</f>
        <v>0</v>
      </c>
      <c r="O291" s="15">
        <f>MAX(IF(ISNA(VLOOKUP(B291,'Regioturnier 1'!$B$3:$C$34,2,FALSE))=TRUE,0,VLOOKUP(B291,'Regioturnier 1'!$B$3:$C$34,2,FALSE)),IF(ISNA(VLOOKUP(B291,'Regioturnier 1'!$F$3:$G$34,2,FALSE))=TRUE,0,VLOOKUP(B291,'Regioturnier 1'!$F$3:$G$34,2,FALSE)),IF(ISNA(VLOOKUP(B291,'Regioturnier 1'!$J$3:$K$34,2,FALSE))=TRUE,0,VLOOKUP(B291,'Regioturnier 1'!$J$3:$K$34,2,FALSE)),IF(ISNA(VLOOKUP(B291,'Regioturnier 1'!$N$3:$O$34,2,FALSE))=TRUE,0,VLOOKUP(B291,'Regioturnier 1'!$N$3:$O$34,2,FALSE)),IF(ISNA(VLOOKUP(B291,'Regioturnier 1'!$R$3:$S$34,2,FALSE))=TRUE,0,VLOOKUP(B291,'Regioturnier 1'!$R$3:$S$34,2,FALSE)), IF(ISNA(VLOOKUP(B291,'Regioturnier 1'!$V$3:$W$34,2,FALSE))=TRUE,0,VLOOKUP(B291,'Regioturnier 1'!$V$3:$W$34,2,FALSE)), IF(ISNA(VLOOKUP(B291,'Regioturnier 1'!$Z$3:$AA$34,2,FALSE))=TRUE,0,VLOOKUP(B291,'Regioturnier 1'!$Z$3:$AA$34,2,FALSE)))</f>
        <v>0</v>
      </c>
      <c r="P291" s="15">
        <f>MAX(IF(ISNA(VLOOKUP(B291,'Regioturnier 2'!$B$3:$C$34,2,FALSE))=TRUE,0,VLOOKUP(B291,'Regioturnier 2'!$B$3:$C$34,2,FALSE)),IF(ISNA(VLOOKUP(B291,'Regioturnier 2'!$F$3:$G$34,2,FALSE))=TRUE,0,VLOOKUP(B291,'Regioturnier 2'!$F$3:$G$34,2,FALSE)),IF(ISNA(VLOOKUP(B291,'Regioturnier 2'!$J$3:$K$34,2,FALSE))=TRUE,0,VLOOKUP(B291,'Regioturnier 2'!$J$3:$K$34,2,FALSE)),IF(ISNA(VLOOKUP(B291,'Regioturnier 2'!$N$3:$O$34,2,FALSE))=TRUE,0,VLOOKUP(B291,'Regioturnier 2'!$N$3:$O$34,2,FALSE)),IF(ISNA(VLOOKUP(B291,'Regioturnier 2'!$R$3:$S$34,2,FALSE))=TRUE,0,VLOOKUP(B291,'Regioturnier 2'!$R$3:$S$34,2,FALSE)), IF(ISNA(VLOOKUP(B291,'Regioturnier 2'!$V$3:$W$34,2,FALSE))=TRUE,0,VLOOKUP(B291,'Regioturnier 2'!$V$3:$W$34,2,FALSE)), IF(ISNA(VLOOKUP(B291,'Regioturnier 2'!$Z$3:$AA$34,2,FALSE))=TRUE,0,VLOOKUP(B291,'Regioturnier 2'!$Z$3:$AA$34,2,FALSE)))</f>
        <v>0</v>
      </c>
      <c r="Q291" s="15">
        <f>MAX(IF(ISNA(VLOOKUP(B291,'Regioturnier 3'!$B$3:$C$34,2,FALSE))=TRUE,0,VLOOKUP(B291,'Regioturnier 3'!$B$3:$C$34,2,FALSE)),IF(ISNA(VLOOKUP(B291,'Regioturnier 3'!$F$3:$G$34,2,FALSE))=TRUE,0,VLOOKUP(B291,'Regioturnier 3'!$F$3:$G$34,2,FALSE)),IF(ISNA(VLOOKUP(B291,'Regioturnier 3'!$J$3:$K$34,2,FALSE))=TRUE,0,VLOOKUP(B291,'Regioturnier 3'!$J$3:$K$34,2,FALSE)),IF(ISNA(VLOOKUP(B291,'Regioturnier 3'!$N$3:$O$34,2,FALSE))=TRUE,0,VLOOKUP(B291,'Regioturnier 3'!$N$3:$O$34,2,FALSE)),IF(ISNA(VLOOKUP(B291,'Regioturnier 3'!$R$3:$S$34,2,FALSE))=TRUE,0,VLOOKUP(B291,'Regioturnier 3'!$R$3:$S$34,2,FALSE)), IF(ISNA(VLOOKUP(B291,'Regioturnier 3'!$V$3:$W$34,2,FALSE))=TRUE,0,VLOOKUP(B291,'Regioturnier 3'!$V$3:$W$34,2,FALSE)), IF(ISNA(VLOOKUP(B291,'Regioturnier 3'!$Z$3:$AA$34,2,FALSE))=TRUE,0,VLOOKUP(B291,'Regioturnier 3'!$Z$3:$AA$34,2,FALSE)))</f>
        <v>0</v>
      </c>
      <c r="R291" s="20">
        <f>0.5*INDEX($H291:$N291,MATCH(LARGE($H291:$N291,1),$H291:$N291,0))+0.3*INDEX($H291:$N291,MATCH(LARGE($H291:$N291,2),$H291:$N291,0))+0.2*INDEX($H291:$N291,MATCH(LARGE($H291:$N291,3),$H291:$N291,0))</f>
        <v>0</v>
      </c>
      <c r="S291" s="20">
        <f>0.6*INDEX(O291:Q291,MATCH(LARGE(O291:Q291,1),O291:Q291,0))+0.4*INDEX(O291:Q291,MATCH(LARGE(O291:Q291,2),O291:Q291,0))+0*INDEX(O291:Q291,MATCH(LARGE(O291:Q291,3),O291:Q291,0))</f>
        <v>0</v>
      </c>
      <c r="T291" s="15">
        <f>1*INDEX(R291:S291,MATCH(LARGE(R291:S291,1),R291:S291,0))+0*INDEX(R291:S291,MATCH(LARGE(R291:S291,2),R291:S291,0))</f>
        <v>0</v>
      </c>
      <c r="U291" s="21"/>
      <c r="V291" s="21"/>
      <c r="W291" s="21"/>
      <c r="X291" s="21"/>
      <c r="Y291" s="21"/>
      <c r="Z291" s="21"/>
    </row>
    <row r="292" spans="1:26" ht="12.75" customHeight="1" x14ac:dyDescent="0.3">
      <c r="A292" s="15">
        <v>291</v>
      </c>
      <c r="B292" s="16" t="s">
        <v>273</v>
      </c>
      <c r="C292" s="17" t="s">
        <v>31</v>
      </c>
      <c r="D292" s="15" t="s">
        <v>26</v>
      </c>
      <c r="E292" s="18" t="s">
        <v>40</v>
      </c>
      <c r="F292" s="15">
        <v>108771</v>
      </c>
      <c r="G292" s="22">
        <v>2013</v>
      </c>
      <c r="H292" s="15">
        <f>MAX(IF(ISNA(VLOOKUP(B292,'WBV 1'!$B$3:$C$34,2,FALSE))=TRUE,0,VLOOKUP(B292,'WBV 1'!$B$3:$C$34,2,FALSE)),IF(ISNA(VLOOKUP(B292,'WBV 1'!$F$3:$G$34,2,FALSE))=TRUE,0,VLOOKUP(B292,'WBV 1'!$F$3:$G$34,2,FALSE)),IF(ISNA(VLOOKUP(B292,'WBV 1'!$J$3:$K$34,2,FALSE))=TRUE,0,VLOOKUP(B292,'WBV 1'!$J$3:$K$34,2,FALSE)),IF(ISNA(VLOOKUP(B292,'WBV 1'!$N$3:$O$34,2,FALSE))=TRUE,0,VLOOKUP(B292,'WBV 1'!$N$3:$O$34,2,FALSE)))</f>
        <v>0</v>
      </c>
      <c r="I292" s="15">
        <f>MAX(IF(ISNA(VLOOKUP(B292,'WBV 2'!$B$3:$C$34,2,FALSE))=TRUE,0,VLOOKUP(B292,'WBV 2'!$B$3:$C$34,2,FALSE)),IF(ISNA(VLOOKUP(B292,'WBV 2'!$F$3:$G$34,2,FALSE))=TRUE,0,VLOOKUP(B292,'WBV 2'!$F$3:$G$34,2,FALSE)),IF(ISNA(VLOOKUP(B292,'WBV 2'!$J$3:$K$34,2,FALSE))=TRUE,0,VLOOKUP(B292,'WBV 2'!$J$3:$K$34,2,FALSE)),IF(ISNA(VLOOKUP(B292,'WBV 2'!$N$3:$O$34,2,FALSE))=TRUE,0,VLOOKUP(B292,'WBV 2'!$N$3:$O$34,2,FALSE)))</f>
        <v>0</v>
      </c>
      <c r="J292" s="15">
        <f>MAX(IF(ISNA(VLOOKUP(B292,'WBV 3'!$B$3:$C$34,2,FALSE))=TRUE,0,VLOOKUP(B292,'WBV 3'!$B$3:$C$34,2,FALSE)),IF(ISNA(VLOOKUP(B292,'WBV 3'!$F$3:$G$34,2,FALSE))=TRUE,0,VLOOKUP(B292,'WBV 3'!$F$3:$G$34,2,FALSE)),IF(ISNA(VLOOKUP(B292,'WBV 3'!$J$3:$K$34,2,FALSE))=TRUE,0,VLOOKUP(B292,'WBV 3'!$J$3:$K$34,2,FALSE)),IF(ISNA(VLOOKUP(B292,'WBV 3'!$N$3:$O$34,2,FALSE))=TRUE,0,VLOOKUP(B292,'WBV 3'!$N$3:$O$34,2,FALSE)))</f>
        <v>0</v>
      </c>
      <c r="K292" s="15">
        <f>MAX(IF(ISNA(VLOOKUP(B292,'WBV 4'!$B$3:$C$34,2,FALSE))=TRUE,0,VLOOKUP(B292,'WBV 4'!$B$3:$C$34,2,FALSE)),IF(ISNA(VLOOKUP(B292,'WBV 4'!$F$3:$G$34,2,FALSE))=TRUE,0,VLOOKUP(B292,'WBV 4'!$F$3:$G$34,2,FALSE)),IF(ISNA(VLOOKUP(B292,'WBV 4'!$J$3:$K$34,2,FALSE))=TRUE,0,VLOOKUP(B292,'WBV 4'!$J$3:$K$34,2,FALSE)),IF(ISNA(VLOOKUP(B292,'WBV 4'!$N$3:$O$34,2,FALSE))=TRUE,0,VLOOKUP(B292,'WBV 4'!$N$3:$O$34,2,FALSE)))</f>
        <v>0</v>
      </c>
      <c r="L292" s="19">
        <f>MAX(IF(ISNA(VLOOKUP(B292,'NÖBV 1'!$B$3:$C$34,2,FALSE))=TRUE,0,VLOOKUP(B292,'NÖBV 1'!$B$3:$C$34,2,FALSE)),IF(ISNA(VLOOKUP(B292,'NÖBV 1'!$F$3:$G$34,2,FALSE))=TRUE,0,VLOOKUP(B292,'NÖBV 1'!$F$3:$G$34,2,FALSE)),IF(ISNA(VLOOKUP(B292,'NÖBV 1'!$J$3:$K$34,2,FALSE))=TRUE,0,VLOOKUP(B292,'NÖBV 1'!$J$3:$K$34,2,FALSE)),IF(ISNA(VLOOKUP(B292,'NÖBV 1'!$N$3:$O$34,2,FALSE))=TRUE,0,VLOOKUP(B292,'NÖBV 1'!$N$3:$O$34,2,FALSE)))</f>
        <v>0</v>
      </c>
      <c r="M292" s="19">
        <f>MAX(IF(ISNA(VLOOKUP(B292,'NÖBV 2'!$B$3:$C$34,2,FALSE))=TRUE,0,VLOOKUP(B292,'NÖBV 2'!$B$3:$C$34,2,FALSE)),IF(ISNA(VLOOKUP(B292,'NÖBV 2'!$F$3:$G$34,2,FALSE))=TRUE,0,VLOOKUP(B292,'NÖBV 2'!$F$3:$G$34,2,FALSE)),IF(ISNA(VLOOKUP(B292,'NÖBV 2'!$J$3:$K$34,2,FALSE))=TRUE,0,VLOOKUP(B292,'NÖBV 2'!$J$3:$K$34,2,FALSE)),IF(ISNA(VLOOKUP(B292,'NÖBV 2'!$N$3:$O$34,2,FALSE))=TRUE,0,VLOOKUP(B292,'NÖBV 2'!$N$3:$O$34,2,FALSE)))</f>
        <v>0</v>
      </c>
      <c r="N292" s="19">
        <f>MAX(IF(ISNA(VLOOKUP(B292,'NÖBV 3'!$B$3:$C$34,2,FALSE))=TRUE,0,VLOOKUP(B292,'NÖBV 3'!$B$3:$C$34,2,FALSE)),IF(ISNA(VLOOKUP(B292,'NÖBV 3'!$F$3:$G$34,2,FALSE))=TRUE,0,VLOOKUP(B292,'NÖBV 3'!$F$3:$G$34,2,FALSE)),IF(ISNA(VLOOKUP(B292,'NÖBV 3'!$J$3:$K$34,2,FALSE))=TRUE,0,VLOOKUP(B292,'NÖBV 3'!$J$3:$K$34,2,FALSE)),IF(ISNA(VLOOKUP(B292,'NÖBV 3'!$N$3:$O$34,2,FALSE))=TRUE,0,VLOOKUP(B292,'NÖBV 3'!$N$3:$O$34,2,FALSE)))</f>
        <v>0</v>
      </c>
      <c r="O292" s="15">
        <f>MAX(IF(ISNA(VLOOKUP(B292,'Regioturnier 1'!$B$3:$C$34,2,FALSE))=TRUE,0,VLOOKUP(B292,'Regioturnier 1'!$B$3:$C$34,2,FALSE)),IF(ISNA(VLOOKUP(B292,'Regioturnier 1'!$F$3:$G$34,2,FALSE))=TRUE,0,VLOOKUP(B292,'Regioturnier 1'!$F$3:$G$34,2,FALSE)),IF(ISNA(VLOOKUP(B292,'Regioturnier 1'!$J$3:$K$34,2,FALSE))=TRUE,0,VLOOKUP(B292,'Regioturnier 1'!$J$3:$K$34,2,FALSE)),IF(ISNA(VLOOKUP(B292,'Regioturnier 1'!$N$3:$O$34,2,FALSE))=TRUE,0,VLOOKUP(B292,'Regioturnier 1'!$N$3:$O$34,2,FALSE)),IF(ISNA(VLOOKUP(B292,'Regioturnier 1'!$R$3:$S$34,2,FALSE))=TRUE,0,VLOOKUP(B292,'Regioturnier 1'!$R$3:$S$34,2,FALSE)), IF(ISNA(VLOOKUP(B292,'Regioturnier 1'!$V$3:$W$34,2,FALSE))=TRUE,0,VLOOKUP(B292,'Regioturnier 1'!$V$3:$W$34,2,FALSE)), IF(ISNA(VLOOKUP(B292,'Regioturnier 1'!$Z$3:$AA$34,2,FALSE))=TRUE,0,VLOOKUP(B292,'Regioturnier 1'!$Z$3:$AA$34,2,FALSE)))</f>
        <v>0</v>
      </c>
      <c r="P292" s="15">
        <f>MAX(IF(ISNA(VLOOKUP(B292,'Regioturnier 2'!$B$3:$C$34,2,FALSE))=TRUE,0,VLOOKUP(B292,'Regioturnier 2'!$B$3:$C$34,2,FALSE)),IF(ISNA(VLOOKUP(B292,'Regioturnier 2'!$F$3:$G$34,2,FALSE))=TRUE,0,VLOOKUP(B292,'Regioturnier 2'!$F$3:$G$34,2,FALSE)),IF(ISNA(VLOOKUP(B292,'Regioturnier 2'!$J$3:$K$34,2,FALSE))=TRUE,0,VLOOKUP(B292,'Regioturnier 2'!$J$3:$K$34,2,FALSE)),IF(ISNA(VLOOKUP(B292,'Regioturnier 2'!$N$3:$O$34,2,FALSE))=TRUE,0,VLOOKUP(B292,'Regioturnier 2'!$N$3:$O$34,2,FALSE)),IF(ISNA(VLOOKUP(B292,'Regioturnier 2'!$R$3:$S$34,2,FALSE))=TRUE,0,VLOOKUP(B292,'Regioturnier 2'!$R$3:$S$34,2,FALSE)), IF(ISNA(VLOOKUP(B292,'Regioturnier 2'!$V$3:$W$34,2,FALSE))=TRUE,0,VLOOKUP(B292,'Regioturnier 2'!$V$3:$W$34,2,FALSE)), IF(ISNA(VLOOKUP(B292,'Regioturnier 2'!$Z$3:$AA$34,2,FALSE))=TRUE,0,VLOOKUP(B292,'Regioturnier 2'!$Z$3:$AA$34,2,FALSE)))</f>
        <v>0</v>
      </c>
      <c r="Q292" s="15">
        <f>MAX(IF(ISNA(VLOOKUP(B292,'Regioturnier 3'!$B$3:$C$34,2,FALSE))=TRUE,0,VLOOKUP(B292,'Regioturnier 3'!$B$3:$C$34,2,FALSE)),IF(ISNA(VLOOKUP(B292,'Regioturnier 3'!$F$3:$G$34,2,FALSE))=TRUE,0,VLOOKUP(B292,'Regioturnier 3'!$F$3:$G$34,2,FALSE)),IF(ISNA(VLOOKUP(B292,'Regioturnier 3'!$J$3:$K$34,2,FALSE))=TRUE,0,VLOOKUP(B292,'Regioturnier 3'!$J$3:$K$34,2,FALSE)),IF(ISNA(VLOOKUP(B292,'Regioturnier 3'!$N$3:$O$34,2,FALSE))=TRUE,0,VLOOKUP(B292,'Regioturnier 3'!$N$3:$O$34,2,FALSE)),IF(ISNA(VLOOKUP(B292,'Regioturnier 3'!$R$3:$S$34,2,FALSE))=TRUE,0,VLOOKUP(B292,'Regioturnier 3'!$R$3:$S$34,2,FALSE)), IF(ISNA(VLOOKUP(B292,'Regioturnier 3'!$V$3:$W$34,2,FALSE))=TRUE,0,VLOOKUP(B292,'Regioturnier 3'!$V$3:$W$34,2,FALSE)), IF(ISNA(VLOOKUP(B292,'Regioturnier 3'!$Z$3:$AA$34,2,FALSE))=TRUE,0,VLOOKUP(B292,'Regioturnier 3'!$Z$3:$AA$34,2,FALSE)))</f>
        <v>0</v>
      </c>
      <c r="R292" s="20">
        <f>0.5*INDEX($H292:$N292,MATCH(LARGE($H292:$N292,1),$H292:$N292,0))+0.3*INDEX($H292:$N292,MATCH(LARGE($H292:$N292,2),$H292:$N292,0))+0.2*INDEX($H292:$N292,MATCH(LARGE($H292:$N292,3),$H292:$N292,0))</f>
        <v>0</v>
      </c>
      <c r="S292" s="20">
        <f>0.6*INDEX(O292:Q292,MATCH(LARGE(O292:Q292,1),O292:Q292,0))+0.4*INDEX(O292:Q292,MATCH(LARGE(O292:Q292,2),O292:Q292,0))+0*INDEX(O292:Q292,MATCH(LARGE(O292:Q292,3),O292:Q292,0))</f>
        <v>0</v>
      </c>
      <c r="T292" s="15">
        <f>1*INDEX(R292:S292,MATCH(LARGE(R292:S292,1),R292:S292,0))+0*INDEX(R292:S292,MATCH(LARGE(R292:S292,2),R292:S292,0))</f>
        <v>0</v>
      </c>
      <c r="U292" s="21"/>
      <c r="V292" s="21"/>
      <c r="W292" s="21"/>
      <c r="X292" s="21"/>
      <c r="Y292" s="21"/>
      <c r="Z292" s="21"/>
    </row>
    <row r="293" spans="1:26" ht="12.75" customHeight="1" x14ac:dyDescent="0.3">
      <c r="A293" s="15">
        <v>292</v>
      </c>
      <c r="B293" s="16" t="s">
        <v>274</v>
      </c>
      <c r="C293" s="17" t="s">
        <v>54</v>
      </c>
      <c r="D293" s="15" t="s">
        <v>22</v>
      </c>
      <c r="E293" s="18" t="s">
        <v>40</v>
      </c>
      <c r="F293" s="15"/>
      <c r="G293" s="22">
        <v>2013</v>
      </c>
      <c r="H293" s="15">
        <f>MAX(IF(ISNA(VLOOKUP(B293,'WBV 1'!$B$3:$C$34,2,FALSE))=TRUE,0,VLOOKUP(B293,'WBV 1'!$B$3:$C$34,2,FALSE)),IF(ISNA(VLOOKUP(B293,'WBV 1'!$F$3:$G$34,2,FALSE))=TRUE,0,VLOOKUP(B293,'WBV 1'!$F$3:$G$34,2,FALSE)),IF(ISNA(VLOOKUP(B293,'WBV 1'!$J$3:$K$34,2,FALSE))=TRUE,0,VLOOKUP(B293,'WBV 1'!$J$3:$K$34,2,FALSE)),IF(ISNA(VLOOKUP(B293,'WBV 1'!$N$3:$O$34,2,FALSE))=TRUE,0,VLOOKUP(B293,'WBV 1'!$N$3:$O$34,2,FALSE)))</f>
        <v>0</v>
      </c>
      <c r="I293" s="15">
        <f>MAX(IF(ISNA(VLOOKUP(B293,'WBV 2'!$B$3:$C$34,2,FALSE))=TRUE,0,VLOOKUP(B293,'WBV 2'!$B$3:$C$34,2,FALSE)),IF(ISNA(VLOOKUP(B293,'WBV 2'!$F$3:$G$34,2,FALSE))=TRUE,0,VLOOKUP(B293,'WBV 2'!$F$3:$G$34,2,FALSE)),IF(ISNA(VLOOKUP(B293,'WBV 2'!$J$3:$K$34,2,FALSE))=TRUE,0,VLOOKUP(B293,'WBV 2'!$J$3:$K$34,2,FALSE)),IF(ISNA(VLOOKUP(B293,'WBV 2'!$N$3:$O$34,2,FALSE))=TRUE,0,VLOOKUP(B293,'WBV 2'!$N$3:$O$34,2,FALSE)))</f>
        <v>0</v>
      </c>
      <c r="J293" s="15">
        <f>MAX(IF(ISNA(VLOOKUP(B293,'WBV 3'!$B$3:$C$34,2,FALSE))=TRUE,0,VLOOKUP(B293,'WBV 3'!$B$3:$C$34,2,FALSE)),IF(ISNA(VLOOKUP(B293,'WBV 3'!$F$3:$G$34,2,FALSE))=TRUE,0,VLOOKUP(B293,'WBV 3'!$F$3:$G$34,2,FALSE)),IF(ISNA(VLOOKUP(B293,'WBV 3'!$J$3:$K$34,2,FALSE))=TRUE,0,VLOOKUP(B293,'WBV 3'!$J$3:$K$34,2,FALSE)),IF(ISNA(VLOOKUP(B293,'WBV 3'!$N$3:$O$34,2,FALSE))=TRUE,0,VLOOKUP(B293,'WBV 3'!$N$3:$O$34,2,FALSE)))</f>
        <v>0</v>
      </c>
      <c r="K293" s="15">
        <f>MAX(IF(ISNA(VLOOKUP(B293,'WBV 4'!$B$3:$C$34,2,FALSE))=TRUE,0,VLOOKUP(B293,'WBV 4'!$B$3:$C$34,2,FALSE)),IF(ISNA(VLOOKUP(B293,'WBV 4'!$F$3:$G$34,2,FALSE))=TRUE,0,VLOOKUP(B293,'WBV 4'!$F$3:$G$34,2,FALSE)),IF(ISNA(VLOOKUP(B293,'WBV 4'!$J$3:$K$34,2,FALSE))=TRUE,0,VLOOKUP(B293,'WBV 4'!$J$3:$K$34,2,FALSE)),IF(ISNA(VLOOKUP(B293,'WBV 4'!$N$3:$O$34,2,FALSE))=TRUE,0,VLOOKUP(B293,'WBV 4'!$N$3:$O$34,2,FALSE)))</f>
        <v>0</v>
      </c>
      <c r="L293" s="19">
        <f>MAX(IF(ISNA(VLOOKUP(B293,'NÖBV 1'!$B$3:$C$34,2,FALSE))=TRUE,0,VLOOKUP(B293,'NÖBV 1'!$B$3:$C$34,2,FALSE)),IF(ISNA(VLOOKUP(B293,'NÖBV 1'!$F$3:$G$34,2,FALSE))=TRUE,0,VLOOKUP(B293,'NÖBV 1'!$F$3:$G$34,2,FALSE)),IF(ISNA(VLOOKUP(B293,'NÖBV 1'!$J$3:$K$34,2,FALSE))=TRUE,0,VLOOKUP(B293,'NÖBV 1'!$J$3:$K$34,2,FALSE)),IF(ISNA(VLOOKUP(B293,'NÖBV 1'!$N$3:$O$34,2,FALSE))=TRUE,0,VLOOKUP(B293,'NÖBV 1'!$N$3:$O$34,2,FALSE)))</f>
        <v>0</v>
      </c>
      <c r="M293" s="19">
        <f>MAX(IF(ISNA(VLOOKUP(B293,'NÖBV 2'!$B$3:$C$34,2,FALSE))=TRUE,0,VLOOKUP(B293,'NÖBV 2'!$B$3:$C$34,2,FALSE)),IF(ISNA(VLOOKUP(B293,'NÖBV 2'!$F$3:$G$34,2,FALSE))=TRUE,0,VLOOKUP(B293,'NÖBV 2'!$F$3:$G$34,2,FALSE)),IF(ISNA(VLOOKUP(B293,'NÖBV 2'!$J$3:$K$34,2,FALSE))=TRUE,0,VLOOKUP(B293,'NÖBV 2'!$J$3:$K$34,2,FALSE)),IF(ISNA(VLOOKUP(B293,'NÖBV 2'!$N$3:$O$34,2,FALSE))=TRUE,0,VLOOKUP(B293,'NÖBV 2'!$N$3:$O$34,2,FALSE)))</f>
        <v>0</v>
      </c>
      <c r="N293" s="19">
        <f>MAX(IF(ISNA(VLOOKUP(B293,'NÖBV 3'!$B$3:$C$34,2,FALSE))=TRUE,0,VLOOKUP(B293,'NÖBV 3'!$B$3:$C$34,2,FALSE)),IF(ISNA(VLOOKUP(B293,'NÖBV 3'!$F$3:$G$34,2,FALSE))=TRUE,0,VLOOKUP(B293,'NÖBV 3'!$F$3:$G$34,2,FALSE)),IF(ISNA(VLOOKUP(B293,'NÖBV 3'!$J$3:$K$34,2,FALSE))=TRUE,0,VLOOKUP(B293,'NÖBV 3'!$J$3:$K$34,2,FALSE)),IF(ISNA(VLOOKUP(B293,'NÖBV 3'!$N$3:$O$34,2,FALSE))=TRUE,0,VLOOKUP(B293,'NÖBV 3'!$N$3:$O$34,2,FALSE)))</f>
        <v>0</v>
      </c>
      <c r="O293" s="15">
        <f>MAX(IF(ISNA(VLOOKUP(B293,'Regioturnier 1'!$B$3:$C$34,2,FALSE))=TRUE,0,VLOOKUP(B293,'Regioturnier 1'!$B$3:$C$34,2,FALSE)),IF(ISNA(VLOOKUP(B293,'Regioturnier 1'!$F$3:$G$34,2,FALSE))=TRUE,0,VLOOKUP(B293,'Regioturnier 1'!$F$3:$G$34,2,FALSE)),IF(ISNA(VLOOKUP(B293,'Regioturnier 1'!$J$3:$K$34,2,FALSE))=TRUE,0,VLOOKUP(B293,'Regioturnier 1'!$J$3:$K$34,2,FALSE)),IF(ISNA(VLOOKUP(B293,'Regioturnier 1'!$N$3:$O$34,2,FALSE))=TRUE,0,VLOOKUP(B293,'Regioturnier 1'!$N$3:$O$34,2,FALSE)),IF(ISNA(VLOOKUP(B293,'Regioturnier 1'!$R$3:$S$34,2,FALSE))=TRUE,0,VLOOKUP(B293,'Regioturnier 1'!$R$3:$S$34,2,FALSE)), IF(ISNA(VLOOKUP(B293,'Regioturnier 1'!$V$3:$W$34,2,FALSE))=TRUE,0,VLOOKUP(B293,'Regioturnier 1'!$V$3:$W$34,2,FALSE)), IF(ISNA(VLOOKUP(B293,'Regioturnier 1'!$Z$3:$AA$34,2,FALSE))=TRUE,0,VLOOKUP(B293,'Regioturnier 1'!$Z$3:$AA$34,2,FALSE)))</f>
        <v>0</v>
      </c>
      <c r="P293" s="15">
        <f>MAX(IF(ISNA(VLOOKUP(B293,'Regioturnier 2'!$B$3:$C$34,2,FALSE))=TRUE,0,VLOOKUP(B293,'Regioturnier 2'!$B$3:$C$34,2,FALSE)),IF(ISNA(VLOOKUP(B293,'Regioturnier 2'!$F$3:$G$34,2,FALSE))=TRUE,0,VLOOKUP(B293,'Regioturnier 2'!$F$3:$G$34,2,FALSE)),IF(ISNA(VLOOKUP(B293,'Regioturnier 2'!$J$3:$K$34,2,FALSE))=TRUE,0,VLOOKUP(B293,'Regioturnier 2'!$J$3:$K$34,2,FALSE)),IF(ISNA(VLOOKUP(B293,'Regioturnier 2'!$N$3:$O$34,2,FALSE))=TRUE,0,VLOOKUP(B293,'Regioturnier 2'!$N$3:$O$34,2,FALSE)),IF(ISNA(VLOOKUP(B293,'Regioturnier 2'!$R$3:$S$34,2,FALSE))=TRUE,0,VLOOKUP(B293,'Regioturnier 2'!$R$3:$S$34,2,FALSE)), IF(ISNA(VLOOKUP(B293,'Regioturnier 2'!$V$3:$W$34,2,FALSE))=TRUE,0,VLOOKUP(B293,'Regioturnier 2'!$V$3:$W$34,2,FALSE)), IF(ISNA(VLOOKUP(B293,'Regioturnier 2'!$Z$3:$AA$34,2,FALSE))=TRUE,0,VLOOKUP(B293,'Regioturnier 2'!$Z$3:$AA$34,2,FALSE)))</f>
        <v>0</v>
      </c>
      <c r="Q293" s="15">
        <f>MAX(IF(ISNA(VLOOKUP(B293,'Regioturnier 3'!$B$3:$C$34,2,FALSE))=TRUE,0,VLOOKUP(B293,'Regioturnier 3'!$B$3:$C$34,2,FALSE)),IF(ISNA(VLOOKUP(B293,'Regioturnier 3'!$F$3:$G$34,2,FALSE))=TRUE,0,VLOOKUP(B293,'Regioturnier 3'!$F$3:$G$34,2,FALSE)),IF(ISNA(VLOOKUP(B293,'Regioturnier 3'!$J$3:$K$34,2,FALSE))=TRUE,0,VLOOKUP(B293,'Regioturnier 3'!$J$3:$K$34,2,FALSE)),IF(ISNA(VLOOKUP(B293,'Regioturnier 3'!$N$3:$O$34,2,FALSE))=TRUE,0,VLOOKUP(B293,'Regioturnier 3'!$N$3:$O$34,2,FALSE)),IF(ISNA(VLOOKUP(B293,'Regioturnier 3'!$R$3:$S$34,2,FALSE))=TRUE,0,VLOOKUP(B293,'Regioturnier 3'!$R$3:$S$34,2,FALSE)), IF(ISNA(VLOOKUP(B293,'Regioturnier 3'!$V$3:$W$34,2,FALSE))=TRUE,0,VLOOKUP(B293,'Regioturnier 3'!$V$3:$W$34,2,FALSE)), IF(ISNA(VLOOKUP(B293,'Regioturnier 3'!$Z$3:$AA$34,2,FALSE))=TRUE,0,VLOOKUP(B293,'Regioturnier 3'!$Z$3:$AA$34,2,FALSE)))</f>
        <v>0</v>
      </c>
      <c r="R293" s="20">
        <f>0.5*INDEX($H293:$N293,MATCH(LARGE($H293:$N293,1),$H293:$N293,0))+0.3*INDEX($H293:$N293,MATCH(LARGE($H293:$N293,2),$H293:$N293,0))+0.2*INDEX($H293:$N293,MATCH(LARGE($H293:$N293,3),$H293:$N293,0))</f>
        <v>0</v>
      </c>
      <c r="S293" s="20">
        <f>0.6*INDEX(O293:Q293,MATCH(LARGE(O293:Q293,1),O293:Q293,0))+0.4*INDEX(O293:Q293,MATCH(LARGE(O293:Q293,2),O293:Q293,0))+0*INDEX(O293:Q293,MATCH(LARGE(O293:Q293,3),O293:Q293,0))</f>
        <v>0</v>
      </c>
      <c r="T293" s="15">
        <f>1*INDEX(R293:S293,MATCH(LARGE(R293:S293,1),R293:S293,0))+0*INDEX(R293:S293,MATCH(LARGE(R293:S293,2),R293:S293,0))</f>
        <v>0</v>
      </c>
      <c r="U293" s="21"/>
      <c r="V293" s="21"/>
      <c r="W293" s="21"/>
      <c r="X293" s="21"/>
      <c r="Y293" s="21"/>
      <c r="Z293" s="21"/>
    </row>
    <row r="294" spans="1:26" ht="12.75" customHeight="1" x14ac:dyDescent="0.3">
      <c r="A294" s="15">
        <v>293</v>
      </c>
      <c r="B294" s="16" t="s">
        <v>275</v>
      </c>
      <c r="C294" s="17" t="s">
        <v>54</v>
      </c>
      <c r="D294" s="15" t="s">
        <v>22</v>
      </c>
      <c r="E294" s="18" t="s">
        <v>23</v>
      </c>
      <c r="F294" s="15"/>
      <c r="G294" s="22">
        <v>2013</v>
      </c>
      <c r="H294" s="15">
        <f>MAX(IF(ISNA(VLOOKUP(B294,'WBV 1'!$B$3:$C$34,2,FALSE))=TRUE,0,VLOOKUP(B294,'WBV 1'!$B$3:$C$34,2,FALSE)),IF(ISNA(VLOOKUP(B294,'WBV 1'!$F$3:$G$34,2,FALSE))=TRUE,0,VLOOKUP(B294,'WBV 1'!$F$3:$G$34,2,FALSE)),IF(ISNA(VLOOKUP(B294,'WBV 1'!$J$3:$K$34,2,FALSE))=TRUE,0,VLOOKUP(B294,'WBV 1'!$J$3:$K$34,2,FALSE)),IF(ISNA(VLOOKUP(B294,'WBV 1'!$N$3:$O$34,2,FALSE))=TRUE,0,VLOOKUP(B294,'WBV 1'!$N$3:$O$34,2,FALSE)))</f>
        <v>0</v>
      </c>
      <c r="I294" s="15">
        <f>MAX(IF(ISNA(VLOOKUP(B294,'WBV 2'!$B$3:$C$34,2,FALSE))=TRUE,0,VLOOKUP(B294,'WBV 2'!$B$3:$C$34,2,FALSE)),IF(ISNA(VLOOKUP(B294,'WBV 2'!$F$3:$G$34,2,FALSE))=TRUE,0,VLOOKUP(B294,'WBV 2'!$F$3:$G$34,2,FALSE)),IF(ISNA(VLOOKUP(B294,'WBV 2'!$J$3:$K$34,2,FALSE))=TRUE,0,VLOOKUP(B294,'WBV 2'!$J$3:$K$34,2,FALSE)),IF(ISNA(VLOOKUP(B294,'WBV 2'!$N$3:$O$34,2,FALSE))=TRUE,0,VLOOKUP(B294,'WBV 2'!$N$3:$O$34,2,FALSE)))</f>
        <v>0</v>
      </c>
      <c r="J294" s="15">
        <f>MAX(IF(ISNA(VLOOKUP(B294,'WBV 3'!$B$3:$C$34,2,FALSE))=TRUE,0,VLOOKUP(B294,'WBV 3'!$B$3:$C$34,2,FALSE)),IF(ISNA(VLOOKUP(B294,'WBV 3'!$F$3:$G$34,2,FALSE))=TRUE,0,VLOOKUP(B294,'WBV 3'!$F$3:$G$34,2,FALSE)),IF(ISNA(VLOOKUP(B294,'WBV 3'!$J$3:$K$34,2,FALSE))=TRUE,0,VLOOKUP(B294,'WBV 3'!$J$3:$K$34,2,FALSE)),IF(ISNA(VLOOKUP(B294,'WBV 3'!$N$3:$O$34,2,FALSE))=TRUE,0,VLOOKUP(B294,'WBV 3'!$N$3:$O$34,2,FALSE)))</f>
        <v>0</v>
      </c>
      <c r="K294" s="15">
        <f>MAX(IF(ISNA(VLOOKUP(B294,'WBV 4'!$B$3:$C$34,2,FALSE))=TRUE,0,VLOOKUP(B294,'WBV 4'!$B$3:$C$34,2,FALSE)),IF(ISNA(VLOOKUP(B294,'WBV 4'!$F$3:$G$34,2,FALSE))=TRUE,0,VLOOKUP(B294,'WBV 4'!$F$3:$G$34,2,FALSE)),IF(ISNA(VLOOKUP(B294,'WBV 4'!$J$3:$K$34,2,FALSE))=TRUE,0,VLOOKUP(B294,'WBV 4'!$J$3:$K$34,2,FALSE)),IF(ISNA(VLOOKUP(B294,'WBV 4'!$N$3:$O$34,2,FALSE))=TRUE,0,VLOOKUP(B294,'WBV 4'!$N$3:$O$34,2,FALSE)))</f>
        <v>0</v>
      </c>
      <c r="L294" s="19">
        <f>MAX(IF(ISNA(VLOOKUP(B294,'NÖBV 1'!$B$3:$C$34,2,FALSE))=TRUE,0,VLOOKUP(B294,'NÖBV 1'!$B$3:$C$34,2,FALSE)),IF(ISNA(VLOOKUP(B294,'NÖBV 1'!$F$3:$G$34,2,FALSE))=TRUE,0,VLOOKUP(B294,'NÖBV 1'!$F$3:$G$34,2,FALSE)),IF(ISNA(VLOOKUP(B294,'NÖBV 1'!$J$3:$K$34,2,FALSE))=TRUE,0,VLOOKUP(B294,'NÖBV 1'!$J$3:$K$34,2,FALSE)),IF(ISNA(VLOOKUP(B294,'NÖBV 1'!$N$3:$O$34,2,FALSE))=TRUE,0,VLOOKUP(B294,'NÖBV 1'!$N$3:$O$34,2,FALSE)))</f>
        <v>0</v>
      </c>
      <c r="M294" s="19">
        <f>MAX(IF(ISNA(VLOOKUP(B294,'NÖBV 2'!$B$3:$C$34,2,FALSE))=TRUE,0,VLOOKUP(B294,'NÖBV 2'!$B$3:$C$34,2,FALSE)),IF(ISNA(VLOOKUP(B294,'NÖBV 2'!$F$3:$G$34,2,FALSE))=TRUE,0,VLOOKUP(B294,'NÖBV 2'!$F$3:$G$34,2,FALSE)),IF(ISNA(VLOOKUP(B294,'NÖBV 2'!$J$3:$K$34,2,FALSE))=TRUE,0,VLOOKUP(B294,'NÖBV 2'!$J$3:$K$34,2,FALSE)),IF(ISNA(VLOOKUP(B294,'NÖBV 2'!$N$3:$O$34,2,FALSE))=TRUE,0,VLOOKUP(B294,'NÖBV 2'!$N$3:$O$34,2,FALSE)))</f>
        <v>0</v>
      </c>
      <c r="N294" s="19">
        <f>MAX(IF(ISNA(VLOOKUP(B294,'NÖBV 3'!$B$3:$C$34,2,FALSE))=TRUE,0,VLOOKUP(B294,'NÖBV 3'!$B$3:$C$34,2,FALSE)),IF(ISNA(VLOOKUP(B294,'NÖBV 3'!$F$3:$G$34,2,FALSE))=TRUE,0,VLOOKUP(B294,'NÖBV 3'!$F$3:$G$34,2,FALSE)),IF(ISNA(VLOOKUP(B294,'NÖBV 3'!$J$3:$K$34,2,FALSE))=TRUE,0,VLOOKUP(B294,'NÖBV 3'!$J$3:$K$34,2,FALSE)),IF(ISNA(VLOOKUP(B294,'NÖBV 3'!$N$3:$O$34,2,FALSE))=TRUE,0,VLOOKUP(B294,'NÖBV 3'!$N$3:$O$34,2,FALSE)))</f>
        <v>0</v>
      </c>
      <c r="O294" s="15">
        <f>MAX(IF(ISNA(VLOOKUP(B294,'Regioturnier 1'!$B$3:$C$34,2,FALSE))=TRUE,0,VLOOKUP(B294,'Regioturnier 1'!$B$3:$C$34,2,FALSE)),IF(ISNA(VLOOKUP(B294,'Regioturnier 1'!$F$3:$G$34,2,FALSE))=TRUE,0,VLOOKUP(B294,'Regioturnier 1'!$F$3:$G$34,2,FALSE)),IF(ISNA(VLOOKUP(B294,'Regioturnier 1'!$J$3:$K$34,2,FALSE))=TRUE,0,VLOOKUP(B294,'Regioturnier 1'!$J$3:$K$34,2,FALSE)),IF(ISNA(VLOOKUP(B294,'Regioturnier 1'!$N$3:$O$34,2,FALSE))=TRUE,0,VLOOKUP(B294,'Regioturnier 1'!$N$3:$O$34,2,FALSE)),IF(ISNA(VLOOKUP(B294,'Regioturnier 1'!$R$3:$S$34,2,FALSE))=TRUE,0,VLOOKUP(B294,'Regioturnier 1'!$R$3:$S$34,2,FALSE)), IF(ISNA(VLOOKUP(B294,'Regioturnier 1'!$V$3:$W$34,2,FALSE))=TRUE,0,VLOOKUP(B294,'Regioturnier 1'!$V$3:$W$34,2,FALSE)), IF(ISNA(VLOOKUP(B294,'Regioturnier 1'!$Z$3:$AA$34,2,FALSE))=TRUE,0,VLOOKUP(B294,'Regioturnier 1'!$Z$3:$AA$34,2,FALSE)))</f>
        <v>0</v>
      </c>
      <c r="P294" s="15">
        <f>MAX(IF(ISNA(VLOOKUP(B294,'Regioturnier 2'!$B$3:$C$34,2,FALSE))=TRUE,0,VLOOKUP(B294,'Regioturnier 2'!$B$3:$C$34,2,FALSE)),IF(ISNA(VLOOKUP(B294,'Regioturnier 2'!$F$3:$G$34,2,FALSE))=TRUE,0,VLOOKUP(B294,'Regioturnier 2'!$F$3:$G$34,2,FALSE)),IF(ISNA(VLOOKUP(B294,'Regioturnier 2'!$J$3:$K$34,2,FALSE))=TRUE,0,VLOOKUP(B294,'Regioturnier 2'!$J$3:$K$34,2,FALSE)),IF(ISNA(VLOOKUP(B294,'Regioturnier 2'!$N$3:$O$34,2,FALSE))=TRUE,0,VLOOKUP(B294,'Regioturnier 2'!$N$3:$O$34,2,FALSE)),IF(ISNA(VLOOKUP(B294,'Regioturnier 2'!$R$3:$S$34,2,FALSE))=TRUE,0,VLOOKUP(B294,'Regioturnier 2'!$R$3:$S$34,2,FALSE)), IF(ISNA(VLOOKUP(B294,'Regioturnier 2'!$V$3:$W$34,2,FALSE))=TRUE,0,VLOOKUP(B294,'Regioturnier 2'!$V$3:$W$34,2,FALSE)), IF(ISNA(VLOOKUP(B294,'Regioturnier 2'!$Z$3:$AA$34,2,FALSE))=TRUE,0,VLOOKUP(B294,'Regioturnier 2'!$Z$3:$AA$34,2,FALSE)))</f>
        <v>0</v>
      </c>
      <c r="Q294" s="15">
        <f>MAX(IF(ISNA(VLOOKUP(B294,'Regioturnier 3'!$B$3:$C$34,2,FALSE))=TRUE,0,VLOOKUP(B294,'Regioturnier 3'!$B$3:$C$34,2,FALSE)),IF(ISNA(VLOOKUP(B294,'Regioturnier 3'!$F$3:$G$34,2,FALSE))=TRUE,0,VLOOKUP(B294,'Regioturnier 3'!$F$3:$G$34,2,FALSE)),IF(ISNA(VLOOKUP(B294,'Regioturnier 3'!$J$3:$K$34,2,FALSE))=TRUE,0,VLOOKUP(B294,'Regioturnier 3'!$J$3:$K$34,2,FALSE)),IF(ISNA(VLOOKUP(B294,'Regioturnier 3'!$N$3:$O$34,2,FALSE))=TRUE,0,VLOOKUP(B294,'Regioturnier 3'!$N$3:$O$34,2,FALSE)),IF(ISNA(VLOOKUP(B294,'Regioturnier 3'!$R$3:$S$34,2,FALSE))=TRUE,0,VLOOKUP(B294,'Regioturnier 3'!$R$3:$S$34,2,FALSE)), IF(ISNA(VLOOKUP(B294,'Regioturnier 3'!$V$3:$W$34,2,FALSE))=TRUE,0,VLOOKUP(B294,'Regioturnier 3'!$V$3:$W$34,2,FALSE)), IF(ISNA(VLOOKUP(B294,'Regioturnier 3'!$Z$3:$AA$34,2,FALSE))=TRUE,0,VLOOKUP(B294,'Regioturnier 3'!$Z$3:$AA$34,2,FALSE)))</f>
        <v>0</v>
      </c>
      <c r="R294" s="20">
        <f>0.5*INDEX($H294:$N294,MATCH(LARGE($H294:$N294,1),$H294:$N294,0))+0.3*INDEX($H294:$N294,MATCH(LARGE($H294:$N294,2),$H294:$N294,0))+0.2*INDEX($H294:$N294,MATCH(LARGE($H294:$N294,3),$H294:$N294,0))</f>
        <v>0</v>
      </c>
      <c r="S294" s="20">
        <f t="array" ref="S294">0.5*INDEX(O294:Q294,MATCH(LARGE(O294:Q294,1),O294:Q294,0))+0.3*INDEX(O294:Q294,MATCH(LARGE(O294:Q294,2),O294:Q294,0))+0.2*INDEX(O294:Q294,MATCH(LARGE(O294:Q294,3),O294:Q294,0))</f>
        <v>0</v>
      </c>
      <c r="T294" s="15">
        <f>1*INDEX(R294:S294,MATCH(LARGE(R294:S294,1),R294:S294,0))+0*INDEX(R294:S294,MATCH(LARGE(R294:S294,2),R294:S294,0))</f>
        <v>0</v>
      </c>
      <c r="U294" s="21"/>
      <c r="V294" s="21"/>
      <c r="W294" s="21"/>
      <c r="X294" s="21"/>
      <c r="Y294" s="21"/>
      <c r="Z294" s="21"/>
    </row>
    <row r="295" spans="1:26" ht="12.75" customHeight="1" x14ac:dyDescent="0.3">
      <c r="A295" s="15">
        <v>294</v>
      </c>
      <c r="B295" s="16" t="s">
        <v>276</v>
      </c>
      <c r="C295" s="17" t="s">
        <v>54</v>
      </c>
      <c r="D295" s="15" t="s">
        <v>22</v>
      </c>
      <c r="E295" s="18" t="s">
        <v>40</v>
      </c>
      <c r="F295" s="15"/>
      <c r="G295" s="22">
        <v>2010</v>
      </c>
      <c r="H295" s="15">
        <f>MAX(IF(ISNA(VLOOKUP(B295,'WBV 1'!$B$3:$C$34,2,FALSE))=TRUE,0,VLOOKUP(B295,'WBV 1'!$B$3:$C$34,2,FALSE)),IF(ISNA(VLOOKUP(B295,'WBV 1'!$F$3:$G$34,2,FALSE))=TRUE,0,VLOOKUP(B295,'WBV 1'!$F$3:$G$34,2,FALSE)),IF(ISNA(VLOOKUP(B295,'WBV 1'!$J$3:$K$34,2,FALSE))=TRUE,0,VLOOKUP(B295,'WBV 1'!$J$3:$K$34,2,FALSE)),IF(ISNA(VLOOKUP(B295,'WBV 1'!$N$3:$O$34,2,FALSE))=TRUE,0,VLOOKUP(B295,'WBV 1'!$N$3:$O$34,2,FALSE)))</f>
        <v>0</v>
      </c>
      <c r="I295" s="15">
        <f>MAX(IF(ISNA(VLOOKUP(B295,'WBV 2'!$B$3:$C$34,2,FALSE))=TRUE,0,VLOOKUP(B295,'WBV 2'!$B$3:$C$34,2,FALSE)),IF(ISNA(VLOOKUP(B295,'WBV 2'!$F$3:$G$34,2,FALSE))=TRUE,0,VLOOKUP(B295,'WBV 2'!$F$3:$G$34,2,FALSE)),IF(ISNA(VLOOKUP(B295,'WBV 2'!$J$3:$K$34,2,FALSE))=TRUE,0,VLOOKUP(B295,'WBV 2'!$J$3:$K$34,2,FALSE)),IF(ISNA(VLOOKUP(B295,'WBV 2'!$N$3:$O$34,2,FALSE))=TRUE,0,VLOOKUP(B295,'WBV 2'!$N$3:$O$34,2,FALSE)))</f>
        <v>0</v>
      </c>
      <c r="J295" s="15">
        <f>MAX(IF(ISNA(VLOOKUP(B295,'WBV 3'!$B$3:$C$34,2,FALSE))=TRUE,0,VLOOKUP(B295,'WBV 3'!$B$3:$C$34,2,FALSE)),IF(ISNA(VLOOKUP(B295,'WBV 3'!$F$3:$G$34,2,FALSE))=TRUE,0,VLOOKUP(B295,'WBV 3'!$F$3:$G$34,2,FALSE)),IF(ISNA(VLOOKUP(B295,'WBV 3'!$J$3:$K$34,2,FALSE))=TRUE,0,VLOOKUP(B295,'WBV 3'!$J$3:$K$34,2,FALSE)),IF(ISNA(VLOOKUP(B295,'WBV 3'!$N$3:$O$34,2,FALSE))=TRUE,0,VLOOKUP(B295,'WBV 3'!$N$3:$O$34,2,FALSE)))</f>
        <v>0</v>
      </c>
      <c r="K295" s="15">
        <f>MAX(IF(ISNA(VLOOKUP(B295,'WBV 4'!$B$3:$C$34,2,FALSE))=TRUE,0,VLOOKUP(B295,'WBV 4'!$B$3:$C$34,2,FALSE)),IF(ISNA(VLOOKUP(B295,'WBV 4'!$F$3:$G$34,2,FALSE))=TRUE,0,VLOOKUP(B295,'WBV 4'!$F$3:$G$34,2,FALSE)),IF(ISNA(VLOOKUP(B295,'WBV 4'!$J$3:$K$34,2,FALSE))=TRUE,0,VLOOKUP(B295,'WBV 4'!$J$3:$K$34,2,FALSE)),IF(ISNA(VLOOKUP(B295,'WBV 4'!$N$3:$O$34,2,FALSE))=TRUE,0,VLOOKUP(B295,'WBV 4'!$N$3:$O$34,2,FALSE)))</f>
        <v>0</v>
      </c>
      <c r="L295" s="19">
        <f>MAX(IF(ISNA(VLOOKUP(B295,'NÖBV 1'!$B$3:$C$34,2,FALSE))=TRUE,0,VLOOKUP(B295,'NÖBV 1'!$B$3:$C$34,2,FALSE)),IF(ISNA(VLOOKUP(B295,'NÖBV 1'!$F$3:$G$34,2,FALSE))=TRUE,0,VLOOKUP(B295,'NÖBV 1'!$F$3:$G$34,2,FALSE)),IF(ISNA(VLOOKUP(B295,'NÖBV 1'!$J$3:$K$34,2,FALSE))=TRUE,0,VLOOKUP(B295,'NÖBV 1'!$J$3:$K$34,2,FALSE)),IF(ISNA(VLOOKUP(B295,'NÖBV 1'!$N$3:$O$34,2,FALSE))=TRUE,0,VLOOKUP(B295,'NÖBV 1'!$N$3:$O$34,2,FALSE)))</f>
        <v>0</v>
      </c>
      <c r="M295" s="19">
        <f>MAX(IF(ISNA(VLOOKUP(B295,'NÖBV 2'!$B$3:$C$34,2,FALSE))=TRUE,0,VLOOKUP(B295,'NÖBV 2'!$B$3:$C$34,2,FALSE)),IF(ISNA(VLOOKUP(B295,'NÖBV 2'!$F$3:$G$34,2,FALSE))=TRUE,0,VLOOKUP(B295,'NÖBV 2'!$F$3:$G$34,2,FALSE)),IF(ISNA(VLOOKUP(B295,'NÖBV 2'!$J$3:$K$34,2,FALSE))=TRUE,0,VLOOKUP(B295,'NÖBV 2'!$J$3:$K$34,2,FALSE)),IF(ISNA(VLOOKUP(B295,'NÖBV 2'!$N$3:$O$34,2,FALSE))=TRUE,0,VLOOKUP(B295,'NÖBV 2'!$N$3:$O$34,2,FALSE)))</f>
        <v>0</v>
      </c>
      <c r="N295" s="19">
        <f>MAX(IF(ISNA(VLOOKUP(B295,'NÖBV 3'!$B$3:$C$34,2,FALSE))=TRUE,0,VLOOKUP(B295,'NÖBV 3'!$B$3:$C$34,2,FALSE)),IF(ISNA(VLOOKUP(B295,'NÖBV 3'!$F$3:$G$34,2,FALSE))=TRUE,0,VLOOKUP(B295,'NÖBV 3'!$F$3:$G$34,2,FALSE)),IF(ISNA(VLOOKUP(B295,'NÖBV 3'!$J$3:$K$34,2,FALSE))=TRUE,0,VLOOKUP(B295,'NÖBV 3'!$J$3:$K$34,2,FALSE)),IF(ISNA(VLOOKUP(B295,'NÖBV 3'!$N$3:$O$34,2,FALSE))=TRUE,0,VLOOKUP(B295,'NÖBV 3'!$N$3:$O$34,2,FALSE)))</f>
        <v>0</v>
      </c>
      <c r="O295" s="15">
        <f>MAX(IF(ISNA(VLOOKUP(B295,'Regioturnier 1'!$B$3:$C$34,2,FALSE))=TRUE,0,VLOOKUP(B295,'Regioturnier 1'!$B$3:$C$34,2,FALSE)),IF(ISNA(VLOOKUP(B295,'Regioturnier 1'!$F$3:$G$34,2,FALSE))=TRUE,0,VLOOKUP(B295,'Regioturnier 1'!$F$3:$G$34,2,FALSE)),IF(ISNA(VLOOKUP(B295,'Regioturnier 1'!$J$3:$K$34,2,FALSE))=TRUE,0,VLOOKUP(B295,'Regioturnier 1'!$J$3:$K$34,2,FALSE)),IF(ISNA(VLOOKUP(B295,'Regioturnier 1'!$N$3:$O$34,2,FALSE))=TRUE,0,VLOOKUP(B295,'Regioturnier 1'!$N$3:$O$34,2,FALSE)),IF(ISNA(VLOOKUP(B295,'Regioturnier 1'!$R$3:$S$34,2,FALSE))=TRUE,0,VLOOKUP(B295,'Regioturnier 1'!$R$3:$S$34,2,FALSE)), IF(ISNA(VLOOKUP(B295,'Regioturnier 1'!$V$3:$W$34,2,FALSE))=TRUE,0,VLOOKUP(B295,'Regioturnier 1'!$V$3:$W$34,2,FALSE)), IF(ISNA(VLOOKUP(B295,'Regioturnier 1'!$Z$3:$AA$34,2,FALSE))=TRUE,0,VLOOKUP(B295,'Regioturnier 1'!$Z$3:$AA$34,2,FALSE)))</f>
        <v>0</v>
      </c>
      <c r="P295" s="15">
        <f>MAX(IF(ISNA(VLOOKUP(B295,'Regioturnier 2'!$B$3:$C$34,2,FALSE))=TRUE,0,VLOOKUP(B295,'Regioturnier 2'!$B$3:$C$34,2,FALSE)),IF(ISNA(VLOOKUP(B295,'Regioturnier 2'!$F$3:$G$34,2,FALSE))=TRUE,0,VLOOKUP(B295,'Regioturnier 2'!$F$3:$G$34,2,FALSE)),IF(ISNA(VLOOKUP(B295,'Regioturnier 2'!$J$3:$K$34,2,FALSE))=TRUE,0,VLOOKUP(B295,'Regioturnier 2'!$J$3:$K$34,2,FALSE)),IF(ISNA(VLOOKUP(B295,'Regioturnier 2'!$N$3:$O$34,2,FALSE))=TRUE,0,VLOOKUP(B295,'Regioturnier 2'!$N$3:$O$34,2,FALSE)),IF(ISNA(VLOOKUP(B295,'Regioturnier 2'!$R$3:$S$34,2,FALSE))=TRUE,0,VLOOKUP(B295,'Regioturnier 2'!$R$3:$S$34,2,FALSE)), IF(ISNA(VLOOKUP(B295,'Regioturnier 2'!$V$3:$W$34,2,FALSE))=TRUE,0,VLOOKUP(B295,'Regioturnier 2'!$V$3:$W$34,2,FALSE)), IF(ISNA(VLOOKUP(B295,'Regioturnier 2'!$Z$3:$AA$34,2,FALSE))=TRUE,0,VLOOKUP(B295,'Regioturnier 2'!$Z$3:$AA$34,2,FALSE)))</f>
        <v>0</v>
      </c>
      <c r="Q295" s="15">
        <f>MAX(IF(ISNA(VLOOKUP(B295,'Regioturnier 3'!$B$3:$C$34,2,FALSE))=TRUE,0,VLOOKUP(B295,'Regioturnier 3'!$B$3:$C$34,2,FALSE)),IF(ISNA(VLOOKUP(B295,'Regioturnier 3'!$F$3:$G$34,2,FALSE))=TRUE,0,VLOOKUP(B295,'Regioturnier 3'!$F$3:$G$34,2,FALSE)),IF(ISNA(VLOOKUP(B295,'Regioturnier 3'!$J$3:$K$34,2,FALSE))=TRUE,0,VLOOKUP(B295,'Regioturnier 3'!$J$3:$K$34,2,FALSE)),IF(ISNA(VLOOKUP(B295,'Regioturnier 3'!$N$3:$O$34,2,FALSE))=TRUE,0,VLOOKUP(B295,'Regioturnier 3'!$N$3:$O$34,2,FALSE)),IF(ISNA(VLOOKUP(B295,'Regioturnier 3'!$R$3:$S$34,2,FALSE))=TRUE,0,VLOOKUP(B295,'Regioturnier 3'!$R$3:$S$34,2,FALSE)), IF(ISNA(VLOOKUP(B295,'Regioturnier 3'!$V$3:$W$34,2,FALSE))=TRUE,0,VLOOKUP(B295,'Regioturnier 3'!$V$3:$W$34,2,FALSE)), IF(ISNA(VLOOKUP(B295,'Regioturnier 3'!$Z$3:$AA$34,2,FALSE))=TRUE,0,VLOOKUP(B295,'Regioturnier 3'!$Z$3:$AA$34,2,FALSE)))</f>
        <v>0</v>
      </c>
      <c r="R295" s="20">
        <f>0.5*INDEX($H295:$N295,MATCH(LARGE($H295:$N295,1),$H295:$N295,0))+0.3*INDEX($H295:$N295,MATCH(LARGE($H295:$N295,2),$H295:$N295,0))+0.2*INDEX($H295:$N295,MATCH(LARGE($H295:$N295,3),$H295:$N295,0))</f>
        <v>0</v>
      </c>
      <c r="S295" s="20">
        <f>0.6*INDEX(O295:Q295,MATCH(LARGE(O295:Q295,1),O295:Q295,0))+0.4*INDEX(O295:Q295,MATCH(LARGE(O295:Q295,2),O295:Q295,0))+0*INDEX(O295:Q295,MATCH(LARGE(O295:Q295,3),O295:Q295,0))</f>
        <v>0</v>
      </c>
      <c r="T295" s="15">
        <f>1*INDEX(R295:S295,MATCH(LARGE(R295:S295,1),R295:S295,0))+0*INDEX(R295:S295,MATCH(LARGE(R295:S295,2),R295:S295,0))</f>
        <v>0</v>
      </c>
      <c r="U295" s="21"/>
      <c r="V295" s="21"/>
      <c r="W295" s="21"/>
      <c r="X295" s="21"/>
      <c r="Y295" s="21"/>
      <c r="Z295" s="21"/>
    </row>
    <row r="296" spans="1:26" ht="12.75" customHeight="1" x14ac:dyDescent="0.3">
      <c r="A296" s="15">
        <v>295</v>
      </c>
      <c r="B296" s="16" t="s">
        <v>277</v>
      </c>
      <c r="C296" s="17" t="s">
        <v>54</v>
      </c>
      <c r="D296" s="15" t="s">
        <v>22</v>
      </c>
      <c r="E296" s="18" t="s">
        <v>40</v>
      </c>
      <c r="F296" s="15"/>
      <c r="G296" s="22">
        <v>2013</v>
      </c>
      <c r="H296" s="15">
        <f>MAX(IF(ISNA(VLOOKUP(B296,'WBV 1'!$B$3:$C$34,2,FALSE))=TRUE,0,VLOOKUP(B296,'WBV 1'!$B$3:$C$34,2,FALSE)),IF(ISNA(VLOOKUP(B296,'WBV 1'!$F$3:$G$34,2,FALSE))=TRUE,0,VLOOKUP(B296,'WBV 1'!$F$3:$G$34,2,FALSE)),IF(ISNA(VLOOKUP(B296,'WBV 1'!$J$3:$K$34,2,FALSE))=TRUE,0,VLOOKUP(B296,'WBV 1'!$J$3:$K$34,2,FALSE)),IF(ISNA(VLOOKUP(B296,'WBV 1'!$N$3:$O$34,2,FALSE))=TRUE,0,VLOOKUP(B296,'WBV 1'!$N$3:$O$34,2,FALSE)))</f>
        <v>0</v>
      </c>
      <c r="I296" s="15">
        <f>MAX(IF(ISNA(VLOOKUP(B296,'WBV 2'!$B$3:$C$34,2,FALSE))=TRUE,0,VLOOKUP(B296,'WBV 2'!$B$3:$C$34,2,FALSE)),IF(ISNA(VLOOKUP(B296,'WBV 2'!$F$3:$G$34,2,FALSE))=TRUE,0,VLOOKUP(B296,'WBV 2'!$F$3:$G$34,2,FALSE)),IF(ISNA(VLOOKUP(B296,'WBV 2'!$J$3:$K$34,2,FALSE))=TRUE,0,VLOOKUP(B296,'WBV 2'!$J$3:$K$34,2,FALSE)),IF(ISNA(VLOOKUP(B296,'WBV 2'!$N$3:$O$34,2,FALSE))=TRUE,0,VLOOKUP(B296,'WBV 2'!$N$3:$O$34,2,FALSE)))</f>
        <v>0</v>
      </c>
      <c r="J296" s="15">
        <f>MAX(IF(ISNA(VLOOKUP(B296,'WBV 3'!$B$3:$C$34,2,FALSE))=TRUE,0,VLOOKUP(B296,'WBV 3'!$B$3:$C$34,2,FALSE)),IF(ISNA(VLOOKUP(B296,'WBV 3'!$F$3:$G$34,2,FALSE))=TRUE,0,VLOOKUP(B296,'WBV 3'!$F$3:$G$34,2,FALSE)),IF(ISNA(VLOOKUP(B296,'WBV 3'!$J$3:$K$34,2,FALSE))=TRUE,0,VLOOKUP(B296,'WBV 3'!$J$3:$K$34,2,FALSE)),IF(ISNA(VLOOKUP(B296,'WBV 3'!$N$3:$O$34,2,FALSE))=TRUE,0,VLOOKUP(B296,'WBV 3'!$N$3:$O$34,2,FALSE)))</f>
        <v>0</v>
      </c>
      <c r="K296" s="15">
        <f>MAX(IF(ISNA(VLOOKUP(B296,'WBV 4'!$B$3:$C$34,2,FALSE))=TRUE,0,VLOOKUP(B296,'WBV 4'!$B$3:$C$34,2,FALSE)),IF(ISNA(VLOOKUP(B296,'WBV 4'!$F$3:$G$34,2,FALSE))=TRUE,0,VLOOKUP(B296,'WBV 4'!$F$3:$G$34,2,FALSE)),IF(ISNA(VLOOKUP(B296,'WBV 4'!$J$3:$K$34,2,FALSE))=TRUE,0,VLOOKUP(B296,'WBV 4'!$J$3:$K$34,2,FALSE)),IF(ISNA(VLOOKUP(B296,'WBV 4'!$N$3:$O$34,2,FALSE))=TRUE,0,VLOOKUP(B296,'WBV 4'!$N$3:$O$34,2,FALSE)))</f>
        <v>0</v>
      </c>
      <c r="L296" s="19">
        <f>MAX(IF(ISNA(VLOOKUP(B296,'NÖBV 1'!$B$3:$C$34,2,FALSE))=TRUE,0,VLOOKUP(B296,'NÖBV 1'!$B$3:$C$34,2,FALSE)),IF(ISNA(VLOOKUP(B296,'NÖBV 1'!$F$3:$G$34,2,FALSE))=TRUE,0,VLOOKUP(B296,'NÖBV 1'!$F$3:$G$34,2,FALSE)),IF(ISNA(VLOOKUP(B296,'NÖBV 1'!$J$3:$K$34,2,FALSE))=TRUE,0,VLOOKUP(B296,'NÖBV 1'!$J$3:$K$34,2,FALSE)),IF(ISNA(VLOOKUP(B296,'NÖBV 1'!$N$3:$O$34,2,FALSE))=TRUE,0,VLOOKUP(B296,'NÖBV 1'!$N$3:$O$34,2,FALSE)))</f>
        <v>0</v>
      </c>
      <c r="M296" s="19">
        <f>MAX(IF(ISNA(VLOOKUP(B296,'NÖBV 2'!$B$3:$C$34,2,FALSE))=TRUE,0,VLOOKUP(B296,'NÖBV 2'!$B$3:$C$34,2,FALSE)),IF(ISNA(VLOOKUP(B296,'NÖBV 2'!$F$3:$G$34,2,FALSE))=TRUE,0,VLOOKUP(B296,'NÖBV 2'!$F$3:$G$34,2,FALSE)),IF(ISNA(VLOOKUP(B296,'NÖBV 2'!$J$3:$K$34,2,FALSE))=TRUE,0,VLOOKUP(B296,'NÖBV 2'!$J$3:$K$34,2,FALSE)),IF(ISNA(VLOOKUP(B296,'NÖBV 2'!$N$3:$O$34,2,FALSE))=TRUE,0,VLOOKUP(B296,'NÖBV 2'!$N$3:$O$34,2,FALSE)))</f>
        <v>0</v>
      </c>
      <c r="N296" s="19">
        <f>MAX(IF(ISNA(VLOOKUP(B296,'NÖBV 3'!$B$3:$C$34,2,FALSE))=TRUE,0,VLOOKUP(B296,'NÖBV 3'!$B$3:$C$34,2,FALSE)),IF(ISNA(VLOOKUP(B296,'NÖBV 3'!$F$3:$G$34,2,FALSE))=TRUE,0,VLOOKUP(B296,'NÖBV 3'!$F$3:$G$34,2,FALSE)),IF(ISNA(VLOOKUP(B296,'NÖBV 3'!$J$3:$K$34,2,FALSE))=TRUE,0,VLOOKUP(B296,'NÖBV 3'!$J$3:$K$34,2,FALSE)),IF(ISNA(VLOOKUP(B296,'NÖBV 3'!$N$3:$O$34,2,FALSE))=TRUE,0,VLOOKUP(B296,'NÖBV 3'!$N$3:$O$34,2,FALSE)))</f>
        <v>0</v>
      </c>
      <c r="O296" s="15">
        <f>MAX(IF(ISNA(VLOOKUP(B296,'Regioturnier 1'!$B$3:$C$34,2,FALSE))=TRUE,0,VLOOKUP(B296,'Regioturnier 1'!$B$3:$C$34,2,FALSE)),IF(ISNA(VLOOKUP(B296,'Regioturnier 1'!$F$3:$G$34,2,FALSE))=TRUE,0,VLOOKUP(B296,'Regioturnier 1'!$F$3:$G$34,2,FALSE)),IF(ISNA(VLOOKUP(B296,'Regioturnier 1'!$J$3:$K$34,2,FALSE))=TRUE,0,VLOOKUP(B296,'Regioturnier 1'!$J$3:$K$34,2,FALSE)),IF(ISNA(VLOOKUP(B296,'Regioturnier 1'!$N$3:$O$34,2,FALSE))=TRUE,0,VLOOKUP(B296,'Regioturnier 1'!$N$3:$O$34,2,FALSE)),IF(ISNA(VLOOKUP(B296,'Regioturnier 1'!$R$3:$S$34,2,FALSE))=TRUE,0,VLOOKUP(B296,'Regioturnier 1'!$R$3:$S$34,2,FALSE)), IF(ISNA(VLOOKUP(B296,'Regioturnier 1'!$V$3:$W$34,2,FALSE))=TRUE,0,VLOOKUP(B296,'Regioturnier 1'!$V$3:$W$34,2,FALSE)), IF(ISNA(VLOOKUP(B296,'Regioturnier 1'!$Z$3:$AA$34,2,FALSE))=TRUE,0,VLOOKUP(B296,'Regioturnier 1'!$Z$3:$AA$34,2,FALSE)))</f>
        <v>0</v>
      </c>
      <c r="P296" s="15">
        <f>MAX(IF(ISNA(VLOOKUP(B296,'Regioturnier 2'!$B$3:$C$34,2,FALSE))=TRUE,0,VLOOKUP(B296,'Regioturnier 2'!$B$3:$C$34,2,FALSE)),IF(ISNA(VLOOKUP(B296,'Regioturnier 2'!$F$3:$G$34,2,FALSE))=TRUE,0,VLOOKUP(B296,'Regioturnier 2'!$F$3:$G$34,2,FALSE)),IF(ISNA(VLOOKUP(B296,'Regioturnier 2'!$J$3:$K$34,2,FALSE))=TRUE,0,VLOOKUP(B296,'Regioturnier 2'!$J$3:$K$34,2,FALSE)),IF(ISNA(VLOOKUP(B296,'Regioturnier 2'!$N$3:$O$34,2,FALSE))=TRUE,0,VLOOKUP(B296,'Regioturnier 2'!$N$3:$O$34,2,FALSE)),IF(ISNA(VLOOKUP(B296,'Regioturnier 2'!$R$3:$S$34,2,FALSE))=TRUE,0,VLOOKUP(B296,'Regioturnier 2'!$R$3:$S$34,2,FALSE)), IF(ISNA(VLOOKUP(B296,'Regioturnier 2'!$V$3:$W$34,2,FALSE))=TRUE,0,VLOOKUP(B296,'Regioturnier 2'!$V$3:$W$34,2,FALSE)), IF(ISNA(VLOOKUP(B296,'Regioturnier 2'!$Z$3:$AA$34,2,FALSE))=TRUE,0,VLOOKUP(B296,'Regioturnier 2'!$Z$3:$AA$34,2,FALSE)))</f>
        <v>0</v>
      </c>
      <c r="Q296" s="15">
        <f>MAX(IF(ISNA(VLOOKUP(B296,'Regioturnier 3'!$B$3:$C$34,2,FALSE))=TRUE,0,VLOOKUP(B296,'Regioturnier 3'!$B$3:$C$34,2,FALSE)),IF(ISNA(VLOOKUP(B296,'Regioturnier 3'!$F$3:$G$34,2,FALSE))=TRUE,0,VLOOKUP(B296,'Regioturnier 3'!$F$3:$G$34,2,FALSE)),IF(ISNA(VLOOKUP(B296,'Regioturnier 3'!$J$3:$K$34,2,FALSE))=TRUE,0,VLOOKUP(B296,'Regioturnier 3'!$J$3:$K$34,2,FALSE)),IF(ISNA(VLOOKUP(B296,'Regioturnier 3'!$N$3:$O$34,2,FALSE))=TRUE,0,VLOOKUP(B296,'Regioturnier 3'!$N$3:$O$34,2,FALSE)),IF(ISNA(VLOOKUP(B296,'Regioturnier 3'!$R$3:$S$34,2,FALSE))=TRUE,0,VLOOKUP(B296,'Regioturnier 3'!$R$3:$S$34,2,FALSE)), IF(ISNA(VLOOKUP(B296,'Regioturnier 3'!$V$3:$W$34,2,FALSE))=TRUE,0,VLOOKUP(B296,'Regioturnier 3'!$V$3:$W$34,2,FALSE)), IF(ISNA(VLOOKUP(B296,'Regioturnier 3'!$Z$3:$AA$34,2,FALSE))=TRUE,0,VLOOKUP(B296,'Regioturnier 3'!$Z$3:$AA$34,2,FALSE)))</f>
        <v>0</v>
      </c>
      <c r="R296" s="20">
        <f>0.5*INDEX($H296:$N296,MATCH(LARGE($H296:$N296,1),$H296:$N296,0))+0.3*INDEX($H296:$N296,MATCH(LARGE($H296:$N296,2),$H296:$N296,0))+0.2*INDEX($H296:$N296,MATCH(LARGE($H296:$N296,3),$H296:$N296,0))</f>
        <v>0</v>
      </c>
      <c r="S296" s="20">
        <f>0.6*INDEX(O296:Q296,MATCH(LARGE(O296:Q296,1),O296:Q296,0))+0.4*INDEX(O296:Q296,MATCH(LARGE(O296:Q296,2),O296:Q296,0))+0*INDEX(O296:Q296,MATCH(LARGE(O296:Q296,3),O296:Q296,0))</f>
        <v>0</v>
      </c>
      <c r="T296" s="15">
        <f>1*INDEX(R296:S296,MATCH(LARGE(R296:S296,1),R296:S296,0))+0*INDEX(R296:S296,MATCH(LARGE(R296:S296,2),R296:S296,0))</f>
        <v>0</v>
      </c>
      <c r="U296" s="21"/>
      <c r="V296" s="21"/>
      <c r="W296" s="21"/>
      <c r="X296" s="21"/>
      <c r="Y296" s="21"/>
      <c r="Z296" s="21"/>
    </row>
    <row r="297" spans="1:26" ht="12.75" customHeight="1" x14ac:dyDescent="0.3">
      <c r="A297" s="15">
        <v>296</v>
      </c>
      <c r="B297" s="16" t="s">
        <v>278</v>
      </c>
      <c r="C297" s="17" t="s">
        <v>54</v>
      </c>
      <c r="D297" s="15" t="s">
        <v>22</v>
      </c>
      <c r="E297" s="18" t="s">
        <v>23</v>
      </c>
      <c r="F297" s="15"/>
      <c r="G297" s="22">
        <v>2010</v>
      </c>
      <c r="H297" s="15">
        <f>MAX(IF(ISNA(VLOOKUP(B297,'WBV 1'!$B$3:$C$34,2,FALSE))=TRUE,0,VLOOKUP(B297,'WBV 1'!$B$3:$C$34,2,FALSE)),IF(ISNA(VLOOKUP(B297,'WBV 1'!$F$3:$G$34,2,FALSE))=TRUE,0,VLOOKUP(B297,'WBV 1'!$F$3:$G$34,2,FALSE)),IF(ISNA(VLOOKUP(B297,'WBV 1'!$J$3:$K$34,2,FALSE))=TRUE,0,VLOOKUP(B297,'WBV 1'!$J$3:$K$34,2,FALSE)),IF(ISNA(VLOOKUP(B297,'WBV 1'!$N$3:$O$34,2,FALSE))=TRUE,0,VLOOKUP(B297,'WBV 1'!$N$3:$O$34,2,FALSE)))</f>
        <v>0</v>
      </c>
      <c r="I297" s="15">
        <f>MAX(IF(ISNA(VLOOKUP(B297,'WBV 2'!$B$3:$C$34,2,FALSE))=TRUE,0,VLOOKUP(B297,'WBV 2'!$B$3:$C$34,2,FALSE)),IF(ISNA(VLOOKUP(B297,'WBV 2'!$F$3:$G$34,2,FALSE))=TRUE,0,VLOOKUP(B297,'WBV 2'!$F$3:$G$34,2,FALSE)),IF(ISNA(VLOOKUP(B297,'WBV 2'!$J$3:$K$34,2,FALSE))=TRUE,0,VLOOKUP(B297,'WBV 2'!$J$3:$K$34,2,FALSE)),IF(ISNA(VLOOKUP(B297,'WBV 2'!$N$3:$O$34,2,FALSE))=TRUE,0,VLOOKUP(B297,'WBV 2'!$N$3:$O$34,2,FALSE)))</f>
        <v>0</v>
      </c>
      <c r="J297" s="15">
        <f>MAX(IF(ISNA(VLOOKUP(B297,'WBV 3'!$B$3:$C$34,2,FALSE))=TRUE,0,VLOOKUP(B297,'WBV 3'!$B$3:$C$34,2,FALSE)),IF(ISNA(VLOOKUP(B297,'WBV 3'!$F$3:$G$34,2,FALSE))=TRUE,0,VLOOKUP(B297,'WBV 3'!$F$3:$G$34,2,FALSE)),IF(ISNA(VLOOKUP(B297,'WBV 3'!$J$3:$K$34,2,FALSE))=TRUE,0,VLOOKUP(B297,'WBV 3'!$J$3:$K$34,2,FALSE)),IF(ISNA(VLOOKUP(B297,'WBV 3'!$N$3:$O$34,2,FALSE))=TRUE,0,VLOOKUP(B297,'WBV 3'!$N$3:$O$34,2,FALSE)))</f>
        <v>0</v>
      </c>
      <c r="K297" s="15">
        <f>MAX(IF(ISNA(VLOOKUP(B297,'WBV 4'!$B$3:$C$34,2,FALSE))=TRUE,0,VLOOKUP(B297,'WBV 4'!$B$3:$C$34,2,FALSE)),IF(ISNA(VLOOKUP(B297,'WBV 4'!$F$3:$G$34,2,FALSE))=TRUE,0,VLOOKUP(B297,'WBV 4'!$F$3:$G$34,2,FALSE)),IF(ISNA(VLOOKUP(B297,'WBV 4'!$J$3:$K$34,2,FALSE))=TRUE,0,VLOOKUP(B297,'WBV 4'!$J$3:$K$34,2,FALSE)),IF(ISNA(VLOOKUP(B297,'WBV 4'!$N$3:$O$34,2,FALSE))=TRUE,0,VLOOKUP(B297,'WBV 4'!$N$3:$O$34,2,FALSE)))</f>
        <v>0</v>
      </c>
      <c r="L297" s="19">
        <f>MAX(IF(ISNA(VLOOKUP(B297,'NÖBV 1'!$B$3:$C$34,2,FALSE))=TRUE,0,VLOOKUP(B297,'NÖBV 1'!$B$3:$C$34,2,FALSE)),IF(ISNA(VLOOKUP(B297,'NÖBV 1'!$F$3:$G$34,2,FALSE))=TRUE,0,VLOOKUP(B297,'NÖBV 1'!$F$3:$G$34,2,FALSE)),IF(ISNA(VLOOKUP(B297,'NÖBV 1'!$J$3:$K$34,2,FALSE))=TRUE,0,VLOOKUP(B297,'NÖBV 1'!$J$3:$K$34,2,FALSE)),IF(ISNA(VLOOKUP(B297,'NÖBV 1'!$N$3:$O$34,2,FALSE))=TRUE,0,VLOOKUP(B297,'NÖBV 1'!$N$3:$O$34,2,FALSE)))</f>
        <v>0</v>
      </c>
      <c r="M297" s="19">
        <f>MAX(IF(ISNA(VLOOKUP(B297,'NÖBV 2'!$B$3:$C$34,2,FALSE))=TRUE,0,VLOOKUP(B297,'NÖBV 2'!$B$3:$C$34,2,FALSE)),IF(ISNA(VLOOKUP(B297,'NÖBV 2'!$F$3:$G$34,2,FALSE))=TRUE,0,VLOOKUP(B297,'NÖBV 2'!$F$3:$G$34,2,FALSE)),IF(ISNA(VLOOKUP(B297,'NÖBV 2'!$J$3:$K$34,2,FALSE))=TRUE,0,VLOOKUP(B297,'NÖBV 2'!$J$3:$K$34,2,FALSE)),IF(ISNA(VLOOKUP(B297,'NÖBV 2'!$N$3:$O$34,2,FALSE))=TRUE,0,VLOOKUP(B297,'NÖBV 2'!$N$3:$O$34,2,FALSE)))</f>
        <v>0</v>
      </c>
      <c r="N297" s="19">
        <f>MAX(IF(ISNA(VLOOKUP(B297,'NÖBV 3'!$B$3:$C$34,2,FALSE))=TRUE,0,VLOOKUP(B297,'NÖBV 3'!$B$3:$C$34,2,FALSE)),IF(ISNA(VLOOKUP(B297,'NÖBV 3'!$F$3:$G$34,2,FALSE))=TRUE,0,VLOOKUP(B297,'NÖBV 3'!$F$3:$G$34,2,FALSE)),IF(ISNA(VLOOKUP(B297,'NÖBV 3'!$J$3:$K$34,2,FALSE))=TRUE,0,VLOOKUP(B297,'NÖBV 3'!$J$3:$K$34,2,FALSE)),IF(ISNA(VLOOKUP(B297,'NÖBV 3'!$N$3:$O$34,2,FALSE))=TRUE,0,VLOOKUP(B297,'NÖBV 3'!$N$3:$O$34,2,FALSE)))</f>
        <v>0</v>
      </c>
      <c r="O297" s="15">
        <f>MAX(IF(ISNA(VLOOKUP(B297,'Regioturnier 1'!$B$3:$C$34,2,FALSE))=TRUE,0,VLOOKUP(B297,'Regioturnier 1'!$B$3:$C$34,2,FALSE)),IF(ISNA(VLOOKUP(B297,'Regioturnier 1'!$F$3:$G$34,2,FALSE))=TRUE,0,VLOOKUP(B297,'Regioturnier 1'!$F$3:$G$34,2,FALSE)),IF(ISNA(VLOOKUP(B297,'Regioturnier 1'!$J$3:$K$34,2,FALSE))=TRUE,0,VLOOKUP(B297,'Regioturnier 1'!$J$3:$K$34,2,FALSE)),IF(ISNA(VLOOKUP(B297,'Regioturnier 1'!$N$3:$O$34,2,FALSE))=TRUE,0,VLOOKUP(B297,'Regioturnier 1'!$N$3:$O$34,2,FALSE)),IF(ISNA(VLOOKUP(B297,'Regioturnier 1'!$R$3:$S$34,2,FALSE))=TRUE,0,VLOOKUP(B297,'Regioturnier 1'!$R$3:$S$34,2,FALSE)), IF(ISNA(VLOOKUP(B297,'Regioturnier 1'!$V$3:$W$34,2,FALSE))=TRUE,0,VLOOKUP(B297,'Regioturnier 1'!$V$3:$W$34,2,FALSE)), IF(ISNA(VLOOKUP(B297,'Regioturnier 1'!$Z$3:$AA$34,2,FALSE))=TRUE,0,VLOOKUP(B297,'Regioturnier 1'!$Z$3:$AA$34,2,FALSE)))</f>
        <v>0</v>
      </c>
      <c r="P297" s="15">
        <f>MAX(IF(ISNA(VLOOKUP(B297,'Regioturnier 2'!$B$3:$C$34,2,FALSE))=TRUE,0,VLOOKUP(B297,'Regioturnier 2'!$B$3:$C$34,2,FALSE)),IF(ISNA(VLOOKUP(B297,'Regioturnier 2'!$F$3:$G$34,2,FALSE))=TRUE,0,VLOOKUP(B297,'Regioturnier 2'!$F$3:$G$34,2,FALSE)),IF(ISNA(VLOOKUP(B297,'Regioturnier 2'!$J$3:$K$34,2,FALSE))=TRUE,0,VLOOKUP(B297,'Regioturnier 2'!$J$3:$K$34,2,FALSE)),IF(ISNA(VLOOKUP(B297,'Regioturnier 2'!$N$3:$O$34,2,FALSE))=TRUE,0,VLOOKUP(B297,'Regioturnier 2'!$N$3:$O$34,2,FALSE)),IF(ISNA(VLOOKUP(B297,'Regioturnier 2'!$R$3:$S$34,2,FALSE))=TRUE,0,VLOOKUP(B297,'Regioturnier 2'!$R$3:$S$34,2,FALSE)), IF(ISNA(VLOOKUP(B297,'Regioturnier 2'!$V$3:$W$34,2,FALSE))=TRUE,0,VLOOKUP(B297,'Regioturnier 2'!$V$3:$W$34,2,FALSE)), IF(ISNA(VLOOKUP(B297,'Regioturnier 2'!$Z$3:$AA$34,2,FALSE))=TRUE,0,VLOOKUP(B297,'Regioturnier 2'!$Z$3:$AA$34,2,FALSE)))</f>
        <v>0</v>
      </c>
      <c r="Q297" s="15">
        <f>MAX(IF(ISNA(VLOOKUP(B297,'Regioturnier 3'!$B$3:$C$34,2,FALSE))=TRUE,0,VLOOKUP(B297,'Regioturnier 3'!$B$3:$C$34,2,FALSE)),IF(ISNA(VLOOKUP(B297,'Regioturnier 3'!$F$3:$G$34,2,FALSE))=TRUE,0,VLOOKUP(B297,'Regioturnier 3'!$F$3:$G$34,2,FALSE)),IF(ISNA(VLOOKUP(B297,'Regioturnier 3'!$J$3:$K$34,2,FALSE))=TRUE,0,VLOOKUP(B297,'Regioturnier 3'!$J$3:$K$34,2,FALSE)),IF(ISNA(VLOOKUP(B297,'Regioturnier 3'!$N$3:$O$34,2,FALSE))=TRUE,0,VLOOKUP(B297,'Regioturnier 3'!$N$3:$O$34,2,FALSE)),IF(ISNA(VLOOKUP(B297,'Regioturnier 3'!$R$3:$S$34,2,FALSE))=TRUE,0,VLOOKUP(B297,'Regioturnier 3'!$R$3:$S$34,2,FALSE)), IF(ISNA(VLOOKUP(B297,'Regioturnier 3'!$V$3:$W$34,2,FALSE))=TRUE,0,VLOOKUP(B297,'Regioturnier 3'!$V$3:$W$34,2,FALSE)), IF(ISNA(VLOOKUP(B297,'Regioturnier 3'!$Z$3:$AA$34,2,FALSE))=TRUE,0,VLOOKUP(B297,'Regioturnier 3'!$Z$3:$AA$34,2,FALSE)))</f>
        <v>0</v>
      </c>
      <c r="R297" s="20">
        <f>0.5*INDEX($H297:$N297,MATCH(LARGE($H297:$N297,1),$H297:$N297,0))+0.3*INDEX($H297:$N297,MATCH(LARGE($H297:$N297,2),$H297:$N297,0))+0.2*INDEX($H297:$N297,MATCH(LARGE($H297:$N297,3),$H297:$N297,0))</f>
        <v>0</v>
      </c>
      <c r="S297" s="20">
        <f t="array" ref="S297">0.5*INDEX(O297:Q297,MATCH(LARGE(O297:Q297,1),O297:Q297,0))+0.3*INDEX(O297:Q297,MATCH(LARGE(O297:Q297,2),O297:Q297,0))+0.2*INDEX(O297:Q297,MATCH(LARGE(O297:Q297,3),O297:Q297,0))</f>
        <v>0</v>
      </c>
      <c r="T297" s="15">
        <f>1*INDEX(R297:S297,MATCH(LARGE(R297:S297,1),R297:S297,0))+0*INDEX(R297:S297,MATCH(LARGE(R297:S297,2),R297:S297,0))</f>
        <v>0</v>
      </c>
      <c r="U297" s="21"/>
      <c r="V297" s="21"/>
      <c r="W297" s="21"/>
      <c r="X297" s="21"/>
      <c r="Y297" s="21"/>
      <c r="Z297" s="21"/>
    </row>
    <row r="298" spans="1:26" ht="12.75" customHeight="1" x14ac:dyDescent="0.3">
      <c r="A298" s="15">
        <v>297</v>
      </c>
      <c r="B298" s="16" t="s">
        <v>279</v>
      </c>
      <c r="C298" s="17"/>
      <c r="D298" s="15" t="s">
        <v>26</v>
      </c>
      <c r="E298" s="18" t="s">
        <v>23</v>
      </c>
      <c r="F298" s="15"/>
      <c r="G298" s="22"/>
      <c r="H298" s="15">
        <f>MAX(IF(ISNA(VLOOKUP(B298,'WBV 1'!$B$3:$C$34,2,FALSE))=TRUE,0,VLOOKUP(B298,'WBV 1'!$B$3:$C$34,2,FALSE)),IF(ISNA(VLOOKUP(B298,'WBV 1'!$F$3:$G$34,2,FALSE))=TRUE,0,VLOOKUP(B298,'WBV 1'!$F$3:$G$34,2,FALSE)),IF(ISNA(VLOOKUP(B298,'WBV 1'!$J$3:$K$34,2,FALSE))=TRUE,0,VLOOKUP(B298,'WBV 1'!$J$3:$K$34,2,FALSE)),IF(ISNA(VLOOKUP(B298,'WBV 1'!$N$3:$O$34,2,FALSE))=TRUE,0,VLOOKUP(B298,'WBV 1'!$N$3:$O$34,2,FALSE)))</f>
        <v>0</v>
      </c>
      <c r="I298" s="15">
        <f>MAX(IF(ISNA(VLOOKUP(B298,'WBV 2'!$B$3:$C$34,2,FALSE))=TRUE,0,VLOOKUP(B298,'WBV 2'!$B$3:$C$34,2,FALSE)),IF(ISNA(VLOOKUP(B298,'WBV 2'!$F$3:$G$34,2,FALSE))=TRUE,0,VLOOKUP(B298,'WBV 2'!$F$3:$G$34,2,FALSE)),IF(ISNA(VLOOKUP(B298,'WBV 2'!$J$3:$K$34,2,FALSE))=TRUE,0,VLOOKUP(B298,'WBV 2'!$J$3:$K$34,2,FALSE)),IF(ISNA(VLOOKUP(B298,'WBV 2'!$N$3:$O$34,2,FALSE))=TRUE,0,VLOOKUP(B298,'WBV 2'!$N$3:$O$34,2,FALSE)))</f>
        <v>0</v>
      </c>
      <c r="J298" s="15">
        <f>MAX(IF(ISNA(VLOOKUP(B298,'WBV 3'!$B$3:$C$34,2,FALSE))=TRUE,0,VLOOKUP(B298,'WBV 3'!$B$3:$C$34,2,FALSE)),IF(ISNA(VLOOKUP(B298,'WBV 3'!$F$3:$G$34,2,FALSE))=TRUE,0,VLOOKUP(B298,'WBV 3'!$F$3:$G$34,2,FALSE)),IF(ISNA(VLOOKUP(B298,'WBV 3'!$J$3:$K$34,2,FALSE))=TRUE,0,VLOOKUP(B298,'WBV 3'!$J$3:$K$34,2,FALSE)),IF(ISNA(VLOOKUP(B298,'WBV 3'!$N$3:$O$34,2,FALSE))=TRUE,0,VLOOKUP(B298,'WBV 3'!$N$3:$O$34,2,FALSE)))</f>
        <v>0</v>
      </c>
      <c r="K298" s="15">
        <f>MAX(IF(ISNA(VLOOKUP(B298,'WBV 4'!$B$3:$C$34,2,FALSE))=TRUE,0,VLOOKUP(B298,'WBV 4'!$B$3:$C$34,2,FALSE)),IF(ISNA(VLOOKUP(B298,'WBV 4'!$F$3:$G$34,2,FALSE))=TRUE,0,VLOOKUP(B298,'WBV 4'!$F$3:$G$34,2,FALSE)),IF(ISNA(VLOOKUP(B298,'WBV 4'!$J$3:$K$34,2,FALSE))=TRUE,0,VLOOKUP(B298,'WBV 4'!$J$3:$K$34,2,FALSE)),IF(ISNA(VLOOKUP(B298,'WBV 4'!$N$3:$O$34,2,FALSE))=TRUE,0,VLOOKUP(B298,'WBV 4'!$N$3:$O$34,2,FALSE)))</f>
        <v>0</v>
      </c>
      <c r="L298" s="19">
        <f>MAX(IF(ISNA(VLOOKUP(B298,'NÖBV 1'!$B$3:$C$34,2,FALSE))=TRUE,0,VLOOKUP(B298,'NÖBV 1'!$B$3:$C$34,2,FALSE)),IF(ISNA(VLOOKUP(B298,'NÖBV 1'!$F$3:$G$34,2,FALSE))=TRUE,0,VLOOKUP(B298,'NÖBV 1'!$F$3:$G$34,2,FALSE)),IF(ISNA(VLOOKUP(B298,'NÖBV 1'!$J$3:$K$34,2,FALSE))=TRUE,0,VLOOKUP(B298,'NÖBV 1'!$J$3:$K$34,2,FALSE)),IF(ISNA(VLOOKUP(B298,'NÖBV 1'!$N$3:$O$34,2,FALSE))=TRUE,0,VLOOKUP(B298,'NÖBV 1'!$N$3:$O$34,2,FALSE)))</f>
        <v>0</v>
      </c>
      <c r="M298" s="19">
        <f>MAX(IF(ISNA(VLOOKUP(B298,'NÖBV 2'!$B$3:$C$34,2,FALSE))=TRUE,0,VLOOKUP(B298,'NÖBV 2'!$B$3:$C$34,2,FALSE)),IF(ISNA(VLOOKUP(B298,'NÖBV 2'!$F$3:$G$34,2,FALSE))=TRUE,0,VLOOKUP(B298,'NÖBV 2'!$F$3:$G$34,2,FALSE)),IF(ISNA(VLOOKUP(B298,'NÖBV 2'!$J$3:$K$34,2,FALSE))=TRUE,0,VLOOKUP(B298,'NÖBV 2'!$J$3:$K$34,2,FALSE)),IF(ISNA(VLOOKUP(B298,'NÖBV 2'!$N$3:$O$34,2,FALSE))=TRUE,0,VLOOKUP(B298,'NÖBV 2'!$N$3:$O$34,2,FALSE)))</f>
        <v>0</v>
      </c>
      <c r="N298" s="19">
        <f>MAX(IF(ISNA(VLOOKUP(B298,'NÖBV 3'!$B$3:$C$34,2,FALSE))=TRUE,0,VLOOKUP(B298,'NÖBV 3'!$B$3:$C$34,2,FALSE)),IF(ISNA(VLOOKUP(B298,'NÖBV 3'!$F$3:$G$34,2,FALSE))=TRUE,0,VLOOKUP(B298,'NÖBV 3'!$F$3:$G$34,2,FALSE)),IF(ISNA(VLOOKUP(B298,'NÖBV 3'!$J$3:$K$34,2,FALSE))=TRUE,0,VLOOKUP(B298,'NÖBV 3'!$J$3:$K$34,2,FALSE)),IF(ISNA(VLOOKUP(B298,'NÖBV 3'!$N$3:$O$34,2,FALSE))=TRUE,0,VLOOKUP(B298,'NÖBV 3'!$N$3:$O$34,2,FALSE)))</f>
        <v>0</v>
      </c>
      <c r="O298" s="15">
        <f>MAX(IF(ISNA(VLOOKUP(B298,'Regioturnier 1'!$B$3:$C$34,2,FALSE))=TRUE,0,VLOOKUP(B298,'Regioturnier 1'!$B$3:$C$34,2,FALSE)),IF(ISNA(VLOOKUP(B298,'Regioturnier 1'!$F$3:$G$34,2,FALSE))=TRUE,0,VLOOKUP(B298,'Regioturnier 1'!$F$3:$G$34,2,FALSE)),IF(ISNA(VLOOKUP(B298,'Regioturnier 1'!$J$3:$K$34,2,FALSE))=TRUE,0,VLOOKUP(B298,'Regioturnier 1'!$J$3:$K$34,2,FALSE)),IF(ISNA(VLOOKUP(B298,'Regioturnier 1'!$N$3:$O$34,2,FALSE))=TRUE,0,VLOOKUP(B298,'Regioturnier 1'!$N$3:$O$34,2,FALSE)),IF(ISNA(VLOOKUP(B298,'Regioturnier 1'!$R$3:$S$34,2,FALSE))=TRUE,0,VLOOKUP(B298,'Regioturnier 1'!$R$3:$S$34,2,FALSE)), IF(ISNA(VLOOKUP(B298,'Regioturnier 1'!$V$3:$W$34,2,FALSE))=TRUE,0,VLOOKUP(B298,'Regioturnier 1'!$V$3:$W$34,2,FALSE)), IF(ISNA(VLOOKUP(B298,'Regioturnier 1'!$Z$3:$AA$34,2,FALSE))=TRUE,0,VLOOKUP(B298,'Regioturnier 1'!$Z$3:$AA$34,2,FALSE)))</f>
        <v>0</v>
      </c>
      <c r="P298" s="15">
        <f>MAX(IF(ISNA(VLOOKUP(B298,'Regioturnier 2'!$B$3:$C$34,2,FALSE))=TRUE,0,VLOOKUP(B298,'Regioturnier 2'!$B$3:$C$34,2,FALSE)),IF(ISNA(VLOOKUP(B298,'Regioturnier 2'!$F$3:$G$34,2,FALSE))=TRUE,0,VLOOKUP(B298,'Regioturnier 2'!$F$3:$G$34,2,FALSE)),IF(ISNA(VLOOKUP(B298,'Regioturnier 2'!$J$3:$K$34,2,FALSE))=TRUE,0,VLOOKUP(B298,'Regioturnier 2'!$J$3:$K$34,2,FALSE)),IF(ISNA(VLOOKUP(B298,'Regioturnier 2'!$N$3:$O$34,2,FALSE))=TRUE,0,VLOOKUP(B298,'Regioturnier 2'!$N$3:$O$34,2,FALSE)),IF(ISNA(VLOOKUP(B298,'Regioturnier 2'!$R$3:$S$34,2,FALSE))=TRUE,0,VLOOKUP(B298,'Regioturnier 2'!$R$3:$S$34,2,FALSE)), IF(ISNA(VLOOKUP(B298,'Regioturnier 2'!$V$3:$W$34,2,FALSE))=TRUE,0,VLOOKUP(B298,'Regioturnier 2'!$V$3:$W$34,2,FALSE)), IF(ISNA(VLOOKUP(B298,'Regioturnier 2'!$Z$3:$AA$34,2,FALSE))=TRUE,0,VLOOKUP(B298,'Regioturnier 2'!$Z$3:$AA$34,2,FALSE)))</f>
        <v>0</v>
      </c>
      <c r="Q298" s="15">
        <f>MAX(IF(ISNA(VLOOKUP(B298,'Regioturnier 3'!$B$3:$C$34,2,FALSE))=TRUE,0,VLOOKUP(B298,'Regioturnier 3'!$B$3:$C$34,2,FALSE)),IF(ISNA(VLOOKUP(B298,'Regioturnier 3'!$F$3:$G$34,2,FALSE))=TRUE,0,VLOOKUP(B298,'Regioturnier 3'!$F$3:$G$34,2,FALSE)),IF(ISNA(VLOOKUP(B298,'Regioturnier 3'!$J$3:$K$34,2,FALSE))=TRUE,0,VLOOKUP(B298,'Regioturnier 3'!$J$3:$K$34,2,FALSE)),IF(ISNA(VLOOKUP(B298,'Regioturnier 3'!$N$3:$O$34,2,FALSE))=TRUE,0,VLOOKUP(B298,'Regioturnier 3'!$N$3:$O$34,2,FALSE)),IF(ISNA(VLOOKUP(B298,'Regioturnier 3'!$R$3:$S$34,2,FALSE))=TRUE,0,VLOOKUP(B298,'Regioturnier 3'!$R$3:$S$34,2,FALSE)), IF(ISNA(VLOOKUP(B298,'Regioturnier 3'!$V$3:$W$34,2,FALSE))=TRUE,0,VLOOKUP(B298,'Regioturnier 3'!$V$3:$W$34,2,FALSE)), IF(ISNA(VLOOKUP(B298,'Regioturnier 3'!$Z$3:$AA$34,2,FALSE))=TRUE,0,VLOOKUP(B298,'Regioturnier 3'!$Z$3:$AA$34,2,FALSE)))</f>
        <v>0</v>
      </c>
      <c r="R298" s="20">
        <f>0.5*INDEX($H298:$N298,MATCH(LARGE($H298:$N298,1),$H298:$N298,0))+0.3*INDEX($H298:$N298,MATCH(LARGE($H298:$N298,2),$H298:$N298,0))+0.2*INDEX($H298:$N298,MATCH(LARGE($H298:$N298,3),$H298:$N298,0))</f>
        <v>0</v>
      </c>
      <c r="S298" s="20">
        <f>0.6*INDEX(O298:Q298,MATCH(LARGE(O298:Q298,1),O298:Q298,0))+0.4*INDEX(O298:Q298,MATCH(LARGE(O298:Q298,2),O298:Q298,0))+0*INDEX(O298:Q298,MATCH(LARGE(O298:Q298,3),O298:Q298,0))</f>
        <v>0</v>
      </c>
      <c r="T298" s="15">
        <f>1*INDEX(R298:S298,MATCH(LARGE(R298:S298,1),R298:S298,0))+0*INDEX(R298:S298,MATCH(LARGE(R298:S298,2),R298:S298,0))</f>
        <v>0</v>
      </c>
      <c r="U298" s="21"/>
      <c r="V298" s="21"/>
      <c r="W298" s="21"/>
      <c r="X298" s="21"/>
      <c r="Y298" s="21"/>
      <c r="Z298" s="21"/>
    </row>
    <row r="299" spans="1:26" ht="12.75" customHeight="1" x14ac:dyDescent="0.3">
      <c r="A299" s="15">
        <v>298</v>
      </c>
      <c r="B299" s="16" t="s">
        <v>280</v>
      </c>
      <c r="C299" s="17"/>
      <c r="D299" s="15" t="s">
        <v>26</v>
      </c>
      <c r="E299" s="18" t="s">
        <v>40</v>
      </c>
      <c r="F299" s="15"/>
      <c r="G299" s="22"/>
      <c r="H299" s="15">
        <f>MAX(IF(ISNA(VLOOKUP(B299,'WBV 1'!$B$3:$C$34,2,FALSE))=TRUE,0,VLOOKUP(B299,'WBV 1'!$B$3:$C$34,2,FALSE)),IF(ISNA(VLOOKUP(B299,'WBV 1'!$F$3:$G$34,2,FALSE))=TRUE,0,VLOOKUP(B299,'WBV 1'!$F$3:$G$34,2,FALSE)),IF(ISNA(VLOOKUP(B299,'WBV 1'!$J$3:$K$34,2,FALSE))=TRUE,0,VLOOKUP(B299,'WBV 1'!$J$3:$K$34,2,FALSE)),IF(ISNA(VLOOKUP(B299,'WBV 1'!$N$3:$O$34,2,FALSE))=TRUE,0,VLOOKUP(B299,'WBV 1'!$N$3:$O$34,2,FALSE)))</f>
        <v>0</v>
      </c>
      <c r="I299" s="15">
        <f>MAX(IF(ISNA(VLOOKUP(B299,'WBV 2'!$B$3:$C$34,2,FALSE))=TRUE,0,VLOOKUP(B299,'WBV 2'!$B$3:$C$34,2,FALSE)),IF(ISNA(VLOOKUP(B299,'WBV 2'!$F$3:$G$34,2,FALSE))=TRUE,0,VLOOKUP(B299,'WBV 2'!$F$3:$G$34,2,FALSE)),IF(ISNA(VLOOKUP(B299,'WBV 2'!$J$3:$K$34,2,FALSE))=TRUE,0,VLOOKUP(B299,'WBV 2'!$J$3:$K$34,2,FALSE)),IF(ISNA(VLOOKUP(B299,'WBV 2'!$N$3:$O$34,2,FALSE))=TRUE,0,VLOOKUP(B299,'WBV 2'!$N$3:$O$34,2,FALSE)))</f>
        <v>0</v>
      </c>
      <c r="J299" s="15">
        <f>MAX(IF(ISNA(VLOOKUP(B299,'WBV 3'!$B$3:$C$34,2,FALSE))=TRUE,0,VLOOKUP(B299,'WBV 3'!$B$3:$C$34,2,FALSE)),IF(ISNA(VLOOKUP(B299,'WBV 3'!$F$3:$G$34,2,FALSE))=TRUE,0,VLOOKUP(B299,'WBV 3'!$F$3:$G$34,2,FALSE)),IF(ISNA(VLOOKUP(B299,'WBV 3'!$J$3:$K$34,2,FALSE))=TRUE,0,VLOOKUP(B299,'WBV 3'!$J$3:$K$34,2,FALSE)),IF(ISNA(VLOOKUP(B299,'WBV 3'!$N$3:$O$34,2,FALSE))=TRUE,0,VLOOKUP(B299,'WBV 3'!$N$3:$O$34,2,FALSE)))</f>
        <v>0</v>
      </c>
      <c r="K299" s="15">
        <f>MAX(IF(ISNA(VLOOKUP(B299,'WBV 4'!$B$3:$C$34,2,FALSE))=TRUE,0,VLOOKUP(B299,'WBV 4'!$B$3:$C$34,2,FALSE)),IF(ISNA(VLOOKUP(B299,'WBV 4'!$F$3:$G$34,2,FALSE))=TRUE,0,VLOOKUP(B299,'WBV 4'!$F$3:$G$34,2,FALSE)),IF(ISNA(VLOOKUP(B299,'WBV 4'!$J$3:$K$34,2,FALSE))=TRUE,0,VLOOKUP(B299,'WBV 4'!$J$3:$K$34,2,FALSE)),IF(ISNA(VLOOKUP(B299,'WBV 4'!$N$3:$O$34,2,FALSE))=TRUE,0,VLOOKUP(B299,'WBV 4'!$N$3:$O$34,2,FALSE)))</f>
        <v>0</v>
      </c>
      <c r="L299" s="19">
        <f>MAX(IF(ISNA(VLOOKUP(B299,'NÖBV 1'!$B$3:$C$34,2,FALSE))=TRUE,0,VLOOKUP(B299,'NÖBV 1'!$B$3:$C$34,2,FALSE)),IF(ISNA(VLOOKUP(B299,'NÖBV 1'!$F$3:$G$34,2,FALSE))=TRUE,0,VLOOKUP(B299,'NÖBV 1'!$F$3:$G$34,2,FALSE)),IF(ISNA(VLOOKUP(B299,'NÖBV 1'!$J$3:$K$34,2,FALSE))=TRUE,0,VLOOKUP(B299,'NÖBV 1'!$J$3:$K$34,2,FALSE)),IF(ISNA(VLOOKUP(B299,'NÖBV 1'!$N$3:$O$34,2,FALSE))=TRUE,0,VLOOKUP(B299,'NÖBV 1'!$N$3:$O$34,2,FALSE)))</f>
        <v>0</v>
      </c>
      <c r="M299" s="19">
        <f>MAX(IF(ISNA(VLOOKUP(B299,'NÖBV 2'!$B$3:$C$34,2,FALSE))=TRUE,0,VLOOKUP(B299,'NÖBV 2'!$B$3:$C$34,2,FALSE)),IF(ISNA(VLOOKUP(B299,'NÖBV 2'!$F$3:$G$34,2,FALSE))=TRUE,0,VLOOKUP(B299,'NÖBV 2'!$F$3:$G$34,2,FALSE)),IF(ISNA(VLOOKUP(B299,'NÖBV 2'!$J$3:$K$34,2,FALSE))=TRUE,0,VLOOKUP(B299,'NÖBV 2'!$J$3:$K$34,2,FALSE)),IF(ISNA(VLOOKUP(B299,'NÖBV 2'!$N$3:$O$34,2,FALSE))=TRUE,0,VLOOKUP(B299,'NÖBV 2'!$N$3:$O$34,2,FALSE)))</f>
        <v>0</v>
      </c>
      <c r="N299" s="19">
        <f>MAX(IF(ISNA(VLOOKUP(B299,'NÖBV 3'!$B$3:$C$34,2,FALSE))=TRUE,0,VLOOKUP(B299,'NÖBV 3'!$B$3:$C$34,2,FALSE)),IF(ISNA(VLOOKUP(B299,'NÖBV 3'!$F$3:$G$34,2,FALSE))=TRUE,0,VLOOKUP(B299,'NÖBV 3'!$F$3:$G$34,2,FALSE)),IF(ISNA(VLOOKUP(B299,'NÖBV 3'!$J$3:$K$34,2,FALSE))=TRUE,0,VLOOKUP(B299,'NÖBV 3'!$J$3:$K$34,2,FALSE)),IF(ISNA(VLOOKUP(B299,'NÖBV 3'!$N$3:$O$34,2,FALSE))=TRUE,0,VLOOKUP(B299,'NÖBV 3'!$N$3:$O$34,2,FALSE)))</f>
        <v>0</v>
      </c>
      <c r="O299" s="15">
        <f>MAX(IF(ISNA(VLOOKUP(B299,'Regioturnier 1'!$B$3:$C$34,2,FALSE))=TRUE,0,VLOOKUP(B299,'Regioturnier 1'!$B$3:$C$34,2,FALSE)),IF(ISNA(VLOOKUP(B299,'Regioturnier 1'!$F$3:$G$34,2,FALSE))=TRUE,0,VLOOKUP(B299,'Regioturnier 1'!$F$3:$G$34,2,FALSE)),IF(ISNA(VLOOKUP(B299,'Regioturnier 1'!$J$3:$K$34,2,FALSE))=TRUE,0,VLOOKUP(B299,'Regioturnier 1'!$J$3:$K$34,2,FALSE)),IF(ISNA(VLOOKUP(B299,'Regioturnier 1'!$N$3:$O$34,2,FALSE))=TRUE,0,VLOOKUP(B299,'Regioturnier 1'!$N$3:$O$34,2,FALSE)),IF(ISNA(VLOOKUP(B299,'Regioturnier 1'!$R$3:$S$34,2,FALSE))=TRUE,0,VLOOKUP(B299,'Regioturnier 1'!$R$3:$S$34,2,FALSE)), IF(ISNA(VLOOKUP(B299,'Regioturnier 1'!$V$3:$W$34,2,FALSE))=TRUE,0,VLOOKUP(B299,'Regioturnier 1'!$V$3:$W$34,2,FALSE)), IF(ISNA(VLOOKUP(B299,'Regioturnier 1'!$Z$3:$AA$34,2,FALSE))=TRUE,0,VLOOKUP(B299,'Regioturnier 1'!$Z$3:$AA$34,2,FALSE)))</f>
        <v>0</v>
      </c>
      <c r="P299" s="15">
        <f>MAX(IF(ISNA(VLOOKUP(B299,'Regioturnier 2'!$B$3:$C$34,2,FALSE))=TRUE,0,VLOOKUP(B299,'Regioturnier 2'!$B$3:$C$34,2,FALSE)),IF(ISNA(VLOOKUP(B299,'Regioturnier 2'!$F$3:$G$34,2,FALSE))=TRUE,0,VLOOKUP(B299,'Regioturnier 2'!$F$3:$G$34,2,FALSE)),IF(ISNA(VLOOKUP(B299,'Regioturnier 2'!$J$3:$K$34,2,FALSE))=TRUE,0,VLOOKUP(B299,'Regioturnier 2'!$J$3:$K$34,2,FALSE)),IF(ISNA(VLOOKUP(B299,'Regioturnier 2'!$N$3:$O$34,2,FALSE))=TRUE,0,VLOOKUP(B299,'Regioturnier 2'!$N$3:$O$34,2,FALSE)),IF(ISNA(VLOOKUP(B299,'Regioturnier 2'!$R$3:$S$34,2,FALSE))=TRUE,0,VLOOKUP(B299,'Regioturnier 2'!$R$3:$S$34,2,FALSE)), IF(ISNA(VLOOKUP(B299,'Regioturnier 2'!$V$3:$W$34,2,FALSE))=TRUE,0,VLOOKUP(B299,'Regioturnier 2'!$V$3:$W$34,2,FALSE)), IF(ISNA(VLOOKUP(B299,'Regioturnier 2'!$Z$3:$AA$34,2,FALSE))=TRUE,0,VLOOKUP(B299,'Regioturnier 2'!$Z$3:$AA$34,2,FALSE)))</f>
        <v>0</v>
      </c>
      <c r="Q299" s="15">
        <f>MAX(IF(ISNA(VLOOKUP(B299,'Regioturnier 3'!$B$3:$C$34,2,FALSE))=TRUE,0,VLOOKUP(B299,'Regioturnier 3'!$B$3:$C$34,2,FALSE)),IF(ISNA(VLOOKUP(B299,'Regioturnier 3'!$F$3:$G$34,2,FALSE))=TRUE,0,VLOOKUP(B299,'Regioturnier 3'!$F$3:$G$34,2,FALSE)),IF(ISNA(VLOOKUP(B299,'Regioturnier 3'!$J$3:$K$34,2,FALSE))=TRUE,0,VLOOKUP(B299,'Regioturnier 3'!$J$3:$K$34,2,FALSE)),IF(ISNA(VLOOKUP(B299,'Regioturnier 3'!$N$3:$O$34,2,FALSE))=TRUE,0,VLOOKUP(B299,'Regioturnier 3'!$N$3:$O$34,2,FALSE)),IF(ISNA(VLOOKUP(B299,'Regioturnier 3'!$R$3:$S$34,2,FALSE))=TRUE,0,VLOOKUP(B299,'Regioturnier 3'!$R$3:$S$34,2,FALSE)), IF(ISNA(VLOOKUP(B299,'Regioturnier 3'!$V$3:$W$34,2,FALSE))=TRUE,0,VLOOKUP(B299,'Regioturnier 3'!$V$3:$W$34,2,FALSE)), IF(ISNA(VLOOKUP(B299,'Regioturnier 3'!$Z$3:$AA$34,2,FALSE))=TRUE,0,VLOOKUP(B299,'Regioturnier 3'!$Z$3:$AA$34,2,FALSE)))</f>
        <v>0</v>
      </c>
      <c r="R299" s="20">
        <f>0.5*INDEX($H299:$N299,MATCH(LARGE($H299:$N299,1),$H299:$N299,0))+0.3*INDEX($H299:$N299,MATCH(LARGE($H299:$N299,2),$H299:$N299,0))+0.2*INDEX($H299:$N299,MATCH(LARGE($H299:$N299,3),$H299:$N299,0))</f>
        <v>0</v>
      </c>
      <c r="S299" s="20">
        <f>0.6*INDEX(O299:Q299,MATCH(LARGE(O299:Q299,1),O299:Q299,0))+0.4*INDEX(O299:Q299,MATCH(LARGE(O299:Q299,2),O299:Q299,0))+0*INDEX(O299:Q299,MATCH(LARGE(O299:Q299,3),O299:Q299,0))</f>
        <v>0</v>
      </c>
      <c r="T299" s="15">
        <f>1*INDEX(R299:S299,MATCH(LARGE(R299:S299,1),R299:S299,0))+0*INDEX(R299:S299,MATCH(LARGE(R299:S299,2),R299:S299,0))</f>
        <v>0</v>
      </c>
      <c r="U299" s="21"/>
      <c r="V299" s="21"/>
      <c r="W299" s="21"/>
      <c r="X299" s="21"/>
      <c r="Y299" s="21"/>
      <c r="Z299" s="21"/>
    </row>
    <row r="300" spans="1:26" ht="12.75" customHeight="1" x14ac:dyDescent="0.3">
      <c r="A300" s="15">
        <v>299</v>
      </c>
      <c r="B300" s="16" t="s">
        <v>281</v>
      </c>
      <c r="C300" s="17"/>
      <c r="D300" s="15" t="s">
        <v>26</v>
      </c>
      <c r="E300" s="18" t="s">
        <v>23</v>
      </c>
      <c r="F300" s="15"/>
      <c r="G300" s="22"/>
      <c r="H300" s="15">
        <f>MAX(IF(ISNA(VLOOKUP(B300,'WBV 1'!$B$3:$C$34,2,FALSE))=TRUE,0,VLOOKUP(B300,'WBV 1'!$B$3:$C$34,2,FALSE)),IF(ISNA(VLOOKUP(B300,'WBV 1'!$F$3:$G$34,2,FALSE))=TRUE,0,VLOOKUP(B300,'WBV 1'!$F$3:$G$34,2,FALSE)),IF(ISNA(VLOOKUP(B300,'WBV 1'!$J$3:$K$34,2,FALSE))=TRUE,0,VLOOKUP(B300,'WBV 1'!$J$3:$K$34,2,FALSE)),IF(ISNA(VLOOKUP(B300,'WBV 1'!$N$3:$O$34,2,FALSE))=TRUE,0,VLOOKUP(B300,'WBV 1'!$N$3:$O$34,2,FALSE)))</f>
        <v>0</v>
      </c>
      <c r="I300" s="15">
        <f>MAX(IF(ISNA(VLOOKUP(B300,'WBV 2'!$B$3:$C$34,2,FALSE))=TRUE,0,VLOOKUP(B300,'WBV 2'!$B$3:$C$34,2,FALSE)),IF(ISNA(VLOOKUP(B300,'WBV 2'!$F$3:$G$34,2,FALSE))=TRUE,0,VLOOKUP(B300,'WBV 2'!$F$3:$G$34,2,FALSE)),IF(ISNA(VLOOKUP(B300,'WBV 2'!$J$3:$K$34,2,FALSE))=TRUE,0,VLOOKUP(B300,'WBV 2'!$J$3:$K$34,2,FALSE)),IF(ISNA(VLOOKUP(B300,'WBV 2'!$N$3:$O$34,2,FALSE))=TRUE,0,VLOOKUP(B300,'WBV 2'!$N$3:$O$34,2,FALSE)))</f>
        <v>0</v>
      </c>
      <c r="J300" s="15">
        <f>MAX(IF(ISNA(VLOOKUP(B300,'WBV 3'!$B$3:$C$34,2,FALSE))=TRUE,0,VLOOKUP(B300,'WBV 3'!$B$3:$C$34,2,FALSE)),IF(ISNA(VLOOKUP(B300,'WBV 3'!$F$3:$G$34,2,FALSE))=TRUE,0,VLOOKUP(B300,'WBV 3'!$F$3:$G$34,2,FALSE)),IF(ISNA(VLOOKUP(B300,'WBV 3'!$J$3:$K$34,2,FALSE))=TRUE,0,VLOOKUP(B300,'WBV 3'!$J$3:$K$34,2,FALSE)),IF(ISNA(VLOOKUP(B300,'WBV 3'!$N$3:$O$34,2,FALSE))=TRUE,0,VLOOKUP(B300,'WBV 3'!$N$3:$O$34,2,FALSE)))</f>
        <v>0</v>
      </c>
      <c r="K300" s="15">
        <f>MAX(IF(ISNA(VLOOKUP(B300,'WBV 4'!$B$3:$C$34,2,FALSE))=TRUE,0,VLOOKUP(B300,'WBV 4'!$B$3:$C$34,2,FALSE)),IF(ISNA(VLOOKUP(B300,'WBV 4'!$F$3:$G$34,2,FALSE))=TRUE,0,VLOOKUP(B300,'WBV 4'!$F$3:$G$34,2,FALSE)),IF(ISNA(VLOOKUP(B300,'WBV 4'!$J$3:$K$34,2,FALSE))=TRUE,0,VLOOKUP(B300,'WBV 4'!$J$3:$K$34,2,FALSE)),IF(ISNA(VLOOKUP(B300,'WBV 4'!$N$3:$O$34,2,FALSE))=TRUE,0,VLOOKUP(B300,'WBV 4'!$N$3:$O$34,2,FALSE)))</f>
        <v>0</v>
      </c>
      <c r="L300" s="19">
        <f>MAX(IF(ISNA(VLOOKUP(B300,'NÖBV 1'!$B$3:$C$34,2,FALSE))=TRUE,0,VLOOKUP(B300,'NÖBV 1'!$B$3:$C$34,2,FALSE)),IF(ISNA(VLOOKUP(B300,'NÖBV 1'!$F$3:$G$34,2,FALSE))=TRUE,0,VLOOKUP(B300,'NÖBV 1'!$F$3:$G$34,2,FALSE)),IF(ISNA(VLOOKUP(B300,'NÖBV 1'!$J$3:$K$34,2,FALSE))=TRUE,0,VLOOKUP(B300,'NÖBV 1'!$J$3:$K$34,2,FALSE)),IF(ISNA(VLOOKUP(B300,'NÖBV 1'!$N$3:$O$34,2,FALSE))=TRUE,0,VLOOKUP(B300,'NÖBV 1'!$N$3:$O$34,2,FALSE)))</f>
        <v>0</v>
      </c>
      <c r="M300" s="19">
        <f>MAX(IF(ISNA(VLOOKUP(B300,'NÖBV 2'!$B$3:$C$34,2,FALSE))=TRUE,0,VLOOKUP(B300,'NÖBV 2'!$B$3:$C$34,2,FALSE)),IF(ISNA(VLOOKUP(B300,'NÖBV 2'!$F$3:$G$34,2,FALSE))=TRUE,0,VLOOKUP(B300,'NÖBV 2'!$F$3:$G$34,2,FALSE)),IF(ISNA(VLOOKUP(B300,'NÖBV 2'!$J$3:$K$34,2,FALSE))=TRUE,0,VLOOKUP(B300,'NÖBV 2'!$J$3:$K$34,2,FALSE)),IF(ISNA(VLOOKUP(B300,'NÖBV 2'!$N$3:$O$34,2,FALSE))=TRUE,0,VLOOKUP(B300,'NÖBV 2'!$N$3:$O$34,2,FALSE)))</f>
        <v>0</v>
      </c>
      <c r="N300" s="19">
        <f>MAX(IF(ISNA(VLOOKUP(B300,'NÖBV 3'!$B$3:$C$34,2,FALSE))=TRUE,0,VLOOKUP(B300,'NÖBV 3'!$B$3:$C$34,2,FALSE)),IF(ISNA(VLOOKUP(B300,'NÖBV 3'!$F$3:$G$34,2,FALSE))=TRUE,0,VLOOKUP(B300,'NÖBV 3'!$F$3:$G$34,2,FALSE)),IF(ISNA(VLOOKUP(B300,'NÖBV 3'!$J$3:$K$34,2,FALSE))=TRUE,0,VLOOKUP(B300,'NÖBV 3'!$J$3:$K$34,2,FALSE)),IF(ISNA(VLOOKUP(B300,'NÖBV 3'!$N$3:$O$34,2,FALSE))=TRUE,0,VLOOKUP(B300,'NÖBV 3'!$N$3:$O$34,2,FALSE)))</f>
        <v>0</v>
      </c>
      <c r="O300" s="15">
        <f>MAX(IF(ISNA(VLOOKUP(B300,'Regioturnier 1'!$B$3:$C$34,2,FALSE))=TRUE,0,VLOOKUP(B300,'Regioturnier 1'!$B$3:$C$34,2,FALSE)),IF(ISNA(VLOOKUP(B300,'Regioturnier 1'!$F$3:$G$34,2,FALSE))=TRUE,0,VLOOKUP(B300,'Regioturnier 1'!$F$3:$G$34,2,FALSE)),IF(ISNA(VLOOKUP(B300,'Regioturnier 1'!$J$3:$K$34,2,FALSE))=TRUE,0,VLOOKUP(B300,'Regioturnier 1'!$J$3:$K$34,2,FALSE)),IF(ISNA(VLOOKUP(B300,'Regioturnier 1'!$N$3:$O$34,2,FALSE))=TRUE,0,VLOOKUP(B300,'Regioturnier 1'!$N$3:$O$34,2,FALSE)),IF(ISNA(VLOOKUP(B300,'Regioturnier 1'!$R$3:$S$34,2,FALSE))=TRUE,0,VLOOKUP(B300,'Regioturnier 1'!$R$3:$S$34,2,FALSE)), IF(ISNA(VLOOKUP(B300,'Regioturnier 1'!$V$3:$W$34,2,FALSE))=TRUE,0,VLOOKUP(B300,'Regioturnier 1'!$V$3:$W$34,2,FALSE)), IF(ISNA(VLOOKUP(B300,'Regioturnier 1'!$Z$3:$AA$34,2,FALSE))=TRUE,0,VLOOKUP(B300,'Regioturnier 1'!$Z$3:$AA$34,2,FALSE)))</f>
        <v>0</v>
      </c>
      <c r="P300" s="15">
        <f>MAX(IF(ISNA(VLOOKUP(B300,'Regioturnier 2'!$B$3:$C$34,2,FALSE))=TRUE,0,VLOOKUP(B300,'Regioturnier 2'!$B$3:$C$34,2,FALSE)),IF(ISNA(VLOOKUP(B300,'Regioturnier 2'!$F$3:$G$34,2,FALSE))=TRUE,0,VLOOKUP(B300,'Regioturnier 2'!$F$3:$G$34,2,FALSE)),IF(ISNA(VLOOKUP(B300,'Regioturnier 2'!$J$3:$K$34,2,FALSE))=TRUE,0,VLOOKUP(B300,'Regioturnier 2'!$J$3:$K$34,2,FALSE)),IF(ISNA(VLOOKUP(B300,'Regioturnier 2'!$N$3:$O$34,2,FALSE))=TRUE,0,VLOOKUP(B300,'Regioturnier 2'!$N$3:$O$34,2,FALSE)),IF(ISNA(VLOOKUP(B300,'Regioturnier 2'!$R$3:$S$34,2,FALSE))=TRUE,0,VLOOKUP(B300,'Regioturnier 2'!$R$3:$S$34,2,FALSE)), IF(ISNA(VLOOKUP(B300,'Regioturnier 2'!$V$3:$W$34,2,FALSE))=TRUE,0,VLOOKUP(B300,'Regioturnier 2'!$V$3:$W$34,2,FALSE)), IF(ISNA(VLOOKUP(B300,'Regioturnier 2'!$Z$3:$AA$34,2,FALSE))=TRUE,0,VLOOKUP(B300,'Regioturnier 2'!$Z$3:$AA$34,2,FALSE)))</f>
        <v>0</v>
      </c>
      <c r="Q300" s="15">
        <f>MAX(IF(ISNA(VLOOKUP(B300,'Regioturnier 3'!$B$3:$C$34,2,FALSE))=TRUE,0,VLOOKUP(B300,'Regioturnier 3'!$B$3:$C$34,2,FALSE)),IF(ISNA(VLOOKUP(B300,'Regioturnier 3'!$F$3:$G$34,2,FALSE))=TRUE,0,VLOOKUP(B300,'Regioturnier 3'!$F$3:$G$34,2,FALSE)),IF(ISNA(VLOOKUP(B300,'Regioturnier 3'!$J$3:$K$34,2,FALSE))=TRUE,0,VLOOKUP(B300,'Regioturnier 3'!$J$3:$K$34,2,FALSE)),IF(ISNA(VLOOKUP(B300,'Regioturnier 3'!$N$3:$O$34,2,FALSE))=TRUE,0,VLOOKUP(B300,'Regioturnier 3'!$N$3:$O$34,2,FALSE)),IF(ISNA(VLOOKUP(B300,'Regioturnier 3'!$R$3:$S$34,2,FALSE))=TRUE,0,VLOOKUP(B300,'Regioturnier 3'!$R$3:$S$34,2,FALSE)), IF(ISNA(VLOOKUP(B300,'Regioturnier 3'!$V$3:$W$34,2,FALSE))=TRUE,0,VLOOKUP(B300,'Regioturnier 3'!$V$3:$W$34,2,FALSE)), IF(ISNA(VLOOKUP(B300,'Regioturnier 3'!$Z$3:$AA$34,2,FALSE))=TRUE,0,VLOOKUP(B300,'Regioturnier 3'!$Z$3:$AA$34,2,FALSE)))</f>
        <v>0</v>
      </c>
      <c r="R300" s="20">
        <f>0.5*INDEX($H300:$N300,MATCH(LARGE($H300:$N300,1),$H300:$N300,0))+0.3*INDEX($H300:$N300,MATCH(LARGE($H300:$N300,2),$H300:$N300,0))+0.2*INDEX($H300:$N300,MATCH(LARGE($H300:$N300,3),$H300:$N300,0))</f>
        <v>0</v>
      </c>
      <c r="S300" s="20">
        <f>0.6*INDEX(O300:Q300,MATCH(LARGE(O300:Q300,1),O300:Q300,0))+0.4*INDEX(O300:Q300,MATCH(LARGE(O300:Q300,2),O300:Q300,0))+0*INDEX(O300:Q300,MATCH(LARGE(O300:Q300,3),O300:Q300,0))</f>
        <v>0</v>
      </c>
      <c r="T300" s="15">
        <f>1*INDEX(R300:S300,MATCH(LARGE(R300:S300,1),R300:S300,0))+0*INDEX(R300:S300,MATCH(LARGE(R300:S300,2),R300:S300,0))</f>
        <v>0</v>
      </c>
      <c r="U300" s="21"/>
      <c r="V300" s="21"/>
      <c r="W300" s="21"/>
      <c r="X300" s="21"/>
      <c r="Y300" s="21"/>
      <c r="Z300" s="21"/>
    </row>
    <row r="301" spans="1:26" ht="12.75" customHeight="1" x14ac:dyDescent="0.3">
      <c r="A301" s="15">
        <v>300</v>
      </c>
      <c r="B301" s="16" t="s">
        <v>282</v>
      </c>
      <c r="C301" s="17" t="s">
        <v>48</v>
      </c>
      <c r="D301" s="15" t="s">
        <v>26</v>
      </c>
      <c r="E301" s="18" t="s">
        <v>23</v>
      </c>
      <c r="F301" s="15">
        <v>110332</v>
      </c>
      <c r="G301" s="22">
        <v>2006</v>
      </c>
      <c r="H301" s="15">
        <f>MAX(IF(ISNA(VLOOKUP(B301,'WBV 1'!$B$3:$C$34,2,FALSE))=TRUE,0,VLOOKUP(B301,'WBV 1'!$B$3:$C$34,2,FALSE)),IF(ISNA(VLOOKUP(B301,'WBV 1'!$F$3:$G$34,2,FALSE))=TRUE,0,VLOOKUP(B301,'WBV 1'!$F$3:$G$34,2,FALSE)),IF(ISNA(VLOOKUP(B301,'WBV 1'!$J$3:$K$34,2,FALSE))=TRUE,0,VLOOKUP(B301,'WBV 1'!$J$3:$K$34,2,FALSE)),IF(ISNA(VLOOKUP(B301,'WBV 1'!$N$3:$O$34,2,FALSE))=TRUE,0,VLOOKUP(B301,'WBV 1'!$N$3:$O$34,2,FALSE)))</f>
        <v>0</v>
      </c>
      <c r="I301" s="15">
        <f>MAX(IF(ISNA(VLOOKUP(B301,'WBV 2'!$B$3:$C$34,2,FALSE))=TRUE,0,VLOOKUP(B301,'WBV 2'!$B$3:$C$34,2,FALSE)),IF(ISNA(VLOOKUP(B301,'WBV 2'!$F$3:$G$34,2,FALSE))=TRUE,0,VLOOKUP(B301,'WBV 2'!$F$3:$G$34,2,FALSE)),IF(ISNA(VLOOKUP(B301,'WBV 2'!$J$3:$K$34,2,FALSE))=TRUE,0,VLOOKUP(B301,'WBV 2'!$J$3:$K$34,2,FALSE)),IF(ISNA(VLOOKUP(B301,'WBV 2'!$N$3:$O$34,2,FALSE))=TRUE,0,VLOOKUP(B301,'WBV 2'!$N$3:$O$34,2,FALSE)))</f>
        <v>0</v>
      </c>
      <c r="J301" s="15">
        <f>MAX(IF(ISNA(VLOOKUP(B301,'WBV 3'!$B$3:$C$34,2,FALSE))=TRUE,0,VLOOKUP(B301,'WBV 3'!$B$3:$C$34,2,FALSE)),IF(ISNA(VLOOKUP(B301,'WBV 3'!$F$3:$G$34,2,FALSE))=TRUE,0,VLOOKUP(B301,'WBV 3'!$F$3:$G$34,2,FALSE)),IF(ISNA(VLOOKUP(B301,'WBV 3'!$J$3:$K$34,2,FALSE))=TRUE,0,VLOOKUP(B301,'WBV 3'!$J$3:$K$34,2,FALSE)),IF(ISNA(VLOOKUP(B301,'WBV 3'!$N$3:$O$34,2,FALSE))=TRUE,0,VLOOKUP(B301,'WBV 3'!$N$3:$O$34,2,FALSE)))</f>
        <v>0</v>
      </c>
      <c r="K301" s="15">
        <f>MAX(IF(ISNA(VLOOKUP(B301,'WBV 4'!$B$3:$C$34,2,FALSE))=TRUE,0,VLOOKUP(B301,'WBV 4'!$B$3:$C$34,2,FALSE)),IF(ISNA(VLOOKUP(B301,'WBV 4'!$F$3:$G$34,2,FALSE))=TRUE,0,VLOOKUP(B301,'WBV 4'!$F$3:$G$34,2,FALSE)),IF(ISNA(VLOOKUP(B301,'WBV 4'!$J$3:$K$34,2,FALSE))=TRUE,0,VLOOKUP(B301,'WBV 4'!$J$3:$K$34,2,FALSE)),IF(ISNA(VLOOKUP(B301,'WBV 4'!$N$3:$O$34,2,FALSE))=TRUE,0,VLOOKUP(B301,'WBV 4'!$N$3:$O$34,2,FALSE)))</f>
        <v>0</v>
      </c>
      <c r="L301" s="19">
        <f>MAX(IF(ISNA(VLOOKUP(B301,'NÖBV 1'!$B$3:$C$34,2,FALSE))=TRUE,0,VLOOKUP(B301,'NÖBV 1'!$B$3:$C$34,2,FALSE)),IF(ISNA(VLOOKUP(B301,'NÖBV 1'!$F$3:$G$34,2,FALSE))=TRUE,0,VLOOKUP(B301,'NÖBV 1'!$F$3:$G$34,2,FALSE)),IF(ISNA(VLOOKUP(B301,'NÖBV 1'!$J$3:$K$34,2,FALSE))=TRUE,0,VLOOKUP(B301,'NÖBV 1'!$J$3:$K$34,2,FALSE)),IF(ISNA(VLOOKUP(B301,'NÖBV 1'!$N$3:$O$34,2,FALSE))=TRUE,0,VLOOKUP(B301,'NÖBV 1'!$N$3:$O$34,2,FALSE)))</f>
        <v>0</v>
      </c>
      <c r="M301" s="19">
        <f>MAX(IF(ISNA(VLOOKUP(B301,'NÖBV 2'!$B$3:$C$34,2,FALSE))=TRUE,0,VLOOKUP(B301,'NÖBV 2'!$B$3:$C$34,2,FALSE)),IF(ISNA(VLOOKUP(B301,'NÖBV 2'!$F$3:$G$34,2,FALSE))=TRUE,0,VLOOKUP(B301,'NÖBV 2'!$F$3:$G$34,2,FALSE)),IF(ISNA(VLOOKUP(B301,'NÖBV 2'!$J$3:$K$34,2,FALSE))=TRUE,0,VLOOKUP(B301,'NÖBV 2'!$J$3:$K$34,2,FALSE)),IF(ISNA(VLOOKUP(B301,'NÖBV 2'!$N$3:$O$34,2,FALSE))=TRUE,0,VLOOKUP(B301,'NÖBV 2'!$N$3:$O$34,2,FALSE)))</f>
        <v>0</v>
      </c>
      <c r="N301" s="19">
        <f>MAX(IF(ISNA(VLOOKUP(B301,'NÖBV 3'!$B$3:$C$34,2,FALSE))=TRUE,0,VLOOKUP(B301,'NÖBV 3'!$B$3:$C$34,2,FALSE)),IF(ISNA(VLOOKUP(B301,'NÖBV 3'!$F$3:$G$34,2,FALSE))=TRUE,0,VLOOKUP(B301,'NÖBV 3'!$F$3:$G$34,2,FALSE)),IF(ISNA(VLOOKUP(B301,'NÖBV 3'!$J$3:$K$34,2,FALSE))=TRUE,0,VLOOKUP(B301,'NÖBV 3'!$J$3:$K$34,2,FALSE)),IF(ISNA(VLOOKUP(B301,'NÖBV 3'!$N$3:$O$34,2,FALSE))=TRUE,0,VLOOKUP(B301,'NÖBV 3'!$N$3:$O$34,2,FALSE)))</f>
        <v>0</v>
      </c>
      <c r="O301" s="15">
        <f>MAX(IF(ISNA(VLOOKUP(B301,'Regioturnier 1'!$B$3:$C$34,2,FALSE))=TRUE,0,VLOOKUP(B301,'Regioturnier 1'!$B$3:$C$34,2,FALSE)),IF(ISNA(VLOOKUP(B301,'Regioturnier 1'!$F$3:$G$34,2,FALSE))=TRUE,0,VLOOKUP(B301,'Regioturnier 1'!$F$3:$G$34,2,FALSE)),IF(ISNA(VLOOKUP(B301,'Regioturnier 1'!$J$3:$K$34,2,FALSE))=TRUE,0,VLOOKUP(B301,'Regioturnier 1'!$J$3:$K$34,2,FALSE)),IF(ISNA(VLOOKUP(B301,'Regioturnier 1'!$N$3:$O$34,2,FALSE))=TRUE,0,VLOOKUP(B301,'Regioturnier 1'!$N$3:$O$34,2,FALSE)),IF(ISNA(VLOOKUP(B301,'Regioturnier 1'!$R$3:$S$34,2,FALSE))=TRUE,0,VLOOKUP(B301,'Regioturnier 1'!$R$3:$S$34,2,FALSE)), IF(ISNA(VLOOKUP(B301,'Regioturnier 1'!$V$3:$W$34,2,FALSE))=TRUE,0,VLOOKUP(B301,'Regioturnier 1'!$V$3:$W$34,2,FALSE)), IF(ISNA(VLOOKUP(B301,'Regioturnier 1'!$Z$3:$AA$34,2,FALSE))=TRUE,0,VLOOKUP(B301,'Regioturnier 1'!$Z$3:$AA$34,2,FALSE)))</f>
        <v>0</v>
      </c>
      <c r="P301" s="15">
        <f>MAX(IF(ISNA(VLOOKUP(B301,'Regioturnier 2'!$B$3:$C$34,2,FALSE))=TRUE,0,VLOOKUP(B301,'Regioturnier 2'!$B$3:$C$34,2,FALSE)),IF(ISNA(VLOOKUP(B301,'Regioturnier 2'!$F$3:$G$34,2,FALSE))=TRUE,0,VLOOKUP(B301,'Regioturnier 2'!$F$3:$G$34,2,FALSE)),IF(ISNA(VLOOKUP(B301,'Regioturnier 2'!$J$3:$K$34,2,FALSE))=TRUE,0,VLOOKUP(B301,'Regioturnier 2'!$J$3:$K$34,2,FALSE)),IF(ISNA(VLOOKUP(B301,'Regioturnier 2'!$N$3:$O$34,2,FALSE))=TRUE,0,VLOOKUP(B301,'Regioturnier 2'!$N$3:$O$34,2,FALSE)),IF(ISNA(VLOOKUP(B301,'Regioturnier 2'!$R$3:$S$34,2,FALSE))=TRUE,0,VLOOKUP(B301,'Regioturnier 2'!$R$3:$S$34,2,FALSE)), IF(ISNA(VLOOKUP(B301,'Regioturnier 2'!$V$3:$W$34,2,FALSE))=TRUE,0,VLOOKUP(B301,'Regioturnier 2'!$V$3:$W$34,2,FALSE)), IF(ISNA(VLOOKUP(B301,'Regioturnier 2'!$Z$3:$AA$34,2,FALSE))=TRUE,0,VLOOKUP(B301,'Regioturnier 2'!$Z$3:$AA$34,2,FALSE)))</f>
        <v>0</v>
      </c>
      <c r="Q301" s="15">
        <f>MAX(IF(ISNA(VLOOKUP(B301,'Regioturnier 3'!$B$3:$C$34,2,FALSE))=TRUE,0,VLOOKUP(B301,'Regioturnier 3'!$B$3:$C$34,2,FALSE)),IF(ISNA(VLOOKUP(B301,'Regioturnier 3'!$F$3:$G$34,2,FALSE))=TRUE,0,VLOOKUP(B301,'Regioturnier 3'!$F$3:$G$34,2,FALSE)),IF(ISNA(VLOOKUP(B301,'Regioturnier 3'!$J$3:$K$34,2,FALSE))=TRUE,0,VLOOKUP(B301,'Regioturnier 3'!$J$3:$K$34,2,FALSE)),IF(ISNA(VLOOKUP(B301,'Regioturnier 3'!$N$3:$O$34,2,FALSE))=TRUE,0,VLOOKUP(B301,'Regioturnier 3'!$N$3:$O$34,2,FALSE)),IF(ISNA(VLOOKUP(B301,'Regioturnier 3'!$R$3:$S$34,2,FALSE))=TRUE,0,VLOOKUP(B301,'Regioturnier 3'!$R$3:$S$34,2,FALSE)), IF(ISNA(VLOOKUP(B301,'Regioturnier 3'!$V$3:$W$34,2,FALSE))=TRUE,0,VLOOKUP(B301,'Regioturnier 3'!$V$3:$W$34,2,FALSE)), IF(ISNA(VLOOKUP(B301,'Regioturnier 3'!$Z$3:$AA$34,2,FALSE))=TRUE,0,VLOOKUP(B301,'Regioturnier 3'!$Z$3:$AA$34,2,FALSE)))</f>
        <v>0</v>
      </c>
      <c r="R301" s="20">
        <f>0.5*INDEX($H301:$N301,MATCH(LARGE($H301:$N301,1),$H301:$N301,0))+0.3*INDEX($H301:$N301,MATCH(LARGE($H301:$N301,2),$H301:$N301,0))+0.2*INDEX($H301:$N301,MATCH(LARGE($H301:$N301,3),$H301:$N301,0))</f>
        <v>0</v>
      </c>
      <c r="S301" s="20">
        <f>0.6*INDEX(O301:Q301,MATCH(LARGE(O301:Q301,1),O301:Q301,0))+0.4*INDEX(O301:Q301,MATCH(LARGE(O301:Q301,2),O301:Q301,0))+0*INDEX(O301:Q301,MATCH(LARGE(O301:Q301,3),O301:Q301,0))</f>
        <v>0</v>
      </c>
      <c r="T301" s="15">
        <f>1*INDEX(R301:S301,MATCH(LARGE(R301:S301,1),R301:S301,0))+0*INDEX(R301:S301,MATCH(LARGE(R301:S301,2),R301:S301,0))</f>
        <v>0</v>
      </c>
      <c r="U301" s="21"/>
      <c r="V301" s="21"/>
      <c r="W301" s="21"/>
      <c r="X301" s="21"/>
      <c r="Y301" s="21"/>
      <c r="Z301" s="21"/>
    </row>
    <row r="302" spans="1:26" ht="12.75" customHeight="1" x14ac:dyDescent="0.3">
      <c r="A302" s="15">
        <v>301</v>
      </c>
      <c r="B302" s="16" t="s">
        <v>283</v>
      </c>
      <c r="C302" s="17"/>
      <c r="D302" s="15" t="s">
        <v>26</v>
      </c>
      <c r="E302" s="18" t="s">
        <v>40</v>
      </c>
      <c r="F302" s="15"/>
      <c r="G302" s="22"/>
      <c r="H302" s="15">
        <f>MAX(IF(ISNA(VLOOKUP(B302,'WBV 1'!$B$3:$C$34,2,FALSE))=TRUE,0,VLOOKUP(B302,'WBV 1'!$B$3:$C$34,2,FALSE)),IF(ISNA(VLOOKUP(B302,'WBV 1'!$F$3:$G$34,2,FALSE))=TRUE,0,VLOOKUP(B302,'WBV 1'!$F$3:$G$34,2,FALSE)),IF(ISNA(VLOOKUP(B302,'WBV 1'!$J$3:$K$34,2,FALSE))=TRUE,0,VLOOKUP(B302,'WBV 1'!$J$3:$K$34,2,FALSE)),IF(ISNA(VLOOKUP(B302,'WBV 1'!$N$3:$O$34,2,FALSE))=TRUE,0,VLOOKUP(B302,'WBV 1'!$N$3:$O$34,2,FALSE)))</f>
        <v>0</v>
      </c>
      <c r="I302" s="15">
        <f>MAX(IF(ISNA(VLOOKUP(B302,'WBV 2'!$B$3:$C$34,2,FALSE))=TRUE,0,VLOOKUP(B302,'WBV 2'!$B$3:$C$34,2,FALSE)),IF(ISNA(VLOOKUP(B302,'WBV 2'!$F$3:$G$34,2,FALSE))=TRUE,0,VLOOKUP(B302,'WBV 2'!$F$3:$G$34,2,FALSE)),IF(ISNA(VLOOKUP(B302,'WBV 2'!$J$3:$K$34,2,FALSE))=TRUE,0,VLOOKUP(B302,'WBV 2'!$J$3:$K$34,2,FALSE)),IF(ISNA(VLOOKUP(B302,'WBV 2'!$N$3:$O$34,2,FALSE))=TRUE,0,VLOOKUP(B302,'WBV 2'!$N$3:$O$34,2,FALSE)))</f>
        <v>0</v>
      </c>
      <c r="J302" s="15">
        <f>MAX(IF(ISNA(VLOOKUP(B302,'WBV 3'!$B$3:$C$34,2,FALSE))=TRUE,0,VLOOKUP(B302,'WBV 3'!$B$3:$C$34,2,FALSE)),IF(ISNA(VLOOKUP(B302,'WBV 3'!$F$3:$G$34,2,FALSE))=TRUE,0,VLOOKUP(B302,'WBV 3'!$F$3:$G$34,2,FALSE)),IF(ISNA(VLOOKUP(B302,'WBV 3'!$J$3:$K$34,2,FALSE))=TRUE,0,VLOOKUP(B302,'WBV 3'!$J$3:$K$34,2,FALSE)),IF(ISNA(VLOOKUP(B302,'WBV 3'!$N$3:$O$34,2,FALSE))=TRUE,0,VLOOKUP(B302,'WBV 3'!$N$3:$O$34,2,FALSE)))</f>
        <v>0</v>
      </c>
      <c r="K302" s="15">
        <f>MAX(IF(ISNA(VLOOKUP(B302,'WBV 4'!$B$3:$C$34,2,FALSE))=TRUE,0,VLOOKUP(B302,'WBV 4'!$B$3:$C$34,2,FALSE)),IF(ISNA(VLOOKUP(B302,'WBV 4'!$F$3:$G$34,2,FALSE))=TRUE,0,VLOOKUP(B302,'WBV 4'!$F$3:$G$34,2,FALSE)),IF(ISNA(VLOOKUP(B302,'WBV 4'!$J$3:$K$34,2,FALSE))=TRUE,0,VLOOKUP(B302,'WBV 4'!$J$3:$K$34,2,FALSE)),IF(ISNA(VLOOKUP(B302,'WBV 4'!$N$3:$O$34,2,FALSE))=TRUE,0,VLOOKUP(B302,'WBV 4'!$N$3:$O$34,2,FALSE)))</f>
        <v>0</v>
      </c>
      <c r="L302" s="19">
        <f>MAX(IF(ISNA(VLOOKUP(B302,'NÖBV 1'!$B$3:$C$34,2,FALSE))=TRUE,0,VLOOKUP(B302,'NÖBV 1'!$B$3:$C$34,2,FALSE)),IF(ISNA(VLOOKUP(B302,'NÖBV 1'!$F$3:$G$34,2,FALSE))=TRUE,0,VLOOKUP(B302,'NÖBV 1'!$F$3:$G$34,2,FALSE)),IF(ISNA(VLOOKUP(B302,'NÖBV 1'!$J$3:$K$34,2,FALSE))=TRUE,0,VLOOKUP(B302,'NÖBV 1'!$J$3:$K$34,2,FALSE)),IF(ISNA(VLOOKUP(B302,'NÖBV 1'!$N$3:$O$34,2,FALSE))=TRUE,0,VLOOKUP(B302,'NÖBV 1'!$N$3:$O$34,2,FALSE)))</f>
        <v>0</v>
      </c>
      <c r="M302" s="19">
        <f>MAX(IF(ISNA(VLOOKUP(B302,'NÖBV 2'!$B$3:$C$34,2,FALSE))=TRUE,0,VLOOKUP(B302,'NÖBV 2'!$B$3:$C$34,2,FALSE)),IF(ISNA(VLOOKUP(B302,'NÖBV 2'!$F$3:$G$34,2,FALSE))=TRUE,0,VLOOKUP(B302,'NÖBV 2'!$F$3:$G$34,2,FALSE)),IF(ISNA(VLOOKUP(B302,'NÖBV 2'!$J$3:$K$34,2,FALSE))=TRUE,0,VLOOKUP(B302,'NÖBV 2'!$J$3:$K$34,2,FALSE)),IF(ISNA(VLOOKUP(B302,'NÖBV 2'!$N$3:$O$34,2,FALSE))=TRUE,0,VLOOKUP(B302,'NÖBV 2'!$N$3:$O$34,2,FALSE)))</f>
        <v>0</v>
      </c>
      <c r="N302" s="19">
        <f>MAX(IF(ISNA(VLOOKUP(B302,'NÖBV 3'!$B$3:$C$34,2,FALSE))=TRUE,0,VLOOKUP(B302,'NÖBV 3'!$B$3:$C$34,2,FALSE)),IF(ISNA(VLOOKUP(B302,'NÖBV 3'!$F$3:$G$34,2,FALSE))=TRUE,0,VLOOKUP(B302,'NÖBV 3'!$F$3:$G$34,2,FALSE)),IF(ISNA(VLOOKUP(B302,'NÖBV 3'!$J$3:$K$34,2,FALSE))=TRUE,0,VLOOKUP(B302,'NÖBV 3'!$J$3:$K$34,2,FALSE)),IF(ISNA(VLOOKUP(B302,'NÖBV 3'!$N$3:$O$34,2,FALSE))=TRUE,0,VLOOKUP(B302,'NÖBV 3'!$N$3:$O$34,2,FALSE)))</f>
        <v>0</v>
      </c>
      <c r="O302" s="15">
        <f>MAX(IF(ISNA(VLOOKUP(B302,'Regioturnier 1'!$B$3:$C$34,2,FALSE))=TRUE,0,VLOOKUP(B302,'Regioturnier 1'!$B$3:$C$34,2,FALSE)),IF(ISNA(VLOOKUP(B302,'Regioturnier 1'!$F$3:$G$34,2,FALSE))=TRUE,0,VLOOKUP(B302,'Regioturnier 1'!$F$3:$G$34,2,FALSE)),IF(ISNA(VLOOKUP(B302,'Regioturnier 1'!$J$3:$K$34,2,FALSE))=TRUE,0,VLOOKUP(B302,'Regioturnier 1'!$J$3:$K$34,2,FALSE)),IF(ISNA(VLOOKUP(B302,'Regioturnier 1'!$N$3:$O$34,2,FALSE))=TRUE,0,VLOOKUP(B302,'Regioturnier 1'!$N$3:$O$34,2,FALSE)),IF(ISNA(VLOOKUP(B302,'Regioturnier 1'!$R$3:$S$34,2,FALSE))=TRUE,0,VLOOKUP(B302,'Regioturnier 1'!$R$3:$S$34,2,FALSE)), IF(ISNA(VLOOKUP(B302,'Regioturnier 1'!$V$3:$W$34,2,FALSE))=TRUE,0,VLOOKUP(B302,'Regioturnier 1'!$V$3:$W$34,2,FALSE)), IF(ISNA(VLOOKUP(B302,'Regioturnier 1'!$Z$3:$AA$34,2,FALSE))=TRUE,0,VLOOKUP(B302,'Regioturnier 1'!$Z$3:$AA$34,2,FALSE)))</f>
        <v>0</v>
      </c>
      <c r="P302" s="15">
        <f>MAX(IF(ISNA(VLOOKUP(B302,'Regioturnier 2'!$B$3:$C$34,2,FALSE))=TRUE,0,VLOOKUP(B302,'Regioturnier 2'!$B$3:$C$34,2,FALSE)),IF(ISNA(VLOOKUP(B302,'Regioturnier 2'!$F$3:$G$34,2,FALSE))=TRUE,0,VLOOKUP(B302,'Regioturnier 2'!$F$3:$G$34,2,FALSE)),IF(ISNA(VLOOKUP(B302,'Regioturnier 2'!$J$3:$K$34,2,FALSE))=TRUE,0,VLOOKUP(B302,'Regioturnier 2'!$J$3:$K$34,2,FALSE)),IF(ISNA(VLOOKUP(B302,'Regioturnier 2'!$N$3:$O$34,2,FALSE))=TRUE,0,VLOOKUP(B302,'Regioturnier 2'!$N$3:$O$34,2,FALSE)),IF(ISNA(VLOOKUP(B302,'Regioturnier 2'!$R$3:$S$34,2,FALSE))=TRUE,0,VLOOKUP(B302,'Regioturnier 2'!$R$3:$S$34,2,FALSE)), IF(ISNA(VLOOKUP(B302,'Regioturnier 2'!$V$3:$W$34,2,FALSE))=TRUE,0,VLOOKUP(B302,'Regioturnier 2'!$V$3:$W$34,2,FALSE)), IF(ISNA(VLOOKUP(B302,'Regioturnier 2'!$Z$3:$AA$34,2,FALSE))=TRUE,0,VLOOKUP(B302,'Regioturnier 2'!$Z$3:$AA$34,2,FALSE)))</f>
        <v>0</v>
      </c>
      <c r="Q302" s="15">
        <f>MAX(IF(ISNA(VLOOKUP(B302,'Regioturnier 3'!$B$3:$C$34,2,FALSE))=TRUE,0,VLOOKUP(B302,'Regioturnier 3'!$B$3:$C$34,2,FALSE)),IF(ISNA(VLOOKUP(B302,'Regioturnier 3'!$F$3:$G$34,2,FALSE))=TRUE,0,VLOOKUP(B302,'Regioturnier 3'!$F$3:$G$34,2,FALSE)),IF(ISNA(VLOOKUP(B302,'Regioturnier 3'!$J$3:$K$34,2,FALSE))=TRUE,0,VLOOKUP(B302,'Regioturnier 3'!$J$3:$K$34,2,FALSE)),IF(ISNA(VLOOKUP(B302,'Regioturnier 3'!$N$3:$O$34,2,FALSE))=TRUE,0,VLOOKUP(B302,'Regioturnier 3'!$N$3:$O$34,2,FALSE)),IF(ISNA(VLOOKUP(B302,'Regioturnier 3'!$R$3:$S$34,2,FALSE))=TRUE,0,VLOOKUP(B302,'Regioturnier 3'!$R$3:$S$34,2,FALSE)), IF(ISNA(VLOOKUP(B302,'Regioturnier 3'!$V$3:$W$34,2,FALSE))=TRUE,0,VLOOKUP(B302,'Regioturnier 3'!$V$3:$W$34,2,FALSE)), IF(ISNA(VLOOKUP(B302,'Regioturnier 3'!$Z$3:$AA$34,2,FALSE))=TRUE,0,VLOOKUP(B302,'Regioturnier 3'!$Z$3:$AA$34,2,FALSE)))</f>
        <v>0</v>
      </c>
      <c r="R302" s="20">
        <f>0.5*INDEX($H302:$N302,MATCH(LARGE($H302:$N302,1),$H302:$N302,0))+0.3*INDEX($H302:$N302,MATCH(LARGE($H302:$N302,2),$H302:$N302,0))+0.2*INDEX($H302:$N302,MATCH(LARGE($H302:$N302,3),$H302:$N302,0))</f>
        <v>0</v>
      </c>
      <c r="S302" s="20">
        <f>0.6*INDEX(O302:Q302,MATCH(LARGE(O302:Q302,1),O302:Q302,0))+0.4*INDEX(O302:Q302,MATCH(LARGE(O302:Q302,2),O302:Q302,0))+0*INDEX(O302:Q302,MATCH(LARGE(O302:Q302,3),O302:Q302,0))</f>
        <v>0</v>
      </c>
      <c r="T302" s="15">
        <f>1*INDEX(R302:S302,MATCH(LARGE(R302:S302,1),R302:S302,0))+0*INDEX(R302:S302,MATCH(LARGE(R302:S302,2),R302:S302,0))</f>
        <v>0</v>
      </c>
      <c r="U302" s="21"/>
      <c r="V302" s="21"/>
      <c r="W302" s="21"/>
      <c r="X302" s="21"/>
      <c r="Y302" s="21"/>
      <c r="Z302" s="21"/>
    </row>
    <row r="303" spans="1:26" ht="12.75" customHeight="1" x14ac:dyDescent="0.3">
      <c r="A303" s="15">
        <v>302</v>
      </c>
      <c r="B303" s="16" t="s">
        <v>284</v>
      </c>
      <c r="C303" s="17" t="s">
        <v>28</v>
      </c>
      <c r="D303" s="15" t="s">
        <v>22</v>
      </c>
      <c r="E303" s="18" t="s">
        <v>23</v>
      </c>
      <c r="F303" s="15">
        <v>208073</v>
      </c>
      <c r="G303" s="22">
        <v>2008</v>
      </c>
      <c r="H303" s="15">
        <f>MAX(IF(ISNA(VLOOKUP(B303,'WBV 1'!$B$3:$C$34,2,FALSE))=TRUE,0,VLOOKUP(B303,'WBV 1'!$B$3:$C$34,2,FALSE)),IF(ISNA(VLOOKUP(B303,'WBV 1'!$F$3:$G$34,2,FALSE))=TRUE,0,VLOOKUP(B303,'WBV 1'!$F$3:$G$34,2,FALSE)),IF(ISNA(VLOOKUP(B303,'WBV 1'!$J$3:$K$34,2,FALSE))=TRUE,0,VLOOKUP(B303,'WBV 1'!$J$3:$K$34,2,FALSE)),IF(ISNA(VLOOKUP(B303,'WBV 1'!$N$3:$O$34,2,FALSE))=TRUE,0,VLOOKUP(B303,'WBV 1'!$N$3:$O$34,2,FALSE)))</f>
        <v>0</v>
      </c>
      <c r="I303" s="15">
        <f>MAX(IF(ISNA(VLOOKUP(B303,'WBV 2'!$B$3:$C$34,2,FALSE))=TRUE,0,VLOOKUP(B303,'WBV 2'!$B$3:$C$34,2,FALSE)),IF(ISNA(VLOOKUP(B303,'WBV 2'!$F$3:$G$34,2,FALSE))=TRUE,0,VLOOKUP(B303,'WBV 2'!$F$3:$G$34,2,FALSE)),IF(ISNA(VLOOKUP(B303,'WBV 2'!$J$3:$K$34,2,FALSE))=TRUE,0,VLOOKUP(B303,'WBV 2'!$J$3:$K$34,2,FALSE)),IF(ISNA(VLOOKUP(B303,'WBV 2'!$N$3:$O$34,2,FALSE))=TRUE,0,VLOOKUP(B303,'WBV 2'!$N$3:$O$34,2,FALSE)))</f>
        <v>0</v>
      </c>
      <c r="J303" s="15">
        <f>MAX(IF(ISNA(VLOOKUP(B303,'WBV 3'!$B$3:$C$34,2,FALSE))=TRUE,0,VLOOKUP(B303,'WBV 3'!$B$3:$C$34,2,FALSE)),IF(ISNA(VLOOKUP(B303,'WBV 3'!$F$3:$G$34,2,FALSE))=TRUE,0,VLOOKUP(B303,'WBV 3'!$F$3:$G$34,2,FALSE)),IF(ISNA(VLOOKUP(B303,'WBV 3'!$J$3:$K$34,2,FALSE))=TRUE,0,VLOOKUP(B303,'WBV 3'!$J$3:$K$34,2,FALSE)),IF(ISNA(VLOOKUP(B303,'WBV 3'!$N$3:$O$34,2,FALSE))=TRUE,0,VLOOKUP(B303,'WBV 3'!$N$3:$O$34,2,FALSE)))</f>
        <v>0</v>
      </c>
      <c r="K303" s="15">
        <f>MAX(IF(ISNA(VLOOKUP(B303,'WBV 4'!$B$3:$C$34,2,FALSE))=TRUE,0,VLOOKUP(B303,'WBV 4'!$B$3:$C$34,2,FALSE)),IF(ISNA(VLOOKUP(B303,'WBV 4'!$F$3:$G$34,2,FALSE))=TRUE,0,VLOOKUP(B303,'WBV 4'!$F$3:$G$34,2,FALSE)),IF(ISNA(VLOOKUP(B303,'WBV 4'!$J$3:$K$34,2,FALSE))=TRUE,0,VLOOKUP(B303,'WBV 4'!$J$3:$K$34,2,FALSE)),IF(ISNA(VLOOKUP(B303,'WBV 4'!$N$3:$O$34,2,FALSE))=TRUE,0,VLOOKUP(B303,'WBV 4'!$N$3:$O$34,2,FALSE)))</f>
        <v>0</v>
      </c>
      <c r="L303" s="19">
        <f>MAX(IF(ISNA(VLOOKUP(B303,'NÖBV 1'!$B$3:$C$34,2,FALSE))=TRUE,0,VLOOKUP(B303,'NÖBV 1'!$B$3:$C$34,2,FALSE)),IF(ISNA(VLOOKUP(B303,'NÖBV 1'!$F$3:$G$34,2,FALSE))=TRUE,0,VLOOKUP(B303,'NÖBV 1'!$F$3:$G$34,2,FALSE)),IF(ISNA(VLOOKUP(B303,'NÖBV 1'!$J$3:$K$34,2,FALSE))=TRUE,0,VLOOKUP(B303,'NÖBV 1'!$J$3:$K$34,2,FALSE)),IF(ISNA(VLOOKUP(B303,'NÖBV 1'!$N$3:$O$34,2,FALSE))=TRUE,0,VLOOKUP(B303,'NÖBV 1'!$N$3:$O$34,2,FALSE)))</f>
        <v>0</v>
      </c>
      <c r="M303" s="19">
        <f>MAX(IF(ISNA(VLOOKUP(B303,'NÖBV 2'!$B$3:$C$34,2,FALSE))=TRUE,0,VLOOKUP(B303,'NÖBV 2'!$B$3:$C$34,2,FALSE)),IF(ISNA(VLOOKUP(B303,'NÖBV 2'!$F$3:$G$34,2,FALSE))=TRUE,0,VLOOKUP(B303,'NÖBV 2'!$F$3:$G$34,2,FALSE)),IF(ISNA(VLOOKUP(B303,'NÖBV 2'!$J$3:$K$34,2,FALSE))=TRUE,0,VLOOKUP(B303,'NÖBV 2'!$J$3:$K$34,2,FALSE)),IF(ISNA(VLOOKUP(B303,'NÖBV 2'!$N$3:$O$34,2,FALSE))=TRUE,0,VLOOKUP(B303,'NÖBV 2'!$N$3:$O$34,2,FALSE)))</f>
        <v>0</v>
      </c>
      <c r="N303" s="19">
        <f>MAX(IF(ISNA(VLOOKUP(B303,'NÖBV 3'!$B$3:$C$34,2,FALSE))=TRUE,0,VLOOKUP(B303,'NÖBV 3'!$B$3:$C$34,2,FALSE)),IF(ISNA(VLOOKUP(B303,'NÖBV 3'!$F$3:$G$34,2,FALSE))=TRUE,0,VLOOKUP(B303,'NÖBV 3'!$F$3:$G$34,2,FALSE)),IF(ISNA(VLOOKUP(B303,'NÖBV 3'!$J$3:$K$34,2,FALSE))=TRUE,0,VLOOKUP(B303,'NÖBV 3'!$J$3:$K$34,2,FALSE)),IF(ISNA(VLOOKUP(B303,'NÖBV 3'!$N$3:$O$34,2,FALSE))=TRUE,0,VLOOKUP(B303,'NÖBV 3'!$N$3:$O$34,2,FALSE)))</f>
        <v>0</v>
      </c>
      <c r="O303" s="15">
        <f>MAX(IF(ISNA(VLOOKUP(B303,'Regioturnier 1'!$B$3:$C$34,2,FALSE))=TRUE,0,VLOOKUP(B303,'Regioturnier 1'!$B$3:$C$34,2,FALSE)),IF(ISNA(VLOOKUP(B303,'Regioturnier 1'!$F$3:$G$34,2,FALSE))=TRUE,0,VLOOKUP(B303,'Regioturnier 1'!$F$3:$G$34,2,FALSE)),IF(ISNA(VLOOKUP(B303,'Regioturnier 1'!$J$3:$K$34,2,FALSE))=TRUE,0,VLOOKUP(B303,'Regioturnier 1'!$J$3:$K$34,2,FALSE)),IF(ISNA(VLOOKUP(B303,'Regioturnier 1'!$N$3:$O$34,2,FALSE))=TRUE,0,VLOOKUP(B303,'Regioturnier 1'!$N$3:$O$34,2,FALSE)),IF(ISNA(VLOOKUP(B303,'Regioturnier 1'!$R$3:$S$34,2,FALSE))=TRUE,0,VLOOKUP(B303,'Regioturnier 1'!$R$3:$S$34,2,FALSE)), IF(ISNA(VLOOKUP(B303,'Regioturnier 1'!$V$3:$W$34,2,FALSE))=TRUE,0,VLOOKUP(B303,'Regioturnier 1'!$V$3:$W$34,2,FALSE)), IF(ISNA(VLOOKUP(B303,'Regioturnier 1'!$Z$3:$AA$34,2,FALSE))=TRUE,0,VLOOKUP(B303,'Regioturnier 1'!$Z$3:$AA$34,2,FALSE)))</f>
        <v>0</v>
      </c>
      <c r="P303" s="15">
        <f>MAX(IF(ISNA(VLOOKUP(B303,'Regioturnier 2'!$B$3:$C$34,2,FALSE))=TRUE,0,VLOOKUP(B303,'Regioturnier 2'!$B$3:$C$34,2,FALSE)),IF(ISNA(VLOOKUP(B303,'Regioturnier 2'!$F$3:$G$34,2,FALSE))=TRUE,0,VLOOKUP(B303,'Regioturnier 2'!$F$3:$G$34,2,FALSE)),IF(ISNA(VLOOKUP(B303,'Regioturnier 2'!$J$3:$K$34,2,FALSE))=TRUE,0,VLOOKUP(B303,'Regioturnier 2'!$J$3:$K$34,2,FALSE)),IF(ISNA(VLOOKUP(B303,'Regioturnier 2'!$N$3:$O$34,2,FALSE))=TRUE,0,VLOOKUP(B303,'Regioturnier 2'!$N$3:$O$34,2,FALSE)),IF(ISNA(VLOOKUP(B303,'Regioturnier 2'!$R$3:$S$34,2,FALSE))=TRUE,0,VLOOKUP(B303,'Regioturnier 2'!$R$3:$S$34,2,FALSE)), IF(ISNA(VLOOKUP(B303,'Regioturnier 2'!$V$3:$W$34,2,FALSE))=TRUE,0,VLOOKUP(B303,'Regioturnier 2'!$V$3:$W$34,2,FALSE)), IF(ISNA(VLOOKUP(B303,'Regioturnier 2'!$Z$3:$AA$34,2,FALSE))=TRUE,0,VLOOKUP(B303,'Regioturnier 2'!$Z$3:$AA$34,2,FALSE)))</f>
        <v>0</v>
      </c>
      <c r="Q303" s="15">
        <f>MAX(IF(ISNA(VLOOKUP(B303,'Regioturnier 3'!$B$3:$C$34,2,FALSE))=TRUE,0,VLOOKUP(B303,'Regioturnier 3'!$B$3:$C$34,2,FALSE)),IF(ISNA(VLOOKUP(B303,'Regioturnier 3'!$F$3:$G$34,2,FALSE))=TRUE,0,VLOOKUP(B303,'Regioturnier 3'!$F$3:$G$34,2,FALSE)),IF(ISNA(VLOOKUP(B303,'Regioturnier 3'!$J$3:$K$34,2,FALSE))=TRUE,0,VLOOKUP(B303,'Regioturnier 3'!$J$3:$K$34,2,FALSE)),IF(ISNA(VLOOKUP(B303,'Regioturnier 3'!$N$3:$O$34,2,FALSE))=TRUE,0,VLOOKUP(B303,'Regioturnier 3'!$N$3:$O$34,2,FALSE)),IF(ISNA(VLOOKUP(B303,'Regioturnier 3'!$R$3:$S$34,2,FALSE))=TRUE,0,VLOOKUP(B303,'Regioturnier 3'!$R$3:$S$34,2,FALSE)), IF(ISNA(VLOOKUP(B303,'Regioturnier 3'!$V$3:$W$34,2,FALSE))=TRUE,0,VLOOKUP(B303,'Regioturnier 3'!$V$3:$W$34,2,FALSE)), IF(ISNA(VLOOKUP(B303,'Regioturnier 3'!$Z$3:$AA$34,2,FALSE))=TRUE,0,VLOOKUP(B303,'Regioturnier 3'!$Z$3:$AA$34,2,FALSE)))</f>
        <v>0</v>
      </c>
      <c r="R303" s="20">
        <f>0.5*INDEX($H303:$N303,MATCH(LARGE($H303:$N303,1),$H303:$N303,0))+0.3*INDEX($H303:$N303,MATCH(LARGE($H303:$N303,2),$H303:$N303,0))+0.2*INDEX($H303:$N303,MATCH(LARGE($H303:$N303,3),$H303:$N303,0))</f>
        <v>0</v>
      </c>
      <c r="S303" s="20">
        <f>0.6*INDEX(O303:Q303,MATCH(LARGE(O303:Q303,1),O303:Q303,0))+0.4*INDEX(O303:Q303,MATCH(LARGE(O303:Q303,2),O303:Q303,0))+0*INDEX(O303:Q303,MATCH(LARGE(O303:Q303,3),O303:Q303,0))</f>
        <v>0</v>
      </c>
      <c r="T303" s="15">
        <f>1*INDEX(R303:S303,MATCH(LARGE(R303:S303,1),R303:S303,0))+0*INDEX(R303:S303,MATCH(LARGE(R303:S303,2),R303:S303,0))</f>
        <v>0</v>
      </c>
      <c r="U303" s="21"/>
      <c r="V303" s="21"/>
      <c r="W303" s="21"/>
      <c r="X303" s="21"/>
      <c r="Y303" s="21"/>
      <c r="Z303" s="21"/>
    </row>
    <row r="304" spans="1:26" ht="12.75" customHeight="1" x14ac:dyDescent="0.3">
      <c r="A304" s="15">
        <v>303</v>
      </c>
      <c r="B304" s="16" t="s">
        <v>285</v>
      </c>
      <c r="C304" s="17" t="s">
        <v>31</v>
      </c>
      <c r="D304" s="15" t="s">
        <v>26</v>
      </c>
      <c r="E304" s="18" t="s">
        <v>23</v>
      </c>
      <c r="F304" s="15">
        <v>110691</v>
      </c>
      <c r="G304" s="22">
        <v>2007</v>
      </c>
      <c r="H304" s="15">
        <f>MAX(IF(ISNA(VLOOKUP(B304,'WBV 1'!$B$3:$C$34,2,FALSE))=TRUE,0,VLOOKUP(B304,'WBV 1'!$B$3:$C$34,2,FALSE)),IF(ISNA(VLOOKUP(B304,'WBV 1'!$F$3:$G$34,2,FALSE))=TRUE,0,VLOOKUP(B304,'WBV 1'!$F$3:$G$34,2,FALSE)),IF(ISNA(VLOOKUP(B304,'WBV 1'!$J$3:$K$34,2,FALSE))=TRUE,0,VLOOKUP(B304,'WBV 1'!$J$3:$K$34,2,FALSE)),IF(ISNA(VLOOKUP(B304,'WBV 1'!$N$3:$O$34,2,FALSE))=TRUE,0,VLOOKUP(B304,'WBV 1'!$N$3:$O$34,2,FALSE)))</f>
        <v>0</v>
      </c>
      <c r="I304" s="15">
        <f>MAX(IF(ISNA(VLOOKUP(B304,'WBV 2'!$B$3:$C$34,2,FALSE))=TRUE,0,VLOOKUP(B304,'WBV 2'!$B$3:$C$34,2,FALSE)),IF(ISNA(VLOOKUP(B304,'WBV 2'!$F$3:$G$34,2,FALSE))=TRUE,0,VLOOKUP(B304,'WBV 2'!$F$3:$G$34,2,FALSE)),IF(ISNA(VLOOKUP(B304,'WBV 2'!$J$3:$K$34,2,FALSE))=TRUE,0,VLOOKUP(B304,'WBV 2'!$J$3:$K$34,2,FALSE)),IF(ISNA(VLOOKUP(B304,'WBV 2'!$N$3:$O$34,2,FALSE))=TRUE,0,VLOOKUP(B304,'WBV 2'!$N$3:$O$34,2,FALSE)))</f>
        <v>0</v>
      </c>
      <c r="J304" s="15">
        <f>MAX(IF(ISNA(VLOOKUP(B304,'WBV 3'!$B$3:$C$34,2,FALSE))=TRUE,0,VLOOKUP(B304,'WBV 3'!$B$3:$C$34,2,FALSE)),IF(ISNA(VLOOKUP(B304,'WBV 3'!$F$3:$G$34,2,FALSE))=TRUE,0,VLOOKUP(B304,'WBV 3'!$F$3:$G$34,2,FALSE)),IF(ISNA(VLOOKUP(B304,'WBV 3'!$J$3:$K$34,2,FALSE))=TRUE,0,VLOOKUP(B304,'WBV 3'!$J$3:$K$34,2,FALSE)),IF(ISNA(VLOOKUP(B304,'WBV 3'!$N$3:$O$34,2,FALSE))=TRUE,0,VLOOKUP(B304,'WBV 3'!$N$3:$O$34,2,FALSE)))</f>
        <v>0</v>
      </c>
      <c r="K304" s="15">
        <f>MAX(IF(ISNA(VLOOKUP(B304,'WBV 4'!$B$3:$C$34,2,FALSE))=TRUE,0,VLOOKUP(B304,'WBV 4'!$B$3:$C$34,2,FALSE)),IF(ISNA(VLOOKUP(B304,'WBV 4'!$F$3:$G$34,2,FALSE))=TRUE,0,VLOOKUP(B304,'WBV 4'!$F$3:$G$34,2,FALSE)),IF(ISNA(VLOOKUP(B304,'WBV 4'!$J$3:$K$34,2,FALSE))=TRUE,0,VLOOKUP(B304,'WBV 4'!$J$3:$K$34,2,FALSE)),IF(ISNA(VLOOKUP(B304,'WBV 4'!$N$3:$O$34,2,FALSE))=TRUE,0,VLOOKUP(B304,'WBV 4'!$N$3:$O$34,2,FALSE)))</f>
        <v>0</v>
      </c>
      <c r="L304" s="19">
        <f>MAX(IF(ISNA(VLOOKUP(B304,'NÖBV 1'!$B$3:$C$34,2,FALSE))=TRUE,0,VLOOKUP(B304,'NÖBV 1'!$B$3:$C$34,2,FALSE)),IF(ISNA(VLOOKUP(B304,'NÖBV 1'!$F$3:$G$34,2,FALSE))=TRUE,0,VLOOKUP(B304,'NÖBV 1'!$F$3:$G$34,2,FALSE)),IF(ISNA(VLOOKUP(B304,'NÖBV 1'!$J$3:$K$34,2,FALSE))=TRUE,0,VLOOKUP(B304,'NÖBV 1'!$J$3:$K$34,2,FALSE)),IF(ISNA(VLOOKUP(B304,'NÖBV 1'!$N$3:$O$34,2,FALSE))=TRUE,0,VLOOKUP(B304,'NÖBV 1'!$N$3:$O$34,2,FALSE)))</f>
        <v>0</v>
      </c>
      <c r="M304" s="19">
        <f>MAX(IF(ISNA(VLOOKUP(B304,'NÖBV 2'!$B$3:$C$34,2,FALSE))=TRUE,0,VLOOKUP(B304,'NÖBV 2'!$B$3:$C$34,2,FALSE)),IF(ISNA(VLOOKUP(B304,'NÖBV 2'!$F$3:$G$34,2,FALSE))=TRUE,0,VLOOKUP(B304,'NÖBV 2'!$F$3:$G$34,2,FALSE)),IF(ISNA(VLOOKUP(B304,'NÖBV 2'!$J$3:$K$34,2,FALSE))=TRUE,0,VLOOKUP(B304,'NÖBV 2'!$J$3:$K$34,2,FALSE)),IF(ISNA(VLOOKUP(B304,'NÖBV 2'!$N$3:$O$34,2,FALSE))=TRUE,0,VLOOKUP(B304,'NÖBV 2'!$N$3:$O$34,2,FALSE)))</f>
        <v>0</v>
      </c>
      <c r="N304" s="19">
        <f>MAX(IF(ISNA(VLOOKUP(B304,'NÖBV 3'!$B$3:$C$34,2,FALSE))=TRUE,0,VLOOKUP(B304,'NÖBV 3'!$B$3:$C$34,2,FALSE)),IF(ISNA(VLOOKUP(B304,'NÖBV 3'!$F$3:$G$34,2,FALSE))=TRUE,0,VLOOKUP(B304,'NÖBV 3'!$F$3:$G$34,2,FALSE)),IF(ISNA(VLOOKUP(B304,'NÖBV 3'!$J$3:$K$34,2,FALSE))=TRUE,0,VLOOKUP(B304,'NÖBV 3'!$J$3:$K$34,2,FALSE)),IF(ISNA(VLOOKUP(B304,'NÖBV 3'!$N$3:$O$34,2,FALSE))=TRUE,0,VLOOKUP(B304,'NÖBV 3'!$N$3:$O$34,2,FALSE)))</f>
        <v>0</v>
      </c>
      <c r="O304" s="15">
        <f>MAX(IF(ISNA(VLOOKUP(B304,'Regioturnier 1'!$B$3:$C$34,2,FALSE))=TRUE,0,VLOOKUP(B304,'Regioturnier 1'!$B$3:$C$34,2,FALSE)),IF(ISNA(VLOOKUP(B304,'Regioturnier 1'!$F$3:$G$34,2,FALSE))=TRUE,0,VLOOKUP(B304,'Regioturnier 1'!$F$3:$G$34,2,FALSE)),IF(ISNA(VLOOKUP(B304,'Regioturnier 1'!$J$3:$K$34,2,FALSE))=TRUE,0,VLOOKUP(B304,'Regioturnier 1'!$J$3:$K$34,2,FALSE)),IF(ISNA(VLOOKUP(B304,'Regioturnier 1'!$N$3:$O$34,2,FALSE))=TRUE,0,VLOOKUP(B304,'Regioturnier 1'!$N$3:$O$34,2,FALSE)),IF(ISNA(VLOOKUP(B304,'Regioturnier 1'!$R$3:$S$34,2,FALSE))=TRUE,0,VLOOKUP(B304,'Regioturnier 1'!$R$3:$S$34,2,FALSE)), IF(ISNA(VLOOKUP(B304,'Regioturnier 1'!$V$3:$W$34,2,FALSE))=TRUE,0,VLOOKUP(B304,'Regioturnier 1'!$V$3:$W$34,2,FALSE)), IF(ISNA(VLOOKUP(B304,'Regioturnier 1'!$Z$3:$AA$34,2,FALSE))=TRUE,0,VLOOKUP(B304,'Regioturnier 1'!$Z$3:$AA$34,2,FALSE)))</f>
        <v>0</v>
      </c>
      <c r="P304" s="15">
        <f>MAX(IF(ISNA(VLOOKUP(B304,'Regioturnier 2'!$B$3:$C$34,2,FALSE))=TRUE,0,VLOOKUP(B304,'Regioturnier 2'!$B$3:$C$34,2,FALSE)),IF(ISNA(VLOOKUP(B304,'Regioturnier 2'!$F$3:$G$34,2,FALSE))=TRUE,0,VLOOKUP(B304,'Regioturnier 2'!$F$3:$G$34,2,FALSE)),IF(ISNA(VLOOKUP(B304,'Regioturnier 2'!$J$3:$K$34,2,FALSE))=TRUE,0,VLOOKUP(B304,'Regioturnier 2'!$J$3:$K$34,2,FALSE)),IF(ISNA(VLOOKUP(B304,'Regioturnier 2'!$N$3:$O$34,2,FALSE))=TRUE,0,VLOOKUP(B304,'Regioturnier 2'!$N$3:$O$34,2,FALSE)),IF(ISNA(VLOOKUP(B304,'Regioturnier 2'!$R$3:$S$34,2,FALSE))=TRUE,0,VLOOKUP(B304,'Regioturnier 2'!$R$3:$S$34,2,FALSE)), IF(ISNA(VLOOKUP(B304,'Regioturnier 2'!$V$3:$W$34,2,FALSE))=TRUE,0,VLOOKUP(B304,'Regioturnier 2'!$V$3:$W$34,2,FALSE)), IF(ISNA(VLOOKUP(B304,'Regioturnier 2'!$Z$3:$AA$34,2,FALSE))=TRUE,0,VLOOKUP(B304,'Regioturnier 2'!$Z$3:$AA$34,2,FALSE)))</f>
        <v>0</v>
      </c>
      <c r="Q304" s="15">
        <f>MAX(IF(ISNA(VLOOKUP(B304,'Regioturnier 3'!$B$3:$C$34,2,FALSE))=TRUE,0,VLOOKUP(B304,'Regioturnier 3'!$B$3:$C$34,2,FALSE)),IF(ISNA(VLOOKUP(B304,'Regioturnier 3'!$F$3:$G$34,2,FALSE))=TRUE,0,VLOOKUP(B304,'Regioturnier 3'!$F$3:$G$34,2,FALSE)),IF(ISNA(VLOOKUP(B304,'Regioturnier 3'!$J$3:$K$34,2,FALSE))=TRUE,0,VLOOKUP(B304,'Regioturnier 3'!$J$3:$K$34,2,FALSE)),IF(ISNA(VLOOKUP(B304,'Regioturnier 3'!$N$3:$O$34,2,FALSE))=TRUE,0,VLOOKUP(B304,'Regioturnier 3'!$N$3:$O$34,2,FALSE)),IF(ISNA(VLOOKUP(B304,'Regioturnier 3'!$R$3:$S$34,2,FALSE))=TRUE,0,VLOOKUP(B304,'Regioturnier 3'!$R$3:$S$34,2,FALSE)), IF(ISNA(VLOOKUP(B304,'Regioturnier 3'!$V$3:$W$34,2,FALSE))=TRUE,0,VLOOKUP(B304,'Regioturnier 3'!$V$3:$W$34,2,FALSE)), IF(ISNA(VLOOKUP(B304,'Regioturnier 3'!$Z$3:$AA$34,2,FALSE))=TRUE,0,VLOOKUP(B304,'Regioturnier 3'!$Z$3:$AA$34,2,FALSE)))</f>
        <v>0</v>
      </c>
      <c r="R304" s="20">
        <f>0.5*INDEX($H304:$N304,MATCH(LARGE($H304:$N304,1),$H304:$N304,0))+0.3*INDEX($H304:$N304,MATCH(LARGE($H304:$N304,2),$H304:$N304,0))+0.2*INDEX($H304:$N304,MATCH(LARGE($H304:$N304,3),$H304:$N304,0))</f>
        <v>0</v>
      </c>
      <c r="S304" s="20">
        <f>0.6*INDEX(O304:Q304,MATCH(LARGE(O304:Q304,1),O304:Q304,0))+0.4*INDEX(O304:Q304,MATCH(LARGE(O304:Q304,2),O304:Q304,0))+0*INDEX(O304:Q304,MATCH(LARGE(O304:Q304,3),O304:Q304,0))</f>
        <v>0</v>
      </c>
      <c r="T304" s="15">
        <f>1*INDEX(R304:S304,MATCH(LARGE(R304:S304,1),R304:S304,0))+0*INDEX(R304:S304,MATCH(LARGE(R304:S304,2),R304:S304,0))</f>
        <v>0</v>
      </c>
      <c r="U304" s="21"/>
      <c r="V304" s="21"/>
      <c r="W304" s="21"/>
      <c r="X304" s="21"/>
      <c r="Y304" s="21"/>
      <c r="Z304" s="21"/>
    </row>
    <row r="305" spans="1:26" ht="12.75" customHeight="1" x14ac:dyDescent="0.3">
      <c r="A305" s="15">
        <v>304</v>
      </c>
      <c r="B305" s="16" t="s">
        <v>286</v>
      </c>
      <c r="C305" s="17"/>
      <c r="D305" s="15" t="s">
        <v>26</v>
      </c>
      <c r="E305" s="18" t="s">
        <v>23</v>
      </c>
      <c r="F305" s="15"/>
      <c r="G305" s="22"/>
      <c r="H305" s="15">
        <f>MAX(IF(ISNA(VLOOKUP(B305,'WBV 1'!$B$3:$C$34,2,FALSE))=TRUE,0,VLOOKUP(B305,'WBV 1'!$B$3:$C$34,2,FALSE)),IF(ISNA(VLOOKUP(B305,'WBV 1'!$F$3:$G$34,2,FALSE))=TRUE,0,VLOOKUP(B305,'WBV 1'!$F$3:$G$34,2,FALSE)),IF(ISNA(VLOOKUP(B305,'WBV 1'!$J$3:$K$34,2,FALSE))=TRUE,0,VLOOKUP(B305,'WBV 1'!$J$3:$K$34,2,FALSE)),IF(ISNA(VLOOKUP(B305,'WBV 1'!$N$3:$O$34,2,FALSE))=TRUE,0,VLOOKUP(B305,'WBV 1'!$N$3:$O$34,2,FALSE)))</f>
        <v>0</v>
      </c>
      <c r="I305" s="15">
        <f>MAX(IF(ISNA(VLOOKUP(B305,'WBV 2'!$B$3:$C$34,2,FALSE))=TRUE,0,VLOOKUP(B305,'WBV 2'!$B$3:$C$34,2,FALSE)),IF(ISNA(VLOOKUP(B305,'WBV 2'!$F$3:$G$34,2,FALSE))=TRUE,0,VLOOKUP(B305,'WBV 2'!$F$3:$G$34,2,FALSE)),IF(ISNA(VLOOKUP(B305,'WBV 2'!$J$3:$K$34,2,FALSE))=TRUE,0,VLOOKUP(B305,'WBV 2'!$J$3:$K$34,2,FALSE)),IF(ISNA(VLOOKUP(B305,'WBV 2'!$N$3:$O$34,2,FALSE))=TRUE,0,VLOOKUP(B305,'WBV 2'!$N$3:$O$34,2,FALSE)))</f>
        <v>0</v>
      </c>
      <c r="J305" s="15">
        <f>MAX(IF(ISNA(VLOOKUP(B305,'WBV 3'!$B$3:$C$34,2,FALSE))=TRUE,0,VLOOKUP(B305,'WBV 3'!$B$3:$C$34,2,FALSE)),IF(ISNA(VLOOKUP(B305,'WBV 3'!$F$3:$G$34,2,FALSE))=TRUE,0,VLOOKUP(B305,'WBV 3'!$F$3:$G$34,2,FALSE)),IF(ISNA(VLOOKUP(B305,'WBV 3'!$J$3:$K$34,2,FALSE))=TRUE,0,VLOOKUP(B305,'WBV 3'!$J$3:$K$34,2,FALSE)),IF(ISNA(VLOOKUP(B305,'WBV 3'!$N$3:$O$34,2,FALSE))=TRUE,0,VLOOKUP(B305,'WBV 3'!$N$3:$O$34,2,FALSE)))</f>
        <v>0</v>
      </c>
      <c r="K305" s="15">
        <f>MAX(IF(ISNA(VLOOKUP(B305,'WBV 4'!$B$3:$C$34,2,FALSE))=TRUE,0,VLOOKUP(B305,'WBV 4'!$B$3:$C$34,2,FALSE)),IF(ISNA(VLOOKUP(B305,'WBV 4'!$F$3:$G$34,2,FALSE))=TRUE,0,VLOOKUP(B305,'WBV 4'!$F$3:$G$34,2,FALSE)),IF(ISNA(VLOOKUP(B305,'WBV 4'!$J$3:$K$34,2,FALSE))=TRUE,0,VLOOKUP(B305,'WBV 4'!$J$3:$K$34,2,FALSE)),IF(ISNA(VLOOKUP(B305,'WBV 4'!$N$3:$O$34,2,FALSE))=TRUE,0,VLOOKUP(B305,'WBV 4'!$N$3:$O$34,2,FALSE)))</f>
        <v>0</v>
      </c>
      <c r="L305" s="19">
        <f>MAX(IF(ISNA(VLOOKUP(B305,'NÖBV 1'!$B$3:$C$34,2,FALSE))=TRUE,0,VLOOKUP(B305,'NÖBV 1'!$B$3:$C$34,2,FALSE)),IF(ISNA(VLOOKUP(B305,'NÖBV 1'!$F$3:$G$34,2,FALSE))=TRUE,0,VLOOKUP(B305,'NÖBV 1'!$F$3:$G$34,2,FALSE)),IF(ISNA(VLOOKUP(B305,'NÖBV 1'!$J$3:$K$34,2,FALSE))=TRUE,0,VLOOKUP(B305,'NÖBV 1'!$J$3:$K$34,2,FALSE)),IF(ISNA(VLOOKUP(B305,'NÖBV 1'!$N$3:$O$34,2,FALSE))=TRUE,0,VLOOKUP(B305,'NÖBV 1'!$N$3:$O$34,2,FALSE)))</f>
        <v>0</v>
      </c>
      <c r="M305" s="19">
        <f>MAX(IF(ISNA(VLOOKUP(B305,'NÖBV 2'!$B$3:$C$34,2,FALSE))=TRUE,0,VLOOKUP(B305,'NÖBV 2'!$B$3:$C$34,2,FALSE)),IF(ISNA(VLOOKUP(B305,'NÖBV 2'!$F$3:$G$34,2,FALSE))=TRUE,0,VLOOKUP(B305,'NÖBV 2'!$F$3:$G$34,2,FALSE)),IF(ISNA(VLOOKUP(B305,'NÖBV 2'!$J$3:$K$34,2,FALSE))=TRUE,0,VLOOKUP(B305,'NÖBV 2'!$J$3:$K$34,2,FALSE)),IF(ISNA(VLOOKUP(B305,'NÖBV 2'!$N$3:$O$34,2,FALSE))=TRUE,0,VLOOKUP(B305,'NÖBV 2'!$N$3:$O$34,2,FALSE)))</f>
        <v>0</v>
      </c>
      <c r="N305" s="19">
        <f>MAX(IF(ISNA(VLOOKUP(B305,'NÖBV 3'!$B$3:$C$34,2,FALSE))=TRUE,0,VLOOKUP(B305,'NÖBV 3'!$B$3:$C$34,2,FALSE)),IF(ISNA(VLOOKUP(B305,'NÖBV 3'!$F$3:$G$34,2,FALSE))=TRUE,0,VLOOKUP(B305,'NÖBV 3'!$F$3:$G$34,2,FALSE)),IF(ISNA(VLOOKUP(B305,'NÖBV 3'!$J$3:$K$34,2,FALSE))=TRUE,0,VLOOKUP(B305,'NÖBV 3'!$J$3:$K$34,2,FALSE)),IF(ISNA(VLOOKUP(B305,'NÖBV 3'!$N$3:$O$34,2,FALSE))=TRUE,0,VLOOKUP(B305,'NÖBV 3'!$N$3:$O$34,2,FALSE)))</f>
        <v>0</v>
      </c>
      <c r="O305" s="15">
        <f>MAX(IF(ISNA(VLOOKUP(B305,'Regioturnier 1'!$B$3:$C$34,2,FALSE))=TRUE,0,VLOOKUP(B305,'Regioturnier 1'!$B$3:$C$34,2,FALSE)),IF(ISNA(VLOOKUP(B305,'Regioturnier 1'!$F$3:$G$34,2,FALSE))=TRUE,0,VLOOKUP(B305,'Regioturnier 1'!$F$3:$G$34,2,FALSE)),IF(ISNA(VLOOKUP(B305,'Regioturnier 1'!$J$3:$K$34,2,FALSE))=TRUE,0,VLOOKUP(B305,'Regioturnier 1'!$J$3:$K$34,2,FALSE)),IF(ISNA(VLOOKUP(B305,'Regioturnier 1'!$N$3:$O$34,2,FALSE))=TRUE,0,VLOOKUP(B305,'Regioturnier 1'!$N$3:$O$34,2,FALSE)),IF(ISNA(VLOOKUP(B305,'Regioturnier 1'!$R$3:$S$34,2,FALSE))=TRUE,0,VLOOKUP(B305,'Regioturnier 1'!$R$3:$S$34,2,FALSE)), IF(ISNA(VLOOKUP(B305,'Regioturnier 1'!$V$3:$W$34,2,FALSE))=TRUE,0,VLOOKUP(B305,'Regioturnier 1'!$V$3:$W$34,2,FALSE)), IF(ISNA(VLOOKUP(B305,'Regioturnier 1'!$Z$3:$AA$34,2,FALSE))=TRUE,0,VLOOKUP(B305,'Regioturnier 1'!$Z$3:$AA$34,2,FALSE)))</f>
        <v>0</v>
      </c>
      <c r="P305" s="15">
        <f>MAX(IF(ISNA(VLOOKUP(B305,'Regioturnier 2'!$B$3:$C$34,2,FALSE))=TRUE,0,VLOOKUP(B305,'Regioturnier 2'!$B$3:$C$34,2,FALSE)),IF(ISNA(VLOOKUP(B305,'Regioturnier 2'!$F$3:$G$34,2,FALSE))=TRUE,0,VLOOKUP(B305,'Regioturnier 2'!$F$3:$G$34,2,FALSE)),IF(ISNA(VLOOKUP(B305,'Regioturnier 2'!$J$3:$K$34,2,FALSE))=TRUE,0,VLOOKUP(B305,'Regioturnier 2'!$J$3:$K$34,2,FALSE)),IF(ISNA(VLOOKUP(B305,'Regioturnier 2'!$N$3:$O$34,2,FALSE))=TRUE,0,VLOOKUP(B305,'Regioturnier 2'!$N$3:$O$34,2,FALSE)),IF(ISNA(VLOOKUP(B305,'Regioturnier 2'!$R$3:$S$34,2,FALSE))=TRUE,0,VLOOKUP(B305,'Regioturnier 2'!$R$3:$S$34,2,FALSE)), IF(ISNA(VLOOKUP(B305,'Regioturnier 2'!$V$3:$W$34,2,FALSE))=TRUE,0,VLOOKUP(B305,'Regioturnier 2'!$V$3:$W$34,2,FALSE)), IF(ISNA(VLOOKUP(B305,'Regioturnier 2'!$Z$3:$AA$34,2,FALSE))=TRUE,0,VLOOKUP(B305,'Regioturnier 2'!$Z$3:$AA$34,2,FALSE)))</f>
        <v>0</v>
      </c>
      <c r="Q305" s="15">
        <f>MAX(IF(ISNA(VLOOKUP(B305,'Regioturnier 3'!$B$3:$C$34,2,FALSE))=TRUE,0,VLOOKUP(B305,'Regioturnier 3'!$B$3:$C$34,2,FALSE)),IF(ISNA(VLOOKUP(B305,'Regioturnier 3'!$F$3:$G$34,2,FALSE))=TRUE,0,VLOOKUP(B305,'Regioturnier 3'!$F$3:$G$34,2,FALSE)),IF(ISNA(VLOOKUP(B305,'Regioturnier 3'!$J$3:$K$34,2,FALSE))=TRUE,0,VLOOKUP(B305,'Regioturnier 3'!$J$3:$K$34,2,FALSE)),IF(ISNA(VLOOKUP(B305,'Regioturnier 3'!$N$3:$O$34,2,FALSE))=TRUE,0,VLOOKUP(B305,'Regioturnier 3'!$N$3:$O$34,2,FALSE)),IF(ISNA(VLOOKUP(B305,'Regioturnier 3'!$R$3:$S$34,2,FALSE))=TRUE,0,VLOOKUP(B305,'Regioturnier 3'!$R$3:$S$34,2,FALSE)), IF(ISNA(VLOOKUP(B305,'Regioturnier 3'!$V$3:$W$34,2,FALSE))=TRUE,0,VLOOKUP(B305,'Regioturnier 3'!$V$3:$W$34,2,FALSE)), IF(ISNA(VLOOKUP(B305,'Regioturnier 3'!$Z$3:$AA$34,2,FALSE))=TRUE,0,VLOOKUP(B305,'Regioturnier 3'!$Z$3:$AA$34,2,FALSE)))</f>
        <v>0</v>
      </c>
      <c r="R305" s="20">
        <f>0.5*INDEX($H305:$N305,MATCH(LARGE($H305:$N305,1),$H305:$N305,0))+0.3*INDEX($H305:$N305,MATCH(LARGE($H305:$N305,2),$H305:$N305,0))+0.2*INDEX($H305:$N305,MATCH(LARGE($H305:$N305,3),$H305:$N305,0))</f>
        <v>0</v>
      </c>
      <c r="S305" s="20">
        <f>0.6*INDEX(O305:Q305,MATCH(LARGE(O305:Q305,1),O305:Q305,0))+0.4*INDEX(O305:Q305,MATCH(LARGE(O305:Q305,2),O305:Q305,0))+0*INDEX(O305:Q305,MATCH(LARGE(O305:Q305,3),O305:Q305,0))</f>
        <v>0</v>
      </c>
      <c r="T305" s="15">
        <f>1*INDEX(R305:S305,MATCH(LARGE(R305:S305,1),R305:S305,0))+0*INDEX(R305:S305,MATCH(LARGE(R305:S305,2),R305:S305,0))</f>
        <v>0</v>
      </c>
      <c r="U305" s="21"/>
      <c r="V305" s="21"/>
      <c r="W305" s="21"/>
      <c r="X305" s="21"/>
      <c r="Y305" s="21"/>
      <c r="Z305" s="21"/>
    </row>
    <row r="306" spans="1:26" ht="12.75" customHeight="1" x14ac:dyDescent="0.3">
      <c r="A306" s="15">
        <v>305</v>
      </c>
      <c r="B306" s="16" t="s">
        <v>287</v>
      </c>
      <c r="C306" s="17"/>
      <c r="D306" s="15" t="s">
        <v>26</v>
      </c>
      <c r="E306" s="18" t="s">
        <v>23</v>
      </c>
      <c r="F306" s="15"/>
      <c r="G306" s="22"/>
      <c r="H306" s="15">
        <f>MAX(IF(ISNA(VLOOKUP(B306,'WBV 1'!$B$3:$C$34,2,FALSE))=TRUE,0,VLOOKUP(B306,'WBV 1'!$B$3:$C$34,2,FALSE)),IF(ISNA(VLOOKUP(B306,'WBV 1'!$F$3:$G$34,2,FALSE))=TRUE,0,VLOOKUP(B306,'WBV 1'!$F$3:$G$34,2,FALSE)),IF(ISNA(VLOOKUP(B306,'WBV 1'!$J$3:$K$34,2,FALSE))=TRUE,0,VLOOKUP(B306,'WBV 1'!$J$3:$K$34,2,FALSE)),IF(ISNA(VLOOKUP(B306,'WBV 1'!$N$3:$O$34,2,FALSE))=TRUE,0,VLOOKUP(B306,'WBV 1'!$N$3:$O$34,2,FALSE)))</f>
        <v>0</v>
      </c>
      <c r="I306" s="15">
        <f>MAX(IF(ISNA(VLOOKUP(B306,'WBV 2'!$B$3:$C$34,2,FALSE))=TRUE,0,VLOOKUP(B306,'WBV 2'!$B$3:$C$34,2,FALSE)),IF(ISNA(VLOOKUP(B306,'WBV 2'!$F$3:$G$34,2,FALSE))=TRUE,0,VLOOKUP(B306,'WBV 2'!$F$3:$G$34,2,FALSE)),IF(ISNA(VLOOKUP(B306,'WBV 2'!$J$3:$K$34,2,FALSE))=TRUE,0,VLOOKUP(B306,'WBV 2'!$J$3:$K$34,2,FALSE)),IF(ISNA(VLOOKUP(B306,'WBV 2'!$N$3:$O$34,2,FALSE))=TRUE,0,VLOOKUP(B306,'WBV 2'!$N$3:$O$34,2,FALSE)))</f>
        <v>0</v>
      </c>
      <c r="J306" s="15">
        <f>MAX(IF(ISNA(VLOOKUP(B306,'WBV 3'!$B$3:$C$34,2,FALSE))=TRUE,0,VLOOKUP(B306,'WBV 3'!$B$3:$C$34,2,FALSE)),IF(ISNA(VLOOKUP(B306,'WBV 3'!$F$3:$G$34,2,FALSE))=TRUE,0,VLOOKUP(B306,'WBV 3'!$F$3:$G$34,2,FALSE)),IF(ISNA(VLOOKUP(B306,'WBV 3'!$J$3:$K$34,2,FALSE))=TRUE,0,VLOOKUP(B306,'WBV 3'!$J$3:$K$34,2,FALSE)),IF(ISNA(VLOOKUP(B306,'WBV 3'!$N$3:$O$34,2,FALSE))=TRUE,0,VLOOKUP(B306,'WBV 3'!$N$3:$O$34,2,FALSE)))</f>
        <v>0</v>
      </c>
      <c r="K306" s="15">
        <f>MAX(IF(ISNA(VLOOKUP(B306,'WBV 4'!$B$3:$C$34,2,FALSE))=TRUE,0,VLOOKUP(B306,'WBV 4'!$B$3:$C$34,2,FALSE)),IF(ISNA(VLOOKUP(B306,'WBV 4'!$F$3:$G$34,2,FALSE))=TRUE,0,VLOOKUP(B306,'WBV 4'!$F$3:$G$34,2,FALSE)),IF(ISNA(VLOOKUP(B306,'WBV 4'!$J$3:$K$34,2,FALSE))=TRUE,0,VLOOKUP(B306,'WBV 4'!$J$3:$K$34,2,FALSE)),IF(ISNA(VLOOKUP(B306,'WBV 4'!$N$3:$O$34,2,FALSE))=TRUE,0,VLOOKUP(B306,'WBV 4'!$N$3:$O$34,2,FALSE)))</f>
        <v>0</v>
      </c>
      <c r="L306" s="19">
        <f>MAX(IF(ISNA(VLOOKUP(B306,'NÖBV 1'!$B$3:$C$34,2,FALSE))=TRUE,0,VLOOKUP(B306,'NÖBV 1'!$B$3:$C$34,2,FALSE)),IF(ISNA(VLOOKUP(B306,'NÖBV 1'!$F$3:$G$34,2,FALSE))=TRUE,0,VLOOKUP(B306,'NÖBV 1'!$F$3:$G$34,2,FALSE)),IF(ISNA(VLOOKUP(B306,'NÖBV 1'!$J$3:$K$34,2,FALSE))=TRUE,0,VLOOKUP(B306,'NÖBV 1'!$J$3:$K$34,2,FALSE)),IF(ISNA(VLOOKUP(B306,'NÖBV 1'!$N$3:$O$34,2,FALSE))=TRUE,0,VLOOKUP(B306,'NÖBV 1'!$N$3:$O$34,2,FALSE)))</f>
        <v>0</v>
      </c>
      <c r="M306" s="19">
        <f>MAX(IF(ISNA(VLOOKUP(B306,'NÖBV 2'!$B$3:$C$34,2,FALSE))=TRUE,0,VLOOKUP(B306,'NÖBV 2'!$B$3:$C$34,2,FALSE)),IF(ISNA(VLOOKUP(B306,'NÖBV 2'!$F$3:$G$34,2,FALSE))=TRUE,0,VLOOKUP(B306,'NÖBV 2'!$F$3:$G$34,2,FALSE)),IF(ISNA(VLOOKUP(B306,'NÖBV 2'!$J$3:$K$34,2,FALSE))=TRUE,0,VLOOKUP(B306,'NÖBV 2'!$J$3:$K$34,2,FALSE)),IF(ISNA(VLOOKUP(B306,'NÖBV 2'!$N$3:$O$34,2,FALSE))=TRUE,0,VLOOKUP(B306,'NÖBV 2'!$N$3:$O$34,2,FALSE)))</f>
        <v>0</v>
      </c>
      <c r="N306" s="19">
        <f>MAX(IF(ISNA(VLOOKUP(B306,'NÖBV 3'!$B$3:$C$34,2,FALSE))=TRUE,0,VLOOKUP(B306,'NÖBV 3'!$B$3:$C$34,2,FALSE)),IF(ISNA(VLOOKUP(B306,'NÖBV 3'!$F$3:$G$34,2,FALSE))=TRUE,0,VLOOKUP(B306,'NÖBV 3'!$F$3:$G$34,2,FALSE)),IF(ISNA(VLOOKUP(B306,'NÖBV 3'!$J$3:$K$34,2,FALSE))=TRUE,0,VLOOKUP(B306,'NÖBV 3'!$J$3:$K$34,2,FALSE)),IF(ISNA(VLOOKUP(B306,'NÖBV 3'!$N$3:$O$34,2,FALSE))=TRUE,0,VLOOKUP(B306,'NÖBV 3'!$N$3:$O$34,2,FALSE)))</f>
        <v>0</v>
      </c>
      <c r="O306" s="15">
        <f>MAX(IF(ISNA(VLOOKUP(B306,'Regioturnier 1'!$B$3:$C$34,2,FALSE))=TRUE,0,VLOOKUP(B306,'Regioturnier 1'!$B$3:$C$34,2,FALSE)),IF(ISNA(VLOOKUP(B306,'Regioturnier 1'!$F$3:$G$34,2,FALSE))=TRUE,0,VLOOKUP(B306,'Regioturnier 1'!$F$3:$G$34,2,FALSE)),IF(ISNA(VLOOKUP(B306,'Regioturnier 1'!$J$3:$K$34,2,FALSE))=TRUE,0,VLOOKUP(B306,'Regioturnier 1'!$J$3:$K$34,2,FALSE)),IF(ISNA(VLOOKUP(B306,'Regioturnier 1'!$N$3:$O$34,2,FALSE))=TRUE,0,VLOOKUP(B306,'Regioturnier 1'!$N$3:$O$34,2,FALSE)),IF(ISNA(VLOOKUP(B306,'Regioturnier 1'!$R$3:$S$34,2,FALSE))=TRUE,0,VLOOKUP(B306,'Regioturnier 1'!$R$3:$S$34,2,FALSE)), IF(ISNA(VLOOKUP(B306,'Regioturnier 1'!$V$3:$W$34,2,FALSE))=TRUE,0,VLOOKUP(B306,'Regioturnier 1'!$V$3:$W$34,2,FALSE)), IF(ISNA(VLOOKUP(B306,'Regioturnier 1'!$Z$3:$AA$34,2,FALSE))=TRUE,0,VLOOKUP(B306,'Regioturnier 1'!$Z$3:$AA$34,2,FALSE)))</f>
        <v>0</v>
      </c>
      <c r="P306" s="15">
        <f>MAX(IF(ISNA(VLOOKUP(B306,'Regioturnier 2'!$B$3:$C$34,2,FALSE))=TRUE,0,VLOOKUP(B306,'Regioturnier 2'!$B$3:$C$34,2,FALSE)),IF(ISNA(VLOOKUP(B306,'Regioturnier 2'!$F$3:$G$34,2,FALSE))=TRUE,0,VLOOKUP(B306,'Regioturnier 2'!$F$3:$G$34,2,FALSE)),IF(ISNA(VLOOKUP(B306,'Regioturnier 2'!$J$3:$K$34,2,FALSE))=TRUE,0,VLOOKUP(B306,'Regioturnier 2'!$J$3:$K$34,2,FALSE)),IF(ISNA(VLOOKUP(B306,'Regioturnier 2'!$N$3:$O$34,2,FALSE))=TRUE,0,VLOOKUP(B306,'Regioturnier 2'!$N$3:$O$34,2,FALSE)),IF(ISNA(VLOOKUP(B306,'Regioturnier 2'!$R$3:$S$34,2,FALSE))=TRUE,0,VLOOKUP(B306,'Regioturnier 2'!$R$3:$S$34,2,FALSE)), IF(ISNA(VLOOKUP(B306,'Regioturnier 2'!$V$3:$W$34,2,FALSE))=TRUE,0,VLOOKUP(B306,'Regioturnier 2'!$V$3:$W$34,2,FALSE)), IF(ISNA(VLOOKUP(B306,'Regioturnier 2'!$Z$3:$AA$34,2,FALSE))=TRUE,0,VLOOKUP(B306,'Regioturnier 2'!$Z$3:$AA$34,2,FALSE)))</f>
        <v>0</v>
      </c>
      <c r="Q306" s="15">
        <f>MAX(IF(ISNA(VLOOKUP(B306,'Regioturnier 3'!$B$3:$C$34,2,FALSE))=TRUE,0,VLOOKUP(B306,'Regioturnier 3'!$B$3:$C$34,2,FALSE)),IF(ISNA(VLOOKUP(B306,'Regioturnier 3'!$F$3:$G$34,2,FALSE))=TRUE,0,VLOOKUP(B306,'Regioturnier 3'!$F$3:$G$34,2,FALSE)),IF(ISNA(VLOOKUP(B306,'Regioturnier 3'!$J$3:$K$34,2,FALSE))=TRUE,0,VLOOKUP(B306,'Regioturnier 3'!$J$3:$K$34,2,FALSE)),IF(ISNA(VLOOKUP(B306,'Regioturnier 3'!$N$3:$O$34,2,FALSE))=TRUE,0,VLOOKUP(B306,'Regioturnier 3'!$N$3:$O$34,2,FALSE)),IF(ISNA(VLOOKUP(B306,'Regioturnier 3'!$R$3:$S$34,2,FALSE))=TRUE,0,VLOOKUP(B306,'Regioturnier 3'!$R$3:$S$34,2,FALSE)), IF(ISNA(VLOOKUP(B306,'Regioturnier 3'!$V$3:$W$34,2,FALSE))=TRUE,0,VLOOKUP(B306,'Regioturnier 3'!$V$3:$W$34,2,FALSE)), IF(ISNA(VLOOKUP(B306,'Regioturnier 3'!$Z$3:$AA$34,2,FALSE))=TRUE,0,VLOOKUP(B306,'Regioturnier 3'!$Z$3:$AA$34,2,FALSE)))</f>
        <v>0</v>
      </c>
      <c r="R306" s="20">
        <f>0.5*INDEX($H306:$N306,MATCH(LARGE($H306:$N306,1),$H306:$N306,0))+0.3*INDEX($H306:$N306,MATCH(LARGE($H306:$N306,2),$H306:$N306,0))+0.2*INDEX($H306:$N306,MATCH(LARGE($H306:$N306,3),$H306:$N306,0))</f>
        <v>0</v>
      </c>
      <c r="S306" s="20">
        <f>0.6*INDEX(O306:Q306,MATCH(LARGE(O306:Q306,1),O306:Q306,0))+0.4*INDEX(O306:Q306,MATCH(LARGE(O306:Q306,2),O306:Q306,0))+0*INDEX(O306:Q306,MATCH(LARGE(O306:Q306,3),O306:Q306,0))</f>
        <v>0</v>
      </c>
      <c r="T306" s="15">
        <f>1*INDEX(R306:S306,MATCH(LARGE(R306:S306,1),R306:S306,0))+0*INDEX(R306:S306,MATCH(LARGE(R306:S306,2),R306:S306,0))</f>
        <v>0</v>
      </c>
      <c r="U306" s="21"/>
      <c r="V306" s="21"/>
      <c r="W306" s="21"/>
      <c r="X306" s="21"/>
      <c r="Y306" s="21"/>
      <c r="Z306" s="21"/>
    </row>
    <row r="307" spans="1:26" ht="12.75" customHeight="1" x14ac:dyDescent="0.3">
      <c r="A307" s="15">
        <v>306</v>
      </c>
      <c r="B307" s="16" t="s">
        <v>288</v>
      </c>
      <c r="C307" s="17"/>
      <c r="D307" s="15" t="s">
        <v>26</v>
      </c>
      <c r="E307" s="18" t="s">
        <v>23</v>
      </c>
      <c r="F307" s="15"/>
      <c r="G307" s="22"/>
      <c r="H307" s="15">
        <f>MAX(IF(ISNA(VLOOKUP(B307,'WBV 1'!$B$3:$C$34,2,FALSE))=TRUE,0,VLOOKUP(B307,'WBV 1'!$B$3:$C$34,2,FALSE)),IF(ISNA(VLOOKUP(B307,'WBV 1'!$F$3:$G$34,2,FALSE))=TRUE,0,VLOOKUP(B307,'WBV 1'!$F$3:$G$34,2,FALSE)),IF(ISNA(VLOOKUP(B307,'WBV 1'!$J$3:$K$34,2,FALSE))=TRUE,0,VLOOKUP(B307,'WBV 1'!$J$3:$K$34,2,FALSE)),IF(ISNA(VLOOKUP(B307,'WBV 1'!$N$3:$O$34,2,FALSE))=TRUE,0,VLOOKUP(B307,'WBV 1'!$N$3:$O$34,2,FALSE)))</f>
        <v>0</v>
      </c>
      <c r="I307" s="15">
        <f>MAX(IF(ISNA(VLOOKUP(B307,'WBV 2'!$B$3:$C$34,2,FALSE))=TRUE,0,VLOOKUP(B307,'WBV 2'!$B$3:$C$34,2,FALSE)),IF(ISNA(VLOOKUP(B307,'WBV 2'!$F$3:$G$34,2,FALSE))=TRUE,0,VLOOKUP(B307,'WBV 2'!$F$3:$G$34,2,FALSE)),IF(ISNA(VLOOKUP(B307,'WBV 2'!$J$3:$K$34,2,FALSE))=TRUE,0,VLOOKUP(B307,'WBV 2'!$J$3:$K$34,2,FALSE)),IF(ISNA(VLOOKUP(B307,'WBV 2'!$N$3:$O$34,2,FALSE))=TRUE,0,VLOOKUP(B307,'WBV 2'!$N$3:$O$34,2,FALSE)))</f>
        <v>0</v>
      </c>
      <c r="J307" s="15">
        <f>MAX(IF(ISNA(VLOOKUP(B307,'WBV 3'!$B$3:$C$34,2,FALSE))=TRUE,0,VLOOKUP(B307,'WBV 3'!$B$3:$C$34,2,FALSE)),IF(ISNA(VLOOKUP(B307,'WBV 3'!$F$3:$G$34,2,FALSE))=TRUE,0,VLOOKUP(B307,'WBV 3'!$F$3:$G$34,2,FALSE)),IF(ISNA(VLOOKUP(B307,'WBV 3'!$J$3:$K$34,2,FALSE))=TRUE,0,VLOOKUP(B307,'WBV 3'!$J$3:$K$34,2,FALSE)),IF(ISNA(VLOOKUP(B307,'WBV 3'!$N$3:$O$34,2,FALSE))=TRUE,0,VLOOKUP(B307,'WBV 3'!$N$3:$O$34,2,FALSE)))</f>
        <v>0</v>
      </c>
      <c r="K307" s="15">
        <f>MAX(IF(ISNA(VLOOKUP(B307,'WBV 4'!$B$3:$C$34,2,FALSE))=TRUE,0,VLOOKUP(B307,'WBV 4'!$B$3:$C$34,2,FALSE)),IF(ISNA(VLOOKUP(B307,'WBV 4'!$F$3:$G$34,2,FALSE))=TRUE,0,VLOOKUP(B307,'WBV 4'!$F$3:$G$34,2,FALSE)),IF(ISNA(VLOOKUP(B307,'WBV 4'!$J$3:$K$34,2,FALSE))=TRUE,0,VLOOKUP(B307,'WBV 4'!$J$3:$K$34,2,FALSE)),IF(ISNA(VLOOKUP(B307,'WBV 4'!$N$3:$O$34,2,FALSE))=TRUE,0,VLOOKUP(B307,'WBV 4'!$N$3:$O$34,2,FALSE)))</f>
        <v>0</v>
      </c>
      <c r="L307" s="19">
        <f>MAX(IF(ISNA(VLOOKUP(B307,'NÖBV 1'!$B$3:$C$34,2,FALSE))=TRUE,0,VLOOKUP(B307,'NÖBV 1'!$B$3:$C$34,2,FALSE)),IF(ISNA(VLOOKUP(B307,'NÖBV 1'!$F$3:$G$34,2,FALSE))=TRUE,0,VLOOKUP(B307,'NÖBV 1'!$F$3:$G$34,2,FALSE)),IF(ISNA(VLOOKUP(B307,'NÖBV 1'!$J$3:$K$34,2,FALSE))=TRUE,0,VLOOKUP(B307,'NÖBV 1'!$J$3:$K$34,2,FALSE)),IF(ISNA(VLOOKUP(B307,'NÖBV 1'!$N$3:$O$34,2,FALSE))=TRUE,0,VLOOKUP(B307,'NÖBV 1'!$N$3:$O$34,2,FALSE)))</f>
        <v>0</v>
      </c>
      <c r="M307" s="19">
        <f>MAX(IF(ISNA(VLOOKUP(B307,'NÖBV 2'!$B$3:$C$34,2,FALSE))=TRUE,0,VLOOKUP(B307,'NÖBV 2'!$B$3:$C$34,2,FALSE)),IF(ISNA(VLOOKUP(B307,'NÖBV 2'!$F$3:$G$34,2,FALSE))=TRUE,0,VLOOKUP(B307,'NÖBV 2'!$F$3:$G$34,2,FALSE)),IF(ISNA(VLOOKUP(B307,'NÖBV 2'!$J$3:$K$34,2,FALSE))=TRUE,0,VLOOKUP(B307,'NÖBV 2'!$J$3:$K$34,2,FALSE)),IF(ISNA(VLOOKUP(B307,'NÖBV 2'!$N$3:$O$34,2,FALSE))=TRUE,0,VLOOKUP(B307,'NÖBV 2'!$N$3:$O$34,2,FALSE)))</f>
        <v>0</v>
      </c>
      <c r="N307" s="19">
        <f>MAX(IF(ISNA(VLOOKUP(B307,'NÖBV 3'!$B$3:$C$34,2,FALSE))=TRUE,0,VLOOKUP(B307,'NÖBV 3'!$B$3:$C$34,2,FALSE)),IF(ISNA(VLOOKUP(B307,'NÖBV 3'!$F$3:$G$34,2,FALSE))=TRUE,0,VLOOKUP(B307,'NÖBV 3'!$F$3:$G$34,2,FALSE)),IF(ISNA(VLOOKUP(B307,'NÖBV 3'!$J$3:$K$34,2,FALSE))=TRUE,0,VLOOKUP(B307,'NÖBV 3'!$J$3:$K$34,2,FALSE)),IF(ISNA(VLOOKUP(B307,'NÖBV 3'!$N$3:$O$34,2,FALSE))=TRUE,0,VLOOKUP(B307,'NÖBV 3'!$N$3:$O$34,2,FALSE)))</f>
        <v>0</v>
      </c>
      <c r="O307" s="15">
        <f>MAX(IF(ISNA(VLOOKUP(B307,'Regioturnier 1'!$B$3:$C$34,2,FALSE))=TRUE,0,VLOOKUP(B307,'Regioturnier 1'!$B$3:$C$34,2,FALSE)),IF(ISNA(VLOOKUP(B307,'Regioturnier 1'!$F$3:$G$34,2,FALSE))=TRUE,0,VLOOKUP(B307,'Regioturnier 1'!$F$3:$G$34,2,FALSE)),IF(ISNA(VLOOKUP(B307,'Regioturnier 1'!$J$3:$K$34,2,FALSE))=TRUE,0,VLOOKUP(B307,'Regioturnier 1'!$J$3:$K$34,2,FALSE)),IF(ISNA(VLOOKUP(B307,'Regioturnier 1'!$N$3:$O$34,2,FALSE))=TRUE,0,VLOOKUP(B307,'Regioturnier 1'!$N$3:$O$34,2,FALSE)),IF(ISNA(VLOOKUP(B307,'Regioturnier 1'!$R$3:$S$34,2,FALSE))=TRUE,0,VLOOKUP(B307,'Regioturnier 1'!$R$3:$S$34,2,FALSE)), IF(ISNA(VLOOKUP(B307,'Regioturnier 1'!$V$3:$W$34,2,FALSE))=TRUE,0,VLOOKUP(B307,'Regioturnier 1'!$V$3:$W$34,2,FALSE)), IF(ISNA(VLOOKUP(B307,'Regioturnier 1'!$Z$3:$AA$34,2,FALSE))=TRUE,0,VLOOKUP(B307,'Regioturnier 1'!$Z$3:$AA$34,2,FALSE)))</f>
        <v>0</v>
      </c>
      <c r="P307" s="15">
        <f>MAX(IF(ISNA(VLOOKUP(B307,'Regioturnier 2'!$B$3:$C$34,2,FALSE))=TRUE,0,VLOOKUP(B307,'Regioturnier 2'!$B$3:$C$34,2,FALSE)),IF(ISNA(VLOOKUP(B307,'Regioturnier 2'!$F$3:$G$34,2,FALSE))=TRUE,0,VLOOKUP(B307,'Regioturnier 2'!$F$3:$G$34,2,FALSE)),IF(ISNA(VLOOKUP(B307,'Regioturnier 2'!$J$3:$K$34,2,FALSE))=TRUE,0,VLOOKUP(B307,'Regioturnier 2'!$J$3:$K$34,2,FALSE)),IF(ISNA(VLOOKUP(B307,'Regioturnier 2'!$N$3:$O$34,2,FALSE))=TRUE,0,VLOOKUP(B307,'Regioturnier 2'!$N$3:$O$34,2,FALSE)),IF(ISNA(VLOOKUP(B307,'Regioturnier 2'!$R$3:$S$34,2,FALSE))=TRUE,0,VLOOKUP(B307,'Regioturnier 2'!$R$3:$S$34,2,FALSE)), IF(ISNA(VLOOKUP(B307,'Regioturnier 2'!$V$3:$W$34,2,FALSE))=TRUE,0,VLOOKUP(B307,'Regioturnier 2'!$V$3:$W$34,2,FALSE)), IF(ISNA(VLOOKUP(B307,'Regioturnier 2'!$Z$3:$AA$34,2,FALSE))=TRUE,0,VLOOKUP(B307,'Regioturnier 2'!$Z$3:$AA$34,2,FALSE)))</f>
        <v>0</v>
      </c>
      <c r="Q307" s="15">
        <f>MAX(IF(ISNA(VLOOKUP(B307,'Regioturnier 3'!$B$3:$C$34,2,FALSE))=TRUE,0,VLOOKUP(B307,'Regioturnier 3'!$B$3:$C$34,2,FALSE)),IF(ISNA(VLOOKUP(B307,'Regioturnier 3'!$F$3:$G$34,2,FALSE))=TRUE,0,VLOOKUP(B307,'Regioturnier 3'!$F$3:$G$34,2,FALSE)),IF(ISNA(VLOOKUP(B307,'Regioturnier 3'!$J$3:$K$34,2,FALSE))=TRUE,0,VLOOKUP(B307,'Regioturnier 3'!$J$3:$K$34,2,FALSE)),IF(ISNA(VLOOKUP(B307,'Regioturnier 3'!$N$3:$O$34,2,FALSE))=TRUE,0,VLOOKUP(B307,'Regioturnier 3'!$N$3:$O$34,2,FALSE)),IF(ISNA(VLOOKUP(B307,'Regioturnier 3'!$R$3:$S$34,2,FALSE))=TRUE,0,VLOOKUP(B307,'Regioturnier 3'!$R$3:$S$34,2,FALSE)), IF(ISNA(VLOOKUP(B307,'Regioturnier 3'!$V$3:$W$34,2,FALSE))=TRUE,0,VLOOKUP(B307,'Regioturnier 3'!$V$3:$W$34,2,FALSE)), IF(ISNA(VLOOKUP(B307,'Regioturnier 3'!$Z$3:$AA$34,2,FALSE))=TRUE,0,VLOOKUP(B307,'Regioturnier 3'!$Z$3:$AA$34,2,FALSE)))</f>
        <v>0</v>
      </c>
      <c r="R307" s="20">
        <f>0.5*INDEX($H307:$N307,MATCH(LARGE($H307:$N307,1),$H307:$N307,0))+0.3*INDEX($H307:$N307,MATCH(LARGE($H307:$N307,2),$H307:$N307,0))+0.2*INDEX($H307:$N307,MATCH(LARGE($H307:$N307,3),$H307:$N307,0))</f>
        <v>0</v>
      </c>
      <c r="S307" s="20">
        <f>0.6*INDEX(O307:Q307,MATCH(LARGE(O307:Q307,1),O307:Q307,0))+0.4*INDEX(O307:Q307,MATCH(LARGE(O307:Q307,2),O307:Q307,0))+0*INDEX(O307:Q307,MATCH(LARGE(O307:Q307,3),O307:Q307,0))</f>
        <v>0</v>
      </c>
      <c r="T307" s="15">
        <f>1*INDEX(R307:S307,MATCH(LARGE(R307:S307,1),R307:S307,0))+0*INDEX(R307:S307,MATCH(LARGE(R307:S307,2),R307:S307,0))</f>
        <v>0</v>
      </c>
      <c r="U307" s="21"/>
      <c r="V307" s="21"/>
      <c r="W307" s="21"/>
      <c r="X307" s="21"/>
      <c r="Y307" s="21"/>
      <c r="Z307" s="21"/>
    </row>
    <row r="308" spans="1:26" ht="12.75" customHeight="1" x14ac:dyDescent="0.3">
      <c r="A308" s="15">
        <v>307</v>
      </c>
      <c r="B308" s="16" t="s">
        <v>289</v>
      </c>
      <c r="C308" s="17"/>
      <c r="D308" s="15"/>
      <c r="E308" s="18" t="s">
        <v>23</v>
      </c>
      <c r="F308" s="15"/>
      <c r="G308" s="22"/>
      <c r="H308" s="15">
        <f>MAX(IF(ISNA(VLOOKUP(B308,'WBV 1'!$B$3:$C$34,2,FALSE))=TRUE,0,VLOOKUP(B308,'WBV 1'!$B$3:$C$34,2,FALSE)),IF(ISNA(VLOOKUP(B308,'WBV 1'!$F$3:$G$34,2,FALSE))=TRUE,0,VLOOKUP(B308,'WBV 1'!$F$3:$G$34,2,FALSE)),IF(ISNA(VLOOKUP(B308,'WBV 1'!$J$3:$K$34,2,FALSE))=TRUE,0,VLOOKUP(B308,'WBV 1'!$J$3:$K$34,2,FALSE)),IF(ISNA(VLOOKUP(B308,'WBV 1'!$N$3:$O$34,2,FALSE))=TRUE,0,VLOOKUP(B308,'WBV 1'!$N$3:$O$34,2,FALSE)))</f>
        <v>0</v>
      </c>
      <c r="I308" s="15">
        <f>MAX(IF(ISNA(VLOOKUP(B308,'WBV 2'!$B$3:$C$34,2,FALSE))=TRUE,0,VLOOKUP(B308,'WBV 2'!$B$3:$C$34,2,FALSE)),IF(ISNA(VLOOKUP(B308,'WBV 2'!$F$3:$G$34,2,FALSE))=TRUE,0,VLOOKUP(B308,'WBV 2'!$F$3:$G$34,2,FALSE)),IF(ISNA(VLOOKUP(B308,'WBV 2'!$J$3:$K$34,2,FALSE))=TRUE,0,VLOOKUP(B308,'WBV 2'!$J$3:$K$34,2,FALSE)),IF(ISNA(VLOOKUP(B308,'WBV 2'!$N$3:$O$34,2,FALSE))=TRUE,0,VLOOKUP(B308,'WBV 2'!$N$3:$O$34,2,FALSE)))</f>
        <v>0</v>
      </c>
      <c r="J308" s="15">
        <f>MAX(IF(ISNA(VLOOKUP(B308,'WBV 3'!$B$3:$C$34,2,FALSE))=TRUE,0,VLOOKUP(B308,'WBV 3'!$B$3:$C$34,2,FALSE)),IF(ISNA(VLOOKUP(B308,'WBV 3'!$F$3:$G$34,2,FALSE))=TRUE,0,VLOOKUP(B308,'WBV 3'!$F$3:$G$34,2,FALSE)),IF(ISNA(VLOOKUP(B308,'WBV 3'!$J$3:$K$34,2,FALSE))=TRUE,0,VLOOKUP(B308,'WBV 3'!$J$3:$K$34,2,FALSE)),IF(ISNA(VLOOKUP(B308,'WBV 3'!$N$3:$O$34,2,FALSE))=TRUE,0,VLOOKUP(B308,'WBV 3'!$N$3:$O$34,2,FALSE)))</f>
        <v>0</v>
      </c>
      <c r="K308" s="15">
        <f>MAX(IF(ISNA(VLOOKUP(B308,'WBV 4'!$B$3:$C$34,2,FALSE))=TRUE,0,VLOOKUP(B308,'WBV 4'!$B$3:$C$34,2,FALSE)),IF(ISNA(VLOOKUP(B308,'WBV 4'!$F$3:$G$34,2,FALSE))=TRUE,0,VLOOKUP(B308,'WBV 4'!$F$3:$G$34,2,FALSE)),IF(ISNA(VLOOKUP(B308,'WBV 4'!$J$3:$K$34,2,FALSE))=TRUE,0,VLOOKUP(B308,'WBV 4'!$J$3:$K$34,2,FALSE)),IF(ISNA(VLOOKUP(B308,'WBV 4'!$N$3:$O$34,2,FALSE))=TRUE,0,VLOOKUP(B308,'WBV 4'!$N$3:$O$34,2,FALSE)))</f>
        <v>0</v>
      </c>
      <c r="L308" s="19">
        <f>MAX(IF(ISNA(VLOOKUP(B308,'NÖBV 1'!$B$3:$C$34,2,FALSE))=TRUE,0,VLOOKUP(B308,'NÖBV 1'!$B$3:$C$34,2,FALSE)),IF(ISNA(VLOOKUP(B308,'NÖBV 1'!$F$3:$G$34,2,FALSE))=TRUE,0,VLOOKUP(B308,'NÖBV 1'!$F$3:$G$34,2,FALSE)),IF(ISNA(VLOOKUP(B308,'NÖBV 1'!$J$3:$K$34,2,FALSE))=TRUE,0,VLOOKUP(B308,'NÖBV 1'!$J$3:$K$34,2,FALSE)),IF(ISNA(VLOOKUP(B308,'NÖBV 1'!$N$3:$O$34,2,FALSE))=TRUE,0,VLOOKUP(B308,'NÖBV 1'!$N$3:$O$34,2,FALSE)))</f>
        <v>0</v>
      </c>
      <c r="M308" s="19">
        <f>MAX(IF(ISNA(VLOOKUP(B308,'NÖBV 2'!$B$3:$C$34,2,FALSE))=TRUE,0,VLOOKUP(B308,'NÖBV 2'!$B$3:$C$34,2,FALSE)),IF(ISNA(VLOOKUP(B308,'NÖBV 2'!$F$3:$G$34,2,FALSE))=TRUE,0,VLOOKUP(B308,'NÖBV 2'!$F$3:$G$34,2,FALSE)),IF(ISNA(VLOOKUP(B308,'NÖBV 2'!$J$3:$K$34,2,FALSE))=TRUE,0,VLOOKUP(B308,'NÖBV 2'!$J$3:$K$34,2,FALSE)),IF(ISNA(VLOOKUP(B308,'NÖBV 2'!$N$3:$O$34,2,FALSE))=TRUE,0,VLOOKUP(B308,'NÖBV 2'!$N$3:$O$34,2,FALSE)))</f>
        <v>0</v>
      </c>
      <c r="N308" s="19">
        <f>MAX(IF(ISNA(VLOOKUP(B308,'NÖBV 3'!$B$3:$C$34,2,FALSE))=TRUE,0,VLOOKUP(B308,'NÖBV 3'!$B$3:$C$34,2,FALSE)),IF(ISNA(VLOOKUP(B308,'NÖBV 3'!$F$3:$G$34,2,FALSE))=TRUE,0,VLOOKUP(B308,'NÖBV 3'!$F$3:$G$34,2,FALSE)),IF(ISNA(VLOOKUP(B308,'NÖBV 3'!$J$3:$K$34,2,FALSE))=TRUE,0,VLOOKUP(B308,'NÖBV 3'!$J$3:$K$34,2,FALSE)),IF(ISNA(VLOOKUP(B308,'NÖBV 3'!$N$3:$O$34,2,FALSE))=TRUE,0,VLOOKUP(B308,'NÖBV 3'!$N$3:$O$34,2,FALSE)))</f>
        <v>0</v>
      </c>
      <c r="O308" s="15">
        <f>MAX(IF(ISNA(VLOOKUP(B308,'Regioturnier 1'!$B$3:$C$34,2,FALSE))=TRUE,0,VLOOKUP(B308,'Regioturnier 1'!$B$3:$C$34,2,FALSE)),IF(ISNA(VLOOKUP(B308,'Regioturnier 1'!$F$3:$G$34,2,FALSE))=TRUE,0,VLOOKUP(B308,'Regioturnier 1'!$F$3:$G$34,2,FALSE)),IF(ISNA(VLOOKUP(B308,'Regioturnier 1'!$J$3:$K$34,2,FALSE))=TRUE,0,VLOOKUP(B308,'Regioturnier 1'!$J$3:$K$34,2,FALSE)),IF(ISNA(VLOOKUP(B308,'Regioturnier 1'!$N$3:$O$34,2,FALSE))=TRUE,0,VLOOKUP(B308,'Regioturnier 1'!$N$3:$O$34,2,FALSE)),IF(ISNA(VLOOKUP(B308,'Regioturnier 1'!$R$3:$S$34,2,FALSE))=TRUE,0,VLOOKUP(B308,'Regioturnier 1'!$R$3:$S$34,2,FALSE)), IF(ISNA(VLOOKUP(B308,'Regioturnier 1'!$V$3:$W$34,2,FALSE))=TRUE,0,VLOOKUP(B308,'Regioturnier 1'!$V$3:$W$34,2,FALSE)), IF(ISNA(VLOOKUP(B308,'Regioturnier 1'!$Z$3:$AA$34,2,FALSE))=TRUE,0,VLOOKUP(B308,'Regioturnier 1'!$Z$3:$AA$34,2,FALSE)))</f>
        <v>0</v>
      </c>
      <c r="P308" s="15">
        <f>MAX(IF(ISNA(VLOOKUP(B308,'Regioturnier 2'!$B$3:$C$34,2,FALSE))=TRUE,0,VLOOKUP(B308,'Regioturnier 2'!$B$3:$C$34,2,FALSE)),IF(ISNA(VLOOKUP(B308,'Regioturnier 2'!$F$3:$G$34,2,FALSE))=TRUE,0,VLOOKUP(B308,'Regioturnier 2'!$F$3:$G$34,2,FALSE)),IF(ISNA(VLOOKUP(B308,'Regioturnier 2'!$J$3:$K$34,2,FALSE))=TRUE,0,VLOOKUP(B308,'Regioturnier 2'!$J$3:$K$34,2,FALSE)),IF(ISNA(VLOOKUP(B308,'Regioturnier 2'!$N$3:$O$34,2,FALSE))=TRUE,0,VLOOKUP(B308,'Regioturnier 2'!$N$3:$O$34,2,FALSE)),IF(ISNA(VLOOKUP(B308,'Regioturnier 2'!$R$3:$S$34,2,FALSE))=TRUE,0,VLOOKUP(B308,'Regioturnier 2'!$R$3:$S$34,2,FALSE)), IF(ISNA(VLOOKUP(B308,'Regioturnier 2'!$V$3:$W$34,2,FALSE))=TRUE,0,VLOOKUP(B308,'Regioturnier 2'!$V$3:$W$34,2,FALSE)), IF(ISNA(VLOOKUP(B308,'Regioturnier 2'!$Z$3:$AA$34,2,FALSE))=TRUE,0,VLOOKUP(B308,'Regioturnier 2'!$Z$3:$AA$34,2,FALSE)))</f>
        <v>0</v>
      </c>
      <c r="Q308" s="15">
        <f>MAX(IF(ISNA(VLOOKUP(B308,'Regioturnier 3'!$B$3:$C$34,2,FALSE))=TRUE,0,VLOOKUP(B308,'Regioturnier 3'!$B$3:$C$34,2,FALSE)),IF(ISNA(VLOOKUP(B308,'Regioturnier 3'!$F$3:$G$34,2,FALSE))=TRUE,0,VLOOKUP(B308,'Regioturnier 3'!$F$3:$G$34,2,FALSE)),IF(ISNA(VLOOKUP(B308,'Regioturnier 3'!$J$3:$K$34,2,FALSE))=TRUE,0,VLOOKUP(B308,'Regioturnier 3'!$J$3:$K$34,2,FALSE)),IF(ISNA(VLOOKUP(B308,'Regioturnier 3'!$N$3:$O$34,2,FALSE))=TRUE,0,VLOOKUP(B308,'Regioturnier 3'!$N$3:$O$34,2,FALSE)),IF(ISNA(VLOOKUP(B308,'Regioturnier 3'!$R$3:$S$34,2,FALSE))=TRUE,0,VLOOKUP(B308,'Regioturnier 3'!$R$3:$S$34,2,FALSE)), IF(ISNA(VLOOKUP(B308,'Regioturnier 3'!$V$3:$W$34,2,FALSE))=TRUE,0,VLOOKUP(B308,'Regioturnier 3'!$V$3:$W$34,2,FALSE)), IF(ISNA(VLOOKUP(B308,'Regioturnier 3'!$Z$3:$AA$34,2,FALSE))=TRUE,0,VLOOKUP(B308,'Regioturnier 3'!$Z$3:$AA$34,2,FALSE)))</f>
        <v>0</v>
      </c>
      <c r="R308" s="20">
        <f>0.5*INDEX($H308:$N308,MATCH(LARGE($H308:$N308,1),$H308:$N308,0))+0.3*INDEX($H308:$N308,MATCH(LARGE($H308:$N308,2),$H308:$N308,0))+0.2*INDEX($H308:$N308,MATCH(LARGE($H308:$N308,3),$H308:$N308,0))</f>
        <v>0</v>
      </c>
      <c r="S308" s="20">
        <f>0.6*INDEX(O308:Q308,MATCH(LARGE(O308:Q308,1),O308:Q308,0))+0.4*INDEX(O308:Q308,MATCH(LARGE(O308:Q308,2),O308:Q308,0))+0*INDEX(O308:Q308,MATCH(LARGE(O308:Q308,3),O308:Q308,0))</f>
        <v>0</v>
      </c>
      <c r="T308" s="15">
        <f>1*INDEX(R308:S308,MATCH(LARGE(R308:S308,1),R308:S308,0))+0*INDEX(R308:S308,MATCH(LARGE(R308:S308,2),R308:S308,0))</f>
        <v>0</v>
      </c>
      <c r="U308" s="21"/>
      <c r="V308" s="21"/>
      <c r="W308" s="21"/>
      <c r="X308" s="21"/>
      <c r="Y308" s="21"/>
      <c r="Z308" s="21"/>
    </row>
    <row r="309" spans="1:26" ht="12.75" customHeight="1" x14ac:dyDescent="0.3">
      <c r="A309" s="15">
        <v>308</v>
      </c>
      <c r="B309" s="16" t="s">
        <v>290</v>
      </c>
      <c r="C309" s="17" t="s">
        <v>291</v>
      </c>
      <c r="D309" s="15" t="s">
        <v>26</v>
      </c>
      <c r="E309" s="18" t="s">
        <v>23</v>
      </c>
      <c r="F309" s="15"/>
      <c r="G309" s="22"/>
      <c r="H309" s="15">
        <f>MAX(IF(ISNA(VLOOKUP(B309,'WBV 1'!$B$3:$C$34,2,FALSE))=TRUE,0,VLOOKUP(B309,'WBV 1'!$B$3:$C$34,2,FALSE)),IF(ISNA(VLOOKUP(B309,'WBV 1'!$F$3:$G$34,2,FALSE))=TRUE,0,VLOOKUP(B309,'WBV 1'!$F$3:$G$34,2,FALSE)),IF(ISNA(VLOOKUP(B309,'WBV 1'!$J$3:$K$34,2,FALSE))=TRUE,0,VLOOKUP(B309,'WBV 1'!$J$3:$K$34,2,FALSE)),IF(ISNA(VLOOKUP(B309,'WBV 1'!$N$3:$O$34,2,FALSE))=TRUE,0,VLOOKUP(B309,'WBV 1'!$N$3:$O$34,2,FALSE)))</f>
        <v>0</v>
      </c>
      <c r="I309" s="15">
        <f>MAX(IF(ISNA(VLOOKUP(B309,'WBV 2'!$B$3:$C$34,2,FALSE))=TRUE,0,VLOOKUP(B309,'WBV 2'!$B$3:$C$34,2,FALSE)),IF(ISNA(VLOOKUP(B309,'WBV 2'!$F$3:$G$34,2,FALSE))=TRUE,0,VLOOKUP(B309,'WBV 2'!$F$3:$G$34,2,FALSE)),IF(ISNA(VLOOKUP(B309,'WBV 2'!$J$3:$K$34,2,FALSE))=TRUE,0,VLOOKUP(B309,'WBV 2'!$J$3:$K$34,2,FALSE)),IF(ISNA(VLOOKUP(B309,'WBV 2'!$N$3:$O$34,2,FALSE))=TRUE,0,VLOOKUP(B309,'WBV 2'!$N$3:$O$34,2,FALSE)))</f>
        <v>0</v>
      </c>
      <c r="J309" s="15">
        <f>MAX(IF(ISNA(VLOOKUP(B309,'WBV 3'!$B$3:$C$34,2,FALSE))=TRUE,0,VLOOKUP(B309,'WBV 3'!$B$3:$C$34,2,FALSE)),IF(ISNA(VLOOKUP(B309,'WBV 3'!$F$3:$G$34,2,FALSE))=TRUE,0,VLOOKUP(B309,'WBV 3'!$F$3:$G$34,2,FALSE)),IF(ISNA(VLOOKUP(B309,'WBV 3'!$J$3:$K$34,2,FALSE))=TRUE,0,VLOOKUP(B309,'WBV 3'!$J$3:$K$34,2,FALSE)),IF(ISNA(VLOOKUP(B309,'WBV 3'!$N$3:$O$34,2,FALSE))=TRUE,0,VLOOKUP(B309,'WBV 3'!$N$3:$O$34,2,FALSE)))</f>
        <v>0</v>
      </c>
      <c r="K309" s="15">
        <f>MAX(IF(ISNA(VLOOKUP(B309,'WBV 4'!$B$3:$C$34,2,FALSE))=TRUE,0,VLOOKUP(B309,'WBV 4'!$B$3:$C$34,2,FALSE)),IF(ISNA(VLOOKUP(B309,'WBV 4'!$F$3:$G$34,2,FALSE))=TRUE,0,VLOOKUP(B309,'WBV 4'!$F$3:$G$34,2,FALSE)),IF(ISNA(VLOOKUP(B309,'WBV 4'!$J$3:$K$34,2,FALSE))=TRUE,0,VLOOKUP(B309,'WBV 4'!$J$3:$K$34,2,FALSE)),IF(ISNA(VLOOKUP(B309,'WBV 4'!$N$3:$O$34,2,FALSE))=TRUE,0,VLOOKUP(B309,'WBV 4'!$N$3:$O$34,2,FALSE)))</f>
        <v>0</v>
      </c>
      <c r="L309" s="19">
        <f>MAX(IF(ISNA(VLOOKUP(B309,'NÖBV 1'!$B$3:$C$34,2,FALSE))=TRUE,0,VLOOKUP(B309,'NÖBV 1'!$B$3:$C$34,2,FALSE)),IF(ISNA(VLOOKUP(B309,'NÖBV 1'!$F$3:$G$34,2,FALSE))=TRUE,0,VLOOKUP(B309,'NÖBV 1'!$F$3:$G$34,2,FALSE)),IF(ISNA(VLOOKUP(B309,'NÖBV 1'!$J$3:$K$34,2,FALSE))=TRUE,0,VLOOKUP(B309,'NÖBV 1'!$J$3:$K$34,2,FALSE)),IF(ISNA(VLOOKUP(B309,'NÖBV 1'!$N$3:$O$34,2,FALSE))=TRUE,0,VLOOKUP(B309,'NÖBV 1'!$N$3:$O$34,2,FALSE)))</f>
        <v>0</v>
      </c>
      <c r="M309" s="19">
        <f>MAX(IF(ISNA(VLOOKUP(B309,'NÖBV 2'!$B$3:$C$34,2,FALSE))=TRUE,0,VLOOKUP(B309,'NÖBV 2'!$B$3:$C$34,2,FALSE)),IF(ISNA(VLOOKUP(B309,'NÖBV 2'!$F$3:$G$34,2,FALSE))=TRUE,0,VLOOKUP(B309,'NÖBV 2'!$F$3:$G$34,2,FALSE)),IF(ISNA(VLOOKUP(B309,'NÖBV 2'!$J$3:$K$34,2,FALSE))=TRUE,0,VLOOKUP(B309,'NÖBV 2'!$J$3:$K$34,2,FALSE)),IF(ISNA(VLOOKUP(B309,'NÖBV 2'!$N$3:$O$34,2,FALSE))=TRUE,0,VLOOKUP(B309,'NÖBV 2'!$N$3:$O$34,2,FALSE)))</f>
        <v>0</v>
      </c>
      <c r="N309" s="19">
        <f>MAX(IF(ISNA(VLOOKUP(B309,'NÖBV 3'!$B$3:$C$34,2,FALSE))=TRUE,0,VLOOKUP(B309,'NÖBV 3'!$B$3:$C$34,2,FALSE)),IF(ISNA(VLOOKUP(B309,'NÖBV 3'!$F$3:$G$34,2,FALSE))=TRUE,0,VLOOKUP(B309,'NÖBV 3'!$F$3:$G$34,2,FALSE)),IF(ISNA(VLOOKUP(B309,'NÖBV 3'!$J$3:$K$34,2,FALSE))=TRUE,0,VLOOKUP(B309,'NÖBV 3'!$J$3:$K$34,2,FALSE)),IF(ISNA(VLOOKUP(B309,'NÖBV 3'!$N$3:$O$34,2,FALSE))=TRUE,0,VLOOKUP(B309,'NÖBV 3'!$N$3:$O$34,2,FALSE)))</f>
        <v>0</v>
      </c>
      <c r="O309" s="15">
        <f>MAX(IF(ISNA(VLOOKUP(B309,'Regioturnier 1'!$B$3:$C$34,2,FALSE))=TRUE,0,VLOOKUP(B309,'Regioturnier 1'!$B$3:$C$34,2,FALSE)),IF(ISNA(VLOOKUP(B309,'Regioturnier 1'!$F$3:$G$34,2,FALSE))=TRUE,0,VLOOKUP(B309,'Regioturnier 1'!$F$3:$G$34,2,FALSE)),IF(ISNA(VLOOKUP(B309,'Regioturnier 1'!$J$3:$K$34,2,FALSE))=TRUE,0,VLOOKUP(B309,'Regioturnier 1'!$J$3:$K$34,2,FALSE)),IF(ISNA(VLOOKUP(B309,'Regioturnier 1'!$N$3:$O$34,2,FALSE))=TRUE,0,VLOOKUP(B309,'Regioturnier 1'!$N$3:$O$34,2,FALSE)),IF(ISNA(VLOOKUP(B309,'Regioturnier 1'!$R$3:$S$34,2,FALSE))=TRUE,0,VLOOKUP(B309,'Regioturnier 1'!$R$3:$S$34,2,FALSE)), IF(ISNA(VLOOKUP(B309,'Regioturnier 1'!$V$3:$W$34,2,FALSE))=TRUE,0,VLOOKUP(B309,'Regioturnier 1'!$V$3:$W$34,2,FALSE)), IF(ISNA(VLOOKUP(B309,'Regioturnier 1'!$Z$3:$AA$34,2,FALSE))=TRUE,0,VLOOKUP(B309,'Regioturnier 1'!$Z$3:$AA$34,2,FALSE)))</f>
        <v>0</v>
      </c>
      <c r="P309" s="15">
        <f>MAX(IF(ISNA(VLOOKUP(B309,'Regioturnier 2'!$B$3:$C$34,2,FALSE))=TRUE,0,VLOOKUP(B309,'Regioturnier 2'!$B$3:$C$34,2,FALSE)),IF(ISNA(VLOOKUP(B309,'Regioturnier 2'!$F$3:$G$34,2,FALSE))=TRUE,0,VLOOKUP(B309,'Regioturnier 2'!$F$3:$G$34,2,FALSE)),IF(ISNA(VLOOKUP(B309,'Regioturnier 2'!$J$3:$K$34,2,FALSE))=TRUE,0,VLOOKUP(B309,'Regioturnier 2'!$J$3:$K$34,2,FALSE)),IF(ISNA(VLOOKUP(B309,'Regioturnier 2'!$N$3:$O$34,2,FALSE))=TRUE,0,VLOOKUP(B309,'Regioturnier 2'!$N$3:$O$34,2,FALSE)),IF(ISNA(VLOOKUP(B309,'Regioturnier 2'!$R$3:$S$34,2,FALSE))=TRUE,0,VLOOKUP(B309,'Regioturnier 2'!$R$3:$S$34,2,FALSE)), IF(ISNA(VLOOKUP(B309,'Regioturnier 2'!$V$3:$W$34,2,FALSE))=TRUE,0,VLOOKUP(B309,'Regioturnier 2'!$V$3:$W$34,2,FALSE)), IF(ISNA(VLOOKUP(B309,'Regioturnier 2'!$Z$3:$AA$34,2,FALSE))=TRUE,0,VLOOKUP(B309,'Regioturnier 2'!$Z$3:$AA$34,2,FALSE)))</f>
        <v>0</v>
      </c>
      <c r="Q309" s="15">
        <f>MAX(IF(ISNA(VLOOKUP(B309,'Regioturnier 3'!$B$3:$C$34,2,FALSE))=TRUE,0,VLOOKUP(B309,'Regioturnier 3'!$B$3:$C$34,2,FALSE)),IF(ISNA(VLOOKUP(B309,'Regioturnier 3'!$F$3:$G$34,2,FALSE))=TRUE,0,VLOOKUP(B309,'Regioturnier 3'!$F$3:$G$34,2,FALSE)),IF(ISNA(VLOOKUP(B309,'Regioturnier 3'!$J$3:$K$34,2,FALSE))=TRUE,0,VLOOKUP(B309,'Regioturnier 3'!$J$3:$K$34,2,FALSE)),IF(ISNA(VLOOKUP(B309,'Regioturnier 3'!$N$3:$O$34,2,FALSE))=TRUE,0,VLOOKUP(B309,'Regioturnier 3'!$N$3:$O$34,2,FALSE)),IF(ISNA(VLOOKUP(B309,'Regioturnier 3'!$R$3:$S$34,2,FALSE))=TRUE,0,VLOOKUP(B309,'Regioturnier 3'!$R$3:$S$34,2,FALSE)), IF(ISNA(VLOOKUP(B309,'Regioturnier 3'!$V$3:$W$34,2,FALSE))=TRUE,0,VLOOKUP(B309,'Regioturnier 3'!$V$3:$W$34,2,FALSE)), IF(ISNA(VLOOKUP(B309,'Regioturnier 3'!$Z$3:$AA$34,2,FALSE))=TRUE,0,VLOOKUP(B309,'Regioturnier 3'!$Z$3:$AA$34,2,FALSE)))</f>
        <v>0</v>
      </c>
      <c r="R309" s="20">
        <f>0.5*INDEX($H309:$N309,MATCH(LARGE($H309:$N309,1),$H309:$N309,0))+0.3*INDEX($H309:$N309,MATCH(LARGE($H309:$N309,2),$H309:$N309,0))+0.2*INDEX($H309:$N309,MATCH(LARGE($H309:$N309,3),$H309:$N309,0))</f>
        <v>0</v>
      </c>
      <c r="S309" s="20">
        <f>0.6*INDEX(O309:Q309,MATCH(LARGE(O309:Q309,1),O309:Q309,0))+0.4*INDEX(O309:Q309,MATCH(LARGE(O309:Q309,2),O309:Q309,0))+0*INDEX(O309:Q309,MATCH(LARGE(O309:Q309,3),O309:Q309,0))</f>
        <v>0</v>
      </c>
      <c r="T309" s="15">
        <f>1*INDEX(R309:S309,MATCH(LARGE(R309:S309,1),R309:S309,0))+0*INDEX(R309:S309,MATCH(LARGE(R309:S309,2),R309:S309,0))</f>
        <v>0</v>
      </c>
      <c r="U309" s="21"/>
      <c r="V309" s="21"/>
      <c r="W309" s="21"/>
      <c r="X309" s="21"/>
      <c r="Y309" s="21"/>
      <c r="Z309" s="21"/>
    </row>
    <row r="310" spans="1:26" ht="12.75" customHeight="1" x14ac:dyDescent="0.3">
      <c r="A310" s="15">
        <v>309</v>
      </c>
      <c r="B310" s="16" t="s">
        <v>292</v>
      </c>
      <c r="C310" s="17"/>
      <c r="D310" s="15" t="s">
        <v>26</v>
      </c>
      <c r="E310" s="18" t="s">
        <v>23</v>
      </c>
      <c r="F310" s="15"/>
      <c r="G310" s="22"/>
      <c r="H310" s="15">
        <f>MAX(IF(ISNA(VLOOKUP(B310,'WBV 1'!$B$3:$C$34,2,FALSE))=TRUE,0,VLOOKUP(B310,'WBV 1'!$B$3:$C$34,2,FALSE)),IF(ISNA(VLOOKUP(B310,'WBV 1'!$F$3:$G$34,2,FALSE))=TRUE,0,VLOOKUP(B310,'WBV 1'!$F$3:$G$34,2,FALSE)),IF(ISNA(VLOOKUP(B310,'WBV 1'!$J$3:$K$34,2,FALSE))=TRUE,0,VLOOKUP(B310,'WBV 1'!$J$3:$K$34,2,FALSE)),IF(ISNA(VLOOKUP(B310,'WBV 1'!$N$3:$O$34,2,FALSE))=TRUE,0,VLOOKUP(B310,'WBV 1'!$N$3:$O$34,2,FALSE)))</f>
        <v>0</v>
      </c>
      <c r="I310" s="15">
        <f>MAX(IF(ISNA(VLOOKUP(B310,'WBV 2'!$B$3:$C$34,2,FALSE))=TRUE,0,VLOOKUP(B310,'WBV 2'!$B$3:$C$34,2,FALSE)),IF(ISNA(VLOOKUP(B310,'WBV 2'!$F$3:$G$34,2,FALSE))=TRUE,0,VLOOKUP(B310,'WBV 2'!$F$3:$G$34,2,FALSE)),IF(ISNA(VLOOKUP(B310,'WBV 2'!$J$3:$K$34,2,FALSE))=TRUE,0,VLOOKUP(B310,'WBV 2'!$J$3:$K$34,2,FALSE)),IF(ISNA(VLOOKUP(B310,'WBV 2'!$N$3:$O$34,2,FALSE))=TRUE,0,VLOOKUP(B310,'WBV 2'!$N$3:$O$34,2,FALSE)))</f>
        <v>0</v>
      </c>
      <c r="J310" s="15">
        <f>MAX(IF(ISNA(VLOOKUP(B310,'WBV 3'!$B$3:$C$34,2,FALSE))=TRUE,0,VLOOKUP(B310,'WBV 3'!$B$3:$C$34,2,FALSE)),IF(ISNA(VLOOKUP(B310,'WBV 3'!$F$3:$G$34,2,FALSE))=TRUE,0,VLOOKUP(B310,'WBV 3'!$F$3:$G$34,2,FALSE)),IF(ISNA(VLOOKUP(B310,'WBV 3'!$J$3:$K$34,2,FALSE))=TRUE,0,VLOOKUP(B310,'WBV 3'!$J$3:$K$34,2,FALSE)),IF(ISNA(VLOOKUP(B310,'WBV 3'!$N$3:$O$34,2,FALSE))=TRUE,0,VLOOKUP(B310,'WBV 3'!$N$3:$O$34,2,FALSE)))</f>
        <v>0</v>
      </c>
      <c r="K310" s="15">
        <f>MAX(IF(ISNA(VLOOKUP(B310,'WBV 4'!$B$3:$C$34,2,FALSE))=TRUE,0,VLOOKUP(B310,'WBV 4'!$B$3:$C$34,2,FALSE)),IF(ISNA(VLOOKUP(B310,'WBV 4'!$F$3:$G$34,2,FALSE))=TRUE,0,VLOOKUP(B310,'WBV 4'!$F$3:$G$34,2,FALSE)),IF(ISNA(VLOOKUP(B310,'WBV 4'!$J$3:$K$34,2,FALSE))=TRUE,0,VLOOKUP(B310,'WBV 4'!$J$3:$K$34,2,FALSE)),IF(ISNA(VLOOKUP(B310,'WBV 4'!$N$3:$O$34,2,FALSE))=TRUE,0,VLOOKUP(B310,'WBV 4'!$N$3:$O$34,2,FALSE)))</f>
        <v>0</v>
      </c>
      <c r="L310" s="19">
        <f>MAX(IF(ISNA(VLOOKUP(B310,'NÖBV 1'!$B$3:$C$34,2,FALSE))=TRUE,0,VLOOKUP(B310,'NÖBV 1'!$B$3:$C$34,2,FALSE)),IF(ISNA(VLOOKUP(B310,'NÖBV 1'!$F$3:$G$34,2,FALSE))=TRUE,0,VLOOKUP(B310,'NÖBV 1'!$F$3:$G$34,2,FALSE)),IF(ISNA(VLOOKUP(B310,'NÖBV 1'!$J$3:$K$34,2,FALSE))=TRUE,0,VLOOKUP(B310,'NÖBV 1'!$J$3:$K$34,2,FALSE)),IF(ISNA(VLOOKUP(B310,'NÖBV 1'!$N$3:$O$34,2,FALSE))=TRUE,0,VLOOKUP(B310,'NÖBV 1'!$N$3:$O$34,2,FALSE)))</f>
        <v>0</v>
      </c>
      <c r="M310" s="19">
        <f>MAX(IF(ISNA(VLOOKUP(B310,'NÖBV 2'!$B$3:$C$34,2,FALSE))=TRUE,0,VLOOKUP(B310,'NÖBV 2'!$B$3:$C$34,2,FALSE)),IF(ISNA(VLOOKUP(B310,'NÖBV 2'!$F$3:$G$34,2,FALSE))=TRUE,0,VLOOKUP(B310,'NÖBV 2'!$F$3:$G$34,2,FALSE)),IF(ISNA(VLOOKUP(B310,'NÖBV 2'!$J$3:$K$34,2,FALSE))=TRUE,0,VLOOKUP(B310,'NÖBV 2'!$J$3:$K$34,2,FALSE)),IF(ISNA(VLOOKUP(B310,'NÖBV 2'!$N$3:$O$34,2,FALSE))=TRUE,0,VLOOKUP(B310,'NÖBV 2'!$N$3:$O$34,2,FALSE)))</f>
        <v>0</v>
      </c>
      <c r="N310" s="19">
        <f>MAX(IF(ISNA(VLOOKUP(B310,'NÖBV 3'!$B$3:$C$34,2,FALSE))=TRUE,0,VLOOKUP(B310,'NÖBV 3'!$B$3:$C$34,2,FALSE)),IF(ISNA(VLOOKUP(B310,'NÖBV 3'!$F$3:$G$34,2,FALSE))=TRUE,0,VLOOKUP(B310,'NÖBV 3'!$F$3:$G$34,2,FALSE)),IF(ISNA(VLOOKUP(B310,'NÖBV 3'!$J$3:$K$34,2,FALSE))=TRUE,0,VLOOKUP(B310,'NÖBV 3'!$J$3:$K$34,2,FALSE)),IF(ISNA(VLOOKUP(B310,'NÖBV 3'!$N$3:$O$34,2,FALSE))=TRUE,0,VLOOKUP(B310,'NÖBV 3'!$N$3:$O$34,2,FALSE)))</f>
        <v>0</v>
      </c>
      <c r="O310" s="15">
        <f>MAX(IF(ISNA(VLOOKUP(B310,'Regioturnier 1'!$B$3:$C$34,2,FALSE))=TRUE,0,VLOOKUP(B310,'Regioturnier 1'!$B$3:$C$34,2,FALSE)),IF(ISNA(VLOOKUP(B310,'Regioturnier 1'!$F$3:$G$34,2,FALSE))=TRUE,0,VLOOKUP(B310,'Regioturnier 1'!$F$3:$G$34,2,FALSE)),IF(ISNA(VLOOKUP(B310,'Regioturnier 1'!$J$3:$K$34,2,FALSE))=TRUE,0,VLOOKUP(B310,'Regioturnier 1'!$J$3:$K$34,2,FALSE)),IF(ISNA(VLOOKUP(B310,'Regioturnier 1'!$N$3:$O$34,2,FALSE))=TRUE,0,VLOOKUP(B310,'Regioturnier 1'!$N$3:$O$34,2,FALSE)),IF(ISNA(VLOOKUP(B310,'Regioturnier 1'!$R$3:$S$34,2,FALSE))=TRUE,0,VLOOKUP(B310,'Regioturnier 1'!$R$3:$S$34,2,FALSE)), IF(ISNA(VLOOKUP(B310,'Regioturnier 1'!$V$3:$W$34,2,FALSE))=TRUE,0,VLOOKUP(B310,'Regioturnier 1'!$V$3:$W$34,2,FALSE)), IF(ISNA(VLOOKUP(B310,'Regioturnier 1'!$Z$3:$AA$34,2,FALSE))=TRUE,0,VLOOKUP(B310,'Regioturnier 1'!$Z$3:$AA$34,2,FALSE)))</f>
        <v>0</v>
      </c>
      <c r="P310" s="15">
        <f>MAX(IF(ISNA(VLOOKUP(B310,'Regioturnier 2'!$B$3:$C$34,2,FALSE))=TRUE,0,VLOOKUP(B310,'Regioturnier 2'!$B$3:$C$34,2,FALSE)),IF(ISNA(VLOOKUP(B310,'Regioturnier 2'!$F$3:$G$34,2,FALSE))=TRUE,0,VLOOKUP(B310,'Regioturnier 2'!$F$3:$G$34,2,FALSE)),IF(ISNA(VLOOKUP(B310,'Regioturnier 2'!$J$3:$K$34,2,FALSE))=TRUE,0,VLOOKUP(B310,'Regioturnier 2'!$J$3:$K$34,2,FALSE)),IF(ISNA(VLOOKUP(B310,'Regioturnier 2'!$N$3:$O$34,2,FALSE))=TRUE,0,VLOOKUP(B310,'Regioturnier 2'!$N$3:$O$34,2,FALSE)),IF(ISNA(VLOOKUP(B310,'Regioturnier 2'!$R$3:$S$34,2,FALSE))=TRUE,0,VLOOKUP(B310,'Regioturnier 2'!$R$3:$S$34,2,FALSE)), IF(ISNA(VLOOKUP(B310,'Regioturnier 2'!$V$3:$W$34,2,FALSE))=TRUE,0,VLOOKUP(B310,'Regioturnier 2'!$V$3:$W$34,2,FALSE)), IF(ISNA(VLOOKUP(B310,'Regioturnier 2'!$Z$3:$AA$34,2,FALSE))=TRUE,0,VLOOKUP(B310,'Regioturnier 2'!$Z$3:$AA$34,2,FALSE)))</f>
        <v>0</v>
      </c>
      <c r="Q310" s="15">
        <f>MAX(IF(ISNA(VLOOKUP(B310,'Regioturnier 3'!$B$3:$C$34,2,FALSE))=TRUE,0,VLOOKUP(B310,'Regioturnier 3'!$B$3:$C$34,2,FALSE)),IF(ISNA(VLOOKUP(B310,'Regioturnier 3'!$F$3:$G$34,2,FALSE))=TRUE,0,VLOOKUP(B310,'Regioturnier 3'!$F$3:$G$34,2,FALSE)),IF(ISNA(VLOOKUP(B310,'Regioturnier 3'!$J$3:$K$34,2,FALSE))=TRUE,0,VLOOKUP(B310,'Regioturnier 3'!$J$3:$K$34,2,FALSE)),IF(ISNA(VLOOKUP(B310,'Regioturnier 3'!$N$3:$O$34,2,FALSE))=TRUE,0,VLOOKUP(B310,'Regioturnier 3'!$N$3:$O$34,2,FALSE)),IF(ISNA(VLOOKUP(B310,'Regioturnier 3'!$R$3:$S$34,2,FALSE))=TRUE,0,VLOOKUP(B310,'Regioturnier 3'!$R$3:$S$34,2,FALSE)), IF(ISNA(VLOOKUP(B310,'Regioturnier 3'!$V$3:$W$34,2,FALSE))=TRUE,0,VLOOKUP(B310,'Regioturnier 3'!$V$3:$W$34,2,FALSE)), IF(ISNA(VLOOKUP(B310,'Regioturnier 3'!$Z$3:$AA$34,2,FALSE))=TRUE,0,VLOOKUP(B310,'Regioturnier 3'!$Z$3:$AA$34,2,FALSE)))</f>
        <v>0</v>
      </c>
      <c r="R310" s="20">
        <f>0.5*INDEX($H310:$N310,MATCH(LARGE($H310:$N310,1),$H310:$N310,0))+0.3*INDEX($H310:$N310,MATCH(LARGE($H310:$N310,2),$H310:$N310,0))+0.2*INDEX($H310:$N310,MATCH(LARGE($H310:$N310,3),$H310:$N310,0))</f>
        <v>0</v>
      </c>
      <c r="S310" s="20">
        <f>0.6*INDEX(O310:Q310,MATCH(LARGE(O310:Q310,1),O310:Q310,0))+0.4*INDEX(O310:Q310,MATCH(LARGE(O310:Q310,2),O310:Q310,0))+0*INDEX(O310:Q310,MATCH(LARGE(O310:Q310,3),O310:Q310,0))</f>
        <v>0</v>
      </c>
      <c r="T310" s="15">
        <f>1*INDEX(R310:S310,MATCH(LARGE(R310:S310,1),R310:S310,0))+0*INDEX(R310:S310,MATCH(LARGE(R310:S310,2),R310:S310,0))</f>
        <v>0</v>
      </c>
      <c r="U310" s="21"/>
      <c r="V310" s="21"/>
      <c r="W310" s="21"/>
      <c r="X310" s="21"/>
      <c r="Y310" s="21"/>
      <c r="Z310" s="21"/>
    </row>
    <row r="311" spans="1:26" ht="12.75" customHeight="1" x14ac:dyDescent="0.3">
      <c r="A311" s="15">
        <v>310</v>
      </c>
      <c r="B311" s="16" t="s">
        <v>293</v>
      </c>
      <c r="C311" s="17"/>
      <c r="D311" s="15" t="s">
        <v>26</v>
      </c>
      <c r="E311" s="18" t="s">
        <v>40</v>
      </c>
      <c r="F311" s="15"/>
      <c r="G311" s="22"/>
      <c r="H311" s="15">
        <f>MAX(IF(ISNA(VLOOKUP(B311,'WBV 1'!$B$3:$C$34,2,FALSE))=TRUE,0,VLOOKUP(B311,'WBV 1'!$B$3:$C$34,2,FALSE)),IF(ISNA(VLOOKUP(B311,'WBV 1'!$F$3:$G$34,2,FALSE))=TRUE,0,VLOOKUP(B311,'WBV 1'!$F$3:$G$34,2,FALSE)),IF(ISNA(VLOOKUP(B311,'WBV 1'!$J$3:$K$34,2,FALSE))=TRUE,0,VLOOKUP(B311,'WBV 1'!$J$3:$K$34,2,FALSE)),IF(ISNA(VLOOKUP(B311,'WBV 1'!$N$3:$O$34,2,FALSE))=TRUE,0,VLOOKUP(B311,'WBV 1'!$N$3:$O$34,2,FALSE)))</f>
        <v>0</v>
      </c>
      <c r="I311" s="15">
        <f>MAX(IF(ISNA(VLOOKUP(B311,'WBV 2'!$B$3:$C$34,2,FALSE))=TRUE,0,VLOOKUP(B311,'WBV 2'!$B$3:$C$34,2,FALSE)),IF(ISNA(VLOOKUP(B311,'WBV 2'!$F$3:$G$34,2,FALSE))=TRUE,0,VLOOKUP(B311,'WBV 2'!$F$3:$G$34,2,FALSE)),IF(ISNA(VLOOKUP(B311,'WBV 2'!$J$3:$K$34,2,FALSE))=TRUE,0,VLOOKUP(B311,'WBV 2'!$J$3:$K$34,2,FALSE)),IF(ISNA(VLOOKUP(B311,'WBV 2'!$N$3:$O$34,2,FALSE))=TRUE,0,VLOOKUP(B311,'WBV 2'!$N$3:$O$34,2,FALSE)))</f>
        <v>0</v>
      </c>
      <c r="J311" s="15">
        <f>MAX(IF(ISNA(VLOOKUP(B311,'WBV 3'!$B$3:$C$34,2,FALSE))=TRUE,0,VLOOKUP(B311,'WBV 3'!$B$3:$C$34,2,FALSE)),IF(ISNA(VLOOKUP(B311,'WBV 3'!$F$3:$G$34,2,FALSE))=TRUE,0,VLOOKUP(B311,'WBV 3'!$F$3:$G$34,2,FALSE)),IF(ISNA(VLOOKUP(B311,'WBV 3'!$J$3:$K$34,2,FALSE))=TRUE,0,VLOOKUP(B311,'WBV 3'!$J$3:$K$34,2,FALSE)),IF(ISNA(VLOOKUP(B311,'WBV 3'!$N$3:$O$34,2,FALSE))=TRUE,0,VLOOKUP(B311,'WBV 3'!$N$3:$O$34,2,FALSE)))</f>
        <v>0</v>
      </c>
      <c r="K311" s="15">
        <f>MAX(IF(ISNA(VLOOKUP(B311,'WBV 4'!$B$3:$C$34,2,FALSE))=TRUE,0,VLOOKUP(B311,'WBV 4'!$B$3:$C$34,2,FALSE)),IF(ISNA(VLOOKUP(B311,'WBV 4'!$F$3:$G$34,2,FALSE))=TRUE,0,VLOOKUP(B311,'WBV 4'!$F$3:$G$34,2,FALSE)),IF(ISNA(VLOOKUP(B311,'WBV 4'!$J$3:$K$34,2,FALSE))=TRUE,0,VLOOKUP(B311,'WBV 4'!$J$3:$K$34,2,FALSE)),IF(ISNA(VLOOKUP(B311,'WBV 4'!$N$3:$O$34,2,FALSE))=TRUE,0,VLOOKUP(B311,'WBV 4'!$N$3:$O$34,2,FALSE)))</f>
        <v>0</v>
      </c>
      <c r="L311" s="19">
        <f>MAX(IF(ISNA(VLOOKUP(B311,'NÖBV 1'!$B$3:$C$34,2,FALSE))=TRUE,0,VLOOKUP(B311,'NÖBV 1'!$B$3:$C$34,2,FALSE)),IF(ISNA(VLOOKUP(B311,'NÖBV 1'!$F$3:$G$34,2,FALSE))=TRUE,0,VLOOKUP(B311,'NÖBV 1'!$F$3:$G$34,2,FALSE)),IF(ISNA(VLOOKUP(B311,'NÖBV 1'!$J$3:$K$34,2,FALSE))=TRUE,0,VLOOKUP(B311,'NÖBV 1'!$J$3:$K$34,2,FALSE)),IF(ISNA(VLOOKUP(B311,'NÖBV 1'!$N$3:$O$34,2,FALSE))=TRUE,0,VLOOKUP(B311,'NÖBV 1'!$N$3:$O$34,2,FALSE)))</f>
        <v>0</v>
      </c>
      <c r="M311" s="19">
        <f>MAX(IF(ISNA(VLOOKUP(B311,'NÖBV 2'!$B$3:$C$34,2,FALSE))=TRUE,0,VLOOKUP(B311,'NÖBV 2'!$B$3:$C$34,2,FALSE)),IF(ISNA(VLOOKUP(B311,'NÖBV 2'!$F$3:$G$34,2,FALSE))=TRUE,0,VLOOKUP(B311,'NÖBV 2'!$F$3:$G$34,2,FALSE)),IF(ISNA(VLOOKUP(B311,'NÖBV 2'!$J$3:$K$34,2,FALSE))=TRUE,0,VLOOKUP(B311,'NÖBV 2'!$J$3:$K$34,2,FALSE)),IF(ISNA(VLOOKUP(B311,'NÖBV 2'!$N$3:$O$34,2,FALSE))=TRUE,0,VLOOKUP(B311,'NÖBV 2'!$N$3:$O$34,2,FALSE)))</f>
        <v>0</v>
      </c>
      <c r="N311" s="19">
        <f>MAX(IF(ISNA(VLOOKUP(B311,'NÖBV 3'!$B$3:$C$34,2,FALSE))=TRUE,0,VLOOKUP(B311,'NÖBV 3'!$B$3:$C$34,2,FALSE)),IF(ISNA(VLOOKUP(B311,'NÖBV 3'!$F$3:$G$34,2,FALSE))=TRUE,0,VLOOKUP(B311,'NÖBV 3'!$F$3:$G$34,2,FALSE)),IF(ISNA(VLOOKUP(B311,'NÖBV 3'!$J$3:$K$34,2,FALSE))=TRUE,0,VLOOKUP(B311,'NÖBV 3'!$J$3:$K$34,2,FALSE)),IF(ISNA(VLOOKUP(B311,'NÖBV 3'!$N$3:$O$34,2,FALSE))=TRUE,0,VLOOKUP(B311,'NÖBV 3'!$N$3:$O$34,2,FALSE)))</f>
        <v>0</v>
      </c>
      <c r="O311" s="15">
        <f>MAX(IF(ISNA(VLOOKUP(B311,'Regioturnier 1'!$B$3:$C$34,2,FALSE))=TRUE,0,VLOOKUP(B311,'Regioturnier 1'!$B$3:$C$34,2,FALSE)),IF(ISNA(VLOOKUP(B311,'Regioturnier 1'!$F$3:$G$34,2,FALSE))=TRUE,0,VLOOKUP(B311,'Regioturnier 1'!$F$3:$G$34,2,FALSE)),IF(ISNA(VLOOKUP(B311,'Regioturnier 1'!$J$3:$K$34,2,FALSE))=TRUE,0,VLOOKUP(B311,'Regioturnier 1'!$J$3:$K$34,2,FALSE)),IF(ISNA(VLOOKUP(B311,'Regioturnier 1'!$N$3:$O$34,2,FALSE))=TRUE,0,VLOOKUP(B311,'Regioturnier 1'!$N$3:$O$34,2,FALSE)),IF(ISNA(VLOOKUP(B311,'Regioturnier 1'!$R$3:$S$34,2,FALSE))=TRUE,0,VLOOKUP(B311,'Regioturnier 1'!$R$3:$S$34,2,FALSE)), IF(ISNA(VLOOKUP(B311,'Regioturnier 1'!$V$3:$W$34,2,FALSE))=TRUE,0,VLOOKUP(B311,'Regioturnier 1'!$V$3:$W$34,2,FALSE)), IF(ISNA(VLOOKUP(B311,'Regioturnier 1'!$Z$3:$AA$34,2,FALSE))=TRUE,0,VLOOKUP(B311,'Regioturnier 1'!$Z$3:$AA$34,2,FALSE)))</f>
        <v>0</v>
      </c>
      <c r="P311" s="15">
        <f>MAX(IF(ISNA(VLOOKUP(B311,'Regioturnier 2'!$B$3:$C$34,2,FALSE))=TRUE,0,VLOOKUP(B311,'Regioturnier 2'!$B$3:$C$34,2,FALSE)),IF(ISNA(VLOOKUP(B311,'Regioturnier 2'!$F$3:$G$34,2,FALSE))=TRUE,0,VLOOKUP(B311,'Regioturnier 2'!$F$3:$G$34,2,FALSE)),IF(ISNA(VLOOKUP(B311,'Regioturnier 2'!$J$3:$K$34,2,FALSE))=TRUE,0,VLOOKUP(B311,'Regioturnier 2'!$J$3:$K$34,2,FALSE)),IF(ISNA(VLOOKUP(B311,'Regioturnier 2'!$N$3:$O$34,2,FALSE))=TRUE,0,VLOOKUP(B311,'Regioturnier 2'!$N$3:$O$34,2,FALSE)),IF(ISNA(VLOOKUP(B311,'Regioturnier 2'!$R$3:$S$34,2,FALSE))=TRUE,0,VLOOKUP(B311,'Regioturnier 2'!$R$3:$S$34,2,FALSE)), IF(ISNA(VLOOKUP(B311,'Regioturnier 2'!$V$3:$W$34,2,FALSE))=TRUE,0,VLOOKUP(B311,'Regioturnier 2'!$V$3:$W$34,2,FALSE)), IF(ISNA(VLOOKUP(B311,'Regioturnier 2'!$Z$3:$AA$34,2,FALSE))=TRUE,0,VLOOKUP(B311,'Regioturnier 2'!$Z$3:$AA$34,2,FALSE)))</f>
        <v>0</v>
      </c>
      <c r="Q311" s="15">
        <f>MAX(IF(ISNA(VLOOKUP(B311,'Regioturnier 3'!$B$3:$C$34,2,FALSE))=TRUE,0,VLOOKUP(B311,'Regioturnier 3'!$B$3:$C$34,2,FALSE)),IF(ISNA(VLOOKUP(B311,'Regioturnier 3'!$F$3:$G$34,2,FALSE))=TRUE,0,VLOOKUP(B311,'Regioturnier 3'!$F$3:$G$34,2,FALSE)),IF(ISNA(VLOOKUP(B311,'Regioturnier 3'!$J$3:$K$34,2,FALSE))=TRUE,0,VLOOKUP(B311,'Regioturnier 3'!$J$3:$K$34,2,FALSE)),IF(ISNA(VLOOKUP(B311,'Regioturnier 3'!$N$3:$O$34,2,FALSE))=TRUE,0,VLOOKUP(B311,'Regioturnier 3'!$N$3:$O$34,2,FALSE)),IF(ISNA(VLOOKUP(B311,'Regioturnier 3'!$R$3:$S$34,2,FALSE))=TRUE,0,VLOOKUP(B311,'Regioturnier 3'!$R$3:$S$34,2,FALSE)), IF(ISNA(VLOOKUP(B311,'Regioturnier 3'!$V$3:$W$34,2,FALSE))=TRUE,0,VLOOKUP(B311,'Regioturnier 3'!$V$3:$W$34,2,FALSE)), IF(ISNA(VLOOKUP(B311,'Regioturnier 3'!$Z$3:$AA$34,2,FALSE))=TRUE,0,VLOOKUP(B311,'Regioturnier 3'!$Z$3:$AA$34,2,FALSE)))</f>
        <v>0</v>
      </c>
      <c r="R311" s="20">
        <f>0.5*INDEX($H311:$N311,MATCH(LARGE($H311:$N311,1),$H311:$N311,0))+0.3*INDEX($H311:$N311,MATCH(LARGE($H311:$N311,2),$H311:$N311,0))+0.2*INDEX($H311:$N311,MATCH(LARGE($H311:$N311,3),$H311:$N311,0))</f>
        <v>0</v>
      </c>
      <c r="S311" s="20">
        <f>0.6*INDEX(O311:Q311,MATCH(LARGE(O311:Q311,1),O311:Q311,0))+0.4*INDEX(O311:Q311,MATCH(LARGE(O311:Q311,2),O311:Q311,0))+0*INDEX(O311:Q311,MATCH(LARGE(O311:Q311,3),O311:Q311,0))</f>
        <v>0</v>
      </c>
      <c r="T311" s="15">
        <f>1*INDEX(R311:S311,MATCH(LARGE(R311:S311,1),R311:S311,0))+0*INDEX(R311:S311,MATCH(LARGE(R311:S311,2),R311:S311,0))</f>
        <v>0</v>
      </c>
      <c r="U311" s="21"/>
      <c r="V311" s="21"/>
      <c r="W311" s="21"/>
      <c r="X311" s="21"/>
      <c r="Y311" s="21"/>
      <c r="Z311" s="21"/>
    </row>
    <row r="312" spans="1:26" ht="12.75" customHeight="1" x14ac:dyDescent="0.3">
      <c r="A312" s="15">
        <v>311</v>
      </c>
      <c r="B312" s="16" t="s">
        <v>294</v>
      </c>
      <c r="C312" s="17"/>
      <c r="D312" s="15" t="s">
        <v>26</v>
      </c>
      <c r="E312" s="18" t="s">
        <v>40</v>
      </c>
      <c r="F312" s="15"/>
      <c r="G312" s="22"/>
      <c r="H312" s="15">
        <f>MAX(IF(ISNA(VLOOKUP(B312,'WBV 1'!$B$3:$C$34,2,FALSE))=TRUE,0,VLOOKUP(B312,'WBV 1'!$B$3:$C$34,2,FALSE)),IF(ISNA(VLOOKUP(B312,'WBV 1'!$F$3:$G$34,2,FALSE))=TRUE,0,VLOOKUP(B312,'WBV 1'!$F$3:$G$34,2,FALSE)),IF(ISNA(VLOOKUP(B312,'WBV 1'!$J$3:$K$34,2,FALSE))=TRUE,0,VLOOKUP(B312,'WBV 1'!$J$3:$K$34,2,FALSE)),IF(ISNA(VLOOKUP(B312,'WBV 1'!$N$3:$O$34,2,FALSE))=TRUE,0,VLOOKUP(B312,'WBV 1'!$N$3:$O$34,2,FALSE)))</f>
        <v>0</v>
      </c>
      <c r="I312" s="15">
        <f>MAX(IF(ISNA(VLOOKUP(B312,'WBV 2'!$B$3:$C$34,2,FALSE))=TRUE,0,VLOOKUP(B312,'WBV 2'!$B$3:$C$34,2,FALSE)),IF(ISNA(VLOOKUP(B312,'WBV 2'!$F$3:$G$34,2,FALSE))=TRUE,0,VLOOKUP(B312,'WBV 2'!$F$3:$G$34,2,FALSE)),IF(ISNA(VLOOKUP(B312,'WBV 2'!$J$3:$K$34,2,FALSE))=TRUE,0,VLOOKUP(B312,'WBV 2'!$J$3:$K$34,2,FALSE)),IF(ISNA(VLOOKUP(B312,'WBV 2'!$N$3:$O$34,2,FALSE))=TRUE,0,VLOOKUP(B312,'WBV 2'!$N$3:$O$34,2,FALSE)))</f>
        <v>0</v>
      </c>
      <c r="J312" s="15">
        <f>MAX(IF(ISNA(VLOOKUP(B312,'WBV 3'!$B$3:$C$34,2,FALSE))=TRUE,0,VLOOKUP(B312,'WBV 3'!$B$3:$C$34,2,FALSE)),IF(ISNA(VLOOKUP(B312,'WBV 3'!$F$3:$G$34,2,FALSE))=TRUE,0,VLOOKUP(B312,'WBV 3'!$F$3:$G$34,2,FALSE)),IF(ISNA(VLOOKUP(B312,'WBV 3'!$J$3:$K$34,2,FALSE))=TRUE,0,VLOOKUP(B312,'WBV 3'!$J$3:$K$34,2,FALSE)),IF(ISNA(VLOOKUP(B312,'WBV 3'!$N$3:$O$34,2,FALSE))=TRUE,0,VLOOKUP(B312,'WBV 3'!$N$3:$O$34,2,FALSE)))</f>
        <v>0</v>
      </c>
      <c r="K312" s="15">
        <f>MAX(IF(ISNA(VLOOKUP(B312,'WBV 4'!$B$3:$C$34,2,FALSE))=TRUE,0,VLOOKUP(B312,'WBV 4'!$B$3:$C$34,2,FALSE)),IF(ISNA(VLOOKUP(B312,'WBV 4'!$F$3:$G$34,2,FALSE))=TRUE,0,VLOOKUP(B312,'WBV 4'!$F$3:$G$34,2,FALSE)),IF(ISNA(VLOOKUP(B312,'WBV 4'!$J$3:$K$34,2,FALSE))=TRUE,0,VLOOKUP(B312,'WBV 4'!$J$3:$K$34,2,FALSE)),IF(ISNA(VLOOKUP(B312,'WBV 4'!$N$3:$O$34,2,FALSE))=TRUE,0,VLOOKUP(B312,'WBV 4'!$N$3:$O$34,2,FALSE)))</f>
        <v>0</v>
      </c>
      <c r="L312" s="19">
        <f>MAX(IF(ISNA(VLOOKUP(B312,'NÖBV 1'!$B$3:$C$34,2,FALSE))=TRUE,0,VLOOKUP(B312,'NÖBV 1'!$B$3:$C$34,2,FALSE)),IF(ISNA(VLOOKUP(B312,'NÖBV 1'!$F$3:$G$34,2,FALSE))=TRUE,0,VLOOKUP(B312,'NÖBV 1'!$F$3:$G$34,2,FALSE)),IF(ISNA(VLOOKUP(B312,'NÖBV 1'!$J$3:$K$34,2,FALSE))=TRUE,0,VLOOKUP(B312,'NÖBV 1'!$J$3:$K$34,2,FALSE)),IF(ISNA(VLOOKUP(B312,'NÖBV 1'!$N$3:$O$34,2,FALSE))=TRUE,0,VLOOKUP(B312,'NÖBV 1'!$N$3:$O$34,2,FALSE)))</f>
        <v>0</v>
      </c>
      <c r="M312" s="19">
        <f>MAX(IF(ISNA(VLOOKUP(B312,'NÖBV 2'!$B$3:$C$34,2,FALSE))=TRUE,0,VLOOKUP(B312,'NÖBV 2'!$B$3:$C$34,2,FALSE)),IF(ISNA(VLOOKUP(B312,'NÖBV 2'!$F$3:$G$34,2,FALSE))=TRUE,0,VLOOKUP(B312,'NÖBV 2'!$F$3:$G$34,2,FALSE)),IF(ISNA(VLOOKUP(B312,'NÖBV 2'!$J$3:$K$34,2,FALSE))=TRUE,0,VLOOKUP(B312,'NÖBV 2'!$J$3:$K$34,2,FALSE)),IF(ISNA(VLOOKUP(B312,'NÖBV 2'!$N$3:$O$34,2,FALSE))=TRUE,0,VLOOKUP(B312,'NÖBV 2'!$N$3:$O$34,2,FALSE)))</f>
        <v>0</v>
      </c>
      <c r="N312" s="19">
        <f>MAX(IF(ISNA(VLOOKUP(B312,'NÖBV 3'!$B$3:$C$34,2,FALSE))=TRUE,0,VLOOKUP(B312,'NÖBV 3'!$B$3:$C$34,2,FALSE)),IF(ISNA(VLOOKUP(B312,'NÖBV 3'!$F$3:$G$34,2,FALSE))=TRUE,0,VLOOKUP(B312,'NÖBV 3'!$F$3:$G$34,2,FALSE)),IF(ISNA(VLOOKUP(B312,'NÖBV 3'!$J$3:$K$34,2,FALSE))=TRUE,0,VLOOKUP(B312,'NÖBV 3'!$J$3:$K$34,2,FALSE)),IF(ISNA(VLOOKUP(B312,'NÖBV 3'!$N$3:$O$34,2,FALSE))=TRUE,0,VLOOKUP(B312,'NÖBV 3'!$N$3:$O$34,2,FALSE)))</f>
        <v>0</v>
      </c>
      <c r="O312" s="15">
        <f>MAX(IF(ISNA(VLOOKUP(B312,'Regioturnier 1'!$B$3:$C$34,2,FALSE))=TRUE,0,VLOOKUP(B312,'Regioturnier 1'!$B$3:$C$34,2,FALSE)),IF(ISNA(VLOOKUP(B312,'Regioturnier 1'!$F$3:$G$34,2,FALSE))=TRUE,0,VLOOKUP(B312,'Regioturnier 1'!$F$3:$G$34,2,FALSE)),IF(ISNA(VLOOKUP(B312,'Regioturnier 1'!$J$3:$K$34,2,FALSE))=TRUE,0,VLOOKUP(B312,'Regioturnier 1'!$J$3:$K$34,2,FALSE)),IF(ISNA(VLOOKUP(B312,'Regioturnier 1'!$N$3:$O$34,2,FALSE))=TRUE,0,VLOOKUP(B312,'Regioturnier 1'!$N$3:$O$34,2,FALSE)),IF(ISNA(VLOOKUP(B312,'Regioturnier 1'!$R$3:$S$34,2,FALSE))=TRUE,0,VLOOKUP(B312,'Regioturnier 1'!$R$3:$S$34,2,FALSE)), IF(ISNA(VLOOKUP(B312,'Regioturnier 1'!$V$3:$W$34,2,FALSE))=TRUE,0,VLOOKUP(B312,'Regioturnier 1'!$V$3:$W$34,2,FALSE)), IF(ISNA(VLOOKUP(B312,'Regioturnier 1'!$Z$3:$AA$34,2,FALSE))=TRUE,0,VLOOKUP(B312,'Regioturnier 1'!$Z$3:$AA$34,2,FALSE)))</f>
        <v>0</v>
      </c>
      <c r="P312" s="15">
        <f>MAX(IF(ISNA(VLOOKUP(B312,'Regioturnier 2'!$B$3:$C$34,2,FALSE))=TRUE,0,VLOOKUP(B312,'Regioturnier 2'!$B$3:$C$34,2,FALSE)),IF(ISNA(VLOOKUP(B312,'Regioturnier 2'!$F$3:$G$34,2,FALSE))=TRUE,0,VLOOKUP(B312,'Regioturnier 2'!$F$3:$G$34,2,FALSE)),IF(ISNA(VLOOKUP(B312,'Regioturnier 2'!$J$3:$K$34,2,FALSE))=TRUE,0,VLOOKUP(B312,'Regioturnier 2'!$J$3:$K$34,2,FALSE)),IF(ISNA(VLOOKUP(B312,'Regioturnier 2'!$N$3:$O$34,2,FALSE))=TRUE,0,VLOOKUP(B312,'Regioturnier 2'!$N$3:$O$34,2,FALSE)),IF(ISNA(VLOOKUP(B312,'Regioturnier 2'!$R$3:$S$34,2,FALSE))=TRUE,0,VLOOKUP(B312,'Regioturnier 2'!$R$3:$S$34,2,FALSE)), IF(ISNA(VLOOKUP(B312,'Regioturnier 2'!$V$3:$W$34,2,FALSE))=TRUE,0,VLOOKUP(B312,'Regioturnier 2'!$V$3:$W$34,2,FALSE)), IF(ISNA(VLOOKUP(B312,'Regioturnier 2'!$Z$3:$AA$34,2,FALSE))=TRUE,0,VLOOKUP(B312,'Regioturnier 2'!$Z$3:$AA$34,2,FALSE)))</f>
        <v>0</v>
      </c>
      <c r="Q312" s="15">
        <f>MAX(IF(ISNA(VLOOKUP(B312,'Regioturnier 3'!$B$3:$C$34,2,FALSE))=TRUE,0,VLOOKUP(B312,'Regioturnier 3'!$B$3:$C$34,2,FALSE)),IF(ISNA(VLOOKUP(B312,'Regioturnier 3'!$F$3:$G$34,2,FALSE))=TRUE,0,VLOOKUP(B312,'Regioturnier 3'!$F$3:$G$34,2,FALSE)),IF(ISNA(VLOOKUP(B312,'Regioturnier 3'!$J$3:$K$34,2,FALSE))=TRUE,0,VLOOKUP(B312,'Regioturnier 3'!$J$3:$K$34,2,FALSE)),IF(ISNA(VLOOKUP(B312,'Regioturnier 3'!$N$3:$O$34,2,FALSE))=TRUE,0,VLOOKUP(B312,'Regioturnier 3'!$N$3:$O$34,2,FALSE)),IF(ISNA(VLOOKUP(B312,'Regioturnier 3'!$R$3:$S$34,2,FALSE))=TRUE,0,VLOOKUP(B312,'Regioturnier 3'!$R$3:$S$34,2,FALSE)), IF(ISNA(VLOOKUP(B312,'Regioturnier 3'!$V$3:$W$34,2,FALSE))=TRUE,0,VLOOKUP(B312,'Regioturnier 3'!$V$3:$W$34,2,FALSE)), IF(ISNA(VLOOKUP(B312,'Regioturnier 3'!$Z$3:$AA$34,2,FALSE))=TRUE,0,VLOOKUP(B312,'Regioturnier 3'!$Z$3:$AA$34,2,FALSE)))</f>
        <v>0</v>
      </c>
      <c r="R312" s="20">
        <f>0.5*INDEX($H312:$N312,MATCH(LARGE($H312:$N312,1),$H312:$N312,0))+0.3*INDEX($H312:$N312,MATCH(LARGE($H312:$N312,2),$H312:$N312,0))+0.2*INDEX($H312:$N312,MATCH(LARGE($H312:$N312,3),$H312:$N312,0))</f>
        <v>0</v>
      </c>
      <c r="S312" s="20">
        <f>0.6*INDEX(O312:Q312,MATCH(LARGE(O312:Q312,1),O312:Q312,0))+0.4*INDEX(O312:Q312,MATCH(LARGE(O312:Q312,2),O312:Q312,0))+0*INDEX(O312:Q312,MATCH(LARGE(O312:Q312,3),O312:Q312,0))</f>
        <v>0</v>
      </c>
      <c r="T312" s="15">
        <f>1*INDEX(R312:S312,MATCH(LARGE(R312:S312,1),R312:S312,0))+0*INDEX(R312:S312,MATCH(LARGE(R312:S312,2),R312:S312,0))</f>
        <v>0</v>
      </c>
      <c r="U312" s="21"/>
      <c r="V312" s="21"/>
      <c r="W312" s="21"/>
      <c r="X312" s="21"/>
      <c r="Y312" s="21"/>
      <c r="Z312" s="21"/>
    </row>
    <row r="313" spans="1:26" ht="12.75" customHeight="1" x14ac:dyDescent="0.3">
      <c r="A313" s="15">
        <v>312</v>
      </c>
      <c r="B313" s="16" t="s">
        <v>316</v>
      </c>
      <c r="C313" s="17" t="s">
        <v>25</v>
      </c>
      <c r="D313" s="15" t="s">
        <v>26</v>
      </c>
      <c r="E313" s="18" t="s">
        <v>23</v>
      </c>
      <c r="F313" s="15">
        <v>109927</v>
      </c>
      <c r="G313" s="22">
        <v>2013</v>
      </c>
      <c r="H313" s="15">
        <f>MAX(IF(ISNA(VLOOKUP(B313,'WBV 1'!$B$3:$C$34,2,FALSE))=TRUE,0,VLOOKUP(B313,'WBV 1'!$B$3:$C$34,2,FALSE)),IF(ISNA(VLOOKUP(B313,'WBV 1'!$F$3:$G$34,2,FALSE))=TRUE,0,VLOOKUP(B313,'WBV 1'!$F$3:$G$34,2,FALSE)),IF(ISNA(VLOOKUP(B313,'WBV 1'!$J$3:$K$34,2,FALSE))=TRUE,0,VLOOKUP(B313,'WBV 1'!$J$3:$K$34,2,FALSE)),IF(ISNA(VLOOKUP(B313,'WBV 1'!$N$3:$O$34,2,FALSE))=TRUE,0,VLOOKUP(B313,'WBV 1'!$N$3:$O$34,2,FALSE)))</f>
        <v>0</v>
      </c>
      <c r="I313" s="15">
        <f>MAX(IF(ISNA(VLOOKUP(B313,'WBV 2'!$B$3:$C$34,2,FALSE))=TRUE,0,VLOOKUP(B313,'WBV 2'!$B$3:$C$34,2,FALSE)),IF(ISNA(VLOOKUP(B313,'WBV 2'!$F$3:$G$34,2,FALSE))=TRUE,0,VLOOKUP(B313,'WBV 2'!$F$3:$G$34,2,FALSE)),IF(ISNA(VLOOKUP(B313,'WBV 2'!$J$3:$K$34,2,FALSE))=TRUE,0,VLOOKUP(B313,'WBV 2'!$J$3:$K$34,2,FALSE)),IF(ISNA(VLOOKUP(B313,'WBV 2'!$N$3:$O$34,2,FALSE))=TRUE,0,VLOOKUP(B313,'WBV 2'!$N$3:$O$34,2,FALSE)))</f>
        <v>0</v>
      </c>
      <c r="J313" s="15">
        <f>MAX(IF(ISNA(VLOOKUP(B313,'WBV 3'!$B$3:$C$34,2,FALSE))=TRUE,0,VLOOKUP(B313,'WBV 3'!$B$3:$C$34,2,FALSE)),IF(ISNA(VLOOKUP(B313,'WBV 3'!$F$3:$G$34,2,FALSE))=TRUE,0,VLOOKUP(B313,'WBV 3'!$F$3:$G$34,2,FALSE)),IF(ISNA(VLOOKUP(B313,'WBV 3'!$J$3:$K$34,2,FALSE))=TRUE,0,VLOOKUP(B313,'WBV 3'!$J$3:$K$34,2,FALSE)),IF(ISNA(VLOOKUP(B313,'WBV 3'!$N$3:$O$34,2,FALSE))=TRUE,0,VLOOKUP(B313,'WBV 3'!$N$3:$O$34,2,FALSE)))</f>
        <v>0</v>
      </c>
      <c r="K313" s="15">
        <f>MAX(IF(ISNA(VLOOKUP(B313,'WBV 4'!$B$3:$C$34,2,FALSE))=TRUE,0,VLOOKUP(B313,'WBV 4'!$B$3:$C$34,2,FALSE)),IF(ISNA(VLOOKUP(B313,'WBV 4'!$F$3:$G$34,2,FALSE))=TRUE,0,VLOOKUP(B313,'WBV 4'!$F$3:$G$34,2,FALSE)),IF(ISNA(VLOOKUP(B313,'WBV 4'!$J$3:$K$34,2,FALSE))=TRUE,0,VLOOKUP(B313,'WBV 4'!$J$3:$K$34,2,FALSE)),IF(ISNA(VLOOKUP(B313,'WBV 4'!$N$3:$O$34,2,FALSE))=TRUE,0,VLOOKUP(B313,'WBV 4'!$N$3:$O$34,2,FALSE)))</f>
        <v>0</v>
      </c>
      <c r="L313" s="19">
        <f>MAX(IF(ISNA(VLOOKUP(B313,'NÖBV 1'!$B$3:$C$34,2,FALSE))=TRUE,0,VLOOKUP(B313,'NÖBV 1'!$B$3:$C$34,2,FALSE)),IF(ISNA(VLOOKUP(B313,'NÖBV 1'!$F$3:$G$34,2,FALSE))=TRUE,0,VLOOKUP(B313,'NÖBV 1'!$F$3:$G$34,2,FALSE)),IF(ISNA(VLOOKUP(B313,'NÖBV 1'!$J$3:$K$34,2,FALSE))=TRUE,0,VLOOKUP(B313,'NÖBV 1'!$J$3:$K$34,2,FALSE)),IF(ISNA(VLOOKUP(B313,'NÖBV 1'!$N$3:$O$34,2,FALSE))=TRUE,0,VLOOKUP(B313,'NÖBV 1'!$N$3:$O$34,2,FALSE)))</f>
        <v>0</v>
      </c>
      <c r="M313" s="19">
        <f>MAX(IF(ISNA(VLOOKUP(B313,'NÖBV 2'!$B$3:$C$34,2,FALSE))=TRUE,0,VLOOKUP(B313,'NÖBV 2'!$B$3:$C$34,2,FALSE)),IF(ISNA(VLOOKUP(B313,'NÖBV 2'!$F$3:$G$34,2,FALSE))=TRUE,0,VLOOKUP(B313,'NÖBV 2'!$F$3:$G$34,2,FALSE)),IF(ISNA(VLOOKUP(B313,'NÖBV 2'!$J$3:$K$34,2,FALSE))=TRUE,0,VLOOKUP(B313,'NÖBV 2'!$J$3:$K$34,2,FALSE)),IF(ISNA(VLOOKUP(B313,'NÖBV 2'!$N$3:$O$34,2,FALSE))=TRUE,0,VLOOKUP(B313,'NÖBV 2'!$N$3:$O$34,2,FALSE)))</f>
        <v>0</v>
      </c>
      <c r="N313" s="19">
        <f>MAX(IF(ISNA(VLOOKUP(B313,'NÖBV 3'!$B$3:$C$34,2,FALSE))=TRUE,0,VLOOKUP(B313,'NÖBV 3'!$B$3:$C$34,2,FALSE)),IF(ISNA(VLOOKUP(B313,'NÖBV 3'!$F$3:$G$34,2,FALSE))=TRUE,0,VLOOKUP(B313,'NÖBV 3'!$F$3:$G$34,2,FALSE)),IF(ISNA(VLOOKUP(B313,'NÖBV 3'!$J$3:$K$34,2,FALSE))=TRUE,0,VLOOKUP(B313,'NÖBV 3'!$J$3:$K$34,2,FALSE)),IF(ISNA(VLOOKUP(B313,'NÖBV 3'!$N$3:$O$34,2,FALSE))=TRUE,0,VLOOKUP(B313,'NÖBV 3'!$N$3:$O$34,2,FALSE)))</f>
        <v>0</v>
      </c>
      <c r="O313" s="15">
        <f>MAX(IF(ISNA(VLOOKUP(B313,'Regioturnier 1'!$B$3:$C$34,2,FALSE))=TRUE,0,VLOOKUP(B313,'Regioturnier 1'!$B$3:$C$34,2,FALSE)),IF(ISNA(VLOOKUP(B313,'Regioturnier 1'!$F$3:$G$34,2,FALSE))=TRUE,0,VLOOKUP(B313,'Regioturnier 1'!$F$3:$G$34,2,FALSE)),IF(ISNA(VLOOKUP(B313,'Regioturnier 1'!$J$3:$K$34,2,FALSE))=TRUE,0,VLOOKUP(B313,'Regioturnier 1'!$J$3:$K$34,2,FALSE)),IF(ISNA(VLOOKUP(B313,'Regioturnier 1'!$N$3:$O$34,2,FALSE))=TRUE,0,VLOOKUP(B313,'Regioturnier 1'!$N$3:$O$34,2,FALSE)),IF(ISNA(VLOOKUP(B313,'Regioturnier 1'!$R$3:$S$34,2,FALSE))=TRUE,0,VLOOKUP(B313,'Regioturnier 1'!$R$3:$S$34,2,FALSE)), IF(ISNA(VLOOKUP(B313,'Regioturnier 1'!$V$3:$W$34,2,FALSE))=TRUE,0,VLOOKUP(B313,'Regioturnier 1'!$V$3:$W$34,2,FALSE)), IF(ISNA(VLOOKUP(B313,'Regioturnier 1'!$Z$3:$AA$34,2,FALSE))=TRUE,0,VLOOKUP(B313,'Regioturnier 1'!$Z$3:$AA$34,2,FALSE)))</f>
        <v>0</v>
      </c>
      <c r="P313" s="15">
        <f>MAX(IF(ISNA(VLOOKUP(B313,'Regioturnier 2'!$B$3:$C$34,2,FALSE))=TRUE,0,VLOOKUP(B313,'Regioturnier 2'!$B$3:$C$34,2,FALSE)),IF(ISNA(VLOOKUP(B313,'Regioturnier 2'!$F$3:$G$34,2,FALSE))=TRUE,0,VLOOKUP(B313,'Regioturnier 2'!$F$3:$G$34,2,FALSE)),IF(ISNA(VLOOKUP(B313,'Regioturnier 2'!$J$3:$K$34,2,FALSE))=TRUE,0,VLOOKUP(B313,'Regioturnier 2'!$J$3:$K$34,2,FALSE)),IF(ISNA(VLOOKUP(B313,'Regioturnier 2'!$N$3:$O$34,2,FALSE))=TRUE,0,VLOOKUP(B313,'Regioturnier 2'!$N$3:$O$34,2,FALSE)),IF(ISNA(VLOOKUP(B313,'Regioturnier 2'!$R$3:$S$34,2,FALSE))=TRUE,0,VLOOKUP(B313,'Regioturnier 2'!$R$3:$S$34,2,FALSE)), IF(ISNA(VLOOKUP(B313,'Regioturnier 2'!$V$3:$W$34,2,FALSE))=TRUE,0,VLOOKUP(B313,'Regioturnier 2'!$V$3:$W$34,2,FALSE)), IF(ISNA(VLOOKUP(B313,'Regioturnier 2'!$Z$3:$AA$34,2,FALSE))=TRUE,0,VLOOKUP(B313,'Regioturnier 2'!$Z$3:$AA$34,2,FALSE)))</f>
        <v>0</v>
      </c>
      <c r="Q313" s="15">
        <f>MAX(IF(ISNA(VLOOKUP(B313,'Regioturnier 3'!$B$3:$C$34,2,FALSE))=TRUE,0,VLOOKUP(B313,'Regioturnier 3'!$B$3:$C$34,2,FALSE)),IF(ISNA(VLOOKUP(B313,'Regioturnier 3'!$F$3:$G$34,2,FALSE))=TRUE,0,VLOOKUP(B313,'Regioturnier 3'!$F$3:$G$34,2,FALSE)),IF(ISNA(VLOOKUP(B313,'Regioturnier 3'!$J$3:$K$34,2,FALSE))=TRUE,0,VLOOKUP(B313,'Regioturnier 3'!$J$3:$K$34,2,FALSE)),IF(ISNA(VLOOKUP(B313,'Regioturnier 3'!$N$3:$O$34,2,FALSE))=TRUE,0,VLOOKUP(B313,'Regioturnier 3'!$N$3:$O$34,2,FALSE)),IF(ISNA(VLOOKUP(B313,'Regioturnier 3'!$R$3:$S$34,2,FALSE))=TRUE,0,VLOOKUP(B313,'Regioturnier 3'!$R$3:$S$34,2,FALSE)), IF(ISNA(VLOOKUP(B313,'Regioturnier 3'!$V$3:$W$34,2,FALSE))=TRUE,0,VLOOKUP(B313,'Regioturnier 3'!$V$3:$W$34,2,FALSE)), IF(ISNA(VLOOKUP(B313,'Regioturnier 3'!$Z$3:$AA$34,2,FALSE))=TRUE,0,VLOOKUP(B313,'Regioturnier 3'!$Z$3:$AA$34,2,FALSE)))</f>
        <v>0</v>
      </c>
      <c r="R313" s="20">
        <f>0.5*INDEX($H313:$N313,MATCH(LARGE($H313:$N313,1),$H313:$N313,0))+0.3*INDEX($H313:$N313,MATCH(LARGE($H313:$N313,2),$H313:$N313,0))+0.2*INDEX($H313:$N313,MATCH(LARGE($H313:$N313,3),$H313:$N313,0))</f>
        <v>0</v>
      </c>
      <c r="S313" s="20">
        <f>0.6*INDEX(O313:Q313,MATCH(LARGE(O313:Q313,1),O313:Q313,0))+0.4*INDEX(O313:Q313,MATCH(LARGE(O313:Q313,2),O313:Q313,0))+0*INDEX(O313:Q313,MATCH(LARGE(O313:Q313,3),O313:Q313,0))</f>
        <v>0</v>
      </c>
      <c r="T313" s="15">
        <f>1*INDEX(R313:S313,MATCH(LARGE(R313:S313,1),R313:S313,0))+0*INDEX(R313:S313,MATCH(LARGE(R313:S313,2),R313:S313,0))</f>
        <v>0</v>
      </c>
      <c r="U313" s="21"/>
      <c r="V313" s="21"/>
      <c r="W313" s="21"/>
      <c r="X313" s="21"/>
      <c r="Y313" s="21"/>
      <c r="Z313" s="21"/>
    </row>
    <row r="314" spans="1:26" ht="12.75" customHeight="1" x14ac:dyDescent="0.3">
      <c r="A314" s="15">
        <v>313</v>
      </c>
      <c r="B314" s="16" t="s">
        <v>317</v>
      </c>
      <c r="C314" s="17" t="s">
        <v>43</v>
      </c>
      <c r="D314" s="15" t="s">
        <v>26</v>
      </c>
      <c r="E314" s="18" t="s">
        <v>23</v>
      </c>
      <c r="F314" s="15">
        <v>110412</v>
      </c>
      <c r="G314" s="22">
        <v>2017</v>
      </c>
      <c r="H314" s="15">
        <f>MAX(IF(ISNA(VLOOKUP(B314,'WBV 1'!$B$3:$C$34,2,FALSE))=TRUE,0,VLOOKUP(B314,'WBV 1'!$B$3:$C$34,2,FALSE)),IF(ISNA(VLOOKUP(B314,'WBV 1'!$F$3:$G$34,2,FALSE))=TRUE,0,VLOOKUP(B314,'WBV 1'!$F$3:$G$34,2,FALSE)),IF(ISNA(VLOOKUP(B314,'WBV 1'!$J$3:$K$34,2,FALSE))=TRUE,0,VLOOKUP(B314,'WBV 1'!$J$3:$K$34,2,FALSE)),IF(ISNA(VLOOKUP(B314,'WBV 1'!$N$3:$O$34,2,FALSE))=TRUE,0,VLOOKUP(B314,'WBV 1'!$N$3:$O$34,2,FALSE)))</f>
        <v>0</v>
      </c>
      <c r="I314" s="15">
        <f>MAX(IF(ISNA(VLOOKUP(B314,'WBV 2'!$B$3:$C$34,2,FALSE))=TRUE,0,VLOOKUP(B314,'WBV 2'!$B$3:$C$34,2,FALSE)),IF(ISNA(VLOOKUP(B314,'WBV 2'!$F$3:$G$34,2,FALSE))=TRUE,0,VLOOKUP(B314,'WBV 2'!$F$3:$G$34,2,FALSE)),IF(ISNA(VLOOKUP(B314,'WBV 2'!$J$3:$K$34,2,FALSE))=TRUE,0,VLOOKUP(B314,'WBV 2'!$J$3:$K$34,2,FALSE)),IF(ISNA(VLOOKUP(B314,'WBV 2'!$N$3:$O$34,2,FALSE))=TRUE,0,VLOOKUP(B314,'WBV 2'!$N$3:$O$34,2,FALSE)))</f>
        <v>0</v>
      </c>
      <c r="J314" s="15">
        <f>MAX(IF(ISNA(VLOOKUP(B314,'WBV 3'!$B$3:$C$34,2,FALSE))=TRUE,0,VLOOKUP(B314,'WBV 3'!$B$3:$C$34,2,FALSE)),IF(ISNA(VLOOKUP(B314,'WBV 3'!$F$3:$G$34,2,FALSE))=TRUE,0,VLOOKUP(B314,'WBV 3'!$F$3:$G$34,2,FALSE)),IF(ISNA(VLOOKUP(B314,'WBV 3'!$J$3:$K$34,2,FALSE))=TRUE,0,VLOOKUP(B314,'WBV 3'!$J$3:$K$34,2,FALSE)),IF(ISNA(VLOOKUP(B314,'WBV 3'!$N$3:$O$34,2,FALSE))=TRUE,0,VLOOKUP(B314,'WBV 3'!$N$3:$O$34,2,FALSE)))</f>
        <v>0</v>
      </c>
      <c r="K314" s="15">
        <f>MAX(IF(ISNA(VLOOKUP(B314,'WBV 4'!$B$3:$C$34,2,FALSE))=TRUE,0,VLOOKUP(B314,'WBV 4'!$B$3:$C$34,2,FALSE)),IF(ISNA(VLOOKUP(B314,'WBV 4'!$F$3:$G$34,2,FALSE))=TRUE,0,VLOOKUP(B314,'WBV 4'!$F$3:$G$34,2,FALSE)),IF(ISNA(VLOOKUP(B314,'WBV 4'!$J$3:$K$34,2,FALSE))=TRUE,0,VLOOKUP(B314,'WBV 4'!$J$3:$K$34,2,FALSE)),IF(ISNA(VLOOKUP(B314,'WBV 4'!$N$3:$O$34,2,FALSE))=TRUE,0,VLOOKUP(B314,'WBV 4'!$N$3:$O$34,2,FALSE)))</f>
        <v>0</v>
      </c>
      <c r="L314" s="19">
        <f>MAX(IF(ISNA(VLOOKUP(B314,'NÖBV 1'!$B$3:$C$34,2,FALSE))=TRUE,0,VLOOKUP(B314,'NÖBV 1'!$B$3:$C$34,2,FALSE)),IF(ISNA(VLOOKUP(B314,'NÖBV 1'!$F$3:$G$34,2,FALSE))=TRUE,0,VLOOKUP(B314,'NÖBV 1'!$F$3:$G$34,2,FALSE)),IF(ISNA(VLOOKUP(B314,'NÖBV 1'!$J$3:$K$34,2,FALSE))=TRUE,0,VLOOKUP(B314,'NÖBV 1'!$J$3:$K$34,2,FALSE)),IF(ISNA(VLOOKUP(B314,'NÖBV 1'!$N$3:$O$34,2,FALSE))=TRUE,0,VLOOKUP(B314,'NÖBV 1'!$N$3:$O$34,2,FALSE)))</f>
        <v>0</v>
      </c>
      <c r="M314" s="19">
        <f>MAX(IF(ISNA(VLOOKUP(B314,'NÖBV 2'!$B$3:$C$34,2,FALSE))=TRUE,0,VLOOKUP(B314,'NÖBV 2'!$B$3:$C$34,2,FALSE)),IF(ISNA(VLOOKUP(B314,'NÖBV 2'!$F$3:$G$34,2,FALSE))=TRUE,0,VLOOKUP(B314,'NÖBV 2'!$F$3:$G$34,2,FALSE)),IF(ISNA(VLOOKUP(B314,'NÖBV 2'!$J$3:$K$34,2,FALSE))=TRUE,0,VLOOKUP(B314,'NÖBV 2'!$J$3:$K$34,2,FALSE)),IF(ISNA(VLOOKUP(B314,'NÖBV 2'!$N$3:$O$34,2,FALSE))=TRUE,0,VLOOKUP(B314,'NÖBV 2'!$N$3:$O$34,2,FALSE)))</f>
        <v>0</v>
      </c>
      <c r="N314" s="19">
        <f>MAX(IF(ISNA(VLOOKUP(B314,'NÖBV 3'!$B$3:$C$34,2,FALSE))=TRUE,0,VLOOKUP(B314,'NÖBV 3'!$B$3:$C$34,2,FALSE)),IF(ISNA(VLOOKUP(B314,'NÖBV 3'!$F$3:$G$34,2,FALSE))=TRUE,0,VLOOKUP(B314,'NÖBV 3'!$F$3:$G$34,2,FALSE)),IF(ISNA(VLOOKUP(B314,'NÖBV 3'!$J$3:$K$34,2,FALSE))=TRUE,0,VLOOKUP(B314,'NÖBV 3'!$J$3:$K$34,2,FALSE)),IF(ISNA(VLOOKUP(B314,'NÖBV 3'!$N$3:$O$34,2,FALSE))=TRUE,0,VLOOKUP(B314,'NÖBV 3'!$N$3:$O$34,2,FALSE)))</f>
        <v>0</v>
      </c>
      <c r="O314" s="15">
        <f>MAX(IF(ISNA(VLOOKUP(B314,'Regioturnier 1'!$B$3:$C$34,2,FALSE))=TRUE,0,VLOOKUP(B314,'Regioturnier 1'!$B$3:$C$34,2,FALSE)),IF(ISNA(VLOOKUP(B314,'Regioturnier 1'!$F$3:$G$34,2,FALSE))=TRUE,0,VLOOKUP(B314,'Regioturnier 1'!$F$3:$G$34,2,FALSE)),IF(ISNA(VLOOKUP(B314,'Regioturnier 1'!$J$3:$K$34,2,FALSE))=TRUE,0,VLOOKUP(B314,'Regioturnier 1'!$J$3:$K$34,2,FALSE)),IF(ISNA(VLOOKUP(B314,'Regioturnier 1'!$N$3:$O$34,2,FALSE))=TRUE,0,VLOOKUP(B314,'Regioturnier 1'!$N$3:$O$34,2,FALSE)),IF(ISNA(VLOOKUP(B314,'Regioturnier 1'!$R$3:$S$34,2,FALSE))=TRUE,0,VLOOKUP(B314,'Regioturnier 1'!$R$3:$S$34,2,FALSE)), IF(ISNA(VLOOKUP(B314,'Regioturnier 1'!$V$3:$W$34,2,FALSE))=TRUE,0,VLOOKUP(B314,'Regioturnier 1'!$V$3:$W$34,2,FALSE)), IF(ISNA(VLOOKUP(B314,'Regioturnier 1'!$Z$3:$AA$34,2,FALSE))=TRUE,0,VLOOKUP(B314,'Regioturnier 1'!$Z$3:$AA$34,2,FALSE)))</f>
        <v>0</v>
      </c>
      <c r="P314" s="15">
        <f>MAX(IF(ISNA(VLOOKUP(B314,'Regioturnier 2'!$B$3:$C$34,2,FALSE))=TRUE,0,VLOOKUP(B314,'Regioturnier 2'!$B$3:$C$34,2,FALSE)),IF(ISNA(VLOOKUP(B314,'Regioturnier 2'!$F$3:$G$34,2,FALSE))=TRUE,0,VLOOKUP(B314,'Regioturnier 2'!$F$3:$G$34,2,FALSE)),IF(ISNA(VLOOKUP(B314,'Regioturnier 2'!$J$3:$K$34,2,FALSE))=TRUE,0,VLOOKUP(B314,'Regioturnier 2'!$J$3:$K$34,2,FALSE)),IF(ISNA(VLOOKUP(B314,'Regioturnier 2'!$N$3:$O$34,2,FALSE))=TRUE,0,VLOOKUP(B314,'Regioturnier 2'!$N$3:$O$34,2,FALSE)),IF(ISNA(VLOOKUP(B314,'Regioturnier 2'!$R$3:$S$34,2,FALSE))=TRUE,0,VLOOKUP(B314,'Regioturnier 2'!$R$3:$S$34,2,FALSE)), IF(ISNA(VLOOKUP(B314,'Regioturnier 2'!$V$3:$W$34,2,FALSE))=TRUE,0,VLOOKUP(B314,'Regioturnier 2'!$V$3:$W$34,2,FALSE)), IF(ISNA(VLOOKUP(B314,'Regioturnier 2'!$Z$3:$AA$34,2,FALSE))=TRUE,0,VLOOKUP(B314,'Regioturnier 2'!$Z$3:$AA$34,2,FALSE)))</f>
        <v>0</v>
      </c>
      <c r="Q314" s="15">
        <f>MAX(IF(ISNA(VLOOKUP(B314,'Regioturnier 3'!$B$3:$C$34,2,FALSE))=TRUE,0,VLOOKUP(B314,'Regioturnier 3'!$B$3:$C$34,2,FALSE)),IF(ISNA(VLOOKUP(B314,'Regioturnier 3'!$F$3:$G$34,2,FALSE))=TRUE,0,VLOOKUP(B314,'Regioturnier 3'!$F$3:$G$34,2,FALSE)),IF(ISNA(VLOOKUP(B314,'Regioturnier 3'!$J$3:$K$34,2,FALSE))=TRUE,0,VLOOKUP(B314,'Regioturnier 3'!$J$3:$K$34,2,FALSE)),IF(ISNA(VLOOKUP(B314,'Regioturnier 3'!$N$3:$O$34,2,FALSE))=TRUE,0,VLOOKUP(B314,'Regioturnier 3'!$N$3:$O$34,2,FALSE)),IF(ISNA(VLOOKUP(B314,'Regioturnier 3'!$R$3:$S$34,2,FALSE))=TRUE,0,VLOOKUP(B314,'Regioturnier 3'!$R$3:$S$34,2,FALSE)), IF(ISNA(VLOOKUP(B314,'Regioturnier 3'!$V$3:$W$34,2,FALSE))=TRUE,0,VLOOKUP(B314,'Regioturnier 3'!$V$3:$W$34,2,FALSE)), IF(ISNA(VLOOKUP(B314,'Regioturnier 3'!$Z$3:$AA$34,2,FALSE))=TRUE,0,VLOOKUP(B314,'Regioturnier 3'!$Z$3:$AA$34,2,FALSE)))</f>
        <v>0</v>
      </c>
      <c r="R314" s="20">
        <f>0.5*INDEX($H314:$N314,MATCH(LARGE($H314:$N314,1),$H314:$N314,0))+0.3*INDEX($H314:$N314,MATCH(LARGE($H314:$N314,2),$H314:$N314,0))+0.2*INDEX($H314:$N314,MATCH(LARGE($H314:$N314,3),$H314:$N314,0))</f>
        <v>0</v>
      </c>
      <c r="S314" s="20">
        <f>0.6*INDEX(O314:Q314,MATCH(LARGE(O314:Q314,1),O314:Q314,0))+0.4*INDEX(O314:Q314,MATCH(LARGE(O314:Q314,2),O314:Q314,0))+0*INDEX(O314:Q314,MATCH(LARGE(O314:Q314,3),O314:Q314,0))</f>
        <v>0</v>
      </c>
      <c r="T314" s="15">
        <f>1*INDEX(R314:S314,MATCH(LARGE(R314:S314,1),R314:S314,0))+0*INDEX(R314:S314,MATCH(LARGE(R314:S314,2),R314:S314,0))</f>
        <v>0</v>
      </c>
      <c r="U314" s="21"/>
      <c r="V314" s="21"/>
      <c r="W314" s="21"/>
      <c r="X314" s="21"/>
      <c r="Y314" s="21"/>
      <c r="Z314" s="21"/>
    </row>
    <row r="315" spans="1:26" ht="12.75" customHeight="1" x14ac:dyDescent="0.3">
      <c r="A315" s="15">
        <v>314</v>
      </c>
      <c r="B315" s="16" t="s">
        <v>318</v>
      </c>
      <c r="C315" s="17" t="s">
        <v>31</v>
      </c>
      <c r="D315" s="15" t="s">
        <v>26</v>
      </c>
      <c r="E315" s="18" t="s">
        <v>23</v>
      </c>
      <c r="F315" s="15">
        <v>17528</v>
      </c>
      <c r="G315" s="22">
        <v>2009</v>
      </c>
      <c r="H315" s="15">
        <f>MAX(IF(ISNA(VLOOKUP(B315,'WBV 1'!$B$3:$C$34,2,FALSE))=TRUE,0,VLOOKUP(B315,'WBV 1'!$B$3:$C$34,2,FALSE)),IF(ISNA(VLOOKUP(B315,'WBV 1'!$F$3:$G$34,2,FALSE))=TRUE,0,VLOOKUP(B315,'WBV 1'!$F$3:$G$34,2,FALSE)),IF(ISNA(VLOOKUP(B315,'WBV 1'!$J$3:$K$34,2,FALSE))=TRUE,0,VLOOKUP(B315,'WBV 1'!$J$3:$K$34,2,FALSE)),IF(ISNA(VLOOKUP(B315,'WBV 1'!$N$3:$O$34,2,FALSE))=TRUE,0,VLOOKUP(B315,'WBV 1'!$N$3:$O$34,2,FALSE)))</f>
        <v>0</v>
      </c>
      <c r="I315" s="15">
        <f>MAX(IF(ISNA(VLOOKUP(B315,'WBV 2'!$B$3:$C$34,2,FALSE))=TRUE,0,VLOOKUP(B315,'WBV 2'!$B$3:$C$34,2,FALSE)),IF(ISNA(VLOOKUP(B315,'WBV 2'!$F$3:$G$34,2,FALSE))=TRUE,0,VLOOKUP(B315,'WBV 2'!$F$3:$G$34,2,FALSE)),IF(ISNA(VLOOKUP(B315,'WBV 2'!$J$3:$K$34,2,FALSE))=TRUE,0,VLOOKUP(B315,'WBV 2'!$J$3:$K$34,2,FALSE)),IF(ISNA(VLOOKUP(B315,'WBV 2'!$N$3:$O$34,2,FALSE))=TRUE,0,VLOOKUP(B315,'WBV 2'!$N$3:$O$34,2,FALSE)))</f>
        <v>0</v>
      </c>
      <c r="J315" s="15">
        <f>MAX(IF(ISNA(VLOOKUP(B315,'WBV 3'!$B$3:$C$34,2,FALSE))=TRUE,0,VLOOKUP(B315,'WBV 3'!$B$3:$C$34,2,FALSE)),IF(ISNA(VLOOKUP(B315,'WBV 3'!$F$3:$G$34,2,FALSE))=TRUE,0,VLOOKUP(B315,'WBV 3'!$F$3:$G$34,2,FALSE)),IF(ISNA(VLOOKUP(B315,'WBV 3'!$J$3:$K$34,2,FALSE))=TRUE,0,VLOOKUP(B315,'WBV 3'!$J$3:$K$34,2,FALSE)),IF(ISNA(VLOOKUP(B315,'WBV 3'!$N$3:$O$34,2,FALSE))=TRUE,0,VLOOKUP(B315,'WBV 3'!$N$3:$O$34,2,FALSE)))</f>
        <v>0</v>
      </c>
      <c r="K315" s="15">
        <f>MAX(IF(ISNA(VLOOKUP(B315,'WBV 4'!$B$3:$C$34,2,FALSE))=TRUE,0,VLOOKUP(B315,'WBV 4'!$B$3:$C$34,2,FALSE)),IF(ISNA(VLOOKUP(B315,'WBV 4'!$F$3:$G$34,2,FALSE))=TRUE,0,VLOOKUP(B315,'WBV 4'!$F$3:$G$34,2,FALSE)),IF(ISNA(VLOOKUP(B315,'WBV 4'!$J$3:$K$34,2,FALSE))=TRUE,0,VLOOKUP(B315,'WBV 4'!$J$3:$K$34,2,FALSE)),IF(ISNA(VLOOKUP(B315,'WBV 4'!$N$3:$O$34,2,FALSE))=TRUE,0,VLOOKUP(B315,'WBV 4'!$N$3:$O$34,2,FALSE)))</f>
        <v>0</v>
      </c>
      <c r="L315" s="19">
        <f>MAX(IF(ISNA(VLOOKUP(B315,'NÖBV 1'!$B$3:$C$34,2,FALSE))=TRUE,0,VLOOKUP(B315,'NÖBV 1'!$B$3:$C$34,2,FALSE)),IF(ISNA(VLOOKUP(B315,'NÖBV 1'!$F$3:$G$34,2,FALSE))=TRUE,0,VLOOKUP(B315,'NÖBV 1'!$F$3:$G$34,2,FALSE)),IF(ISNA(VLOOKUP(B315,'NÖBV 1'!$J$3:$K$34,2,FALSE))=TRUE,0,VLOOKUP(B315,'NÖBV 1'!$J$3:$K$34,2,FALSE)),IF(ISNA(VLOOKUP(B315,'NÖBV 1'!$N$3:$O$34,2,FALSE))=TRUE,0,VLOOKUP(B315,'NÖBV 1'!$N$3:$O$34,2,FALSE)))</f>
        <v>0</v>
      </c>
      <c r="M315" s="19">
        <f>MAX(IF(ISNA(VLOOKUP(B315,'NÖBV 2'!$B$3:$C$34,2,FALSE))=TRUE,0,VLOOKUP(B315,'NÖBV 2'!$B$3:$C$34,2,FALSE)),IF(ISNA(VLOOKUP(B315,'NÖBV 2'!$F$3:$G$34,2,FALSE))=TRUE,0,VLOOKUP(B315,'NÖBV 2'!$F$3:$G$34,2,FALSE)),IF(ISNA(VLOOKUP(B315,'NÖBV 2'!$J$3:$K$34,2,FALSE))=TRUE,0,VLOOKUP(B315,'NÖBV 2'!$J$3:$K$34,2,FALSE)),IF(ISNA(VLOOKUP(B315,'NÖBV 2'!$N$3:$O$34,2,FALSE))=TRUE,0,VLOOKUP(B315,'NÖBV 2'!$N$3:$O$34,2,FALSE)))</f>
        <v>0</v>
      </c>
      <c r="N315" s="19">
        <f>MAX(IF(ISNA(VLOOKUP(B315,'NÖBV 3'!$B$3:$C$34,2,FALSE))=TRUE,0,VLOOKUP(B315,'NÖBV 3'!$B$3:$C$34,2,FALSE)),IF(ISNA(VLOOKUP(B315,'NÖBV 3'!$F$3:$G$34,2,FALSE))=TRUE,0,VLOOKUP(B315,'NÖBV 3'!$F$3:$G$34,2,FALSE)),IF(ISNA(VLOOKUP(B315,'NÖBV 3'!$J$3:$K$34,2,FALSE))=TRUE,0,VLOOKUP(B315,'NÖBV 3'!$J$3:$K$34,2,FALSE)),IF(ISNA(VLOOKUP(B315,'NÖBV 3'!$N$3:$O$34,2,FALSE))=TRUE,0,VLOOKUP(B315,'NÖBV 3'!$N$3:$O$34,2,FALSE)))</f>
        <v>0</v>
      </c>
      <c r="O315" s="15">
        <f>MAX(IF(ISNA(VLOOKUP(B315,'Regioturnier 1'!$B$3:$C$34,2,FALSE))=TRUE,0,VLOOKUP(B315,'Regioturnier 1'!$B$3:$C$34,2,FALSE)),IF(ISNA(VLOOKUP(B315,'Regioturnier 1'!$F$3:$G$34,2,FALSE))=TRUE,0,VLOOKUP(B315,'Regioturnier 1'!$F$3:$G$34,2,FALSE)),IF(ISNA(VLOOKUP(B315,'Regioturnier 1'!$J$3:$K$34,2,FALSE))=TRUE,0,VLOOKUP(B315,'Regioturnier 1'!$J$3:$K$34,2,FALSE)),IF(ISNA(VLOOKUP(B315,'Regioturnier 1'!$N$3:$O$34,2,FALSE))=TRUE,0,VLOOKUP(B315,'Regioturnier 1'!$N$3:$O$34,2,FALSE)),IF(ISNA(VLOOKUP(B315,'Regioturnier 1'!$R$3:$S$34,2,FALSE))=TRUE,0,VLOOKUP(B315,'Regioturnier 1'!$R$3:$S$34,2,FALSE)), IF(ISNA(VLOOKUP(B315,'Regioturnier 1'!$V$3:$W$34,2,FALSE))=TRUE,0,VLOOKUP(B315,'Regioturnier 1'!$V$3:$W$34,2,FALSE)), IF(ISNA(VLOOKUP(B315,'Regioturnier 1'!$Z$3:$AA$34,2,FALSE))=TRUE,0,VLOOKUP(B315,'Regioturnier 1'!$Z$3:$AA$34,2,FALSE)))</f>
        <v>0</v>
      </c>
      <c r="P315" s="15">
        <f>MAX(IF(ISNA(VLOOKUP(B315,'Regioturnier 2'!$B$3:$C$34,2,FALSE))=TRUE,0,VLOOKUP(B315,'Regioturnier 2'!$B$3:$C$34,2,FALSE)),IF(ISNA(VLOOKUP(B315,'Regioturnier 2'!$F$3:$G$34,2,FALSE))=TRUE,0,VLOOKUP(B315,'Regioturnier 2'!$F$3:$G$34,2,FALSE)),IF(ISNA(VLOOKUP(B315,'Regioturnier 2'!$J$3:$K$34,2,FALSE))=TRUE,0,VLOOKUP(B315,'Regioturnier 2'!$J$3:$K$34,2,FALSE)),IF(ISNA(VLOOKUP(B315,'Regioturnier 2'!$N$3:$O$34,2,FALSE))=TRUE,0,VLOOKUP(B315,'Regioturnier 2'!$N$3:$O$34,2,FALSE)),IF(ISNA(VLOOKUP(B315,'Regioturnier 2'!$R$3:$S$34,2,FALSE))=TRUE,0,VLOOKUP(B315,'Regioturnier 2'!$R$3:$S$34,2,FALSE)), IF(ISNA(VLOOKUP(B315,'Regioturnier 2'!$V$3:$W$34,2,FALSE))=TRUE,0,VLOOKUP(B315,'Regioturnier 2'!$V$3:$W$34,2,FALSE)), IF(ISNA(VLOOKUP(B315,'Regioturnier 2'!$Z$3:$AA$34,2,FALSE))=TRUE,0,VLOOKUP(B315,'Regioturnier 2'!$Z$3:$AA$34,2,FALSE)))</f>
        <v>0</v>
      </c>
      <c r="Q315" s="15">
        <f>MAX(IF(ISNA(VLOOKUP(B315,'Regioturnier 3'!$B$3:$C$34,2,FALSE))=TRUE,0,VLOOKUP(B315,'Regioturnier 3'!$B$3:$C$34,2,FALSE)),IF(ISNA(VLOOKUP(B315,'Regioturnier 3'!$F$3:$G$34,2,FALSE))=TRUE,0,VLOOKUP(B315,'Regioturnier 3'!$F$3:$G$34,2,FALSE)),IF(ISNA(VLOOKUP(B315,'Regioturnier 3'!$J$3:$K$34,2,FALSE))=TRUE,0,VLOOKUP(B315,'Regioturnier 3'!$J$3:$K$34,2,FALSE)),IF(ISNA(VLOOKUP(B315,'Regioturnier 3'!$N$3:$O$34,2,FALSE))=TRUE,0,VLOOKUP(B315,'Regioturnier 3'!$N$3:$O$34,2,FALSE)),IF(ISNA(VLOOKUP(B315,'Regioturnier 3'!$R$3:$S$34,2,FALSE))=TRUE,0,VLOOKUP(B315,'Regioturnier 3'!$R$3:$S$34,2,FALSE)), IF(ISNA(VLOOKUP(B315,'Regioturnier 3'!$V$3:$W$34,2,FALSE))=TRUE,0,VLOOKUP(B315,'Regioturnier 3'!$V$3:$W$34,2,FALSE)), IF(ISNA(VLOOKUP(B315,'Regioturnier 3'!$Z$3:$AA$34,2,FALSE))=TRUE,0,VLOOKUP(B315,'Regioturnier 3'!$Z$3:$AA$34,2,FALSE)))</f>
        <v>0</v>
      </c>
      <c r="R315" s="20">
        <f>0.5*INDEX($H315:$N315,MATCH(LARGE($H315:$N315,1),$H315:$N315,0))+0.3*INDEX($H315:$N315,MATCH(LARGE($H315:$N315,2),$H315:$N315,0))+0.2*INDEX($H315:$N315,MATCH(LARGE($H315:$N315,3),$H315:$N315,0))</f>
        <v>0</v>
      </c>
      <c r="S315" s="20">
        <f>0.6*INDEX(O315:Q315,MATCH(LARGE(O315:Q315,1),O315:Q315,0))+0.4*INDEX(O315:Q315,MATCH(LARGE(O315:Q315,2),O315:Q315,0))+0*INDEX(O315:Q315,MATCH(LARGE(O315:Q315,3),O315:Q315,0))</f>
        <v>0</v>
      </c>
      <c r="T315" s="15">
        <f>1*INDEX(R315:S315,MATCH(LARGE(R315:S315,1),R315:S315,0))+0*INDEX(R315:S315,MATCH(LARGE(R315:S315,2),R315:S315,0))</f>
        <v>0</v>
      </c>
      <c r="U315" s="21"/>
      <c r="V315" s="21"/>
      <c r="W315" s="21"/>
      <c r="X315" s="21"/>
      <c r="Y315" s="21"/>
      <c r="Z315" s="21"/>
    </row>
    <row r="316" spans="1:26" ht="12.75" customHeight="1" x14ac:dyDescent="0.3">
      <c r="A316" s="15">
        <v>315</v>
      </c>
      <c r="B316" s="16" t="s">
        <v>320</v>
      </c>
      <c r="C316" s="17"/>
      <c r="D316" s="15" t="s">
        <v>22</v>
      </c>
      <c r="E316" s="18" t="s">
        <v>23</v>
      </c>
      <c r="F316" s="15">
        <v>26597</v>
      </c>
      <c r="G316" s="22">
        <v>2012</v>
      </c>
      <c r="H316" s="15">
        <f>MAX(IF(ISNA(VLOOKUP(B316,'WBV 1'!$B$3:$C$34,2,FALSE))=TRUE,0,VLOOKUP(B316,'WBV 1'!$B$3:$C$34,2,FALSE)),IF(ISNA(VLOOKUP(B316,'WBV 1'!$F$3:$G$34,2,FALSE))=TRUE,0,VLOOKUP(B316,'WBV 1'!$F$3:$G$34,2,FALSE)),IF(ISNA(VLOOKUP(B316,'WBV 1'!$J$3:$K$34,2,FALSE))=TRUE,0,VLOOKUP(B316,'WBV 1'!$J$3:$K$34,2,FALSE)),IF(ISNA(VLOOKUP(B316,'WBV 1'!$N$3:$O$34,2,FALSE))=TRUE,0,VLOOKUP(B316,'WBV 1'!$N$3:$O$34,2,FALSE)))</f>
        <v>0</v>
      </c>
      <c r="I316" s="15">
        <f>MAX(IF(ISNA(VLOOKUP(B316,'WBV 2'!$B$3:$C$34,2,FALSE))=TRUE,0,VLOOKUP(B316,'WBV 2'!$B$3:$C$34,2,FALSE)),IF(ISNA(VLOOKUP(B316,'WBV 2'!$F$3:$G$34,2,FALSE))=TRUE,0,VLOOKUP(B316,'WBV 2'!$F$3:$G$34,2,FALSE)),IF(ISNA(VLOOKUP(B316,'WBV 2'!$J$3:$K$34,2,FALSE))=TRUE,0,VLOOKUP(B316,'WBV 2'!$J$3:$K$34,2,FALSE)),IF(ISNA(VLOOKUP(B316,'WBV 2'!$N$3:$O$34,2,FALSE))=TRUE,0,VLOOKUP(B316,'WBV 2'!$N$3:$O$34,2,FALSE)))</f>
        <v>0</v>
      </c>
      <c r="J316" s="15">
        <f>MAX(IF(ISNA(VLOOKUP(B316,'WBV 3'!$B$3:$C$34,2,FALSE))=TRUE,0,VLOOKUP(B316,'WBV 3'!$B$3:$C$34,2,FALSE)),IF(ISNA(VLOOKUP(B316,'WBV 3'!$F$3:$G$34,2,FALSE))=TRUE,0,VLOOKUP(B316,'WBV 3'!$F$3:$G$34,2,FALSE)),IF(ISNA(VLOOKUP(B316,'WBV 3'!$J$3:$K$34,2,FALSE))=TRUE,0,VLOOKUP(B316,'WBV 3'!$J$3:$K$34,2,FALSE)),IF(ISNA(VLOOKUP(B316,'WBV 3'!$N$3:$O$34,2,FALSE))=TRUE,0,VLOOKUP(B316,'WBV 3'!$N$3:$O$34,2,FALSE)))</f>
        <v>0</v>
      </c>
      <c r="K316" s="15">
        <f>MAX(IF(ISNA(VLOOKUP(B316,'WBV 4'!$B$3:$C$34,2,FALSE))=TRUE,0,VLOOKUP(B316,'WBV 4'!$B$3:$C$34,2,FALSE)),IF(ISNA(VLOOKUP(B316,'WBV 4'!$F$3:$G$34,2,FALSE))=TRUE,0,VLOOKUP(B316,'WBV 4'!$F$3:$G$34,2,FALSE)),IF(ISNA(VLOOKUP(B316,'WBV 4'!$J$3:$K$34,2,FALSE))=TRUE,0,VLOOKUP(B316,'WBV 4'!$J$3:$K$34,2,FALSE)),IF(ISNA(VLOOKUP(B316,'WBV 4'!$N$3:$O$34,2,FALSE))=TRUE,0,VLOOKUP(B316,'WBV 4'!$N$3:$O$34,2,FALSE)))</f>
        <v>0</v>
      </c>
      <c r="L316" s="19">
        <f>MAX(IF(ISNA(VLOOKUP(B316,'NÖBV 1'!$B$3:$C$34,2,FALSE))=TRUE,0,VLOOKUP(B316,'NÖBV 1'!$B$3:$C$34,2,FALSE)),IF(ISNA(VLOOKUP(B316,'NÖBV 1'!$F$3:$G$34,2,FALSE))=TRUE,0,VLOOKUP(B316,'NÖBV 1'!$F$3:$G$34,2,FALSE)),IF(ISNA(VLOOKUP(B316,'NÖBV 1'!$J$3:$K$34,2,FALSE))=TRUE,0,VLOOKUP(B316,'NÖBV 1'!$J$3:$K$34,2,FALSE)),IF(ISNA(VLOOKUP(B316,'NÖBV 1'!$N$3:$O$34,2,FALSE))=TRUE,0,VLOOKUP(B316,'NÖBV 1'!$N$3:$O$34,2,FALSE)))</f>
        <v>0</v>
      </c>
      <c r="M316" s="19">
        <f>MAX(IF(ISNA(VLOOKUP(B316,'NÖBV 2'!$B$3:$C$34,2,FALSE))=TRUE,0,VLOOKUP(B316,'NÖBV 2'!$B$3:$C$34,2,FALSE)),IF(ISNA(VLOOKUP(B316,'NÖBV 2'!$F$3:$G$34,2,FALSE))=TRUE,0,VLOOKUP(B316,'NÖBV 2'!$F$3:$G$34,2,FALSE)),IF(ISNA(VLOOKUP(B316,'NÖBV 2'!$J$3:$K$34,2,FALSE))=TRUE,0,VLOOKUP(B316,'NÖBV 2'!$J$3:$K$34,2,FALSE)),IF(ISNA(VLOOKUP(B316,'NÖBV 2'!$N$3:$O$34,2,FALSE))=TRUE,0,VLOOKUP(B316,'NÖBV 2'!$N$3:$O$34,2,FALSE)))</f>
        <v>0</v>
      </c>
      <c r="N316" s="19">
        <f>MAX(IF(ISNA(VLOOKUP(B316,'NÖBV 3'!$B$3:$C$34,2,FALSE))=TRUE,0,VLOOKUP(B316,'NÖBV 3'!$B$3:$C$34,2,FALSE)),IF(ISNA(VLOOKUP(B316,'NÖBV 3'!$F$3:$G$34,2,FALSE))=TRUE,0,VLOOKUP(B316,'NÖBV 3'!$F$3:$G$34,2,FALSE)),IF(ISNA(VLOOKUP(B316,'NÖBV 3'!$J$3:$K$34,2,FALSE))=TRUE,0,VLOOKUP(B316,'NÖBV 3'!$J$3:$K$34,2,FALSE)),IF(ISNA(VLOOKUP(B316,'NÖBV 3'!$N$3:$O$34,2,FALSE))=TRUE,0,VLOOKUP(B316,'NÖBV 3'!$N$3:$O$34,2,FALSE)))</f>
        <v>0</v>
      </c>
      <c r="O316" s="15">
        <f>MAX(IF(ISNA(VLOOKUP(B316,'Regioturnier 1'!$B$3:$C$34,2,FALSE))=TRUE,0,VLOOKUP(B316,'Regioturnier 1'!$B$3:$C$34,2,FALSE)),IF(ISNA(VLOOKUP(B316,'Regioturnier 1'!$F$3:$G$34,2,FALSE))=TRUE,0,VLOOKUP(B316,'Regioturnier 1'!$F$3:$G$34,2,FALSE)),IF(ISNA(VLOOKUP(B316,'Regioturnier 1'!$J$3:$K$34,2,FALSE))=TRUE,0,VLOOKUP(B316,'Regioturnier 1'!$J$3:$K$34,2,FALSE)),IF(ISNA(VLOOKUP(B316,'Regioturnier 1'!$N$3:$O$34,2,FALSE))=TRUE,0,VLOOKUP(B316,'Regioturnier 1'!$N$3:$O$34,2,FALSE)),IF(ISNA(VLOOKUP(B316,'Regioturnier 1'!$R$3:$S$34,2,FALSE))=TRUE,0,VLOOKUP(B316,'Regioturnier 1'!$R$3:$S$34,2,FALSE)), IF(ISNA(VLOOKUP(B316,'Regioturnier 1'!$V$3:$W$34,2,FALSE))=TRUE,0,VLOOKUP(B316,'Regioturnier 1'!$V$3:$W$34,2,FALSE)), IF(ISNA(VLOOKUP(B316,'Regioturnier 1'!$Z$3:$AA$34,2,FALSE))=TRUE,0,VLOOKUP(B316,'Regioturnier 1'!$Z$3:$AA$34,2,FALSE)))</f>
        <v>0</v>
      </c>
      <c r="P316" s="15">
        <f>MAX(IF(ISNA(VLOOKUP(B316,'Regioturnier 2'!$B$3:$C$34,2,FALSE))=TRUE,0,VLOOKUP(B316,'Regioturnier 2'!$B$3:$C$34,2,FALSE)),IF(ISNA(VLOOKUP(B316,'Regioturnier 2'!$F$3:$G$34,2,FALSE))=TRUE,0,VLOOKUP(B316,'Regioturnier 2'!$F$3:$G$34,2,FALSE)),IF(ISNA(VLOOKUP(B316,'Regioturnier 2'!$J$3:$K$34,2,FALSE))=TRUE,0,VLOOKUP(B316,'Regioturnier 2'!$J$3:$K$34,2,FALSE)),IF(ISNA(VLOOKUP(B316,'Regioturnier 2'!$N$3:$O$34,2,FALSE))=TRUE,0,VLOOKUP(B316,'Regioturnier 2'!$N$3:$O$34,2,FALSE)),IF(ISNA(VLOOKUP(B316,'Regioturnier 2'!$R$3:$S$34,2,FALSE))=TRUE,0,VLOOKUP(B316,'Regioturnier 2'!$R$3:$S$34,2,FALSE)), IF(ISNA(VLOOKUP(B316,'Regioturnier 2'!$V$3:$W$34,2,FALSE))=TRUE,0,VLOOKUP(B316,'Regioturnier 2'!$V$3:$W$34,2,FALSE)), IF(ISNA(VLOOKUP(B316,'Regioturnier 2'!$Z$3:$AA$34,2,FALSE))=TRUE,0,VLOOKUP(B316,'Regioturnier 2'!$Z$3:$AA$34,2,FALSE)))</f>
        <v>0</v>
      </c>
      <c r="Q316" s="15">
        <f>MAX(IF(ISNA(VLOOKUP(B316,'Regioturnier 3'!$B$3:$C$34,2,FALSE))=TRUE,0,VLOOKUP(B316,'Regioturnier 3'!$B$3:$C$34,2,FALSE)),IF(ISNA(VLOOKUP(B316,'Regioturnier 3'!$F$3:$G$34,2,FALSE))=TRUE,0,VLOOKUP(B316,'Regioturnier 3'!$F$3:$G$34,2,FALSE)),IF(ISNA(VLOOKUP(B316,'Regioturnier 3'!$J$3:$K$34,2,FALSE))=TRUE,0,VLOOKUP(B316,'Regioturnier 3'!$J$3:$K$34,2,FALSE)),IF(ISNA(VLOOKUP(B316,'Regioturnier 3'!$N$3:$O$34,2,FALSE))=TRUE,0,VLOOKUP(B316,'Regioturnier 3'!$N$3:$O$34,2,FALSE)),IF(ISNA(VLOOKUP(B316,'Regioturnier 3'!$R$3:$S$34,2,FALSE))=TRUE,0,VLOOKUP(B316,'Regioturnier 3'!$R$3:$S$34,2,FALSE)), IF(ISNA(VLOOKUP(B316,'Regioturnier 3'!$V$3:$W$34,2,FALSE))=TRUE,0,VLOOKUP(B316,'Regioturnier 3'!$V$3:$W$34,2,FALSE)), IF(ISNA(VLOOKUP(B316,'Regioturnier 3'!$Z$3:$AA$34,2,FALSE))=TRUE,0,VLOOKUP(B316,'Regioturnier 3'!$Z$3:$AA$34,2,FALSE)))</f>
        <v>0</v>
      </c>
      <c r="R316" s="20">
        <f>0.5*INDEX($H316:$N316,MATCH(LARGE($H316:$N316,1),$H316:$N316,0))+0.3*INDEX($H316:$N316,MATCH(LARGE($H316:$N316,2),$H316:$N316,0))+0.2*INDEX($H316:$N316,MATCH(LARGE($H316:$N316,3),$H316:$N316,0))</f>
        <v>0</v>
      </c>
      <c r="S316" s="20">
        <f>0.6*INDEX(O316:Q316,MATCH(LARGE(O316:Q316,1),O316:Q316,0))+0.4*INDEX(O316:Q316,MATCH(LARGE(O316:Q316,2),O316:Q316,0))+0*INDEX(O316:Q316,MATCH(LARGE(O316:Q316,3),O316:Q316,0))</f>
        <v>0</v>
      </c>
      <c r="T316" s="15">
        <f>1*INDEX(R316:S316,MATCH(LARGE(R316:S316,1),R316:S316,0))+0*INDEX(R316:S316,MATCH(LARGE(R316:S316,2),R316:S316,0))</f>
        <v>0</v>
      </c>
      <c r="U316" s="21"/>
      <c r="V316" s="21"/>
      <c r="W316" s="21"/>
      <c r="X316" s="21"/>
      <c r="Y316" s="21"/>
      <c r="Z316" s="21"/>
    </row>
    <row r="317" spans="1:26" ht="12.75" customHeight="1" x14ac:dyDescent="0.3">
      <c r="A317" s="15">
        <v>316</v>
      </c>
      <c r="B317" s="16" t="s">
        <v>321</v>
      </c>
      <c r="C317" s="17"/>
      <c r="D317" s="15" t="s">
        <v>22</v>
      </c>
      <c r="E317" s="18" t="s">
        <v>23</v>
      </c>
      <c r="F317" s="15" t="s">
        <v>73</v>
      </c>
      <c r="G317" s="22">
        <v>2009</v>
      </c>
      <c r="H317" s="15">
        <f>MAX(IF(ISNA(VLOOKUP(B317,'WBV 1'!$B$3:$C$34,2,FALSE))=TRUE,0,VLOOKUP(B317,'WBV 1'!$B$3:$C$34,2,FALSE)),IF(ISNA(VLOOKUP(B317,'WBV 1'!$F$3:$G$34,2,FALSE))=TRUE,0,VLOOKUP(B317,'WBV 1'!$F$3:$G$34,2,FALSE)),IF(ISNA(VLOOKUP(B317,'WBV 1'!$J$3:$K$34,2,FALSE))=TRUE,0,VLOOKUP(B317,'WBV 1'!$J$3:$K$34,2,FALSE)),IF(ISNA(VLOOKUP(B317,'WBV 1'!$N$3:$O$34,2,FALSE))=TRUE,0,VLOOKUP(B317,'WBV 1'!$N$3:$O$34,2,FALSE)))</f>
        <v>0</v>
      </c>
      <c r="I317" s="15">
        <f>MAX(IF(ISNA(VLOOKUP(B317,'WBV 2'!$B$3:$C$34,2,FALSE))=TRUE,0,VLOOKUP(B317,'WBV 2'!$B$3:$C$34,2,FALSE)),IF(ISNA(VLOOKUP(B317,'WBV 2'!$F$3:$G$34,2,FALSE))=TRUE,0,VLOOKUP(B317,'WBV 2'!$F$3:$G$34,2,FALSE)),IF(ISNA(VLOOKUP(B317,'WBV 2'!$J$3:$K$34,2,FALSE))=TRUE,0,VLOOKUP(B317,'WBV 2'!$J$3:$K$34,2,FALSE)),IF(ISNA(VLOOKUP(B317,'WBV 2'!$N$3:$O$34,2,FALSE))=TRUE,0,VLOOKUP(B317,'WBV 2'!$N$3:$O$34,2,FALSE)))</f>
        <v>0</v>
      </c>
      <c r="J317" s="15">
        <f>MAX(IF(ISNA(VLOOKUP(B317,'WBV 3'!$B$3:$C$34,2,FALSE))=TRUE,0,VLOOKUP(B317,'WBV 3'!$B$3:$C$34,2,FALSE)),IF(ISNA(VLOOKUP(B317,'WBV 3'!$F$3:$G$34,2,FALSE))=TRUE,0,VLOOKUP(B317,'WBV 3'!$F$3:$G$34,2,FALSE)),IF(ISNA(VLOOKUP(B317,'WBV 3'!$J$3:$K$34,2,FALSE))=TRUE,0,VLOOKUP(B317,'WBV 3'!$J$3:$K$34,2,FALSE)),IF(ISNA(VLOOKUP(B317,'WBV 3'!$N$3:$O$34,2,FALSE))=TRUE,0,VLOOKUP(B317,'WBV 3'!$N$3:$O$34,2,FALSE)))</f>
        <v>0</v>
      </c>
      <c r="K317" s="15">
        <f>MAX(IF(ISNA(VLOOKUP(B317,'WBV 4'!$B$3:$C$34,2,FALSE))=TRUE,0,VLOOKUP(B317,'WBV 4'!$B$3:$C$34,2,FALSE)),IF(ISNA(VLOOKUP(B317,'WBV 4'!$F$3:$G$34,2,FALSE))=TRUE,0,VLOOKUP(B317,'WBV 4'!$F$3:$G$34,2,FALSE)),IF(ISNA(VLOOKUP(B317,'WBV 4'!$J$3:$K$34,2,FALSE))=TRUE,0,VLOOKUP(B317,'WBV 4'!$J$3:$K$34,2,FALSE)),IF(ISNA(VLOOKUP(B317,'WBV 4'!$N$3:$O$34,2,FALSE))=TRUE,0,VLOOKUP(B317,'WBV 4'!$N$3:$O$34,2,FALSE)))</f>
        <v>0</v>
      </c>
      <c r="L317" s="19">
        <f>MAX(IF(ISNA(VLOOKUP(B317,'NÖBV 1'!$B$3:$C$34,2,FALSE))=TRUE,0,VLOOKUP(B317,'NÖBV 1'!$B$3:$C$34,2,FALSE)),IF(ISNA(VLOOKUP(B317,'NÖBV 1'!$F$3:$G$34,2,FALSE))=TRUE,0,VLOOKUP(B317,'NÖBV 1'!$F$3:$G$34,2,FALSE)),IF(ISNA(VLOOKUP(B317,'NÖBV 1'!$J$3:$K$34,2,FALSE))=TRUE,0,VLOOKUP(B317,'NÖBV 1'!$J$3:$K$34,2,FALSE)),IF(ISNA(VLOOKUP(B317,'NÖBV 1'!$N$3:$O$34,2,FALSE))=TRUE,0,VLOOKUP(B317,'NÖBV 1'!$N$3:$O$34,2,FALSE)))</f>
        <v>0</v>
      </c>
      <c r="M317" s="19">
        <f>MAX(IF(ISNA(VLOOKUP(B317,'NÖBV 2'!$B$3:$C$34,2,FALSE))=TRUE,0,VLOOKUP(B317,'NÖBV 2'!$B$3:$C$34,2,FALSE)),IF(ISNA(VLOOKUP(B317,'NÖBV 2'!$F$3:$G$34,2,FALSE))=TRUE,0,VLOOKUP(B317,'NÖBV 2'!$F$3:$G$34,2,FALSE)),IF(ISNA(VLOOKUP(B317,'NÖBV 2'!$J$3:$K$34,2,FALSE))=TRUE,0,VLOOKUP(B317,'NÖBV 2'!$J$3:$K$34,2,FALSE)),IF(ISNA(VLOOKUP(B317,'NÖBV 2'!$N$3:$O$34,2,FALSE))=TRUE,0,VLOOKUP(B317,'NÖBV 2'!$N$3:$O$34,2,FALSE)))</f>
        <v>0</v>
      </c>
      <c r="N317" s="19">
        <f>MAX(IF(ISNA(VLOOKUP(B317,'NÖBV 3'!$B$3:$C$34,2,FALSE))=TRUE,0,VLOOKUP(B317,'NÖBV 3'!$B$3:$C$34,2,FALSE)),IF(ISNA(VLOOKUP(B317,'NÖBV 3'!$F$3:$G$34,2,FALSE))=TRUE,0,VLOOKUP(B317,'NÖBV 3'!$F$3:$G$34,2,FALSE)),IF(ISNA(VLOOKUP(B317,'NÖBV 3'!$J$3:$K$34,2,FALSE))=TRUE,0,VLOOKUP(B317,'NÖBV 3'!$J$3:$K$34,2,FALSE)),IF(ISNA(VLOOKUP(B317,'NÖBV 3'!$N$3:$O$34,2,FALSE))=TRUE,0,VLOOKUP(B317,'NÖBV 3'!$N$3:$O$34,2,FALSE)))</f>
        <v>0</v>
      </c>
      <c r="O317" s="15">
        <f>MAX(IF(ISNA(VLOOKUP(B317,'Regioturnier 1'!$B$3:$C$34,2,FALSE))=TRUE,0,VLOOKUP(B317,'Regioturnier 1'!$B$3:$C$34,2,FALSE)),IF(ISNA(VLOOKUP(B317,'Regioturnier 1'!$F$3:$G$34,2,FALSE))=TRUE,0,VLOOKUP(B317,'Regioturnier 1'!$F$3:$G$34,2,FALSE)),IF(ISNA(VLOOKUP(B317,'Regioturnier 1'!$J$3:$K$34,2,FALSE))=TRUE,0,VLOOKUP(B317,'Regioturnier 1'!$J$3:$K$34,2,FALSE)),IF(ISNA(VLOOKUP(B317,'Regioturnier 1'!$N$3:$O$34,2,FALSE))=TRUE,0,VLOOKUP(B317,'Regioturnier 1'!$N$3:$O$34,2,FALSE)),IF(ISNA(VLOOKUP(B317,'Regioturnier 1'!$R$3:$S$34,2,FALSE))=TRUE,0,VLOOKUP(B317,'Regioturnier 1'!$R$3:$S$34,2,FALSE)), IF(ISNA(VLOOKUP(B317,'Regioturnier 1'!$V$3:$W$34,2,FALSE))=TRUE,0,VLOOKUP(B317,'Regioturnier 1'!$V$3:$W$34,2,FALSE)), IF(ISNA(VLOOKUP(B317,'Regioturnier 1'!$Z$3:$AA$34,2,FALSE))=TRUE,0,VLOOKUP(B317,'Regioturnier 1'!$Z$3:$AA$34,2,FALSE)))</f>
        <v>0</v>
      </c>
      <c r="P317" s="15">
        <f>MAX(IF(ISNA(VLOOKUP(B317,'Regioturnier 2'!$B$3:$C$34,2,FALSE))=TRUE,0,VLOOKUP(B317,'Regioturnier 2'!$B$3:$C$34,2,FALSE)),IF(ISNA(VLOOKUP(B317,'Regioturnier 2'!$F$3:$G$34,2,FALSE))=TRUE,0,VLOOKUP(B317,'Regioturnier 2'!$F$3:$G$34,2,FALSE)),IF(ISNA(VLOOKUP(B317,'Regioturnier 2'!$J$3:$K$34,2,FALSE))=TRUE,0,VLOOKUP(B317,'Regioturnier 2'!$J$3:$K$34,2,FALSE)),IF(ISNA(VLOOKUP(B317,'Regioturnier 2'!$N$3:$O$34,2,FALSE))=TRUE,0,VLOOKUP(B317,'Regioturnier 2'!$N$3:$O$34,2,FALSE)),IF(ISNA(VLOOKUP(B317,'Regioturnier 2'!$R$3:$S$34,2,FALSE))=TRUE,0,VLOOKUP(B317,'Regioturnier 2'!$R$3:$S$34,2,FALSE)), IF(ISNA(VLOOKUP(B317,'Regioturnier 2'!$V$3:$W$34,2,FALSE))=TRUE,0,VLOOKUP(B317,'Regioturnier 2'!$V$3:$W$34,2,FALSE)), IF(ISNA(VLOOKUP(B317,'Regioturnier 2'!$Z$3:$AA$34,2,FALSE))=TRUE,0,VLOOKUP(B317,'Regioturnier 2'!$Z$3:$AA$34,2,FALSE)))</f>
        <v>0</v>
      </c>
      <c r="Q317" s="15">
        <f>MAX(IF(ISNA(VLOOKUP(B317,'Regioturnier 3'!$B$3:$C$34,2,FALSE))=TRUE,0,VLOOKUP(B317,'Regioturnier 3'!$B$3:$C$34,2,FALSE)),IF(ISNA(VLOOKUP(B317,'Regioturnier 3'!$F$3:$G$34,2,FALSE))=TRUE,0,VLOOKUP(B317,'Regioturnier 3'!$F$3:$G$34,2,FALSE)),IF(ISNA(VLOOKUP(B317,'Regioturnier 3'!$J$3:$K$34,2,FALSE))=TRUE,0,VLOOKUP(B317,'Regioturnier 3'!$J$3:$K$34,2,FALSE)),IF(ISNA(VLOOKUP(B317,'Regioturnier 3'!$N$3:$O$34,2,FALSE))=TRUE,0,VLOOKUP(B317,'Regioturnier 3'!$N$3:$O$34,2,FALSE)),IF(ISNA(VLOOKUP(B317,'Regioturnier 3'!$R$3:$S$34,2,FALSE))=TRUE,0,VLOOKUP(B317,'Regioturnier 3'!$R$3:$S$34,2,FALSE)), IF(ISNA(VLOOKUP(B317,'Regioturnier 3'!$V$3:$W$34,2,FALSE))=TRUE,0,VLOOKUP(B317,'Regioturnier 3'!$V$3:$W$34,2,FALSE)), IF(ISNA(VLOOKUP(B317,'Regioturnier 3'!$Z$3:$AA$34,2,FALSE))=TRUE,0,VLOOKUP(B317,'Regioturnier 3'!$Z$3:$AA$34,2,FALSE)))</f>
        <v>0</v>
      </c>
      <c r="R317" s="20">
        <f>0.5*INDEX($H317:$N317,MATCH(LARGE($H317:$N317,1),$H317:$N317,0))+0.3*INDEX($H317:$N317,MATCH(LARGE($H317:$N317,2),$H317:$N317,0))+0.2*INDEX($H317:$N317,MATCH(LARGE($H317:$N317,3),$H317:$N317,0))</f>
        <v>0</v>
      </c>
      <c r="S317" s="20">
        <f>0.6*INDEX(O317:Q317,MATCH(LARGE(O317:Q317,1),O317:Q317,0))+0.4*INDEX(O317:Q317,MATCH(LARGE(O317:Q317,2),O317:Q317,0))+0*INDEX(O317:Q317,MATCH(LARGE(O317:Q317,3),O317:Q317,0))</f>
        <v>0</v>
      </c>
      <c r="T317" s="15">
        <f>1*INDEX(R317:S317,MATCH(LARGE(R317:S317,1),R317:S317,0))+0*INDEX(R317:S317,MATCH(LARGE(R317:S317,2),R317:S317,0))</f>
        <v>0</v>
      </c>
      <c r="U317" s="21"/>
      <c r="V317" s="21"/>
      <c r="W317" s="21"/>
      <c r="X317" s="21"/>
      <c r="Y317" s="21"/>
      <c r="Z317" s="21"/>
    </row>
    <row r="318" spans="1:26" ht="12.75" customHeight="1" x14ac:dyDescent="0.3">
      <c r="A318" s="15">
        <v>317</v>
      </c>
      <c r="B318" s="16" t="s">
        <v>322</v>
      </c>
      <c r="C318" s="17"/>
      <c r="D318" s="15" t="s">
        <v>22</v>
      </c>
      <c r="E318" s="18" t="s">
        <v>23</v>
      </c>
      <c r="F318" s="15" t="s">
        <v>73</v>
      </c>
      <c r="G318" s="22">
        <v>2010</v>
      </c>
      <c r="H318" s="15">
        <f>MAX(IF(ISNA(VLOOKUP(B318,'WBV 1'!$B$3:$C$34,2,FALSE))=TRUE,0,VLOOKUP(B318,'WBV 1'!$B$3:$C$34,2,FALSE)),IF(ISNA(VLOOKUP(B318,'WBV 1'!$F$3:$G$34,2,FALSE))=TRUE,0,VLOOKUP(B318,'WBV 1'!$F$3:$G$34,2,FALSE)),IF(ISNA(VLOOKUP(B318,'WBV 1'!$J$3:$K$34,2,FALSE))=TRUE,0,VLOOKUP(B318,'WBV 1'!$J$3:$K$34,2,FALSE)),IF(ISNA(VLOOKUP(B318,'WBV 1'!$N$3:$O$34,2,FALSE))=TRUE,0,VLOOKUP(B318,'WBV 1'!$N$3:$O$34,2,FALSE)))</f>
        <v>0</v>
      </c>
      <c r="I318" s="15">
        <f>MAX(IF(ISNA(VLOOKUP(B318,'WBV 2'!$B$3:$C$34,2,FALSE))=TRUE,0,VLOOKUP(B318,'WBV 2'!$B$3:$C$34,2,FALSE)),IF(ISNA(VLOOKUP(B318,'WBV 2'!$F$3:$G$34,2,FALSE))=TRUE,0,VLOOKUP(B318,'WBV 2'!$F$3:$G$34,2,FALSE)),IF(ISNA(VLOOKUP(B318,'WBV 2'!$J$3:$K$34,2,FALSE))=TRUE,0,VLOOKUP(B318,'WBV 2'!$J$3:$K$34,2,FALSE)),IF(ISNA(VLOOKUP(B318,'WBV 2'!$N$3:$O$34,2,FALSE))=TRUE,0,VLOOKUP(B318,'WBV 2'!$N$3:$O$34,2,FALSE)))</f>
        <v>0</v>
      </c>
      <c r="J318" s="15">
        <f>MAX(IF(ISNA(VLOOKUP(B318,'WBV 3'!$B$3:$C$34,2,FALSE))=TRUE,0,VLOOKUP(B318,'WBV 3'!$B$3:$C$34,2,FALSE)),IF(ISNA(VLOOKUP(B318,'WBV 3'!$F$3:$G$34,2,FALSE))=TRUE,0,VLOOKUP(B318,'WBV 3'!$F$3:$G$34,2,FALSE)),IF(ISNA(VLOOKUP(B318,'WBV 3'!$J$3:$K$34,2,FALSE))=TRUE,0,VLOOKUP(B318,'WBV 3'!$J$3:$K$34,2,FALSE)),IF(ISNA(VLOOKUP(B318,'WBV 3'!$N$3:$O$34,2,FALSE))=TRUE,0,VLOOKUP(B318,'WBV 3'!$N$3:$O$34,2,FALSE)))</f>
        <v>0</v>
      </c>
      <c r="K318" s="15">
        <f>MAX(IF(ISNA(VLOOKUP(B318,'WBV 4'!$B$3:$C$34,2,FALSE))=TRUE,0,VLOOKUP(B318,'WBV 4'!$B$3:$C$34,2,FALSE)),IF(ISNA(VLOOKUP(B318,'WBV 4'!$F$3:$G$34,2,FALSE))=TRUE,0,VLOOKUP(B318,'WBV 4'!$F$3:$G$34,2,FALSE)),IF(ISNA(VLOOKUP(B318,'WBV 4'!$J$3:$K$34,2,FALSE))=TRUE,0,VLOOKUP(B318,'WBV 4'!$J$3:$K$34,2,FALSE)),IF(ISNA(VLOOKUP(B318,'WBV 4'!$N$3:$O$34,2,FALSE))=TRUE,0,VLOOKUP(B318,'WBV 4'!$N$3:$O$34,2,FALSE)))</f>
        <v>0</v>
      </c>
      <c r="L318" s="19">
        <f>MAX(IF(ISNA(VLOOKUP(B318,'NÖBV 1'!$B$3:$C$34,2,FALSE))=TRUE,0,VLOOKUP(B318,'NÖBV 1'!$B$3:$C$34,2,FALSE)),IF(ISNA(VLOOKUP(B318,'NÖBV 1'!$F$3:$G$34,2,FALSE))=TRUE,0,VLOOKUP(B318,'NÖBV 1'!$F$3:$G$34,2,FALSE)),IF(ISNA(VLOOKUP(B318,'NÖBV 1'!$J$3:$K$34,2,FALSE))=TRUE,0,VLOOKUP(B318,'NÖBV 1'!$J$3:$K$34,2,FALSE)),IF(ISNA(VLOOKUP(B318,'NÖBV 1'!$N$3:$O$34,2,FALSE))=TRUE,0,VLOOKUP(B318,'NÖBV 1'!$N$3:$O$34,2,FALSE)))</f>
        <v>0</v>
      </c>
      <c r="M318" s="19">
        <f>MAX(IF(ISNA(VLOOKUP(B318,'NÖBV 2'!$B$3:$C$34,2,FALSE))=TRUE,0,VLOOKUP(B318,'NÖBV 2'!$B$3:$C$34,2,FALSE)),IF(ISNA(VLOOKUP(B318,'NÖBV 2'!$F$3:$G$34,2,FALSE))=TRUE,0,VLOOKUP(B318,'NÖBV 2'!$F$3:$G$34,2,FALSE)),IF(ISNA(VLOOKUP(B318,'NÖBV 2'!$J$3:$K$34,2,FALSE))=TRUE,0,VLOOKUP(B318,'NÖBV 2'!$J$3:$K$34,2,FALSE)),IF(ISNA(VLOOKUP(B318,'NÖBV 2'!$N$3:$O$34,2,FALSE))=TRUE,0,VLOOKUP(B318,'NÖBV 2'!$N$3:$O$34,2,FALSE)))</f>
        <v>0</v>
      </c>
      <c r="N318" s="19">
        <f>MAX(IF(ISNA(VLOOKUP(B318,'NÖBV 3'!$B$3:$C$34,2,FALSE))=TRUE,0,VLOOKUP(B318,'NÖBV 3'!$B$3:$C$34,2,FALSE)),IF(ISNA(VLOOKUP(B318,'NÖBV 3'!$F$3:$G$34,2,FALSE))=TRUE,0,VLOOKUP(B318,'NÖBV 3'!$F$3:$G$34,2,FALSE)),IF(ISNA(VLOOKUP(B318,'NÖBV 3'!$J$3:$K$34,2,FALSE))=TRUE,0,VLOOKUP(B318,'NÖBV 3'!$J$3:$K$34,2,FALSE)),IF(ISNA(VLOOKUP(B318,'NÖBV 3'!$N$3:$O$34,2,FALSE))=TRUE,0,VLOOKUP(B318,'NÖBV 3'!$N$3:$O$34,2,FALSE)))</f>
        <v>0</v>
      </c>
      <c r="O318" s="15">
        <f>MAX(IF(ISNA(VLOOKUP(B318,'Regioturnier 1'!$B$3:$C$34,2,FALSE))=TRUE,0,VLOOKUP(B318,'Regioturnier 1'!$B$3:$C$34,2,FALSE)),IF(ISNA(VLOOKUP(B318,'Regioturnier 1'!$F$3:$G$34,2,FALSE))=TRUE,0,VLOOKUP(B318,'Regioturnier 1'!$F$3:$G$34,2,FALSE)),IF(ISNA(VLOOKUP(B318,'Regioturnier 1'!$J$3:$K$34,2,FALSE))=TRUE,0,VLOOKUP(B318,'Regioturnier 1'!$J$3:$K$34,2,FALSE)),IF(ISNA(VLOOKUP(B318,'Regioturnier 1'!$N$3:$O$34,2,FALSE))=TRUE,0,VLOOKUP(B318,'Regioturnier 1'!$N$3:$O$34,2,FALSE)),IF(ISNA(VLOOKUP(B318,'Regioturnier 1'!$R$3:$S$34,2,FALSE))=TRUE,0,VLOOKUP(B318,'Regioturnier 1'!$R$3:$S$34,2,FALSE)), IF(ISNA(VLOOKUP(B318,'Regioturnier 1'!$V$3:$W$34,2,FALSE))=TRUE,0,VLOOKUP(B318,'Regioturnier 1'!$V$3:$W$34,2,FALSE)), IF(ISNA(VLOOKUP(B318,'Regioturnier 1'!$Z$3:$AA$34,2,FALSE))=TRUE,0,VLOOKUP(B318,'Regioturnier 1'!$Z$3:$AA$34,2,FALSE)))</f>
        <v>0</v>
      </c>
      <c r="P318" s="15">
        <f>MAX(IF(ISNA(VLOOKUP(B318,'Regioturnier 2'!$B$3:$C$34,2,FALSE))=TRUE,0,VLOOKUP(B318,'Regioturnier 2'!$B$3:$C$34,2,FALSE)),IF(ISNA(VLOOKUP(B318,'Regioturnier 2'!$F$3:$G$34,2,FALSE))=TRUE,0,VLOOKUP(B318,'Regioturnier 2'!$F$3:$G$34,2,FALSE)),IF(ISNA(VLOOKUP(B318,'Regioturnier 2'!$J$3:$K$34,2,FALSE))=TRUE,0,VLOOKUP(B318,'Regioturnier 2'!$J$3:$K$34,2,FALSE)),IF(ISNA(VLOOKUP(B318,'Regioturnier 2'!$N$3:$O$34,2,FALSE))=TRUE,0,VLOOKUP(B318,'Regioturnier 2'!$N$3:$O$34,2,FALSE)),IF(ISNA(VLOOKUP(B318,'Regioturnier 2'!$R$3:$S$34,2,FALSE))=TRUE,0,VLOOKUP(B318,'Regioturnier 2'!$R$3:$S$34,2,FALSE)), IF(ISNA(VLOOKUP(B318,'Regioturnier 2'!$V$3:$W$34,2,FALSE))=TRUE,0,VLOOKUP(B318,'Regioturnier 2'!$V$3:$W$34,2,FALSE)), IF(ISNA(VLOOKUP(B318,'Regioturnier 2'!$Z$3:$AA$34,2,FALSE))=TRUE,0,VLOOKUP(B318,'Regioturnier 2'!$Z$3:$AA$34,2,FALSE)))</f>
        <v>0</v>
      </c>
      <c r="Q318" s="15">
        <f>MAX(IF(ISNA(VLOOKUP(B318,'Regioturnier 3'!$B$3:$C$34,2,FALSE))=TRUE,0,VLOOKUP(B318,'Regioturnier 3'!$B$3:$C$34,2,FALSE)),IF(ISNA(VLOOKUP(B318,'Regioturnier 3'!$F$3:$G$34,2,FALSE))=TRUE,0,VLOOKUP(B318,'Regioturnier 3'!$F$3:$G$34,2,FALSE)),IF(ISNA(VLOOKUP(B318,'Regioturnier 3'!$J$3:$K$34,2,FALSE))=TRUE,0,VLOOKUP(B318,'Regioturnier 3'!$J$3:$K$34,2,FALSE)),IF(ISNA(VLOOKUP(B318,'Regioturnier 3'!$N$3:$O$34,2,FALSE))=TRUE,0,VLOOKUP(B318,'Regioturnier 3'!$N$3:$O$34,2,FALSE)),IF(ISNA(VLOOKUP(B318,'Regioturnier 3'!$R$3:$S$34,2,FALSE))=TRUE,0,VLOOKUP(B318,'Regioturnier 3'!$R$3:$S$34,2,FALSE)), IF(ISNA(VLOOKUP(B318,'Regioturnier 3'!$V$3:$W$34,2,FALSE))=TRUE,0,VLOOKUP(B318,'Regioturnier 3'!$V$3:$W$34,2,FALSE)), IF(ISNA(VLOOKUP(B318,'Regioturnier 3'!$Z$3:$AA$34,2,FALSE))=TRUE,0,VLOOKUP(B318,'Regioturnier 3'!$Z$3:$AA$34,2,FALSE)))</f>
        <v>0</v>
      </c>
      <c r="R318" s="20">
        <f>0.5*INDEX($H318:$N318,MATCH(LARGE($H318:$N318,1),$H318:$N318,0))+0.3*INDEX($H318:$N318,MATCH(LARGE($H318:$N318,2),$H318:$N318,0))+0.2*INDEX($H318:$N318,MATCH(LARGE($H318:$N318,3),$H318:$N318,0))</f>
        <v>0</v>
      </c>
      <c r="S318" s="20">
        <f>0.6*INDEX(O318:Q318,MATCH(LARGE(O318:Q318,1),O318:Q318,0))+0.4*INDEX(O318:Q318,MATCH(LARGE(O318:Q318,2),O318:Q318,0))+0*INDEX(O318:Q318,MATCH(LARGE(O318:Q318,3),O318:Q318,0))</f>
        <v>0</v>
      </c>
      <c r="T318" s="15">
        <f>1*INDEX(R318:S318,MATCH(LARGE(R318:S318,1),R318:S318,0))+0*INDEX(R318:S318,MATCH(LARGE(R318:S318,2),R318:S318,0))</f>
        <v>0</v>
      </c>
      <c r="U318" s="21"/>
      <c r="V318" s="21"/>
      <c r="W318" s="21"/>
      <c r="X318" s="21"/>
      <c r="Y318" s="21"/>
      <c r="Z318" s="21"/>
    </row>
    <row r="319" spans="1:26" ht="12.75" customHeight="1" x14ac:dyDescent="0.3">
      <c r="A319" s="15">
        <v>318</v>
      </c>
      <c r="B319" s="21" t="s">
        <v>324</v>
      </c>
      <c r="C319" s="21"/>
      <c r="D319" s="15" t="s">
        <v>22</v>
      </c>
      <c r="E319" s="15" t="s">
        <v>23</v>
      </c>
      <c r="F319" s="15" t="s">
        <v>73</v>
      </c>
      <c r="G319" s="15">
        <v>2010</v>
      </c>
      <c r="H319" s="15">
        <f>MAX(IF(ISNA(VLOOKUP(B319,'WBV 1'!$B$3:$C$34,2,FALSE))=TRUE,0,VLOOKUP(B319,'WBV 1'!$B$3:$C$34,2,FALSE)),IF(ISNA(VLOOKUP(B319,'WBV 1'!$F$3:$G$34,2,FALSE))=TRUE,0,VLOOKUP(B319,'WBV 1'!$F$3:$G$34,2,FALSE)),IF(ISNA(VLOOKUP(B319,'WBV 1'!$J$3:$K$34,2,FALSE))=TRUE,0,VLOOKUP(B319,'WBV 1'!$J$3:$K$34,2,FALSE)),IF(ISNA(VLOOKUP(B319,'WBV 1'!$N$3:$O$34,2,FALSE))=TRUE,0,VLOOKUP(B319,'WBV 1'!$N$3:$O$34,2,FALSE)))</f>
        <v>0</v>
      </c>
      <c r="I319" s="15">
        <f>MAX(IF(ISNA(VLOOKUP(B319,'WBV 2'!$B$3:$C$34,2,FALSE))=TRUE,0,VLOOKUP(B319,'WBV 2'!$B$3:$C$34,2,FALSE)),IF(ISNA(VLOOKUP(B319,'WBV 2'!$F$3:$G$34,2,FALSE))=TRUE,0,VLOOKUP(B319,'WBV 2'!$F$3:$G$34,2,FALSE)),IF(ISNA(VLOOKUP(B319,'WBV 2'!$J$3:$K$34,2,FALSE))=TRUE,0,VLOOKUP(B319,'WBV 2'!$J$3:$K$34,2,FALSE)),IF(ISNA(VLOOKUP(B319,'WBV 2'!$N$3:$O$34,2,FALSE))=TRUE,0,VLOOKUP(B319,'WBV 2'!$N$3:$O$34,2,FALSE)))</f>
        <v>0</v>
      </c>
      <c r="J319" s="15">
        <f>MAX(IF(ISNA(VLOOKUP(B319,'WBV 3'!$B$3:$C$34,2,FALSE))=TRUE,0,VLOOKUP(B319,'WBV 3'!$B$3:$C$34,2,FALSE)),IF(ISNA(VLOOKUP(B319,'WBV 3'!$F$3:$G$34,2,FALSE))=TRUE,0,VLOOKUP(B319,'WBV 3'!$F$3:$G$34,2,FALSE)),IF(ISNA(VLOOKUP(B319,'WBV 3'!$J$3:$K$34,2,FALSE))=TRUE,0,VLOOKUP(B319,'WBV 3'!$J$3:$K$34,2,FALSE)),IF(ISNA(VLOOKUP(B319,'WBV 3'!$N$3:$O$34,2,FALSE))=TRUE,0,VLOOKUP(B319,'WBV 3'!$N$3:$O$34,2,FALSE)))</f>
        <v>0</v>
      </c>
      <c r="K319" s="15">
        <f>MAX(IF(ISNA(VLOOKUP(B319,'WBV 4'!$B$3:$C$34,2,FALSE))=TRUE,0,VLOOKUP(B319,'WBV 4'!$B$3:$C$34,2,FALSE)),IF(ISNA(VLOOKUP(B319,'WBV 4'!$F$3:$G$34,2,FALSE))=TRUE,0,VLOOKUP(B319,'WBV 4'!$F$3:$G$34,2,FALSE)),IF(ISNA(VLOOKUP(B319,'WBV 4'!$J$3:$K$34,2,FALSE))=TRUE,0,VLOOKUP(B319,'WBV 4'!$J$3:$K$34,2,FALSE)),IF(ISNA(VLOOKUP(B319,'WBV 4'!$N$3:$O$34,2,FALSE))=TRUE,0,VLOOKUP(B319,'WBV 4'!$N$3:$O$34,2,FALSE)))</f>
        <v>0</v>
      </c>
      <c r="L319" s="19">
        <f>MAX(IF(ISNA(VLOOKUP(B319,'NÖBV 1'!$B$3:$C$34,2,FALSE))=TRUE,0,VLOOKUP(B319,'NÖBV 1'!$B$3:$C$34,2,FALSE)),IF(ISNA(VLOOKUP(B319,'NÖBV 1'!$F$3:$G$34,2,FALSE))=TRUE,0,VLOOKUP(B319,'NÖBV 1'!$F$3:$G$34,2,FALSE)),IF(ISNA(VLOOKUP(B319,'NÖBV 1'!$J$3:$K$34,2,FALSE))=TRUE,0,VLOOKUP(B319,'NÖBV 1'!$J$3:$K$34,2,FALSE)),IF(ISNA(VLOOKUP(B319,'NÖBV 1'!$N$3:$O$34,2,FALSE))=TRUE,0,VLOOKUP(B319,'NÖBV 1'!$N$3:$O$34,2,FALSE)))</f>
        <v>0</v>
      </c>
      <c r="M319" s="19">
        <f>MAX(IF(ISNA(VLOOKUP(B319,'NÖBV 2'!$B$3:$C$34,2,FALSE))=TRUE,0,VLOOKUP(B319,'NÖBV 2'!$B$3:$C$34,2,FALSE)),IF(ISNA(VLOOKUP(B319,'NÖBV 2'!$F$3:$G$34,2,FALSE))=TRUE,0,VLOOKUP(B319,'NÖBV 2'!$F$3:$G$34,2,FALSE)),IF(ISNA(VLOOKUP(B319,'NÖBV 2'!$J$3:$K$34,2,FALSE))=TRUE,0,VLOOKUP(B319,'NÖBV 2'!$J$3:$K$34,2,FALSE)),IF(ISNA(VLOOKUP(B319,'NÖBV 2'!$N$3:$O$34,2,FALSE))=TRUE,0,VLOOKUP(B319,'NÖBV 2'!$N$3:$O$34,2,FALSE)))</f>
        <v>0</v>
      </c>
      <c r="N319" s="19">
        <f>MAX(IF(ISNA(VLOOKUP(B319,'NÖBV 3'!$B$3:$C$34,2,FALSE))=TRUE,0,VLOOKUP(B319,'NÖBV 3'!$B$3:$C$34,2,FALSE)),IF(ISNA(VLOOKUP(B319,'NÖBV 3'!$F$3:$G$34,2,FALSE))=TRUE,0,VLOOKUP(B319,'NÖBV 3'!$F$3:$G$34,2,FALSE)),IF(ISNA(VLOOKUP(B319,'NÖBV 3'!$J$3:$K$34,2,FALSE))=TRUE,0,VLOOKUP(B319,'NÖBV 3'!$J$3:$K$34,2,FALSE)),IF(ISNA(VLOOKUP(B319,'NÖBV 3'!$N$3:$O$34,2,FALSE))=TRUE,0,VLOOKUP(B319,'NÖBV 3'!$N$3:$O$34,2,FALSE)))</f>
        <v>0</v>
      </c>
      <c r="O319" s="15">
        <f>MAX(IF(ISNA(VLOOKUP(B319,'Regioturnier 1'!$B$3:$C$34,2,FALSE))=TRUE,0,VLOOKUP(B319,'Regioturnier 1'!$B$3:$C$34,2,FALSE)),IF(ISNA(VLOOKUP(B319,'Regioturnier 1'!$F$3:$G$34,2,FALSE))=TRUE,0,VLOOKUP(B319,'Regioturnier 1'!$F$3:$G$34,2,FALSE)),IF(ISNA(VLOOKUP(B319,'Regioturnier 1'!$J$3:$K$34,2,FALSE))=TRUE,0,VLOOKUP(B319,'Regioturnier 1'!$J$3:$K$34,2,FALSE)),IF(ISNA(VLOOKUP(B319,'Regioturnier 1'!$N$3:$O$34,2,FALSE))=TRUE,0,VLOOKUP(B319,'Regioturnier 1'!$N$3:$O$34,2,FALSE)),IF(ISNA(VLOOKUP(B319,'Regioturnier 1'!$R$3:$S$34,2,FALSE))=TRUE,0,VLOOKUP(B319,'Regioturnier 1'!$R$3:$S$34,2,FALSE)), IF(ISNA(VLOOKUP(B319,'Regioturnier 1'!$V$3:$W$34,2,FALSE))=TRUE,0,VLOOKUP(B319,'Regioturnier 1'!$V$3:$W$34,2,FALSE)), IF(ISNA(VLOOKUP(B319,'Regioturnier 1'!$Z$3:$AA$34,2,FALSE))=TRUE,0,VLOOKUP(B319,'Regioturnier 1'!$Z$3:$AA$34,2,FALSE)))</f>
        <v>0</v>
      </c>
      <c r="P319" s="15">
        <f>MAX(IF(ISNA(VLOOKUP(B319,'Regioturnier 2'!$B$3:$C$34,2,FALSE))=TRUE,0,VLOOKUP(B319,'Regioturnier 2'!$B$3:$C$34,2,FALSE)),IF(ISNA(VLOOKUP(B319,'Regioturnier 2'!$F$3:$G$34,2,FALSE))=TRUE,0,VLOOKUP(B319,'Regioturnier 2'!$F$3:$G$34,2,FALSE)),IF(ISNA(VLOOKUP(B319,'Regioturnier 2'!$J$3:$K$34,2,FALSE))=TRUE,0,VLOOKUP(B319,'Regioturnier 2'!$J$3:$K$34,2,FALSE)),IF(ISNA(VLOOKUP(B319,'Regioturnier 2'!$N$3:$O$34,2,FALSE))=TRUE,0,VLOOKUP(B319,'Regioturnier 2'!$N$3:$O$34,2,FALSE)),IF(ISNA(VLOOKUP(B319,'Regioturnier 2'!$R$3:$S$34,2,FALSE))=TRUE,0,VLOOKUP(B319,'Regioturnier 2'!$R$3:$S$34,2,FALSE)), IF(ISNA(VLOOKUP(B319,'Regioturnier 2'!$V$3:$W$34,2,FALSE))=TRUE,0,VLOOKUP(B319,'Regioturnier 2'!$V$3:$W$34,2,FALSE)), IF(ISNA(VLOOKUP(B319,'Regioturnier 2'!$Z$3:$AA$34,2,FALSE))=TRUE,0,VLOOKUP(B319,'Regioturnier 2'!$Z$3:$AA$34,2,FALSE)))</f>
        <v>0</v>
      </c>
      <c r="Q319" s="15">
        <f>MAX(IF(ISNA(VLOOKUP(B319,'Regioturnier 3'!$B$3:$C$34,2,FALSE))=TRUE,0,VLOOKUP(B319,'Regioturnier 3'!$B$3:$C$34,2,FALSE)),IF(ISNA(VLOOKUP(B319,'Regioturnier 3'!$F$3:$G$34,2,FALSE))=TRUE,0,VLOOKUP(B319,'Regioturnier 3'!$F$3:$G$34,2,FALSE)),IF(ISNA(VLOOKUP(B319,'Regioturnier 3'!$J$3:$K$34,2,FALSE))=TRUE,0,VLOOKUP(B319,'Regioturnier 3'!$J$3:$K$34,2,FALSE)),IF(ISNA(VLOOKUP(B319,'Regioturnier 3'!$N$3:$O$34,2,FALSE))=TRUE,0,VLOOKUP(B319,'Regioturnier 3'!$N$3:$O$34,2,FALSE)),IF(ISNA(VLOOKUP(B319,'Regioturnier 3'!$R$3:$S$34,2,FALSE))=TRUE,0,VLOOKUP(B319,'Regioturnier 3'!$R$3:$S$34,2,FALSE)), IF(ISNA(VLOOKUP(B319,'Regioturnier 3'!$V$3:$W$34,2,FALSE))=TRUE,0,VLOOKUP(B319,'Regioturnier 3'!$V$3:$W$34,2,FALSE)), IF(ISNA(VLOOKUP(B319,'Regioturnier 3'!$Z$3:$AA$34,2,FALSE))=TRUE,0,VLOOKUP(B319,'Regioturnier 3'!$Z$3:$AA$34,2,FALSE)))</f>
        <v>0</v>
      </c>
      <c r="R319" s="20">
        <f>0.5*INDEX($H319:$N319,MATCH(LARGE($H319:$N319,1),$H319:$N319,0))+0.3*INDEX($H319:$N319,MATCH(LARGE($H319:$N319,2),$H319:$N319,0))+0.2*INDEX($H319:$N319,MATCH(LARGE($H319:$N319,3),$H319:$N319,0))</f>
        <v>0</v>
      </c>
      <c r="S319" s="20">
        <f>0.6*INDEX(O319:Q319,MATCH(LARGE(O319:Q319,1),O319:Q319,0))+0.4*INDEX(O319:Q319,MATCH(LARGE(O319:Q319,2),O319:Q319,0))+0*INDEX(O319:Q319,MATCH(LARGE(O319:Q319,3),O319:Q319,0))</f>
        <v>0</v>
      </c>
      <c r="T319" s="15">
        <f>1*INDEX(R319:S319,MATCH(LARGE(R319:S319,1),R319:S319,0))+0*INDEX(R319:S319,MATCH(LARGE(R319:S319,2),R319:S319,0))</f>
        <v>0</v>
      </c>
      <c r="U319" s="21"/>
      <c r="V319" s="21"/>
      <c r="W319" s="21"/>
      <c r="X319" s="21"/>
      <c r="Y319" s="21"/>
      <c r="Z319" s="21"/>
    </row>
    <row r="320" spans="1:26" ht="12.75" customHeight="1" x14ac:dyDescent="0.3">
      <c r="A320" s="15">
        <v>319</v>
      </c>
      <c r="B320" s="21" t="s">
        <v>325</v>
      </c>
      <c r="C320" s="21"/>
      <c r="D320" s="15" t="s">
        <v>22</v>
      </c>
      <c r="E320" s="15" t="s">
        <v>23</v>
      </c>
      <c r="F320" s="15" t="s">
        <v>73</v>
      </c>
      <c r="G320" s="15">
        <v>2011</v>
      </c>
      <c r="H320" s="15">
        <f>MAX(IF(ISNA(VLOOKUP(B320,'WBV 1'!$B$3:$C$34,2,FALSE))=TRUE,0,VLOOKUP(B320,'WBV 1'!$B$3:$C$34,2,FALSE)),IF(ISNA(VLOOKUP(B320,'WBV 1'!$F$3:$G$34,2,FALSE))=TRUE,0,VLOOKUP(B320,'WBV 1'!$F$3:$G$34,2,FALSE)),IF(ISNA(VLOOKUP(B320,'WBV 1'!$J$3:$K$34,2,FALSE))=TRUE,0,VLOOKUP(B320,'WBV 1'!$J$3:$K$34,2,FALSE)),IF(ISNA(VLOOKUP(B320,'WBV 1'!$N$3:$O$34,2,FALSE))=TRUE,0,VLOOKUP(B320,'WBV 1'!$N$3:$O$34,2,FALSE)))</f>
        <v>0</v>
      </c>
      <c r="I320" s="15">
        <f>MAX(IF(ISNA(VLOOKUP(B320,'WBV 2'!$B$3:$C$34,2,FALSE))=TRUE,0,VLOOKUP(B320,'WBV 2'!$B$3:$C$34,2,FALSE)),IF(ISNA(VLOOKUP(B320,'WBV 2'!$F$3:$G$34,2,FALSE))=TRUE,0,VLOOKUP(B320,'WBV 2'!$F$3:$G$34,2,FALSE)),IF(ISNA(VLOOKUP(B320,'WBV 2'!$J$3:$K$34,2,FALSE))=TRUE,0,VLOOKUP(B320,'WBV 2'!$J$3:$K$34,2,FALSE)),IF(ISNA(VLOOKUP(B320,'WBV 2'!$N$3:$O$34,2,FALSE))=TRUE,0,VLOOKUP(B320,'WBV 2'!$N$3:$O$34,2,FALSE)))</f>
        <v>0</v>
      </c>
      <c r="J320" s="15">
        <f>MAX(IF(ISNA(VLOOKUP(B320,'WBV 3'!$B$3:$C$34,2,FALSE))=TRUE,0,VLOOKUP(B320,'WBV 3'!$B$3:$C$34,2,FALSE)),IF(ISNA(VLOOKUP(B320,'WBV 3'!$F$3:$G$34,2,FALSE))=TRUE,0,VLOOKUP(B320,'WBV 3'!$F$3:$G$34,2,FALSE)),IF(ISNA(VLOOKUP(B320,'WBV 3'!$J$3:$K$34,2,FALSE))=TRUE,0,VLOOKUP(B320,'WBV 3'!$J$3:$K$34,2,FALSE)),IF(ISNA(VLOOKUP(B320,'WBV 3'!$N$3:$O$34,2,FALSE))=TRUE,0,VLOOKUP(B320,'WBV 3'!$N$3:$O$34,2,FALSE)))</f>
        <v>0</v>
      </c>
      <c r="K320" s="15">
        <f>MAX(IF(ISNA(VLOOKUP(B320,'WBV 4'!$B$3:$C$34,2,FALSE))=TRUE,0,VLOOKUP(B320,'WBV 4'!$B$3:$C$34,2,FALSE)),IF(ISNA(VLOOKUP(B320,'WBV 4'!$F$3:$G$34,2,FALSE))=TRUE,0,VLOOKUP(B320,'WBV 4'!$F$3:$G$34,2,FALSE)),IF(ISNA(VLOOKUP(B320,'WBV 4'!$J$3:$K$34,2,FALSE))=TRUE,0,VLOOKUP(B320,'WBV 4'!$J$3:$K$34,2,FALSE)),IF(ISNA(VLOOKUP(B320,'WBV 4'!$N$3:$O$34,2,FALSE))=TRUE,0,VLOOKUP(B320,'WBV 4'!$N$3:$O$34,2,FALSE)))</f>
        <v>0</v>
      </c>
      <c r="L320" s="19">
        <f>MAX(IF(ISNA(VLOOKUP(B320,'NÖBV 1'!$B$3:$C$34,2,FALSE))=TRUE,0,VLOOKUP(B320,'NÖBV 1'!$B$3:$C$34,2,FALSE)),IF(ISNA(VLOOKUP(B320,'NÖBV 1'!$F$3:$G$34,2,FALSE))=TRUE,0,VLOOKUP(B320,'NÖBV 1'!$F$3:$G$34,2,FALSE)),IF(ISNA(VLOOKUP(B320,'NÖBV 1'!$J$3:$K$34,2,FALSE))=TRUE,0,VLOOKUP(B320,'NÖBV 1'!$J$3:$K$34,2,FALSE)),IF(ISNA(VLOOKUP(B320,'NÖBV 1'!$N$3:$O$34,2,FALSE))=TRUE,0,VLOOKUP(B320,'NÖBV 1'!$N$3:$O$34,2,FALSE)))</f>
        <v>0</v>
      </c>
      <c r="M320" s="19">
        <f>MAX(IF(ISNA(VLOOKUP(B320,'NÖBV 2'!$B$3:$C$34,2,FALSE))=TRUE,0,VLOOKUP(B320,'NÖBV 2'!$B$3:$C$34,2,FALSE)),IF(ISNA(VLOOKUP(B320,'NÖBV 2'!$F$3:$G$34,2,FALSE))=TRUE,0,VLOOKUP(B320,'NÖBV 2'!$F$3:$G$34,2,FALSE)),IF(ISNA(VLOOKUP(B320,'NÖBV 2'!$J$3:$K$34,2,FALSE))=TRUE,0,VLOOKUP(B320,'NÖBV 2'!$J$3:$K$34,2,FALSE)),IF(ISNA(VLOOKUP(B320,'NÖBV 2'!$N$3:$O$34,2,FALSE))=TRUE,0,VLOOKUP(B320,'NÖBV 2'!$N$3:$O$34,2,FALSE)))</f>
        <v>0</v>
      </c>
      <c r="N320" s="19">
        <f>MAX(IF(ISNA(VLOOKUP(B320,'NÖBV 3'!$B$3:$C$34,2,FALSE))=TRUE,0,VLOOKUP(B320,'NÖBV 3'!$B$3:$C$34,2,FALSE)),IF(ISNA(VLOOKUP(B320,'NÖBV 3'!$F$3:$G$34,2,FALSE))=TRUE,0,VLOOKUP(B320,'NÖBV 3'!$F$3:$G$34,2,FALSE)),IF(ISNA(VLOOKUP(B320,'NÖBV 3'!$J$3:$K$34,2,FALSE))=TRUE,0,VLOOKUP(B320,'NÖBV 3'!$J$3:$K$34,2,FALSE)),IF(ISNA(VLOOKUP(B320,'NÖBV 3'!$N$3:$O$34,2,FALSE))=TRUE,0,VLOOKUP(B320,'NÖBV 3'!$N$3:$O$34,2,FALSE)))</f>
        <v>0</v>
      </c>
      <c r="O320" s="15">
        <f>MAX(IF(ISNA(VLOOKUP(B320,'Regioturnier 1'!$B$3:$C$34,2,FALSE))=TRUE,0,VLOOKUP(B320,'Regioturnier 1'!$B$3:$C$34,2,FALSE)),IF(ISNA(VLOOKUP(B320,'Regioturnier 1'!$F$3:$G$34,2,FALSE))=TRUE,0,VLOOKUP(B320,'Regioturnier 1'!$F$3:$G$34,2,FALSE)),IF(ISNA(VLOOKUP(B320,'Regioturnier 1'!$J$3:$K$34,2,FALSE))=TRUE,0,VLOOKUP(B320,'Regioturnier 1'!$J$3:$K$34,2,FALSE)),IF(ISNA(VLOOKUP(B320,'Regioturnier 1'!$N$3:$O$34,2,FALSE))=TRUE,0,VLOOKUP(B320,'Regioturnier 1'!$N$3:$O$34,2,FALSE)),IF(ISNA(VLOOKUP(B320,'Regioturnier 1'!$R$3:$S$34,2,FALSE))=TRUE,0,VLOOKUP(B320,'Regioturnier 1'!$R$3:$S$34,2,FALSE)), IF(ISNA(VLOOKUP(B320,'Regioturnier 1'!$V$3:$W$34,2,FALSE))=TRUE,0,VLOOKUP(B320,'Regioturnier 1'!$V$3:$W$34,2,FALSE)), IF(ISNA(VLOOKUP(B320,'Regioturnier 1'!$Z$3:$AA$34,2,FALSE))=TRUE,0,VLOOKUP(B320,'Regioturnier 1'!$Z$3:$AA$34,2,FALSE)))</f>
        <v>0</v>
      </c>
      <c r="P320" s="15">
        <f>MAX(IF(ISNA(VLOOKUP(B320,'Regioturnier 2'!$B$3:$C$34,2,FALSE))=TRUE,0,VLOOKUP(B320,'Regioturnier 2'!$B$3:$C$34,2,FALSE)),IF(ISNA(VLOOKUP(B320,'Regioturnier 2'!$F$3:$G$34,2,FALSE))=TRUE,0,VLOOKUP(B320,'Regioturnier 2'!$F$3:$G$34,2,FALSE)),IF(ISNA(VLOOKUP(B320,'Regioturnier 2'!$J$3:$K$34,2,FALSE))=TRUE,0,VLOOKUP(B320,'Regioturnier 2'!$J$3:$K$34,2,FALSE)),IF(ISNA(VLOOKUP(B320,'Regioturnier 2'!$N$3:$O$34,2,FALSE))=TRUE,0,VLOOKUP(B320,'Regioturnier 2'!$N$3:$O$34,2,FALSE)),IF(ISNA(VLOOKUP(B320,'Regioturnier 2'!$R$3:$S$34,2,FALSE))=TRUE,0,VLOOKUP(B320,'Regioturnier 2'!$R$3:$S$34,2,FALSE)), IF(ISNA(VLOOKUP(B320,'Regioturnier 2'!$V$3:$W$34,2,FALSE))=TRUE,0,VLOOKUP(B320,'Regioturnier 2'!$V$3:$W$34,2,FALSE)), IF(ISNA(VLOOKUP(B320,'Regioturnier 2'!$Z$3:$AA$34,2,FALSE))=TRUE,0,VLOOKUP(B320,'Regioturnier 2'!$Z$3:$AA$34,2,FALSE)))</f>
        <v>0</v>
      </c>
      <c r="Q320" s="15">
        <f>MAX(IF(ISNA(VLOOKUP(B320,'Regioturnier 3'!$B$3:$C$34,2,FALSE))=TRUE,0,VLOOKUP(B320,'Regioturnier 3'!$B$3:$C$34,2,FALSE)),IF(ISNA(VLOOKUP(B320,'Regioturnier 3'!$F$3:$G$34,2,FALSE))=TRUE,0,VLOOKUP(B320,'Regioturnier 3'!$F$3:$G$34,2,FALSE)),IF(ISNA(VLOOKUP(B320,'Regioturnier 3'!$J$3:$K$34,2,FALSE))=TRUE,0,VLOOKUP(B320,'Regioturnier 3'!$J$3:$K$34,2,FALSE)),IF(ISNA(VLOOKUP(B320,'Regioturnier 3'!$N$3:$O$34,2,FALSE))=TRUE,0,VLOOKUP(B320,'Regioturnier 3'!$N$3:$O$34,2,FALSE)),IF(ISNA(VLOOKUP(B320,'Regioturnier 3'!$R$3:$S$34,2,FALSE))=TRUE,0,VLOOKUP(B320,'Regioturnier 3'!$R$3:$S$34,2,FALSE)), IF(ISNA(VLOOKUP(B320,'Regioturnier 3'!$V$3:$W$34,2,FALSE))=TRUE,0,VLOOKUP(B320,'Regioturnier 3'!$V$3:$W$34,2,FALSE)), IF(ISNA(VLOOKUP(B320,'Regioturnier 3'!$Z$3:$AA$34,2,FALSE))=TRUE,0,VLOOKUP(B320,'Regioturnier 3'!$Z$3:$AA$34,2,FALSE)))</f>
        <v>0</v>
      </c>
      <c r="R320" s="20">
        <f>0.5*INDEX($H320:$N320,MATCH(LARGE($H320:$N320,1),$H320:$N320,0))+0.3*INDEX($H320:$N320,MATCH(LARGE($H320:$N320,2),$H320:$N320,0))+0.2*INDEX($H320:$N320,MATCH(LARGE($H320:$N320,3),$H320:$N320,0))</f>
        <v>0</v>
      </c>
      <c r="S320" s="20">
        <f>0.6*INDEX(O320:Q320,MATCH(LARGE(O320:Q320,1),O320:Q320,0))+0.4*INDEX(O320:Q320,MATCH(LARGE(O320:Q320,2),O320:Q320,0))+0*INDEX(O320:Q320,MATCH(LARGE(O320:Q320,3),O320:Q320,0))</f>
        <v>0</v>
      </c>
      <c r="T320" s="15">
        <f>1*INDEX(R320:S320,MATCH(LARGE(R320:S320,1),R320:S320,0))+0*INDEX(R320:S320,MATCH(LARGE(R320:S320,2),R320:S320,0))</f>
        <v>0</v>
      </c>
      <c r="U320" s="21"/>
      <c r="V320" s="21"/>
      <c r="W320" s="21"/>
      <c r="X320" s="21"/>
      <c r="Y320" s="21"/>
      <c r="Z320" s="21"/>
    </row>
    <row r="321" spans="1:26" ht="12.75" customHeight="1" x14ac:dyDescent="0.3">
      <c r="A321" s="15">
        <v>320</v>
      </c>
      <c r="B321" s="21" t="s">
        <v>326</v>
      </c>
      <c r="C321" s="21"/>
      <c r="D321" s="15" t="s">
        <v>22</v>
      </c>
      <c r="E321" s="15" t="s">
        <v>23</v>
      </c>
      <c r="F321" s="15" t="s">
        <v>73</v>
      </c>
      <c r="G321" s="15">
        <v>2010</v>
      </c>
      <c r="H321" s="15">
        <f>MAX(IF(ISNA(VLOOKUP(B321,'WBV 1'!$B$3:$C$34,2,FALSE))=TRUE,0,VLOOKUP(B321,'WBV 1'!$B$3:$C$34,2,FALSE)),IF(ISNA(VLOOKUP(B321,'WBV 1'!$F$3:$G$34,2,FALSE))=TRUE,0,VLOOKUP(B321,'WBV 1'!$F$3:$G$34,2,FALSE)),IF(ISNA(VLOOKUP(B321,'WBV 1'!$J$3:$K$34,2,FALSE))=TRUE,0,VLOOKUP(B321,'WBV 1'!$J$3:$K$34,2,FALSE)),IF(ISNA(VLOOKUP(B321,'WBV 1'!$N$3:$O$34,2,FALSE))=TRUE,0,VLOOKUP(B321,'WBV 1'!$N$3:$O$34,2,FALSE)))</f>
        <v>0</v>
      </c>
      <c r="I321" s="15">
        <f>MAX(IF(ISNA(VLOOKUP(B321,'WBV 2'!$B$3:$C$34,2,FALSE))=TRUE,0,VLOOKUP(B321,'WBV 2'!$B$3:$C$34,2,FALSE)),IF(ISNA(VLOOKUP(B321,'WBV 2'!$F$3:$G$34,2,FALSE))=TRUE,0,VLOOKUP(B321,'WBV 2'!$F$3:$G$34,2,FALSE)),IF(ISNA(VLOOKUP(B321,'WBV 2'!$J$3:$K$34,2,FALSE))=TRUE,0,VLOOKUP(B321,'WBV 2'!$J$3:$K$34,2,FALSE)),IF(ISNA(VLOOKUP(B321,'WBV 2'!$N$3:$O$34,2,FALSE))=TRUE,0,VLOOKUP(B321,'WBV 2'!$N$3:$O$34,2,FALSE)))</f>
        <v>0</v>
      </c>
      <c r="J321" s="15">
        <f>MAX(IF(ISNA(VLOOKUP(B321,'WBV 3'!$B$3:$C$34,2,FALSE))=TRUE,0,VLOOKUP(B321,'WBV 3'!$B$3:$C$34,2,FALSE)),IF(ISNA(VLOOKUP(B321,'WBV 3'!$F$3:$G$34,2,FALSE))=TRUE,0,VLOOKUP(B321,'WBV 3'!$F$3:$G$34,2,FALSE)),IF(ISNA(VLOOKUP(B321,'WBV 3'!$J$3:$K$34,2,FALSE))=TRUE,0,VLOOKUP(B321,'WBV 3'!$J$3:$K$34,2,FALSE)),IF(ISNA(VLOOKUP(B321,'WBV 3'!$N$3:$O$34,2,FALSE))=TRUE,0,VLOOKUP(B321,'WBV 3'!$N$3:$O$34,2,FALSE)))</f>
        <v>0</v>
      </c>
      <c r="K321" s="15">
        <f>MAX(IF(ISNA(VLOOKUP(B321,'WBV 4'!$B$3:$C$34,2,FALSE))=TRUE,0,VLOOKUP(B321,'WBV 4'!$B$3:$C$34,2,FALSE)),IF(ISNA(VLOOKUP(B321,'WBV 4'!$F$3:$G$34,2,FALSE))=TRUE,0,VLOOKUP(B321,'WBV 4'!$F$3:$G$34,2,FALSE)),IF(ISNA(VLOOKUP(B321,'WBV 4'!$J$3:$K$34,2,FALSE))=TRUE,0,VLOOKUP(B321,'WBV 4'!$J$3:$K$34,2,FALSE)),IF(ISNA(VLOOKUP(B321,'WBV 4'!$N$3:$O$34,2,FALSE))=TRUE,0,VLOOKUP(B321,'WBV 4'!$N$3:$O$34,2,FALSE)))</f>
        <v>0</v>
      </c>
      <c r="L321" s="19">
        <f>MAX(IF(ISNA(VLOOKUP(B321,'NÖBV 1'!$B$3:$C$34,2,FALSE))=TRUE,0,VLOOKUP(B321,'NÖBV 1'!$B$3:$C$34,2,FALSE)),IF(ISNA(VLOOKUP(B321,'NÖBV 1'!$F$3:$G$34,2,FALSE))=TRUE,0,VLOOKUP(B321,'NÖBV 1'!$F$3:$G$34,2,FALSE)),IF(ISNA(VLOOKUP(B321,'NÖBV 1'!$J$3:$K$34,2,FALSE))=TRUE,0,VLOOKUP(B321,'NÖBV 1'!$J$3:$K$34,2,FALSE)),IF(ISNA(VLOOKUP(B321,'NÖBV 1'!$N$3:$O$34,2,FALSE))=TRUE,0,VLOOKUP(B321,'NÖBV 1'!$N$3:$O$34,2,FALSE)))</f>
        <v>0</v>
      </c>
      <c r="M321" s="19">
        <f>MAX(IF(ISNA(VLOOKUP(B321,'NÖBV 2'!$B$3:$C$34,2,FALSE))=TRUE,0,VLOOKUP(B321,'NÖBV 2'!$B$3:$C$34,2,FALSE)),IF(ISNA(VLOOKUP(B321,'NÖBV 2'!$F$3:$G$34,2,FALSE))=TRUE,0,VLOOKUP(B321,'NÖBV 2'!$F$3:$G$34,2,FALSE)),IF(ISNA(VLOOKUP(B321,'NÖBV 2'!$J$3:$K$34,2,FALSE))=TRUE,0,VLOOKUP(B321,'NÖBV 2'!$J$3:$K$34,2,FALSE)),IF(ISNA(VLOOKUP(B321,'NÖBV 2'!$N$3:$O$34,2,FALSE))=TRUE,0,VLOOKUP(B321,'NÖBV 2'!$N$3:$O$34,2,FALSE)))</f>
        <v>0</v>
      </c>
      <c r="N321" s="19">
        <f>MAX(IF(ISNA(VLOOKUP(B321,'NÖBV 3'!$B$3:$C$34,2,FALSE))=TRUE,0,VLOOKUP(B321,'NÖBV 3'!$B$3:$C$34,2,FALSE)),IF(ISNA(VLOOKUP(B321,'NÖBV 3'!$F$3:$G$34,2,FALSE))=TRUE,0,VLOOKUP(B321,'NÖBV 3'!$F$3:$G$34,2,FALSE)),IF(ISNA(VLOOKUP(B321,'NÖBV 3'!$J$3:$K$34,2,FALSE))=TRUE,0,VLOOKUP(B321,'NÖBV 3'!$J$3:$K$34,2,FALSE)),IF(ISNA(VLOOKUP(B321,'NÖBV 3'!$N$3:$O$34,2,FALSE))=TRUE,0,VLOOKUP(B321,'NÖBV 3'!$N$3:$O$34,2,FALSE)))</f>
        <v>0</v>
      </c>
      <c r="O321" s="15">
        <f>MAX(IF(ISNA(VLOOKUP(B321,'Regioturnier 1'!$B$3:$C$34,2,FALSE))=TRUE,0,VLOOKUP(B321,'Regioturnier 1'!$B$3:$C$34,2,FALSE)),IF(ISNA(VLOOKUP(B321,'Regioturnier 1'!$F$3:$G$34,2,FALSE))=TRUE,0,VLOOKUP(B321,'Regioturnier 1'!$F$3:$G$34,2,FALSE)),IF(ISNA(VLOOKUP(B321,'Regioturnier 1'!$J$3:$K$34,2,FALSE))=TRUE,0,VLOOKUP(B321,'Regioturnier 1'!$J$3:$K$34,2,FALSE)),IF(ISNA(VLOOKUP(B321,'Regioturnier 1'!$N$3:$O$34,2,FALSE))=TRUE,0,VLOOKUP(B321,'Regioturnier 1'!$N$3:$O$34,2,FALSE)),IF(ISNA(VLOOKUP(B321,'Regioturnier 1'!$R$3:$S$34,2,FALSE))=TRUE,0,VLOOKUP(B321,'Regioturnier 1'!$R$3:$S$34,2,FALSE)), IF(ISNA(VLOOKUP(B321,'Regioturnier 1'!$V$3:$W$34,2,FALSE))=TRUE,0,VLOOKUP(B321,'Regioturnier 1'!$V$3:$W$34,2,FALSE)), IF(ISNA(VLOOKUP(B321,'Regioturnier 1'!$Z$3:$AA$34,2,FALSE))=TRUE,0,VLOOKUP(B321,'Regioturnier 1'!$Z$3:$AA$34,2,FALSE)))</f>
        <v>0</v>
      </c>
      <c r="P321" s="15">
        <f>MAX(IF(ISNA(VLOOKUP(B321,'Regioturnier 2'!$B$3:$C$34,2,FALSE))=TRUE,0,VLOOKUP(B321,'Regioturnier 2'!$B$3:$C$34,2,FALSE)),IF(ISNA(VLOOKUP(B321,'Regioturnier 2'!$F$3:$G$34,2,FALSE))=TRUE,0,VLOOKUP(B321,'Regioturnier 2'!$F$3:$G$34,2,FALSE)),IF(ISNA(VLOOKUP(B321,'Regioturnier 2'!$J$3:$K$34,2,FALSE))=TRUE,0,VLOOKUP(B321,'Regioturnier 2'!$J$3:$K$34,2,FALSE)),IF(ISNA(VLOOKUP(B321,'Regioturnier 2'!$N$3:$O$34,2,FALSE))=TRUE,0,VLOOKUP(B321,'Regioturnier 2'!$N$3:$O$34,2,FALSE)),IF(ISNA(VLOOKUP(B321,'Regioturnier 2'!$R$3:$S$34,2,FALSE))=TRUE,0,VLOOKUP(B321,'Regioturnier 2'!$R$3:$S$34,2,FALSE)), IF(ISNA(VLOOKUP(B321,'Regioturnier 2'!$V$3:$W$34,2,FALSE))=TRUE,0,VLOOKUP(B321,'Regioturnier 2'!$V$3:$W$34,2,FALSE)), IF(ISNA(VLOOKUP(B321,'Regioturnier 2'!$Z$3:$AA$34,2,FALSE))=TRUE,0,VLOOKUP(B321,'Regioturnier 2'!$Z$3:$AA$34,2,FALSE)))</f>
        <v>0</v>
      </c>
      <c r="Q321" s="15">
        <f>MAX(IF(ISNA(VLOOKUP(B321,'Regioturnier 3'!$B$3:$C$34,2,FALSE))=TRUE,0,VLOOKUP(B321,'Regioturnier 3'!$B$3:$C$34,2,FALSE)),IF(ISNA(VLOOKUP(B321,'Regioturnier 3'!$F$3:$G$34,2,FALSE))=TRUE,0,VLOOKUP(B321,'Regioturnier 3'!$F$3:$G$34,2,FALSE)),IF(ISNA(VLOOKUP(B321,'Regioturnier 3'!$J$3:$K$34,2,FALSE))=TRUE,0,VLOOKUP(B321,'Regioturnier 3'!$J$3:$K$34,2,FALSE)),IF(ISNA(VLOOKUP(B321,'Regioturnier 3'!$N$3:$O$34,2,FALSE))=TRUE,0,VLOOKUP(B321,'Regioturnier 3'!$N$3:$O$34,2,FALSE)),IF(ISNA(VLOOKUP(B321,'Regioturnier 3'!$R$3:$S$34,2,FALSE))=TRUE,0,VLOOKUP(B321,'Regioturnier 3'!$R$3:$S$34,2,FALSE)), IF(ISNA(VLOOKUP(B321,'Regioturnier 3'!$V$3:$W$34,2,FALSE))=TRUE,0,VLOOKUP(B321,'Regioturnier 3'!$V$3:$W$34,2,FALSE)), IF(ISNA(VLOOKUP(B321,'Regioturnier 3'!$Z$3:$AA$34,2,FALSE))=TRUE,0,VLOOKUP(B321,'Regioturnier 3'!$Z$3:$AA$34,2,FALSE)))</f>
        <v>0</v>
      </c>
      <c r="R321" s="20">
        <f>0.5*INDEX($H321:$N321,MATCH(LARGE($H321:$N321,1),$H321:$N321,0))+0.3*INDEX($H321:$N321,MATCH(LARGE($H321:$N321,2),$H321:$N321,0))+0.2*INDEX($H321:$N321,MATCH(LARGE($H321:$N321,3),$H321:$N321,0))</f>
        <v>0</v>
      </c>
      <c r="S321" s="20">
        <f>0.6*INDEX(O321:Q321,MATCH(LARGE(O321:Q321,1),O321:Q321,0))+0.4*INDEX(O321:Q321,MATCH(LARGE(O321:Q321,2),O321:Q321,0))+0*INDEX(O321:Q321,MATCH(LARGE(O321:Q321,3),O321:Q321,0))</f>
        <v>0</v>
      </c>
      <c r="T321" s="15">
        <f>1*INDEX(R321:S321,MATCH(LARGE(R321:S321,1),R321:S321,0))+0*INDEX(R321:S321,MATCH(LARGE(R321:S321,2),R321:S321,0))</f>
        <v>0</v>
      </c>
      <c r="U321" s="21"/>
      <c r="V321" s="21"/>
      <c r="W321" s="21"/>
      <c r="X321" s="21"/>
      <c r="Y321" s="21"/>
      <c r="Z321" s="21"/>
    </row>
    <row r="322" spans="1:26" ht="12.75" customHeight="1" x14ac:dyDescent="0.3">
      <c r="A322" s="15">
        <v>321</v>
      </c>
      <c r="B322" s="21" t="s">
        <v>327</v>
      </c>
      <c r="C322" s="21"/>
      <c r="D322" s="15" t="s">
        <v>22</v>
      </c>
      <c r="E322" s="15" t="s">
        <v>23</v>
      </c>
      <c r="F322" s="15">
        <v>207273</v>
      </c>
      <c r="G322" s="15">
        <v>2010</v>
      </c>
      <c r="H322" s="15">
        <f>MAX(IF(ISNA(VLOOKUP(B322,'WBV 1'!$B$3:$C$34,2,FALSE))=TRUE,0,VLOOKUP(B322,'WBV 1'!$B$3:$C$34,2,FALSE)),IF(ISNA(VLOOKUP(B322,'WBV 1'!$F$3:$G$34,2,FALSE))=TRUE,0,VLOOKUP(B322,'WBV 1'!$F$3:$G$34,2,FALSE)),IF(ISNA(VLOOKUP(B322,'WBV 1'!$J$3:$K$34,2,FALSE))=TRUE,0,VLOOKUP(B322,'WBV 1'!$J$3:$K$34,2,FALSE)),IF(ISNA(VLOOKUP(B322,'WBV 1'!$N$3:$O$34,2,FALSE))=TRUE,0,VLOOKUP(B322,'WBV 1'!$N$3:$O$34,2,FALSE)))</f>
        <v>0</v>
      </c>
      <c r="I322" s="15">
        <f>MAX(IF(ISNA(VLOOKUP(B322,'WBV 2'!$B$3:$C$34,2,FALSE))=TRUE,0,VLOOKUP(B322,'WBV 2'!$B$3:$C$34,2,FALSE)),IF(ISNA(VLOOKUP(B322,'WBV 2'!$F$3:$G$34,2,FALSE))=TRUE,0,VLOOKUP(B322,'WBV 2'!$F$3:$G$34,2,FALSE)),IF(ISNA(VLOOKUP(B322,'WBV 2'!$J$3:$K$34,2,FALSE))=TRUE,0,VLOOKUP(B322,'WBV 2'!$J$3:$K$34,2,FALSE)),IF(ISNA(VLOOKUP(B322,'WBV 2'!$N$3:$O$34,2,FALSE))=TRUE,0,VLOOKUP(B322,'WBV 2'!$N$3:$O$34,2,FALSE)))</f>
        <v>0</v>
      </c>
      <c r="J322" s="15">
        <f>MAX(IF(ISNA(VLOOKUP(B322,'WBV 3'!$B$3:$C$34,2,FALSE))=TRUE,0,VLOOKUP(B322,'WBV 3'!$B$3:$C$34,2,FALSE)),IF(ISNA(VLOOKUP(B322,'WBV 3'!$F$3:$G$34,2,FALSE))=TRUE,0,VLOOKUP(B322,'WBV 3'!$F$3:$G$34,2,FALSE)),IF(ISNA(VLOOKUP(B322,'WBV 3'!$J$3:$K$34,2,FALSE))=TRUE,0,VLOOKUP(B322,'WBV 3'!$J$3:$K$34,2,FALSE)),IF(ISNA(VLOOKUP(B322,'WBV 3'!$N$3:$O$34,2,FALSE))=TRUE,0,VLOOKUP(B322,'WBV 3'!$N$3:$O$34,2,FALSE)))</f>
        <v>0</v>
      </c>
      <c r="K322" s="15">
        <f>MAX(IF(ISNA(VLOOKUP(B322,'WBV 4'!$B$3:$C$34,2,FALSE))=TRUE,0,VLOOKUP(B322,'WBV 4'!$B$3:$C$34,2,FALSE)),IF(ISNA(VLOOKUP(B322,'WBV 4'!$F$3:$G$34,2,FALSE))=TRUE,0,VLOOKUP(B322,'WBV 4'!$F$3:$G$34,2,FALSE)),IF(ISNA(VLOOKUP(B322,'WBV 4'!$J$3:$K$34,2,FALSE))=TRUE,0,VLOOKUP(B322,'WBV 4'!$J$3:$K$34,2,FALSE)),IF(ISNA(VLOOKUP(B322,'WBV 4'!$N$3:$O$34,2,FALSE))=TRUE,0,VLOOKUP(B322,'WBV 4'!$N$3:$O$34,2,FALSE)))</f>
        <v>0</v>
      </c>
      <c r="L322" s="19">
        <f>MAX(IF(ISNA(VLOOKUP(B322,'NÖBV 1'!$B$3:$C$34,2,FALSE))=TRUE,0,VLOOKUP(B322,'NÖBV 1'!$B$3:$C$34,2,FALSE)),IF(ISNA(VLOOKUP(B322,'NÖBV 1'!$F$3:$G$34,2,FALSE))=TRUE,0,VLOOKUP(B322,'NÖBV 1'!$F$3:$G$34,2,FALSE)),IF(ISNA(VLOOKUP(B322,'NÖBV 1'!$J$3:$K$34,2,FALSE))=TRUE,0,VLOOKUP(B322,'NÖBV 1'!$J$3:$K$34,2,FALSE)),IF(ISNA(VLOOKUP(B322,'NÖBV 1'!$N$3:$O$34,2,FALSE))=TRUE,0,VLOOKUP(B322,'NÖBV 1'!$N$3:$O$34,2,FALSE)))</f>
        <v>0</v>
      </c>
      <c r="M322" s="19">
        <f>MAX(IF(ISNA(VLOOKUP(B322,'NÖBV 2'!$B$3:$C$34,2,FALSE))=TRUE,0,VLOOKUP(B322,'NÖBV 2'!$B$3:$C$34,2,FALSE)),IF(ISNA(VLOOKUP(B322,'NÖBV 2'!$F$3:$G$34,2,FALSE))=TRUE,0,VLOOKUP(B322,'NÖBV 2'!$F$3:$G$34,2,FALSE)),IF(ISNA(VLOOKUP(B322,'NÖBV 2'!$J$3:$K$34,2,FALSE))=TRUE,0,VLOOKUP(B322,'NÖBV 2'!$J$3:$K$34,2,FALSE)),IF(ISNA(VLOOKUP(B322,'NÖBV 2'!$N$3:$O$34,2,FALSE))=TRUE,0,VLOOKUP(B322,'NÖBV 2'!$N$3:$O$34,2,FALSE)))</f>
        <v>0</v>
      </c>
      <c r="N322" s="19">
        <f>MAX(IF(ISNA(VLOOKUP(B322,'NÖBV 3'!$B$3:$C$34,2,FALSE))=TRUE,0,VLOOKUP(B322,'NÖBV 3'!$B$3:$C$34,2,FALSE)),IF(ISNA(VLOOKUP(B322,'NÖBV 3'!$F$3:$G$34,2,FALSE))=TRUE,0,VLOOKUP(B322,'NÖBV 3'!$F$3:$G$34,2,FALSE)),IF(ISNA(VLOOKUP(B322,'NÖBV 3'!$J$3:$K$34,2,FALSE))=TRUE,0,VLOOKUP(B322,'NÖBV 3'!$J$3:$K$34,2,FALSE)),IF(ISNA(VLOOKUP(B322,'NÖBV 3'!$N$3:$O$34,2,FALSE))=TRUE,0,VLOOKUP(B322,'NÖBV 3'!$N$3:$O$34,2,FALSE)))</f>
        <v>0</v>
      </c>
      <c r="O322" s="15">
        <f>MAX(IF(ISNA(VLOOKUP(B322,'Regioturnier 1'!$B$3:$C$34,2,FALSE))=TRUE,0,VLOOKUP(B322,'Regioturnier 1'!$B$3:$C$34,2,FALSE)),IF(ISNA(VLOOKUP(B322,'Regioturnier 1'!$F$3:$G$34,2,FALSE))=TRUE,0,VLOOKUP(B322,'Regioturnier 1'!$F$3:$G$34,2,FALSE)),IF(ISNA(VLOOKUP(B322,'Regioturnier 1'!$J$3:$K$34,2,FALSE))=TRUE,0,VLOOKUP(B322,'Regioturnier 1'!$J$3:$K$34,2,FALSE)),IF(ISNA(VLOOKUP(B322,'Regioturnier 1'!$N$3:$O$34,2,FALSE))=TRUE,0,VLOOKUP(B322,'Regioturnier 1'!$N$3:$O$34,2,FALSE)),IF(ISNA(VLOOKUP(B322,'Regioturnier 1'!$R$3:$S$34,2,FALSE))=TRUE,0,VLOOKUP(B322,'Regioturnier 1'!$R$3:$S$34,2,FALSE)), IF(ISNA(VLOOKUP(B322,'Regioturnier 1'!$V$3:$W$34,2,FALSE))=TRUE,0,VLOOKUP(B322,'Regioturnier 1'!$V$3:$W$34,2,FALSE)), IF(ISNA(VLOOKUP(B322,'Regioturnier 1'!$Z$3:$AA$34,2,FALSE))=TRUE,0,VLOOKUP(B322,'Regioturnier 1'!$Z$3:$AA$34,2,FALSE)))</f>
        <v>0</v>
      </c>
      <c r="P322" s="15">
        <f>MAX(IF(ISNA(VLOOKUP(B322,'Regioturnier 2'!$B$3:$C$34,2,FALSE))=TRUE,0,VLOOKUP(B322,'Regioturnier 2'!$B$3:$C$34,2,FALSE)),IF(ISNA(VLOOKUP(B322,'Regioturnier 2'!$F$3:$G$34,2,FALSE))=TRUE,0,VLOOKUP(B322,'Regioturnier 2'!$F$3:$G$34,2,FALSE)),IF(ISNA(VLOOKUP(B322,'Regioturnier 2'!$J$3:$K$34,2,FALSE))=TRUE,0,VLOOKUP(B322,'Regioturnier 2'!$J$3:$K$34,2,FALSE)),IF(ISNA(VLOOKUP(B322,'Regioturnier 2'!$N$3:$O$34,2,FALSE))=TRUE,0,VLOOKUP(B322,'Regioturnier 2'!$N$3:$O$34,2,FALSE)),IF(ISNA(VLOOKUP(B322,'Regioturnier 2'!$R$3:$S$34,2,FALSE))=TRUE,0,VLOOKUP(B322,'Regioturnier 2'!$R$3:$S$34,2,FALSE)), IF(ISNA(VLOOKUP(B322,'Regioturnier 2'!$V$3:$W$34,2,FALSE))=TRUE,0,VLOOKUP(B322,'Regioturnier 2'!$V$3:$W$34,2,FALSE)), IF(ISNA(VLOOKUP(B322,'Regioturnier 2'!$Z$3:$AA$34,2,FALSE))=TRUE,0,VLOOKUP(B322,'Regioturnier 2'!$Z$3:$AA$34,2,FALSE)))</f>
        <v>0</v>
      </c>
      <c r="Q322" s="15">
        <f>MAX(IF(ISNA(VLOOKUP(B322,'Regioturnier 3'!$B$3:$C$34,2,FALSE))=TRUE,0,VLOOKUP(B322,'Regioturnier 3'!$B$3:$C$34,2,FALSE)),IF(ISNA(VLOOKUP(B322,'Regioturnier 3'!$F$3:$G$34,2,FALSE))=TRUE,0,VLOOKUP(B322,'Regioturnier 3'!$F$3:$G$34,2,FALSE)),IF(ISNA(VLOOKUP(B322,'Regioturnier 3'!$J$3:$K$34,2,FALSE))=TRUE,0,VLOOKUP(B322,'Regioturnier 3'!$J$3:$K$34,2,FALSE)),IF(ISNA(VLOOKUP(B322,'Regioturnier 3'!$N$3:$O$34,2,FALSE))=TRUE,0,VLOOKUP(B322,'Regioturnier 3'!$N$3:$O$34,2,FALSE)),IF(ISNA(VLOOKUP(B322,'Regioturnier 3'!$R$3:$S$34,2,FALSE))=TRUE,0,VLOOKUP(B322,'Regioturnier 3'!$R$3:$S$34,2,FALSE)), IF(ISNA(VLOOKUP(B322,'Regioturnier 3'!$V$3:$W$34,2,FALSE))=TRUE,0,VLOOKUP(B322,'Regioturnier 3'!$V$3:$W$34,2,FALSE)), IF(ISNA(VLOOKUP(B322,'Regioturnier 3'!$Z$3:$AA$34,2,FALSE))=TRUE,0,VLOOKUP(B322,'Regioturnier 3'!$Z$3:$AA$34,2,FALSE)))</f>
        <v>0</v>
      </c>
      <c r="R322" s="20">
        <f>0.5*INDEX($H322:$N322,MATCH(LARGE($H322:$N322,1),$H322:$N322,0))+0.3*INDEX($H322:$N322,MATCH(LARGE($H322:$N322,2),$H322:$N322,0))+0.2*INDEX($H322:$N322,MATCH(LARGE($H322:$N322,3),$H322:$N322,0))</f>
        <v>0</v>
      </c>
      <c r="S322" s="20">
        <f>0.6*INDEX(O322:Q322,MATCH(LARGE(O322:Q322,1),O322:Q322,0))+0.4*INDEX(O322:Q322,MATCH(LARGE(O322:Q322,2),O322:Q322,0))+0*INDEX(O322:Q322,MATCH(LARGE(O322:Q322,3),O322:Q322,0))</f>
        <v>0</v>
      </c>
      <c r="T322" s="15">
        <f>1*INDEX(R322:S322,MATCH(LARGE(R322:S322,1),R322:S322,0))+0*INDEX(R322:S322,MATCH(LARGE(R322:S322,2),R322:S322,0))</f>
        <v>0</v>
      </c>
      <c r="U322" s="21"/>
      <c r="V322" s="21"/>
      <c r="W322" s="21"/>
      <c r="X322" s="21"/>
      <c r="Y322" s="21"/>
      <c r="Z322" s="21"/>
    </row>
    <row r="323" spans="1:26" ht="12.75" customHeight="1" x14ac:dyDescent="0.3">
      <c r="A323" s="15">
        <v>322</v>
      </c>
      <c r="B323" s="21" t="s">
        <v>328</v>
      </c>
      <c r="C323" s="21"/>
      <c r="D323" s="15" t="s">
        <v>102</v>
      </c>
      <c r="E323" s="15" t="s">
        <v>40</v>
      </c>
      <c r="F323" s="15">
        <v>311894</v>
      </c>
      <c r="G323" s="15">
        <v>2013</v>
      </c>
      <c r="H323" s="15">
        <f>MAX(IF(ISNA(VLOOKUP(B323,'WBV 1'!$B$3:$C$34,2,FALSE))=TRUE,0,VLOOKUP(B323,'WBV 1'!$B$3:$C$34,2,FALSE)),IF(ISNA(VLOOKUP(B323,'WBV 1'!$F$3:$G$34,2,FALSE))=TRUE,0,VLOOKUP(B323,'WBV 1'!$F$3:$G$34,2,FALSE)),IF(ISNA(VLOOKUP(B323,'WBV 1'!$J$3:$K$34,2,FALSE))=TRUE,0,VLOOKUP(B323,'WBV 1'!$J$3:$K$34,2,FALSE)),IF(ISNA(VLOOKUP(B323,'WBV 1'!$N$3:$O$34,2,FALSE))=TRUE,0,VLOOKUP(B323,'WBV 1'!$N$3:$O$34,2,FALSE)))</f>
        <v>0</v>
      </c>
      <c r="I323" s="15">
        <f>MAX(IF(ISNA(VLOOKUP(B323,'WBV 2'!$B$3:$C$34,2,FALSE))=TRUE,0,VLOOKUP(B323,'WBV 2'!$B$3:$C$34,2,FALSE)),IF(ISNA(VLOOKUP(B323,'WBV 2'!$F$3:$G$34,2,FALSE))=TRUE,0,VLOOKUP(B323,'WBV 2'!$F$3:$G$34,2,FALSE)),IF(ISNA(VLOOKUP(B323,'WBV 2'!$J$3:$K$34,2,FALSE))=TRUE,0,VLOOKUP(B323,'WBV 2'!$J$3:$K$34,2,FALSE)),IF(ISNA(VLOOKUP(B323,'WBV 2'!$N$3:$O$34,2,FALSE))=TRUE,0,VLOOKUP(B323,'WBV 2'!$N$3:$O$34,2,FALSE)))</f>
        <v>0</v>
      </c>
      <c r="J323" s="15">
        <f>MAX(IF(ISNA(VLOOKUP(B323,'WBV 3'!$B$3:$C$34,2,FALSE))=TRUE,0,VLOOKUP(B323,'WBV 3'!$B$3:$C$34,2,FALSE)),IF(ISNA(VLOOKUP(B323,'WBV 3'!$F$3:$G$34,2,FALSE))=TRUE,0,VLOOKUP(B323,'WBV 3'!$F$3:$G$34,2,FALSE)),IF(ISNA(VLOOKUP(B323,'WBV 3'!$J$3:$K$34,2,FALSE))=TRUE,0,VLOOKUP(B323,'WBV 3'!$J$3:$K$34,2,FALSE)),IF(ISNA(VLOOKUP(B323,'WBV 3'!$N$3:$O$34,2,FALSE))=TRUE,0,VLOOKUP(B323,'WBV 3'!$N$3:$O$34,2,FALSE)))</f>
        <v>0</v>
      </c>
      <c r="K323" s="15">
        <f>MAX(IF(ISNA(VLOOKUP(B323,'WBV 4'!$B$3:$C$34,2,FALSE))=TRUE,0,VLOOKUP(B323,'WBV 4'!$B$3:$C$34,2,FALSE)),IF(ISNA(VLOOKUP(B323,'WBV 4'!$F$3:$G$34,2,FALSE))=TRUE,0,VLOOKUP(B323,'WBV 4'!$F$3:$G$34,2,FALSE)),IF(ISNA(VLOOKUP(B323,'WBV 4'!$J$3:$K$34,2,FALSE))=TRUE,0,VLOOKUP(B323,'WBV 4'!$J$3:$K$34,2,FALSE)),IF(ISNA(VLOOKUP(B323,'WBV 4'!$N$3:$O$34,2,FALSE))=TRUE,0,VLOOKUP(B323,'WBV 4'!$N$3:$O$34,2,FALSE)))</f>
        <v>0</v>
      </c>
      <c r="L323" s="19">
        <f>MAX(IF(ISNA(VLOOKUP(B323,'NÖBV 1'!$B$3:$C$34,2,FALSE))=TRUE,0,VLOOKUP(B323,'NÖBV 1'!$B$3:$C$34,2,FALSE)),IF(ISNA(VLOOKUP(B323,'NÖBV 1'!$F$3:$G$34,2,FALSE))=TRUE,0,VLOOKUP(B323,'NÖBV 1'!$F$3:$G$34,2,FALSE)),IF(ISNA(VLOOKUP(B323,'NÖBV 1'!$J$3:$K$34,2,FALSE))=TRUE,0,VLOOKUP(B323,'NÖBV 1'!$J$3:$K$34,2,FALSE)),IF(ISNA(VLOOKUP(B323,'NÖBV 1'!$N$3:$O$34,2,FALSE))=TRUE,0,VLOOKUP(B323,'NÖBV 1'!$N$3:$O$34,2,FALSE)))</f>
        <v>0</v>
      </c>
      <c r="M323" s="19">
        <f>MAX(IF(ISNA(VLOOKUP(B323,'NÖBV 2'!$B$3:$C$34,2,FALSE))=TRUE,0,VLOOKUP(B323,'NÖBV 2'!$B$3:$C$34,2,FALSE)),IF(ISNA(VLOOKUP(B323,'NÖBV 2'!$F$3:$G$34,2,FALSE))=TRUE,0,VLOOKUP(B323,'NÖBV 2'!$F$3:$G$34,2,FALSE)),IF(ISNA(VLOOKUP(B323,'NÖBV 2'!$J$3:$K$34,2,FALSE))=TRUE,0,VLOOKUP(B323,'NÖBV 2'!$J$3:$K$34,2,FALSE)),IF(ISNA(VLOOKUP(B323,'NÖBV 2'!$N$3:$O$34,2,FALSE))=TRUE,0,VLOOKUP(B323,'NÖBV 2'!$N$3:$O$34,2,FALSE)))</f>
        <v>0</v>
      </c>
      <c r="N323" s="19">
        <f>MAX(IF(ISNA(VLOOKUP(B323,'NÖBV 3'!$B$3:$C$34,2,FALSE))=TRUE,0,VLOOKUP(B323,'NÖBV 3'!$B$3:$C$34,2,FALSE)),IF(ISNA(VLOOKUP(B323,'NÖBV 3'!$F$3:$G$34,2,FALSE))=TRUE,0,VLOOKUP(B323,'NÖBV 3'!$F$3:$G$34,2,FALSE)),IF(ISNA(VLOOKUP(B323,'NÖBV 3'!$J$3:$K$34,2,FALSE))=TRUE,0,VLOOKUP(B323,'NÖBV 3'!$J$3:$K$34,2,FALSE)),IF(ISNA(VLOOKUP(B323,'NÖBV 3'!$N$3:$O$34,2,FALSE))=TRUE,0,VLOOKUP(B323,'NÖBV 3'!$N$3:$O$34,2,FALSE)))</f>
        <v>0</v>
      </c>
      <c r="O323" s="15">
        <f>MAX(IF(ISNA(VLOOKUP(B323,'Regioturnier 1'!$B$3:$C$34,2,FALSE))=TRUE,0,VLOOKUP(B323,'Regioturnier 1'!$B$3:$C$34,2,FALSE)),IF(ISNA(VLOOKUP(B323,'Regioturnier 1'!$F$3:$G$34,2,FALSE))=TRUE,0,VLOOKUP(B323,'Regioturnier 1'!$F$3:$G$34,2,FALSE)),IF(ISNA(VLOOKUP(B323,'Regioturnier 1'!$J$3:$K$34,2,FALSE))=TRUE,0,VLOOKUP(B323,'Regioturnier 1'!$J$3:$K$34,2,FALSE)),IF(ISNA(VLOOKUP(B323,'Regioturnier 1'!$N$3:$O$34,2,FALSE))=TRUE,0,VLOOKUP(B323,'Regioturnier 1'!$N$3:$O$34,2,FALSE)),IF(ISNA(VLOOKUP(B323,'Regioturnier 1'!$R$3:$S$34,2,FALSE))=TRUE,0,VLOOKUP(B323,'Regioturnier 1'!$R$3:$S$34,2,FALSE)), IF(ISNA(VLOOKUP(B323,'Regioturnier 1'!$V$3:$W$34,2,FALSE))=TRUE,0,VLOOKUP(B323,'Regioturnier 1'!$V$3:$W$34,2,FALSE)), IF(ISNA(VLOOKUP(B323,'Regioturnier 1'!$Z$3:$AA$34,2,FALSE))=TRUE,0,VLOOKUP(B323,'Regioturnier 1'!$Z$3:$AA$34,2,FALSE)))</f>
        <v>0</v>
      </c>
      <c r="P323" s="15">
        <f>MAX(IF(ISNA(VLOOKUP(B323,'Regioturnier 2'!$B$3:$C$34,2,FALSE))=TRUE,0,VLOOKUP(B323,'Regioturnier 2'!$B$3:$C$34,2,FALSE)),IF(ISNA(VLOOKUP(B323,'Regioturnier 2'!$F$3:$G$34,2,FALSE))=TRUE,0,VLOOKUP(B323,'Regioturnier 2'!$F$3:$G$34,2,FALSE)),IF(ISNA(VLOOKUP(B323,'Regioturnier 2'!$J$3:$K$34,2,FALSE))=TRUE,0,VLOOKUP(B323,'Regioturnier 2'!$J$3:$K$34,2,FALSE)),IF(ISNA(VLOOKUP(B323,'Regioturnier 2'!$N$3:$O$34,2,FALSE))=TRUE,0,VLOOKUP(B323,'Regioturnier 2'!$N$3:$O$34,2,FALSE)),IF(ISNA(VLOOKUP(B323,'Regioturnier 2'!$R$3:$S$34,2,FALSE))=TRUE,0,VLOOKUP(B323,'Regioturnier 2'!$R$3:$S$34,2,FALSE)), IF(ISNA(VLOOKUP(B323,'Regioturnier 2'!$V$3:$W$34,2,FALSE))=TRUE,0,VLOOKUP(B323,'Regioturnier 2'!$V$3:$W$34,2,FALSE)), IF(ISNA(VLOOKUP(B323,'Regioturnier 2'!$Z$3:$AA$34,2,FALSE))=TRUE,0,VLOOKUP(B323,'Regioturnier 2'!$Z$3:$AA$34,2,FALSE)))</f>
        <v>0</v>
      </c>
      <c r="Q323" s="15">
        <f>MAX(IF(ISNA(VLOOKUP(B323,'Regioturnier 3'!$B$3:$C$34,2,FALSE))=TRUE,0,VLOOKUP(B323,'Regioturnier 3'!$B$3:$C$34,2,FALSE)),IF(ISNA(VLOOKUP(B323,'Regioturnier 3'!$F$3:$G$34,2,FALSE))=TRUE,0,VLOOKUP(B323,'Regioturnier 3'!$F$3:$G$34,2,FALSE)),IF(ISNA(VLOOKUP(B323,'Regioturnier 3'!$J$3:$K$34,2,FALSE))=TRUE,0,VLOOKUP(B323,'Regioturnier 3'!$J$3:$K$34,2,FALSE)),IF(ISNA(VLOOKUP(B323,'Regioturnier 3'!$N$3:$O$34,2,FALSE))=TRUE,0,VLOOKUP(B323,'Regioturnier 3'!$N$3:$O$34,2,FALSE)),IF(ISNA(VLOOKUP(B323,'Regioturnier 3'!$R$3:$S$34,2,FALSE))=TRUE,0,VLOOKUP(B323,'Regioturnier 3'!$R$3:$S$34,2,FALSE)), IF(ISNA(VLOOKUP(B323,'Regioturnier 3'!$V$3:$W$34,2,FALSE))=TRUE,0,VLOOKUP(B323,'Regioturnier 3'!$V$3:$W$34,2,FALSE)), IF(ISNA(VLOOKUP(B323,'Regioturnier 3'!$Z$3:$AA$34,2,FALSE))=TRUE,0,VLOOKUP(B323,'Regioturnier 3'!$Z$3:$AA$34,2,FALSE)))</f>
        <v>0</v>
      </c>
      <c r="R323" s="20">
        <f>0.5*INDEX($H323:$N323,MATCH(LARGE($H323:$N323,1),$H323:$N323,0))+0.3*INDEX($H323:$N323,MATCH(LARGE($H323:$N323,2),$H323:$N323,0))+0.2*INDEX($H323:$N323,MATCH(LARGE($H323:$N323,3),$H323:$N323,0))</f>
        <v>0</v>
      </c>
      <c r="S323" s="20">
        <f>0.6*INDEX(O323:Q323,MATCH(LARGE(O323:Q323,1),O323:Q323,0))+0.4*INDEX(O323:Q323,MATCH(LARGE(O323:Q323,2),O323:Q323,0))+0*INDEX(O323:Q323,MATCH(LARGE(O323:Q323,3),O323:Q323,0))</f>
        <v>0</v>
      </c>
      <c r="T323" s="15">
        <f>1*INDEX(R323:S323,MATCH(LARGE(R323:S323,1),R323:S323,0))+0*INDEX(R323:S323,MATCH(LARGE(R323:S323,2),R323:S323,0))</f>
        <v>0</v>
      </c>
      <c r="U323" s="21"/>
      <c r="V323" s="21"/>
      <c r="W323" s="21"/>
      <c r="X323" s="21"/>
      <c r="Y323" s="21"/>
      <c r="Z323" s="21"/>
    </row>
    <row r="324" spans="1:26" ht="12.75" customHeight="1" x14ac:dyDescent="0.3">
      <c r="A324" s="15">
        <v>323</v>
      </c>
      <c r="B324" s="21" t="s">
        <v>329</v>
      </c>
      <c r="C324" s="21"/>
      <c r="D324" s="15" t="s">
        <v>22</v>
      </c>
      <c r="E324" s="15" t="s">
        <v>40</v>
      </c>
      <c r="F324" s="15" t="s">
        <v>73</v>
      </c>
      <c r="G324" s="15">
        <v>2011</v>
      </c>
      <c r="H324" s="15">
        <f>MAX(IF(ISNA(VLOOKUP(B324,'WBV 1'!$B$3:$C$34,2,FALSE))=TRUE,0,VLOOKUP(B324,'WBV 1'!$B$3:$C$34,2,FALSE)),IF(ISNA(VLOOKUP(B324,'WBV 1'!$F$3:$G$34,2,FALSE))=TRUE,0,VLOOKUP(B324,'WBV 1'!$F$3:$G$34,2,FALSE)),IF(ISNA(VLOOKUP(B324,'WBV 1'!$J$3:$K$34,2,FALSE))=TRUE,0,VLOOKUP(B324,'WBV 1'!$J$3:$K$34,2,FALSE)),IF(ISNA(VLOOKUP(B324,'WBV 1'!$N$3:$O$34,2,FALSE))=TRUE,0,VLOOKUP(B324,'WBV 1'!$N$3:$O$34,2,FALSE)))</f>
        <v>0</v>
      </c>
      <c r="I324" s="15">
        <f>MAX(IF(ISNA(VLOOKUP(B324,'WBV 2'!$B$3:$C$34,2,FALSE))=TRUE,0,VLOOKUP(B324,'WBV 2'!$B$3:$C$34,2,FALSE)),IF(ISNA(VLOOKUP(B324,'WBV 2'!$F$3:$G$34,2,FALSE))=TRUE,0,VLOOKUP(B324,'WBV 2'!$F$3:$G$34,2,FALSE)),IF(ISNA(VLOOKUP(B324,'WBV 2'!$J$3:$K$34,2,FALSE))=TRUE,0,VLOOKUP(B324,'WBV 2'!$J$3:$K$34,2,FALSE)),IF(ISNA(VLOOKUP(B324,'WBV 2'!$N$3:$O$34,2,FALSE))=TRUE,0,VLOOKUP(B324,'WBV 2'!$N$3:$O$34,2,FALSE)))</f>
        <v>0</v>
      </c>
      <c r="J324" s="15">
        <f>MAX(IF(ISNA(VLOOKUP(B324,'WBV 3'!$B$3:$C$34,2,FALSE))=TRUE,0,VLOOKUP(B324,'WBV 3'!$B$3:$C$34,2,FALSE)),IF(ISNA(VLOOKUP(B324,'WBV 3'!$F$3:$G$34,2,FALSE))=TRUE,0,VLOOKUP(B324,'WBV 3'!$F$3:$G$34,2,FALSE)),IF(ISNA(VLOOKUP(B324,'WBV 3'!$J$3:$K$34,2,FALSE))=TRUE,0,VLOOKUP(B324,'WBV 3'!$J$3:$K$34,2,FALSE)),IF(ISNA(VLOOKUP(B324,'WBV 3'!$N$3:$O$34,2,FALSE))=TRUE,0,VLOOKUP(B324,'WBV 3'!$N$3:$O$34,2,FALSE)))</f>
        <v>0</v>
      </c>
      <c r="K324" s="15">
        <f>MAX(IF(ISNA(VLOOKUP(B324,'WBV 4'!$B$3:$C$34,2,FALSE))=TRUE,0,VLOOKUP(B324,'WBV 4'!$B$3:$C$34,2,FALSE)),IF(ISNA(VLOOKUP(B324,'WBV 4'!$F$3:$G$34,2,FALSE))=TRUE,0,VLOOKUP(B324,'WBV 4'!$F$3:$G$34,2,FALSE)),IF(ISNA(VLOOKUP(B324,'WBV 4'!$J$3:$K$34,2,FALSE))=TRUE,0,VLOOKUP(B324,'WBV 4'!$J$3:$K$34,2,FALSE)),IF(ISNA(VLOOKUP(B324,'WBV 4'!$N$3:$O$34,2,FALSE))=TRUE,0,VLOOKUP(B324,'WBV 4'!$N$3:$O$34,2,FALSE)))</f>
        <v>0</v>
      </c>
      <c r="L324" s="19">
        <f>MAX(IF(ISNA(VLOOKUP(B324,'NÖBV 1'!$B$3:$C$34,2,FALSE))=TRUE,0,VLOOKUP(B324,'NÖBV 1'!$B$3:$C$34,2,FALSE)),IF(ISNA(VLOOKUP(B324,'NÖBV 1'!$F$3:$G$34,2,FALSE))=TRUE,0,VLOOKUP(B324,'NÖBV 1'!$F$3:$G$34,2,FALSE)),IF(ISNA(VLOOKUP(B324,'NÖBV 1'!$J$3:$K$34,2,FALSE))=TRUE,0,VLOOKUP(B324,'NÖBV 1'!$J$3:$K$34,2,FALSE)),IF(ISNA(VLOOKUP(B324,'NÖBV 1'!$N$3:$O$34,2,FALSE))=TRUE,0,VLOOKUP(B324,'NÖBV 1'!$N$3:$O$34,2,FALSE)))</f>
        <v>0</v>
      </c>
      <c r="M324" s="19">
        <f>MAX(IF(ISNA(VLOOKUP(B324,'NÖBV 2'!$B$3:$C$34,2,FALSE))=TRUE,0,VLOOKUP(B324,'NÖBV 2'!$B$3:$C$34,2,FALSE)),IF(ISNA(VLOOKUP(B324,'NÖBV 2'!$F$3:$G$34,2,FALSE))=TRUE,0,VLOOKUP(B324,'NÖBV 2'!$F$3:$G$34,2,FALSE)),IF(ISNA(VLOOKUP(B324,'NÖBV 2'!$J$3:$K$34,2,FALSE))=TRUE,0,VLOOKUP(B324,'NÖBV 2'!$J$3:$K$34,2,FALSE)),IF(ISNA(VLOOKUP(B324,'NÖBV 2'!$N$3:$O$34,2,FALSE))=TRUE,0,VLOOKUP(B324,'NÖBV 2'!$N$3:$O$34,2,FALSE)))</f>
        <v>0</v>
      </c>
      <c r="N324" s="19">
        <f>MAX(IF(ISNA(VLOOKUP(B324,'NÖBV 3'!$B$3:$C$34,2,FALSE))=TRUE,0,VLOOKUP(B324,'NÖBV 3'!$B$3:$C$34,2,FALSE)),IF(ISNA(VLOOKUP(B324,'NÖBV 3'!$F$3:$G$34,2,FALSE))=TRUE,0,VLOOKUP(B324,'NÖBV 3'!$F$3:$G$34,2,FALSE)),IF(ISNA(VLOOKUP(B324,'NÖBV 3'!$J$3:$K$34,2,FALSE))=TRUE,0,VLOOKUP(B324,'NÖBV 3'!$J$3:$K$34,2,FALSE)),IF(ISNA(VLOOKUP(B324,'NÖBV 3'!$N$3:$O$34,2,FALSE))=TRUE,0,VLOOKUP(B324,'NÖBV 3'!$N$3:$O$34,2,FALSE)))</f>
        <v>0</v>
      </c>
      <c r="O324" s="15">
        <f>MAX(IF(ISNA(VLOOKUP(B324,'Regioturnier 1'!$B$3:$C$34,2,FALSE))=TRUE,0,VLOOKUP(B324,'Regioturnier 1'!$B$3:$C$34,2,FALSE)),IF(ISNA(VLOOKUP(B324,'Regioturnier 1'!$F$3:$G$34,2,FALSE))=TRUE,0,VLOOKUP(B324,'Regioturnier 1'!$F$3:$G$34,2,FALSE)),IF(ISNA(VLOOKUP(B324,'Regioturnier 1'!$J$3:$K$34,2,FALSE))=TRUE,0,VLOOKUP(B324,'Regioturnier 1'!$J$3:$K$34,2,FALSE)),IF(ISNA(VLOOKUP(B324,'Regioturnier 1'!$N$3:$O$34,2,FALSE))=TRUE,0,VLOOKUP(B324,'Regioturnier 1'!$N$3:$O$34,2,FALSE)),IF(ISNA(VLOOKUP(B324,'Regioturnier 1'!$R$3:$S$34,2,FALSE))=TRUE,0,VLOOKUP(B324,'Regioturnier 1'!$R$3:$S$34,2,FALSE)), IF(ISNA(VLOOKUP(B324,'Regioturnier 1'!$V$3:$W$34,2,FALSE))=TRUE,0,VLOOKUP(B324,'Regioturnier 1'!$V$3:$W$34,2,FALSE)), IF(ISNA(VLOOKUP(B324,'Regioturnier 1'!$Z$3:$AA$34,2,FALSE))=TRUE,0,VLOOKUP(B324,'Regioturnier 1'!$Z$3:$AA$34,2,FALSE)))</f>
        <v>0</v>
      </c>
      <c r="P324" s="15">
        <f>MAX(IF(ISNA(VLOOKUP(B324,'Regioturnier 2'!$B$3:$C$34,2,FALSE))=TRUE,0,VLOOKUP(B324,'Regioturnier 2'!$B$3:$C$34,2,FALSE)),IF(ISNA(VLOOKUP(B324,'Regioturnier 2'!$F$3:$G$34,2,FALSE))=TRUE,0,VLOOKUP(B324,'Regioturnier 2'!$F$3:$G$34,2,FALSE)),IF(ISNA(VLOOKUP(B324,'Regioturnier 2'!$J$3:$K$34,2,FALSE))=TRUE,0,VLOOKUP(B324,'Regioturnier 2'!$J$3:$K$34,2,FALSE)),IF(ISNA(VLOOKUP(B324,'Regioturnier 2'!$N$3:$O$34,2,FALSE))=TRUE,0,VLOOKUP(B324,'Regioturnier 2'!$N$3:$O$34,2,FALSE)),IF(ISNA(VLOOKUP(B324,'Regioturnier 2'!$R$3:$S$34,2,FALSE))=TRUE,0,VLOOKUP(B324,'Regioturnier 2'!$R$3:$S$34,2,FALSE)), IF(ISNA(VLOOKUP(B324,'Regioturnier 2'!$V$3:$W$34,2,FALSE))=TRUE,0,VLOOKUP(B324,'Regioturnier 2'!$V$3:$W$34,2,FALSE)), IF(ISNA(VLOOKUP(B324,'Regioturnier 2'!$Z$3:$AA$34,2,FALSE))=TRUE,0,VLOOKUP(B324,'Regioturnier 2'!$Z$3:$AA$34,2,FALSE)))</f>
        <v>0</v>
      </c>
      <c r="Q324" s="15">
        <f>MAX(IF(ISNA(VLOOKUP(B324,'Regioturnier 3'!$B$3:$C$34,2,FALSE))=TRUE,0,VLOOKUP(B324,'Regioturnier 3'!$B$3:$C$34,2,FALSE)),IF(ISNA(VLOOKUP(B324,'Regioturnier 3'!$F$3:$G$34,2,FALSE))=TRUE,0,VLOOKUP(B324,'Regioturnier 3'!$F$3:$G$34,2,FALSE)),IF(ISNA(VLOOKUP(B324,'Regioturnier 3'!$J$3:$K$34,2,FALSE))=TRUE,0,VLOOKUP(B324,'Regioturnier 3'!$J$3:$K$34,2,FALSE)),IF(ISNA(VLOOKUP(B324,'Regioturnier 3'!$N$3:$O$34,2,FALSE))=TRUE,0,VLOOKUP(B324,'Regioturnier 3'!$N$3:$O$34,2,FALSE)),IF(ISNA(VLOOKUP(B324,'Regioturnier 3'!$R$3:$S$34,2,FALSE))=TRUE,0,VLOOKUP(B324,'Regioturnier 3'!$R$3:$S$34,2,FALSE)), IF(ISNA(VLOOKUP(B324,'Regioturnier 3'!$V$3:$W$34,2,FALSE))=TRUE,0,VLOOKUP(B324,'Regioturnier 3'!$V$3:$W$34,2,FALSE)), IF(ISNA(VLOOKUP(B324,'Regioturnier 3'!$Z$3:$AA$34,2,FALSE))=TRUE,0,VLOOKUP(B324,'Regioturnier 3'!$Z$3:$AA$34,2,FALSE)))</f>
        <v>0</v>
      </c>
      <c r="R324" s="20">
        <f>0.5*INDEX($H324:$N324,MATCH(LARGE($H324:$N324,1),$H324:$N324,0))+0.3*INDEX($H324:$N324,MATCH(LARGE($H324:$N324,2),$H324:$N324,0))+0.2*INDEX($H324:$N324,MATCH(LARGE($H324:$N324,3),$H324:$N324,0))</f>
        <v>0</v>
      </c>
      <c r="S324" s="20">
        <f>0.6*INDEX(O324:Q324,MATCH(LARGE(O324:Q324,1),O324:Q324,0))+0.4*INDEX(O324:Q324,MATCH(LARGE(O324:Q324,2),O324:Q324,0))+0*INDEX(O324:Q324,MATCH(LARGE(O324:Q324,3),O324:Q324,0))</f>
        <v>0</v>
      </c>
      <c r="T324" s="15">
        <f>1*INDEX(R324:S324,MATCH(LARGE(R324:S324,1),R324:S324,0))+0*INDEX(R324:S324,MATCH(LARGE(R324:S324,2),R324:S324,0))</f>
        <v>0</v>
      </c>
      <c r="U324" s="21"/>
      <c r="V324" s="21"/>
      <c r="W324" s="21"/>
      <c r="X324" s="21"/>
      <c r="Y324" s="21"/>
      <c r="Z324" s="21"/>
    </row>
    <row r="325" spans="1:26" ht="12.75" customHeight="1" x14ac:dyDescent="0.3">
      <c r="A325" s="15">
        <v>324</v>
      </c>
      <c r="B325" s="21" t="s">
        <v>330</v>
      </c>
      <c r="C325" s="21"/>
      <c r="D325" s="15" t="s">
        <v>22</v>
      </c>
      <c r="E325" s="15" t="s">
        <v>23</v>
      </c>
      <c r="F325" s="15" t="s">
        <v>73</v>
      </c>
      <c r="G325" s="15">
        <v>2010</v>
      </c>
      <c r="H325" s="15">
        <f>MAX(IF(ISNA(VLOOKUP(B325,'WBV 1'!$B$3:$C$34,2,FALSE))=TRUE,0,VLOOKUP(B325,'WBV 1'!$B$3:$C$34,2,FALSE)),IF(ISNA(VLOOKUP(B325,'WBV 1'!$F$3:$G$34,2,FALSE))=TRUE,0,VLOOKUP(B325,'WBV 1'!$F$3:$G$34,2,FALSE)),IF(ISNA(VLOOKUP(B325,'WBV 1'!$J$3:$K$34,2,FALSE))=TRUE,0,VLOOKUP(B325,'WBV 1'!$J$3:$K$34,2,FALSE)),IF(ISNA(VLOOKUP(B325,'WBV 1'!$N$3:$O$34,2,FALSE))=TRUE,0,VLOOKUP(B325,'WBV 1'!$N$3:$O$34,2,FALSE)))</f>
        <v>0</v>
      </c>
      <c r="I325" s="15">
        <f>MAX(IF(ISNA(VLOOKUP(B325,'WBV 2'!$B$3:$C$34,2,FALSE))=TRUE,0,VLOOKUP(B325,'WBV 2'!$B$3:$C$34,2,FALSE)),IF(ISNA(VLOOKUP(B325,'WBV 2'!$F$3:$G$34,2,FALSE))=TRUE,0,VLOOKUP(B325,'WBV 2'!$F$3:$G$34,2,FALSE)),IF(ISNA(VLOOKUP(B325,'WBV 2'!$J$3:$K$34,2,FALSE))=TRUE,0,VLOOKUP(B325,'WBV 2'!$J$3:$K$34,2,FALSE)),IF(ISNA(VLOOKUP(B325,'WBV 2'!$N$3:$O$34,2,FALSE))=TRUE,0,VLOOKUP(B325,'WBV 2'!$N$3:$O$34,2,FALSE)))</f>
        <v>0</v>
      </c>
      <c r="J325" s="15">
        <f>MAX(IF(ISNA(VLOOKUP(B325,'WBV 3'!$B$3:$C$34,2,FALSE))=TRUE,0,VLOOKUP(B325,'WBV 3'!$B$3:$C$34,2,FALSE)),IF(ISNA(VLOOKUP(B325,'WBV 3'!$F$3:$G$34,2,FALSE))=TRUE,0,VLOOKUP(B325,'WBV 3'!$F$3:$G$34,2,FALSE)),IF(ISNA(VLOOKUP(B325,'WBV 3'!$J$3:$K$34,2,FALSE))=TRUE,0,VLOOKUP(B325,'WBV 3'!$J$3:$K$34,2,FALSE)),IF(ISNA(VLOOKUP(B325,'WBV 3'!$N$3:$O$34,2,FALSE))=TRUE,0,VLOOKUP(B325,'WBV 3'!$N$3:$O$34,2,FALSE)))</f>
        <v>0</v>
      </c>
      <c r="K325" s="15">
        <f>MAX(IF(ISNA(VLOOKUP(B325,'WBV 4'!$B$3:$C$34,2,FALSE))=TRUE,0,VLOOKUP(B325,'WBV 4'!$B$3:$C$34,2,FALSE)),IF(ISNA(VLOOKUP(B325,'WBV 4'!$F$3:$G$34,2,FALSE))=TRUE,0,VLOOKUP(B325,'WBV 4'!$F$3:$G$34,2,FALSE)),IF(ISNA(VLOOKUP(B325,'WBV 4'!$J$3:$K$34,2,FALSE))=TRUE,0,VLOOKUP(B325,'WBV 4'!$J$3:$K$34,2,FALSE)),IF(ISNA(VLOOKUP(B325,'WBV 4'!$N$3:$O$34,2,FALSE))=TRUE,0,VLOOKUP(B325,'WBV 4'!$N$3:$O$34,2,FALSE)))</f>
        <v>0</v>
      </c>
      <c r="L325" s="19">
        <f>MAX(IF(ISNA(VLOOKUP(B325,'NÖBV 1'!$B$3:$C$34,2,FALSE))=TRUE,0,VLOOKUP(B325,'NÖBV 1'!$B$3:$C$34,2,FALSE)),IF(ISNA(VLOOKUP(B325,'NÖBV 1'!$F$3:$G$34,2,FALSE))=TRUE,0,VLOOKUP(B325,'NÖBV 1'!$F$3:$G$34,2,FALSE)),IF(ISNA(VLOOKUP(B325,'NÖBV 1'!$J$3:$K$34,2,FALSE))=TRUE,0,VLOOKUP(B325,'NÖBV 1'!$J$3:$K$34,2,FALSE)),IF(ISNA(VLOOKUP(B325,'NÖBV 1'!$N$3:$O$34,2,FALSE))=TRUE,0,VLOOKUP(B325,'NÖBV 1'!$N$3:$O$34,2,FALSE)))</f>
        <v>0</v>
      </c>
      <c r="M325" s="19">
        <f>MAX(IF(ISNA(VLOOKUP(B325,'NÖBV 2'!$B$3:$C$34,2,FALSE))=TRUE,0,VLOOKUP(B325,'NÖBV 2'!$B$3:$C$34,2,FALSE)),IF(ISNA(VLOOKUP(B325,'NÖBV 2'!$F$3:$G$34,2,FALSE))=TRUE,0,VLOOKUP(B325,'NÖBV 2'!$F$3:$G$34,2,FALSE)),IF(ISNA(VLOOKUP(B325,'NÖBV 2'!$J$3:$K$34,2,FALSE))=TRUE,0,VLOOKUP(B325,'NÖBV 2'!$J$3:$K$34,2,FALSE)),IF(ISNA(VLOOKUP(B325,'NÖBV 2'!$N$3:$O$34,2,FALSE))=TRUE,0,VLOOKUP(B325,'NÖBV 2'!$N$3:$O$34,2,FALSE)))</f>
        <v>0</v>
      </c>
      <c r="N325" s="19">
        <f>MAX(IF(ISNA(VLOOKUP(B325,'NÖBV 3'!$B$3:$C$34,2,FALSE))=TRUE,0,VLOOKUP(B325,'NÖBV 3'!$B$3:$C$34,2,FALSE)),IF(ISNA(VLOOKUP(B325,'NÖBV 3'!$F$3:$G$34,2,FALSE))=TRUE,0,VLOOKUP(B325,'NÖBV 3'!$F$3:$G$34,2,FALSE)),IF(ISNA(VLOOKUP(B325,'NÖBV 3'!$J$3:$K$34,2,FALSE))=TRUE,0,VLOOKUP(B325,'NÖBV 3'!$J$3:$K$34,2,FALSE)),IF(ISNA(VLOOKUP(B325,'NÖBV 3'!$N$3:$O$34,2,FALSE))=TRUE,0,VLOOKUP(B325,'NÖBV 3'!$N$3:$O$34,2,FALSE)))</f>
        <v>0</v>
      </c>
      <c r="O325" s="15">
        <f>MAX(IF(ISNA(VLOOKUP(B325,'Regioturnier 1'!$B$3:$C$34,2,FALSE))=TRUE,0,VLOOKUP(B325,'Regioturnier 1'!$B$3:$C$34,2,FALSE)),IF(ISNA(VLOOKUP(B325,'Regioturnier 1'!$F$3:$G$34,2,FALSE))=TRUE,0,VLOOKUP(B325,'Regioturnier 1'!$F$3:$G$34,2,FALSE)),IF(ISNA(VLOOKUP(B325,'Regioturnier 1'!$J$3:$K$34,2,FALSE))=TRUE,0,VLOOKUP(B325,'Regioturnier 1'!$J$3:$K$34,2,FALSE)),IF(ISNA(VLOOKUP(B325,'Regioturnier 1'!$N$3:$O$34,2,FALSE))=TRUE,0,VLOOKUP(B325,'Regioturnier 1'!$N$3:$O$34,2,FALSE)),IF(ISNA(VLOOKUP(B325,'Regioturnier 1'!$R$3:$S$34,2,FALSE))=TRUE,0,VLOOKUP(B325,'Regioturnier 1'!$R$3:$S$34,2,FALSE)), IF(ISNA(VLOOKUP(B325,'Regioturnier 1'!$V$3:$W$34,2,FALSE))=TRUE,0,VLOOKUP(B325,'Regioturnier 1'!$V$3:$W$34,2,FALSE)), IF(ISNA(VLOOKUP(B325,'Regioturnier 1'!$Z$3:$AA$34,2,FALSE))=TRUE,0,VLOOKUP(B325,'Regioturnier 1'!$Z$3:$AA$34,2,FALSE)))</f>
        <v>0</v>
      </c>
      <c r="P325" s="15">
        <f>MAX(IF(ISNA(VLOOKUP(B325,'Regioturnier 2'!$B$3:$C$34,2,FALSE))=TRUE,0,VLOOKUP(B325,'Regioturnier 2'!$B$3:$C$34,2,FALSE)),IF(ISNA(VLOOKUP(B325,'Regioturnier 2'!$F$3:$G$34,2,FALSE))=TRUE,0,VLOOKUP(B325,'Regioturnier 2'!$F$3:$G$34,2,FALSE)),IF(ISNA(VLOOKUP(B325,'Regioturnier 2'!$J$3:$K$34,2,FALSE))=TRUE,0,VLOOKUP(B325,'Regioturnier 2'!$J$3:$K$34,2,FALSE)),IF(ISNA(VLOOKUP(B325,'Regioturnier 2'!$N$3:$O$34,2,FALSE))=TRUE,0,VLOOKUP(B325,'Regioturnier 2'!$N$3:$O$34,2,FALSE)),IF(ISNA(VLOOKUP(B325,'Regioturnier 2'!$R$3:$S$34,2,FALSE))=TRUE,0,VLOOKUP(B325,'Regioturnier 2'!$R$3:$S$34,2,FALSE)), IF(ISNA(VLOOKUP(B325,'Regioturnier 2'!$V$3:$W$34,2,FALSE))=TRUE,0,VLOOKUP(B325,'Regioturnier 2'!$V$3:$W$34,2,FALSE)), IF(ISNA(VLOOKUP(B325,'Regioturnier 2'!$Z$3:$AA$34,2,FALSE))=TRUE,0,VLOOKUP(B325,'Regioturnier 2'!$Z$3:$AA$34,2,FALSE)))</f>
        <v>0</v>
      </c>
      <c r="Q325" s="15">
        <f>MAX(IF(ISNA(VLOOKUP(B325,'Regioturnier 3'!$B$3:$C$34,2,FALSE))=TRUE,0,VLOOKUP(B325,'Regioturnier 3'!$B$3:$C$34,2,FALSE)),IF(ISNA(VLOOKUP(B325,'Regioturnier 3'!$F$3:$G$34,2,FALSE))=TRUE,0,VLOOKUP(B325,'Regioturnier 3'!$F$3:$G$34,2,FALSE)),IF(ISNA(VLOOKUP(B325,'Regioturnier 3'!$J$3:$K$34,2,FALSE))=TRUE,0,VLOOKUP(B325,'Regioturnier 3'!$J$3:$K$34,2,FALSE)),IF(ISNA(VLOOKUP(B325,'Regioturnier 3'!$N$3:$O$34,2,FALSE))=TRUE,0,VLOOKUP(B325,'Regioturnier 3'!$N$3:$O$34,2,FALSE)),IF(ISNA(VLOOKUP(B325,'Regioturnier 3'!$R$3:$S$34,2,FALSE))=TRUE,0,VLOOKUP(B325,'Regioturnier 3'!$R$3:$S$34,2,FALSE)), IF(ISNA(VLOOKUP(B325,'Regioturnier 3'!$V$3:$W$34,2,FALSE))=TRUE,0,VLOOKUP(B325,'Regioturnier 3'!$V$3:$W$34,2,FALSE)), IF(ISNA(VLOOKUP(B325,'Regioturnier 3'!$Z$3:$AA$34,2,FALSE))=TRUE,0,VLOOKUP(B325,'Regioturnier 3'!$Z$3:$AA$34,2,FALSE)))</f>
        <v>0</v>
      </c>
      <c r="R325" s="20">
        <f>0.5*INDEX($H325:$N325,MATCH(LARGE($H325:$N325,1),$H325:$N325,0))+0.3*INDEX($H325:$N325,MATCH(LARGE($H325:$N325,2),$H325:$N325,0))+0.2*INDEX($H325:$N325,MATCH(LARGE($H325:$N325,3),$H325:$N325,0))</f>
        <v>0</v>
      </c>
      <c r="S325" s="20">
        <f>0.6*INDEX(O325:Q325,MATCH(LARGE(O325:Q325,1),O325:Q325,0))+0.4*INDEX(O325:Q325,MATCH(LARGE(O325:Q325,2),O325:Q325,0))+0*INDEX(O325:Q325,MATCH(LARGE(O325:Q325,3),O325:Q325,0))</f>
        <v>0</v>
      </c>
      <c r="T325" s="15">
        <f>1*INDEX(R325:S325,MATCH(LARGE(R325:S325,1),R325:S325,0))+0*INDEX(R325:S325,MATCH(LARGE(R325:S325,2),R325:S325,0))</f>
        <v>0</v>
      </c>
      <c r="U325" s="21"/>
      <c r="V325" s="21"/>
      <c r="W325" s="21"/>
      <c r="X325" s="21"/>
      <c r="Y325" s="21"/>
      <c r="Z325" s="21"/>
    </row>
    <row r="326" spans="1:26" ht="12.75" customHeight="1" x14ac:dyDescent="0.3">
      <c r="A326" s="15">
        <v>325</v>
      </c>
      <c r="B326" s="21" t="s">
        <v>331</v>
      </c>
      <c r="C326" s="21"/>
      <c r="D326" s="15" t="s">
        <v>102</v>
      </c>
      <c r="E326" s="15" t="s">
        <v>23</v>
      </c>
      <c r="F326" s="15">
        <v>311873</v>
      </c>
      <c r="G326" s="15">
        <v>2016</v>
      </c>
      <c r="H326" s="15">
        <f>MAX(IF(ISNA(VLOOKUP(B326,'WBV 1'!$B$3:$C$34,2,FALSE))=TRUE,0,VLOOKUP(B326,'WBV 1'!$B$3:$C$34,2,FALSE)),IF(ISNA(VLOOKUP(B326,'WBV 1'!$F$3:$G$34,2,FALSE))=TRUE,0,VLOOKUP(B326,'WBV 1'!$F$3:$G$34,2,FALSE)),IF(ISNA(VLOOKUP(B326,'WBV 1'!$J$3:$K$34,2,FALSE))=TRUE,0,VLOOKUP(B326,'WBV 1'!$J$3:$K$34,2,FALSE)),IF(ISNA(VLOOKUP(B326,'WBV 1'!$N$3:$O$34,2,FALSE))=TRUE,0,VLOOKUP(B326,'WBV 1'!$N$3:$O$34,2,FALSE)))</f>
        <v>0</v>
      </c>
      <c r="I326" s="15">
        <f>MAX(IF(ISNA(VLOOKUP(B326,'WBV 2'!$B$3:$C$34,2,FALSE))=TRUE,0,VLOOKUP(B326,'WBV 2'!$B$3:$C$34,2,FALSE)),IF(ISNA(VLOOKUP(B326,'WBV 2'!$F$3:$G$34,2,FALSE))=TRUE,0,VLOOKUP(B326,'WBV 2'!$F$3:$G$34,2,FALSE)),IF(ISNA(VLOOKUP(B326,'WBV 2'!$J$3:$K$34,2,FALSE))=TRUE,0,VLOOKUP(B326,'WBV 2'!$J$3:$K$34,2,FALSE)),IF(ISNA(VLOOKUP(B326,'WBV 2'!$N$3:$O$34,2,FALSE))=TRUE,0,VLOOKUP(B326,'WBV 2'!$N$3:$O$34,2,FALSE)))</f>
        <v>0</v>
      </c>
      <c r="J326" s="15">
        <f>MAX(IF(ISNA(VLOOKUP(B326,'WBV 3'!$B$3:$C$34,2,FALSE))=TRUE,0,VLOOKUP(B326,'WBV 3'!$B$3:$C$34,2,FALSE)),IF(ISNA(VLOOKUP(B326,'WBV 3'!$F$3:$G$34,2,FALSE))=TRUE,0,VLOOKUP(B326,'WBV 3'!$F$3:$G$34,2,FALSE)),IF(ISNA(VLOOKUP(B326,'WBV 3'!$J$3:$K$34,2,FALSE))=TRUE,0,VLOOKUP(B326,'WBV 3'!$J$3:$K$34,2,FALSE)),IF(ISNA(VLOOKUP(B326,'WBV 3'!$N$3:$O$34,2,FALSE))=TRUE,0,VLOOKUP(B326,'WBV 3'!$N$3:$O$34,2,FALSE)))</f>
        <v>0</v>
      </c>
      <c r="K326" s="15">
        <f>MAX(IF(ISNA(VLOOKUP(B326,'WBV 4'!$B$3:$C$34,2,FALSE))=TRUE,0,VLOOKUP(B326,'WBV 4'!$B$3:$C$34,2,FALSE)),IF(ISNA(VLOOKUP(B326,'WBV 4'!$F$3:$G$34,2,FALSE))=TRUE,0,VLOOKUP(B326,'WBV 4'!$F$3:$G$34,2,FALSE)),IF(ISNA(VLOOKUP(B326,'WBV 4'!$J$3:$K$34,2,FALSE))=TRUE,0,VLOOKUP(B326,'WBV 4'!$J$3:$K$34,2,FALSE)),IF(ISNA(VLOOKUP(B326,'WBV 4'!$N$3:$O$34,2,FALSE))=TRUE,0,VLOOKUP(B326,'WBV 4'!$N$3:$O$34,2,FALSE)))</f>
        <v>0</v>
      </c>
      <c r="L326" s="19">
        <f>MAX(IF(ISNA(VLOOKUP(B326,'NÖBV 1'!$B$3:$C$34,2,FALSE))=TRUE,0,VLOOKUP(B326,'NÖBV 1'!$B$3:$C$34,2,FALSE)),IF(ISNA(VLOOKUP(B326,'NÖBV 1'!$F$3:$G$34,2,FALSE))=TRUE,0,VLOOKUP(B326,'NÖBV 1'!$F$3:$G$34,2,FALSE)),IF(ISNA(VLOOKUP(B326,'NÖBV 1'!$J$3:$K$34,2,FALSE))=TRUE,0,VLOOKUP(B326,'NÖBV 1'!$J$3:$K$34,2,FALSE)),IF(ISNA(VLOOKUP(B326,'NÖBV 1'!$N$3:$O$34,2,FALSE))=TRUE,0,VLOOKUP(B326,'NÖBV 1'!$N$3:$O$34,2,FALSE)))</f>
        <v>0</v>
      </c>
      <c r="M326" s="19">
        <f>MAX(IF(ISNA(VLOOKUP(B326,'NÖBV 2'!$B$3:$C$34,2,FALSE))=TRUE,0,VLOOKUP(B326,'NÖBV 2'!$B$3:$C$34,2,FALSE)),IF(ISNA(VLOOKUP(B326,'NÖBV 2'!$F$3:$G$34,2,FALSE))=TRUE,0,VLOOKUP(B326,'NÖBV 2'!$F$3:$G$34,2,FALSE)),IF(ISNA(VLOOKUP(B326,'NÖBV 2'!$J$3:$K$34,2,FALSE))=TRUE,0,VLOOKUP(B326,'NÖBV 2'!$J$3:$K$34,2,FALSE)),IF(ISNA(VLOOKUP(B326,'NÖBV 2'!$N$3:$O$34,2,FALSE))=TRUE,0,VLOOKUP(B326,'NÖBV 2'!$N$3:$O$34,2,FALSE)))</f>
        <v>0</v>
      </c>
      <c r="N326" s="19">
        <f>MAX(IF(ISNA(VLOOKUP(B326,'NÖBV 3'!$B$3:$C$34,2,FALSE))=TRUE,0,VLOOKUP(B326,'NÖBV 3'!$B$3:$C$34,2,FALSE)),IF(ISNA(VLOOKUP(B326,'NÖBV 3'!$F$3:$G$34,2,FALSE))=TRUE,0,VLOOKUP(B326,'NÖBV 3'!$F$3:$G$34,2,FALSE)),IF(ISNA(VLOOKUP(B326,'NÖBV 3'!$J$3:$K$34,2,FALSE))=TRUE,0,VLOOKUP(B326,'NÖBV 3'!$J$3:$K$34,2,FALSE)),IF(ISNA(VLOOKUP(B326,'NÖBV 3'!$N$3:$O$34,2,FALSE))=TRUE,0,VLOOKUP(B326,'NÖBV 3'!$N$3:$O$34,2,FALSE)))</f>
        <v>0</v>
      </c>
      <c r="O326" s="15">
        <f>MAX(IF(ISNA(VLOOKUP(B326,'Regioturnier 1'!$B$3:$C$34,2,FALSE))=TRUE,0,VLOOKUP(B326,'Regioturnier 1'!$B$3:$C$34,2,FALSE)),IF(ISNA(VLOOKUP(B326,'Regioturnier 1'!$F$3:$G$34,2,FALSE))=TRUE,0,VLOOKUP(B326,'Regioturnier 1'!$F$3:$G$34,2,FALSE)),IF(ISNA(VLOOKUP(B326,'Regioturnier 1'!$J$3:$K$34,2,FALSE))=TRUE,0,VLOOKUP(B326,'Regioturnier 1'!$J$3:$K$34,2,FALSE)),IF(ISNA(VLOOKUP(B326,'Regioturnier 1'!$N$3:$O$34,2,FALSE))=TRUE,0,VLOOKUP(B326,'Regioturnier 1'!$N$3:$O$34,2,FALSE)),IF(ISNA(VLOOKUP(B326,'Regioturnier 1'!$R$3:$S$34,2,FALSE))=TRUE,0,VLOOKUP(B326,'Regioturnier 1'!$R$3:$S$34,2,FALSE)), IF(ISNA(VLOOKUP(B326,'Regioturnier 1'!$V$3:$W$34,2,FALSE))=TRUE,0,VLOOKUP(B326,'Regioturnier 1'!$V$3:$W$34,2,FALSE)), IF(ISNA(VLOOKUP(B326,'Regioturnier 1'!$Z$3:$AA$34,2,FALSE))=TRUE,0,VLOOKUP(B326,'Regioturnier 1'!$Z$3:$AA$34,2,FALSE)))</f>
        <v>0</v>
      </c>
      <c r="P326" s="15">
        <f>MAX(IF(ISNA(VLOOKUP(B326,'Regioturnier 2'!$B$3:$C$34,2,FALSE))=TRUE,0,VLOOKUP(B326,'Regioturnier 2'!$B$3:$C$34,2,FALSE)),IF(ISNA(VLOOKUP(B326,'Regioturnier 2'!$F$3:$G$34,2,FALSE))=TRUE,0,VLOOKUP(B326,'Regioturnier 2'!$F$3:$G$34,2,FALSE)),IF(ISNA(VLOOKUP(B326,'Regioturnier 2'!$J$3:$K$34,2,FALSE))=TRUE,0,VLOOKUP(B326,'Regioturnier 2'!$J$3:$K$34,2,FALSE)),IF(ISNA(VLOOKUP(B326,'Regioturnier 2'!$N$3:$O$34,2,FALSE))=TRUE,0,VLOOKUP(B326,'Regioturnier 2'!$N$3:$O$34,2,FALSE)),IF(ISNA(VLOOKUP(B326,'Regioturnier 2'!$R$3:$S$34,2,FALSE))=TRUE,0,VLOOKUP(B326,'Regioturnier 2'!$R$3:$S$34,2,FALSE)), IF(ISNA(VLOOKUP(B326,'Regioturnier 2'!$V$3:$W$34,2,FALSE))=TRUE,0,VLOOKUP(B326,'Regioturnier 2'!$V$3:$W$34,2,FALSE)), IF(ISNA(VLOOKUP(B326,'Regioturnier 2'!$Z$3:$AA$34,2,FALSE))=TRUE,0,VLOOKUP(B326,'Regioturnier 2'!$Z$3:$AA$34,2,FALSE)))</f>
        <v>0</v>
      </c>
      <c r="Q326" s="15">
        <f>MAX(IF(ISNA(VLOOKUP(B326,'Regioturnier 3'!$B$3:$C$34,2,FALSE))=TRUE,0,VLOOKUP(B326,'Regioturnier 3'!$B$3:$C$34,2,FALSE)),IF(ISNA(VLOOKUP(B326,'Regioturnier 3'!$F$3:$G$34,2,FALSE))=TRUE,0,VLOOKUP(B326,'Regioturnier 3'!$F$3:$G$34,2,FALSE)),IF(ISNA(VLOOKUP(B326,'Regioturnier 3'!$J$3:$K$34,2,FALSE))=TRUE,0,VLOOKUP(B326,'Regioturnier 3'!$J$3:$K$34,2,FALSE)),IF(ISNA(VLOOKUP(B326,'Regioturnier 3'!$N$3:$O$34,2,FALSE))=TRUE,0,VLOOKUP(B326,'Regioturnier 3'!$N$3:$O$34,2,FALSE)),IF(ISNA(VLOOKUP(B326,'Regioturnier 3'!$R$3:$S$34,2,FALSE))=TRUE,0,VLOOKUP(B326,'Regioturnier 3'!$R$3:$S$34,2,FALSE)), IF(ISNA(VLOOKUP(B326,'Regioturnier 3'!$V$3:$W$34,2,FALSE))=TRUE,0,VLOOKUP(B326,'Regioturnier 3'!$V$3:$W$34,2,FALSE)), IF(ISNA(VLOOKUP(B326,'Regioturnier 3'!$Z$3:$AA$34,2,FALSE))=TRUE,0,VLOOKUP(B326,'Regioturnier 3'!$Z$3:$AA$34,2,FALSE)))</f>
        <v>0</v>
      </c>
      <c r="R326" s="20">
        <f>0.5*INDEX($H326:$N326,MATCH(LARGE($H326:$N326,1),$H326:$N326,0))+0.3*INDEX($H326:$N326,MATCH(LARGE($H326:$N326,2),$H326:$N326,0))+0.2*INDEX($H326:$N326,MATCH(LARGE($H326:$N326,3),$H326:$N326,0))</f>
        <v>0</v>
      </c>
      <c r="S326" s="20">
        <f>0.6*INDEX(O326:Q326,MATCH(LARGE(O326:Q326,1),O326:Q326,0))+0.4*INDEX(O326:Q326,MATCH(LARGE(O326:Q326,2),O326:Q326,0))+0*INDEX(O326:Q326,MATCH(LARGE(O326:Q326,3),O326:Q326,0))</f>
        <v>0</v>
      </c>
      <c r="T326" s="15">
        <f>1*INDEX(R326:S326,MATCH(LARGE(R326:S326,1),R326:S326,0))+0*INDEX(R326:S326,MATCH(LARGE(R326:S326,2),R326:S326,0))</f>
        <v>0</v>
      </c>
      <c r="U326" s="21"/>
      <c r="V326" s="21"/>
      <c r="W326" s="21"/>
      <c r="X326" s="21"/>
      <c r="Y326" s="21"/>
      <c r="Z326" s="21"/>
    </row>
    <row r="327" spans="1:26" ht="12.75" customHeight="1" x14ac:dyDescent="0.3">
      <c r="A327" s="15">
        <v>326</v>
      </c>
      <c r="B327" s="21" t="s">
        <v>332</v>
      </c>
      <c r="C327" s="21" t="s">
        <v>48</v>
      </c>
      <c r="D327" s="15" t="s">
        <v>26</v>
      </c>
      <c r="E327" s="15" t="s">
        <v>23</v>
      </c>
      <c r="F327" s="15">
        <v>110508</v>
      </c>
      <c r="G327" s="15">
        <v>2008</v>
      </c>
      <c r="H327" s="15">
        <f>MAX(IF(ISNA(VLOOKUP(B327,'WBV 1'!$B$3:$C$34,2,FALSE))=TRUE,0,VLOOKUP(B327,'WBV 1'!$B$3:$C$34,2,FALSE)),IF(ISNA(VLOOKUP(B327,'WBV 1'!$F$3:$G$34,2,FALSE))=TRUE,0,VLOOKUP(B327,'WBV 1'!$F$3:$G$34,2,FALSE)),IF(ISNA(VLOOKUP(B327,'WBV 1'!$J$3:$K$34,2,FALSE))=TRUE,0,VLOOKUP(B327,'WBV 1'!$J$3:$K$34,2,FALSE)),IF(ISNA(VLOOKUP(B327,'WBV 1'!$N$3:$O$34,2,FALSE))=TRUE,0,VLOOKUP(B327,'WBV 1'!$N$3:$O$34,2,FALSE)))</f>
        <v>0</v>
      </c>
      <c r="I327" s="15">
        <f>MAX(IF(ISNA(VLOOKUP(B327,'WBV 2'!$B$3:$C$34,2,FALSE))=TRUE,0,VLOOKUP(B327,'WBV 2'!$B$3:$C$34,2,FALSE)),IF(ISNA(VLOOKUP(B327,'WBV 2'!$F$3:$G$34,2,FALSE))=TRUE,0,VLOOKUP(B327,'WBV 2'!$F$3:$G$34,2,FALSE)),IF(ISNA(VLOOKUP(B327,'WBV 2'!$J$3:$K$34,2,FALSE))=TRUE,0,VLOOKUP(B327,'WBV 2'!$J$3:$K$34,2,FALSE)),IF(ISNA(VLOOKUP(B327,'WBV 2'!$N$3:$O$34,2,FALSE))=TRUE,0,VLOOKUP(B327,'WBV 2'!$N$3:$O$34,2,FALSE)))</f>
        <v>0</v>
      </c>
      <c r="J327" s="15">
        <f>MAX(IF(ISNA(VLOOKUP(B327,'WBV 3'!$B$3:$C$34,2,FALSE))=TRUE,0,VLOOKUP(B327,'WBV 3'!$B$3:$C$34,2,FALSE)),IF(ISNA(VLOOKUP(B327,'WBV 3'!$F$3:$G$34,2,FALSE))=TRUE,0,VLOOKUP(B327,'WBV 3'!$F$3:$G$34,2,FALSE)),IF(ISNA(VLOOKUP(B327,'WBV 3'!$J$3:$K$34,2,FALSE))=TRUE,0,VLOOKUP(B327,'WBV 3'!$J$3:$K$34,2,FALSE)),IF(ISNA(VLOOKUP(B327,'WBV 3'!$N$3:$O$34,2,FALSE))=TRUE,0,VLOOKUP(B327,'WBV 3'!$N$3:$O$34,2,FALSE)))</f>
        <v>0</v>
      </c>
      <c r="K327" s="15">
        <f>MAX(IF(ISNA(VLOOKUP(B327,'WBV 4'!$B$3:$C$34,2,FALSE))=TRUE,0,VLOOKUP(B327,'WBV 4'!$B$3:$C$34,2,FALSE)),IF(ISNA(VLOOKUP(B327,'WBV 4'!$F$3:$G$34,2,FALSE))=TRUE,0,VLOOKUP(B327,'WBV 4'!$F$3:$G$34,2,FALSE)),IF(ISNA(VLOOKUP(B327,'WBV 4'!$J$3:$K$34,2,FALSE))=TRUE,0,VLOOKUP(B327,'WBV 4'!$J$3:$K$34,2,FALSE)),IF(ISNA(VLOOKUP(B327,'WBV 4'!$N$3:$O$34,2,FALSE))=TRUE,0,VLOOKUP(B327,'WBV 4'!$N$3:$O$34,2,FALSE)))</f>
        <v>0</v>
      </c>
      <c r="L327" s="19">
        <f>MAX(IF(ISNA(VLOOKUP(B327,'NÖBV 1'!$B$3:$C$34,2,FALSE))=TRUE,0,VLOOKUP(B327,'NÖBV 1'!$B$3:$C$34,2,FALSE)),IF(ISNA(VLOOKUP(B327,'NÖBV 1'!$F$3:$G$34,2,FALSE))=TRUE,0,VLOOKUP(B327,'NÖBV 1'!$F$3:$G$34,2,FALSE)),IF(ISNA(VLOOKUP(B327,'NÖBV 1'!$J$3:$K$34,2,FALSE))=TRUE,0,VLOOKUP(B327,'NÖBV 1'!$J$3:$K$34,2,FALSE)),IF(ISNA(VLOOKUP(B327,'NÖBV 1'!$N$3:$O$34,2,FALSE))=TRUE,0,VLOOKUP(B327,'NÖBV 1'!$N$3:$O$34,2,FALSE)))</f>
        <v>0</v>
      </c>
      <c r="M327" s="19">
        <f>MAX(IF(ISNA(VLOOKUP(B327,'NÖBV 2'!$B$3:$C$34,2,FALSE))=TRUE,0,VLOOKUP(B327,'NÖBV 2'!$B$3:$C$34,2,FALSE)),IF(ISNA(VLOOKUP(B327,'NÖBV 2'!$F$3:$G$34,2,FALSE))=TRUE,0,VLOOKUP(B327,'NÖBV 2'!$F$3:$G$34,2,FALSE)),IF(ISNA(VLOOKUP(B327,'NÖBV 2'!$J$3:$K$34,2,FALSE))=TRUE,0,VLOOKUP(B327,'NÖBV 2'!$J$3:$K$34,2,FALSE)),IF(ISNA(VLOOKUP(B327,'NÖBV 2'!$N$3:$O$34,2,FALSE))=TRUE,0,VLOOKUP(B327,'NÖBV 2'!$N$3:$O$34,2,FALSE)))</f>
        <v>0</v>
      </c>
      <c r="N327" s="19">
        <f>MAX(IF(ISNA(VLOOKUP(B327,'NÖBV 3'!$B$3:$C$34,2,FALSE))=TRUE,0,VLOOKUP(B327,'NÖBV 3'!$B$3:$C$34,2,FALSE)),IF(ISNA(VLOOKUP(B327,'NÖBV 3'!$F$3:$G$34,2,FALSE))=TRUE,0,VLOOKUP(B327,'NÖBV 3'!$F$3:$G$34,2,FALSE)),IF(ISNA(VLOOKUP(B327,'NÖBV 3'!$J$3:$K$34,2,FALSE))=TRUE,0,VLOOKUP(B327,'NÖBV 3'!$J$3:$K$34,2,FALSE)),IF(ISNA(VLOOKUP(B327,'NÖBV 3'!$N$3:$O$34,2,FALSE))=TRUE,0,VLOOKUP(B327,'NÖBV 3'!$N$3:$O$34,2,FALSE)))</f>
        <v>0</v>
      </c>
      <c r="O327" s="15">
        <f>MAX(IF(ISNA(VLOOKUP(B327,'Regioturnier 1'!$B$3:$C$34,2,FALSE))=TRUE,0,VLOOKUP(B327,'Regioturnier 1'!$B$3:$C$34,2,FALSE)),IF(ISNA(VLOOKUP(B327,'Regioturnier 1'!$F$3:$G$34,2,FALSE))=TRUE,0,VLOOKUP(B327,'Regioturnier 1'!$F$3:$G$34,2,FALSE)),IF(ISNA(VLOOKUP(B327,'Regioturnier 1'!$J$3:$K$34,2,FALSE))=TRUE,0,VLOOKUP(B327,'Regioturnier 1'!$J$3:$K$34,2,FALSE)),IF(ISNA(VLOOKUP(B327,'Regioturnier 1'!$N$3:$O$34,2,FALSE))=TRUE,0,VLOOKUP(B327,'Regioturnier 1'!$N$3:$O$34,2,FALSE)),IF(ISNA(VLOOKUP(B327,'Regioturnier 1'!$R$3:$S$34,2,FALSE))=TRUE,0,VLOOKUP(B327,'Regioturnier 1'!$R$3:$S$34,2,FALSE)), IF(ISNA(VLOOKUP(B327,'Regioturnier 1'!$V$3:$W$34,2,FALSE))=TRUE,0,VLOOKUP(B327,'Regioturnier 1'!$V$3:$W$34,2,FALSE)), IF(ISNA(VLOOKUP(B327,'Regioturnier 1'!$Z$3:$AA$34,2,FALSE))=TRUE,0,VLOOKUP(B327,'Regioturnier 1'!$Z$3:$AA$34,2,FALSE)))</f>
        <v>0</v>
      </c>
      <c r="P327" s="15">
        <f>MAX(IF(ISNA(VLOOKUP(B327,'Regioturnier 2'!$B$3:$C$34,2,FALSE))=TRUE,0,VLOOKUP(B327,'Regioturnier 2'!$B$3:$C$34,2,FALSE)),IF(ISNA(VLOOKUP(B327,'Regioturnier 2'!$F$3:$G$34,2,FALSE))=TRUE,0,VLOOKUP(B327,'Regioturnier 2'!$F$3:$G$34,2,FALSE)),IF(ISNA(VLOOKUP(B327,'Regioturnier 2'!$J$3:$K$34,2,FALSE))=TRUE,0,VLOOKUP(B327,'Regioturnier 2'!$J$3:$K$34,2,FALSE)),IF(ISNA(VLOOKUP(B327,'Regioturnier 2'!$N$3:$O$34,2,FALSE))=TRUE,0,VLOOKUP(B327,'Regioturnier 2'!$N$3:$O$34,2,FALSE)),IF(ISNA(VLOOKUP(B327,'Regioturnier 2'!$R$3:$S$34,2,FALSE))=TRUE,0,VLOOKUP(B327,'Regioturnier 2'!$R$3:$S$34,2,FALSE)), IF(ISNA(VLOOKUP(B327,'Regioturnier 2'!$V$3:$W$34,2,FALSE))=TRUE,0,VLOOKUP(B327,'Regioturnier 2'!$V$3:$W$34,2,FALSE)), IF(ISNA(VLOOKUP(B327,'Regioturnier 2'!$Z$3:$AA$34,2,FALSE))=TRUE,0,VLOOKUP(B327,'Regioturnier 2'!$Z$3:$AA$34,2,FALSE)))</f>
        <v>0</v>
      </c>
      <c r="Q327" s="15">
        <f>MAX(IF(ISNA(VLOOKUP(B327,'Regioturnier 3'!$B$3:$C$34,2,FALSE))=TRUE,0,VLOOKUP(B327,'Regioturnier 3'!$B$3:$C$34,2,FALSE)),IF(ISNA(VLOOKUP(B327,'Regioturnier 3'!$F$3:$G$34,2,FALSE))=TRUE,0,VLOOKUP(B327,'Regioturnier 3'!$F$3:$G$34,2,FALSE)),IF(ISNA(VLOOKUP(B327,'Regioturnier 3'!$J$3:$K$34,2,FALSE))=TRUE,0,VLOOKUP(B327,'Regioturnier 3'!$J$3:$K$34,2,FALSE)),IF(ISNA(VLOOKUP(B327,'Regioturnier 3'!$N$3:$O$34,2,FALSE))=TRUE,0,VLOOKUP(B327,'Regioturnier 3'!$N$3:$O$34,2,FALSE)),IF(ISNA(VLOOKUP(B327,'Regioturnier 3'!$R$3:$S$34,2,FALSE))=TRUE,0,VLOOKUP(B327,'Regioturnier 3'!$R$3:$S$34,2,FALSE)), IF(ISNA(VLOOKUP(B327,'Regioturnier 3'!$V$3:$W$34,2,FALSE))=TRUE,0,VLOOKUP(B327,'Regioturnier 3'!$V$3:$W$34,2,FALSE)), IF(ISNA(VLOOKUP(B327,'Regioturnier 3'!$Z$3:$AA$34,2,FALSE))=TRUE,0,VLOOKUP(B327,'Regioturnier 3'!$Z$3:$AA$34,2,FALSE)))</f>
        <v>0</v>
      </c>
      <c r="R327" s="20">
        <f>0.5*INDEX($H327:$N327,MATCH(LARGE($H327:$N327,1),$H327:$N327,0))+0.3*INDEX($H327:$N327,MATCH(LARGE($H327:$N327,2),$H327:$N327,0))+0.2*INDEX($H327:$N327,MATCH(LARGE($H327:$N327,3),$H327:$N327,0))</f>
        <v>0</v>
      </c>
      <c r="S327" s="20">
        <f>0.6*INDEX(O327:Q327,MATCH(LARGE(O327:Q327,1),O327:Q327,0))+0.4*INDEX(O327:Q327,MATCH(LARGE(O327:Q327,2),O327:Q327,0))+0*INDEX(O327:Q327,MATCH(LARGE(O327:Q327,3),O327:Q327,0))</f>
        <v>0</v>
      </c>
      <c r="T327" s="15">
        <f>1*INDEX(R327:S327,MATCH(LARGE(R327:S327,1),R327:S327,0))+0*INDEX(R327:S327,MATCH(LARGE(R327:S327,2),R327:S327,0))</f>
        <v>0</v>
      </c>
      <c r="U327" s="21"/>
      <c r="V327" s="21"/>
      <c r="W327" s="21"/>
      <c r="X327" s="21"/>
      <c r="Y327" s="21"/>
      <c r="Z327" s="21"/>
    </row>
    <row r="328" spans="1:26" ht="12.75" customHeight="1" x14ac:dyDescent="0.3">
      <c r="A328" s="15">
        <v>327</v>
      </c>
      <c r="B328" s="21" t="s">
        <v>333</v>
      </c>
      <c r="C328" s="21" t="s">
        <v>48</v>
      </c>
      <c r="D328" s="15" t="s">
        <v>26</v>
      </c>
      <c r="E328" s="15" t="s">
        <v>23</v>
      </c>
      <c r="F328" s="15">
        <v>110330</v>
      </c>
      <c r="G328" s="15">
        <v>2008</v>
      </c>
      <c r="H328" s="15">
        <f>MAX(IF(ISNA(VLOOKUP(B328,'WBV 1'!$B$3:$C$34,2,FALSE))=TRUE,0,VLOOKUP(B328,'WBV 1'!$B$3:$C$34,2,FALSE)),IF(ISNA(VLOOKUP(B328,'WBV 1'!$F$3:$G$34,2,FALSE))=TRUE,0,VLOOKUP(B328,'WBV 1'!$F$3:$G$34,2,FALSE)),IF(ISNA(VLOOKUP(B328,'WBV 1'!$J$3:$K$34,2,FALSE))=TRUE,0,VLOOKUP(B328,'WBV 1'!$J$3:$K$34,2,FALSE)),IF(ISNA(VLOOKUP(B328,'WBV 1'!$N$3:$O$34,2,FALSE))=TRUE,0,VLOOKUP(B328,'WBV 1'!$N$3:$O$34,2,FALSE)))</f>
        <v>0</v>
      </c>
      <c r="I328" s="15">
        <f>MAX(IF(ISNA(VLOOKUP(B328,'WBV 2'!$B$3:$C$34,2,FALSE))=TRUE,0,VLOOKUP(B328,'WBV 2'!$B$3:$C$34,2,FALSE)),IF(ISNA(VLOOKUP(B328,'WBV 2'!$F$3:$G$34,2,FALSE))=TRUE,0,VLOOKUP(B328,'WBV 2'!$F$3:$G$34,2,FALSE)),IF(ISNA(VLOOKUP(B328,'WBV 2'!$J$3:$K$34,2,FALSE))=TRUE,0,VLOOKUP(B328,'WBV 2'!$J$3:$K$34,2,FALSE)),IF(ISNA(VLOOKUP(B328,'WBV 2'!$N$3:$O$34,2,FALSE))=TRUE,0,VLOOKUP(B328,'WBV 2'!$N$3:$O$34,2,FALSE)))</f>
        <v>0</v>
      </c>
      <c r="J328" s="15">
        <f>MAX(IF(ISNA(VLOOKUP(B328,'WBV 3'!$B$3:$C$34,2,FALSE))=TRUE,0,VLOOKUP(B328,'WBV 3'!$B$3:$C$34,2,FALSE)),IF(ISNA(VLOOKUP(B328,'WBV 3'!$F$3:$G$34,2,FALSE))=TRUE,0,VLOOKUP(B328,'WBV 3'!$F$3:$G$34,2,FALSE)),IF(ISNA(VLOOKUP(B328,'WBV 3'!$J$3:$K$34,2,FALSE))=TRUE,0,VLOOKUP(B328,'WBV 3'!$J$3:$K$34,2,FALSE)),IF(ISNA(VLOOKUP(B328,'WBV 3'!$N$3:$O$34,2,FALSE))=TRUE,0,VLOOKUP(B328,'WBV 3'!$N$3:$O$34,2,FALSE)))</f>
        <v>0</v>
      </c>
      <c r="K328" s="15">
        <f>MAX(IF(ISNA(VLOOKUP(B328,'WBV 4'!$B$3:$C$34,2,FALSE))=TRUE,0,VLOOKUP(B328,'WBV 4'!$B$3:$C$34,2,FALSE)),IF(ISNA(VLOOKUP(B328,'WBV 4'!$F$3:$G$34,2,FALSE))=TRUE,0,VLOOKUP(B328,'WBV 4'!$F$3:$G$34,2,FALSE)),IF(ISNA(VLOOKUP(B328,'WBV 4'!$J$3:$K$34,2,FALSE))=TRUE,0,VLOOKUP(B328,'WBV 4'!$J$3:$K$34,2,FALSE)),IF(ISNA(VLOOKUP(B328,'WBV 4'!$N$3:$O$34,2,FALSE))=TRUE,0,VLOOKUP(B328,'WBV 4'!$N$3:$O$34,2,FALSE)))</f>
        <v>0</v>
      </c>
      <c r="L328" s="19">
        <f>MAX(IF(ISNA(VLOOKUP(B328,'NÖBV 1'!$B$3:$C$34,2,FALSE))=TRUE,0,VLOOKUP(B328,'NÖBV 1'!$B$3:$C$34,2,FALSE)),IF(ISNA(VLOOKUP(B328,'NÖBV 1'!$F$3:$G$34,2,FALSE))=TRUE,0,VLOOKUP(B328,'NÖBV 1'!$F$3:$G$34,2,FALSE)),IF(ISNA(VLOOKUP(B328,'NÖBV 1'!$J$3:$K$34,2,FALSE))=TRUE,0,VLOOKUP(B328,'NÖBV 1'!$J$3:$K$34,2,FALSE)),IF(ISNA(VLOOKUP(B328,'NÖBV 1'!$N$3:$O$34,2,FALSE))=TRUE,0,VLOOKUP(B328,'NÖBV 1'!$N$3:$O$34,2,FALSE)))</f>
        <v>0</v>
      </c>
      <c r="M328" s="19">
        <f>MAX(IF(ISNA(VLOOKUP(B328,'NÖBV 2'!$B$3:$C$34,2,FALSE))=TRUE,0,VLOOKUP(B328,'NÖBV 2'!$B$3:$C$34,2,FALSE)),IF(ISNA(VLOOKUP(B328,'NÖBV 2'!$F$3:$G$34,2,FALSE))=TRUE,0,VLOOKUP(B328,'NÖBV 2'!$F$3:$G$34,2,FALSE)),IF(ISNA(VLOOKUP(B328,'NÖBV 2'!$J$3:$K$34,2,FALSE))=TRUE,0,VLOOKUP(B328,'NÖBV 2'!$J$3:$K$34,2,FALSE)),IF(ISNA(VLOOKUP(B328,'NÖBV 2'!$N$3:$O$34,2,FALSE))=TRUE,0,VLOOKUP(B328,'NÖBV 2'!$N$3:$O$34,2,FALSE)))</f>
        <v>0</v>
      </c>
      <c r="N328" s="19">
        <f>MAX(IF(ISNA(VLOOKUP(B328,'NÖBV 3'!$B$3:$C$34,2,FALSE))=TRUE,0,VLOOKUP(B328,'NÖBV 3'!$B$3:$C$34,2,FALSE)),IF(ISNA(VLOOKUP(B328,'NÖBV 3'!$F$3:$G$34,2,FALSE))=TRUE,0,VLOOKUP(B328,'NÖBV 3'!$F$3:$G$34,2,FALSE)),IF(ISNA(VLOOKUP(B328,'NÖBV 3'!$J$3:$K$34,2,FALSE))=TRUE,0,VLOOKUP(B328,'NÖBV 3'!$J$3:$K$34,2,FALSE)),IF(ISNA(VLOOKUP(B328,'NÖBV 3'!$N$3:$O$34,2,FALSE))=TRUE,0,VLOOKUP(B328,'NÖBV 3'!$N$3:$O$34,2,FALSE)))</f>
        <v>0</v>
      </c>
      <c r="O328" s="15">
        <f>MAX(IF(ISNA(VLOOKUP(B328,'Regioturnier 1'!$B$3:$C$34,2,FALSE))=TRUE,0,VLOOKUP(B328,'Regioturnier 1'!$B$3:$C$34,2,FALSE)),IF(ISNA(VLOOKUP(B328,'Regioturnier 1'!$F$3:$G$34,2,FALSE))=TRUE,0,VLOOKUP(B328,'Regioturnier 1'!$F$3:$G$34,2,FALSE)),IF(ISNA(VLOOKUP(B328,'Regioturnier 1'!$J$3:$K$34,2,FALSE))=TRUE,0,VLOOKUP(B328,'Regioturnier 1'!$J$3:$K$34,2,FALSE)),IF(ISNA(VLOOKUP(B328,'Regioturnier 1'!$N$3:$O$34,2,FALSE))=TRUE,0,VLOOKUP(B328,'Regioturnier 1'!$N$3:$O$34,2,FALSE)),IF(ISNA(VLOOKUP(B328,'Regioturnier 1'!$R$3:$S$34,2,FALSE))=TRUE,0,VLOOKUP(B328,'Regioturnier 1'!$R$3:$S$34,2,FALSE)), IF(ISNA(VLOOKUP(B328,'Regioturnier 1'!$V$3:$W$34,2,FALSE))=TRUE,0,VLOOKUP(B328,'Regioturnier 1'!$V$3:$W$34,2,FALSE)), IF(ISNA(VLOOKUP(B328,'Regioturnier 1'!$Z$3:$AA$34,2,FALSE))=TRUE,0,VLOOKUP(B328,'Regioturnier 1'!$Z$3:$AA$34,2,FALSE)))</f>
        <v>0</v>
      </c>
      <c r="P328" s="15">
        <f>MAX(IF(ISNA(VLOOKUP(B328,'Regioturnier 2'!$B$3:$C$34,2,FALSE))=TRUE,0,VLOOKUP(B328,'Regioturnier 2'!$B$3:$C$34,2,FALSE)),IF(ISNA(VLOOKUP(B328,'Regioturnier 2'!$F$3:$G$34,2,FALSE))=TRUE,0,VLOOKUP(B328,'Regioturnier 2'!$F$3:$G$34,2,FALSE)),IF(ISNA(VLOOKUP(B328,'Regioturnier 2'!$J$3:$K$34,2,FALSE))=TRUE,0,VLOOKUP(B328,'Regioturnier 2'!$J$3:$K$34,2,FALSE)),IF(ISNA(VLOOKUP(B328,'Regioturnier 2'!$N$3:$O$34,2,FALSE))=TRUE,0,VLOOKUP(B328,'Regioturnier 2'!$N$3:$O$34,2,FALSE)),IF(ISNA(VLOOKUP(B328,'Regioturnier 2'!$R$3:$S$34,2,FALSE))=TRUE,0,VLOOKUP(B328,'Regioturnier 2'!$R$3:$S$34,2,FALSE)), IF(ISNA(VLOOKUP(B328,'Regioturnier 2'!$V$3:$W$34,2,FALSE))=TRUE,0,VLOOKUP(B328,'Regioturnier 2'!$V$3:$W$34,2,FALSE)), IF(ISNA(VLOOKUP(B328,'Regioturnier 2'!$Z$3:$AA$34,2,FALSE))=TRUE,0,VLOOKUP(B328,'Regioturnier 2'!$Z$3:$AA$34,2,FALSE)))</f>
        <v>0</v>
      </c>
      <c r="Q328" s="15">
        <f>MAX(IF(ISNA(VLOOKUP(B328,'Regioturnier 3'!$B$3:$C$34,2,FALSE))=TRUE,0,VLOOKUP(B328,'Regioturnier 3'!$B$3:$C$34,2,FALSE)),IF(ISNA(VLOOKUP(B328,'Regioturnier 3'!$F$3:$G$34,2,FALSE))=TRUE,0,VLOOKUP(B328,'Regioturnier 3'!$F$3:$G$34,2,FALSE)),IF(ISNA(VLOOKUP(B328,'Regioturnier 3'!$J$3:$K$34,2,FALSE))=TRUE,0,VLOOKUP(B328,'Regioturnier 3'!$J$3:$K$34,2,FALSE)),IF(ISNA(VLOOKUP(B328,'Regioturnier 3'!$N$3:$O$34,2,FALSE))=TRUE,0,VLOOKUP(B328,'Regioturnier 3'!$N$3:$O$34,2,FALSE)),IF(ISNA(VLOOKUP(B328,'Regioturnier 3'!$R$3:$S$34,2,FALSE))=TRUE,0,VLOOKUP(B328,'Regioturnier 3'!$R$3:$S$34,2,FALSE)), IF(ISNA(VLOOKUP(B328,'Regioturnier 3'!$V$3:$W$34,2,FALSE))=TRUE,0,VLOOKUP(B328,'Regioturnier 3'!$V$3:$W$34,2,FALSE)), IF(ISNA(VLOOKUP(B328,'Regioturnier 3'!$Z$3:$AA$34,2,FALSE))=TRUE,0,VLOOKUP(B328,'Regioturnier 3'!$Z$3:$AA$34,2,FALSE)))</f>
        <v>0</v>
      </c>
      <c r="R328" s="20">
        <f>0.5*INDEX($H328:$N328,MATCH(LARGE($H328:$N328,1),$H328:$N328,0))+0.3*INDEX($H328:$N328,MATCH(LARGE($H328:$N328,2),$H328:$N328,0))+0.2*INDEX($H328:$N328,MATCH(LARGE($H328:$N328,3),$H328:$N328,0))</f>
        <v>0</v>
      </c>
      <c r="S328" s="20">
        <f>0.6*INDEX(O328:Q328,MATCH(LARGE(O328:Q328,1),O328:Q328,0))+0.4*INDEX(O328:Q328,MATCH(LARGE(O328:Q328,2),O328:Q328,0))+0*INDEX(O328:Q328,MATCH(LARGE(O328:Q328,3),O328:Q328,0))</f>
        <v>0</v>
      </c>
      <c r="T328" s="15">
        <f>1*INDEX(R328:S328,MATCH(LARGE(R328:S328,1),R328:S328,0))+0*INDEX(R328:S328,MATCH(LARGE(R328:S328,2),R328:S328,0))</f>
        <v>0</v>
      </c>
      <c r="U328" s="21"/>
      <c r="V328" s="21"/>
      <c r="W328" s="21"/>
      <c r="X328" s="21"/>
      <c r="Y328" s="21"/>
      <c r="Z328" s="21"/>
    </row>
    <row r="329" spans="1:26" ht="12.75" customHeight="1" x14ac:dyDescent="0.3">
      <c r="A329" s="15">
        <v>328</v>
      </c>
      <c r="B329" s="21" t="s">
        <v>334</v>
      </c>
      <c r="C329" s="21" t="s">
        <v>31</v>
      </c>
      <c r="D329" s="15" t="s">
        <v>26</v>
      </c>
      <c r="E329" s="15" t="s">
        <v>23</v>
      </c>
      <c r="F329" s="15">
        <v>109068</v>
      </c>
      <c r="G329" s="15">
        <v>2008</v>
      </c>
      <c r="H329" s="15">
        <f>MAX(IF(ISNA(VLOOKUP(B329,'WBV 1'!$B$3:$C$34,2,FALSE))=TRUE,0,VLOOKUP(B329,'WBV 1'!$B$3:$C$34,2,FALSE)),IF(ISNA(VLOOKUP(B329,'WBV 1'!$F$3:$G$34,2,FALSE))=TRUE,0,VLOOKUP(B329,'WBV 1'!$F$3:$G$34,2,FALSE)),IF(ISNA(VLOOKUP(B329,'WBV 1'!$J$3:$K$34,2,FALSE))=TRUE,0,VLOOKUP(B329,'WBV 1'!$J$3:$K$34,2,FALSE)),IF(ISNA(VLOOKUP(B329,'WBV 1'!$N$3:$O$34,2,FALSE))=TRUE,0,VLOOKUP(B329,'WBV 1'!$N$3:$O$34,2,FALSE)))</f>
        <v>0</v>
      </c>
      <c r="I329" s="15">
        <f>MAX(IF(ISNA(VLOOKUP(B329,'WBV 2'!$B$3:$C$34,2,FALSE))=TRUE,0,VLOOKUP(B329,'WBV 2'!$B$3:$C$34,2,FALSE)),IF(ISNA(VLOOKUP(B329,'WBV 2'!$F$3:$G$34,2,FALSE))=TRUE,0,VLOOKUP(B329,'WBV 2'!$F$3:$G$34,2,FALSE)),IF(ISNA(VLOOKUP(B329,'WBV 2'!$J$3:$K$34,2,FALSE))=TRUE,0,VLOOKUP(B329,'WBV 2'!$J$3:$K$34,2,FALSE)),IF(ISNA(VLOOKUP(B329,'WBV 2'!$N$3:$O$34,2,FALSE))=TRUE,0,VLOOKUP(B329,'WBV 2'!$N$3:$O$34,2,FALSE)))</f>
        <v>0</v>
      </c>
      <c r="J329" s="15">
        <f>MAX(IF(ISNA(VLOOKUP(B329,'WBV 3'!$B$3:$C$34,2,FALSE))=TRUE,0,VLOOKUP(B329,'WBV 3'!$B$3:$C$34,2,FALSE)),IF(ISNA(VLOOKUP(B329,'WBV 3'!$F$3:$G$34,2,FALSE))=TRUE,0,VLOOKUP(B329,'WBV 3'!$F$3:$G$34,2,FALSE)),IF(ISNA(VLOOKUP(B329,'WBV 3'!$J$3:$K$34,2,FALSE))=TRUE,0,VLOOKUP(B329,'WBV 3'!$J$3:$K$34,2,FALSE)),IF(ISNA(VLOOKUP(B329,'WBV 3'!$N$3:$O$34,2,FALSE))=TRUE,0,VLOOKUP(B329,'WBV 3'!$N$3:$O$34,2,FALSE)))</f>
        <v>0</v>
      </c>
      <c r="K329" s="15">
        <f>MAX(IF(ISNA(VLOOKUP(B329,'WBV 4'!$B$3:$C$34,2,FALSE))=TRUE,0,VLOOKUP(B329,'WBV 4'!$B$3:$C$34,2,FALSE)),IF(ISNA(VLOOKUP(B329,'WBV 4'!$F$3:$G$34,2,FALSE))=TRUE,0,VLOOKUP(B329,'WBV 4'!$F$3:$G$34,2,FALSE)),IF(ISNA(VLOOKUP(B329,'WBV 4'!$J$3:$K$34,2,FALSE))=TRUE,0,VLOOKUP(B329,'WBV 4'!$J$3:$K$34,2,FALSE)),IF(ISNA(VLOOKUP(B329,'WBV 4'!$N$3:$O$34,2,FALSE))=TRUE,0,VLOOKUP(B329,'WBV 4'!$N$3:$O$34,2,FALSE)))</f>
        <v>0</v>
      </c>
      <c r="L329" s="19">
        <f>MAX(IF(ISNA(VLOOKUP(B329,'NÖBV 1'!$B$3:$C$34,2,FALSE))=TRUE,0,VLOOKUP(B329,'NÖBV 1'!$B$3:$C$34,2,FALSE)),IF(ISNA(VLOOKUP(B329,'NÖBV 1'!$F$3:$G$34,2,FALSE))=TRUE,0,VLOOKUP(B329,'NÖBV 1'!$F$3:$G$34,2,FALSE)),IF(ISNA(VLOOKUP(B329,'NÖBV 1'!$J$3:$K$34,2,FALSE))=TRUE,0,VLOOKUP(B329,'NÖBV 1'!$J$3:$K$34,2,FALSE)),IF(ISNA(VLOOKUP(B329,'NÖBV 1'!$N$3:$O$34,2,FALSE))=TRUE,0,VLOOKUP(B329,'NÖBV 1'!$N$3:$O$34,2,FALSE)))</f>
        <v>0</v>
      </c>
      <c r="M329" s="19">
        <f>MAX(IF(ISNA(VLOOKUP(B329,'NÖBV 2'!$B$3:$C$34,2,FALSE))=TRUE,0,VLOOKUP(B329,'NÖBV 2'!$B$3:$C$34,2,FALSE)),IF(ISNA(VLOOKUP(B329,'NÖBV 2'!$F$3:$G$34,2,FALSE))=TRUE,0,VLOOKUP(B329,'NÖBV 2'!$F$3:$G$34,2,FALSE)),IF(ISNA(VLOOKUP(B329,'NÖBV 2'!$J$3:$K$34,2,FALSE))=TRUE,0,VLOOKUP(B329,'NÖBV 2'!$J$3:$K$34,2,FALSE)),IF(ISNA(VLOOKUP(B329,'NÖBV 2'!$N$3:$O$34,2,FALSE))=TRUE,0,VLOOKUP(B329,'NÖBV 2'!$N$3:$O$34,2,FALSE)))</f>
        <v>0</v>
      </c>
      <c r="N329" s="19">
        <f>MAX(IF(ISNA(VLOOKUP(B329,'NÖBV 3'!$B$3:$C$34,2,FALSE))=TRUE,0,VLOOKUP(B329,'NÖBV 3'!$B$3:$C$34,2,FALSE)),IF(ISNA(VLOOKUP(B329,'NÖBV 3'!$F$3:$G$34,2,FALSE))=TRUE,0,VLOOKUP(B329,'NÖBV 3'!$F$3:$G$34,2,FALSE)),IF(ISNA(VLOOKUP(B329,'NÖBV 3'!$J$3:$K$34,2,FALSE))=TRUE,0,VLOOKUP(B329,'NÖBV 3'!$J$3:$K$34,2,FALSE)),IF(ISNA(VLOOKUP(B329,'NÖBV 3'!$N$3:$O$34,2,FALSE))=TRUE,0,VLOOKUP(B329,'NÖBV 3'!$N$3:$O$34,2,FALSE)))</f>
        <v>0</v>
      </c>
      <c r="O329" s="15">
        <f>MAX(IF(ISNA(VLOOKUP(B329,'Regioturnier 1'!$B$3:$C$34,2,FALSE))=TRUE,0,VLOOKUP(B329,'Regioturnier 1'!$B$3:$C$34,2,FALSE)),IF(ISNA(VLOOKUP(B329,'Regioturnier 1'!$F$3:$G$34,2,FALSE))=TRUE,0,VLOOKUP(B329,'Regioturnier 1'!$F$3:$G$34,2,FALSE)),IF(ISNA(VLOOKUP(B329,'Regioturnier 1'!$J$3:$K$34,2,FALSE))=TRUE,0,VLOOKUP(B329,'Regioturnier 1'!$J$3:$K$34,2,FALSE)),IF(ISNA(VLOOKUP(B329,'Regioturnier 1'!$N$3:$O$34,2,FALSE))=TRUE,0,VLOOKUP(B329,'Regioturnier 1'!$N$3:$O$34,2,FALSE)),IF(ISNA(VLOOKUP(B329,'Regioturnier 1'!$R$3:$S$34,2,FALSE))=TRUE,0,VLOOKUP(B329,'Regioturnier 1'!$R$3:$S$34,2,FALSE)), IF(ISNA(VLOOKUP(B329,'Regioturnier 1'!$V$3:$W$34,2,FALSE))=TRUE,0,VLOOKUP(B329,'Regioturnier 1'!$V$3:$W$34,2,FALSE)), IF(ISNA(VLOOKUP(B329,'Regioturnier 1'!$Z$3:$AA$34,2,FALSE))=TRUE,0,VLOOKUP(B329,'Regioturnier 1'!$Z$3:$AA$34,2,FALSE)))</f>
        <v>0</v>
      </c>
      <c r="P329" s="15">
        <f>MAX(IF(ISNA(VLOOKUP(B329,'Regioturnier 2'!$B$3:$C$34,2,FALSE))=TRUE,0,VLOOKUP(B329,'Regioturnier 2'!$B$3:$C$34,2,FALSE)),IF(ISNA(VLOOKUP(B329,'Regioturnier 2'!$F$3:$G$34,2,FALSE))=TRUE,0,VLOOKUP(B329,'Regioturnier 2'!$F$3:$G$34,2,FALSE)),IF(ISNA(VLOOKUP(B329,'Regioturnier 2'!$J$3:$K$34,2,FALSE))=TRUE,0,VLOOKUP(B329,'Regioturnier 2'!$J$3:$K$34,2,FALSE)),IF(ISNA(VLOOKUP(B329,'Regioturnier 2'!$N$3:$O$34,2,FALSE))=TRUE,0,VLOOKUP(B329,'Regioturnier 2'!$N$3:$O$34,2,FALSE)),IF(ISNA(VLOOKUP(B329,'Regioturnier 2'!$R$3:$S$34,2,FALSE))=TRUE,0,VLOOKUP(B329,'Regioturnier 2'!$R$3:$S$34,2,FALSE)), IF(ISNA(VLOOKUP(B329,'Regioturnier 2'!$V$3:$W$34,2,FALSE))=TRUE,0,VLOOKUP(B329,'Regioturnier 2'!$V$3:$W$34,2,FALSE)), IF(ISNA(VLOOKUP(B329,'Regioturnier 2'!$Z$3:$AA$34,2,FALSE))=TRUE,0,VLOOKUP(B329,'Regioturnier 2'!$Z$3:$AA$34,2,FALSE)))</f>
        <v>0</v>
      </c>
      <c r="Q329" s="15">
        <f>MAX(IF(ISNA(VLOOKUP(B329,'Regioturnier 3'!$B$3:$C$34,2,FALSE))=TRUE,0,VLOOKUP(B329,'Regioturnier 3'!$B$3:$C$34,2,FALSE)),IF(ISNA(VLOOKUP(B329,'Regioturnier 3'!$F$3:$G$34,2,FALSE))=TRUE,0,VLOOKUP(B329,'Regioturnier 3'!$F$3:$G$34,2,FALSE)),IF(ISNA(VLOOKUP(B329,'Regioturnier 3'!$J$3:$K$34,2,FALSE))=TRUE,0,VLOOKUP(B329,'Regioturnier 3'!$J$3:$K$34,2,FALSE)),IF(ISNA(VLOOKUP(B329,'Regioturnier 3'!$N$3:$O$34,2,FALSE))=TRUE,0,VLOOKUP(B329,'Regioturnier 3'!$N$3:$O$34,2,FALSE)),IF(ISNA(VLOOKUP(B329,'Regioturnier 3'!$R$3:$S$34,2,FALSE))=TRUE,0,VLOOKUP(B329,'Regioturnier 3'!$R$3:$S$34,2,FALSE)), IF(ISNA(VLOOKUP(B329,'Regioturnier 3'!$V$3:$W$34,2,FALSE))=TRUE,0,VLOOKUP(B329,'Regioturnier 3'!$V$3:$W$34,2,FALSE)), IF(ISNA(VLOOKUP(B329,'Regioturnier 3'!$Z$3:$AA$34,2,FALSE))=TRUE,0,VLOOKUP(B329,'Regioturnier 3'!$Z$3:$AA$34,2,FALSE)))</f>
        <v>0</v>
      </c>
      <c r="R329" s="20">
        <f>0.5*INDEX($H329:$N329,MATCH(LARGE($H329:$N329,1),$H329:$N329,0))+0.3*INDEX($H329:$N329,MATCH(LARGE($H329:$N329,2),$H329:$N329,0))+0.2*INDEX($H329:$N329,MATCH(LARGE($H329:$N329,3),$H329:$N329,0))</f>
        <v>0</v>
      </c>
      <c r="S329" s="20">
        <f>0.6*INDEX(O329:Q329,MATCH(LARGE(O329:Q329,1),O329:Q329,0))+0.4*INDEX(O329:Q329,MATCH(LARGE(O329:Q329,2),O329:Q329,0))+0*INDEX(O329:Q329,MATCH(LARGE(O329:Q329,3),O329:Q329,0))</f>
        <v>0</v>
      </c>
      <c r="T329" s="15">
        <f>1*INDEX(R329:S329,MATCH(LARGE(R329:S329,1),R329:S329,0))+0*INDEX(R329:S329,MATCH(LARGE(R329:S329,2),R329:S329,0))</f>
        <v>0</v>
      </c>
      <c r="U329" s="21"/>
      <c r="V329" s="21"/>
      <c r="W329" s="21"/>
      <c r="X329" s="21"/>
      <c r="Y329" s="21"/>
      <c r="Z329" s="21"/>
    </row>
    <row r="330" spans="1:26" ht="12.75" customHeight="1" x14ac:dyDescent="0.3">
      <c r="A330" s="15">
        <v>329</v>
      </c>
      <c r="B330" s="21" t="s">
        <v>335</v>
      </c>
      <c r="C330" s="21" t="s">
        <v>57</v>
      </c>
      <c r="D330" s="15" t="s">
        <v>26</v>
      </c>
      <c r="E330" s="15" t="s">
        <v>23</v>
      </c>
      <c r="F330" s="15">
        <v>17047</v>
      </c>
      <c r="G330" s="15">
        <v>2008</v>
      </c>
      <c r="H330" s="15">
        <f>MAX(IF(ISNA(VLOOKUP(B330,'WBV 1'!$B$3:$C$34,2,FALSE))=TRUE,0,VLOOKUP(B330,'WBV 1'!$B$3:$C$34,2,FALSE)),IF(ISNA(VLOOKUP(B330,'WBV 1'!$F$3:$G$34,2,FALSE))=TRUE,0,VLOOKUP(B330,'WBV 1'!$F$3:$G$34,2,FALSE)),IF(ISNA(VLOOKUP(B330,'WBV 1'!$J$3:$K$34,2,FALSE))=TRUE,0,VLOOKUP(B330,'WBV 1'!$J$3:$K$34,2,FALSE)),IF(ISNA(VLOOKUP(B330,'WBV 1'!$N$3:$O$34,2,FALSE))=TRUE,0,VLOOKUP(B330,'WBV 1'!$N$3:$O$34,2,FALSE)))</f>
        <v>0</v>
      </c>
      <c r="I330" s="15">
        <f>MAX(IF(ISNA(VLOOKUP(B330,'WBV 2'!$B$3:$C$34,2,FALSE))=TRUE,0,VLOOKUP(B330,'WBV 2'!$B$3:$C$34,2,FALSE)),IF(ISNA(VLOOKUP(B330,'WBV 2'!$F$3:$G$34,2,FALSE))=TRUE,0,VLOOKUP(B330,'WBV 2'!$F$3:$G$34,2,FALSE)),IF(ISNA(VLOOKUP(B330,'WBV 2'!$J$3:$K$34,2,FALSE))=TRUE,0,VLOOKUP(B330,'WBV 2'!$J$3:$K$34,2,FALSE)),IF(ISNA(VLOOKUP(B330,'WBV 2'!$N$3:$O$34,2,FALSE))=TRUE,0,VLOOKUP(B330,'WBV 2'!$N$3:$O$34,2,FALSE)))</f>
        <v>0</v>
      </c>
      <c r="J330" s="15">
        <f>MAX(IF(ISNA(VLOOKUP(B330,'WBV 3'!$B$3:$C$34,2,FALSE))=TRUE,0,VLOOKUP(B330,'WBV 3'!$B$3:$C$34,2,FALSE)),IF(ISNA(VLOOKUP(B330,'WBV 3'!$F$3:$G$34,2,FALSE))=TRUE,0,VLOOKUP(B330,'WBV 3'!$F$3:$G$34,2,FALSE)),IF(ISNA(VLOOKUP(B330,'WBV 3'!$J$3:$K$34,2,FALSE))=TRUE,0,VLOOKUP(B330,'WBV 3'!$J$3:$K$34,2,FALSE)),IF(ISNA(VLOOKUP(B330,'WBV 3'!$N$3:$O$34,2,FALSE))=TRUE,0,VLOOKUP(B330,'WBV 3'!$N$3:$O$34,2,FALSE)))</f>
        <v>0</v>
      </c>
      <c r="K330" s="15">
        <f>MAX(IF(ISNA(VLOOKUP(B330,'WBV 4'!$B$3:$C$34,2,FALSE))=TRUE,0,VLOOKUP(B330,'WBV 4'!$B$3:$C$34,2,FALSE)),IF(ISNA(VLOOKUP(B330,'WBV 4'!$F$3:$G$34,2,FALSE))=TRUE,0,VLOOKUP(B330,'WBV 4'!$F$3:$G$34,2,FALSE)),IF(ISNA(VLOOKUP(B330,'WBV 4'!$J$3:$K$34,2,FALSE))=TRUE,0,VLOOKUP(B330,'WBV 4'!$J$3:$K$34,2,FALSE)),IF(ISNA(VLOOKUP(B330,'WBV 4'!$N$3:$O$34,2,FALSE))=TRUE,0,VLOOKUP(B330,'WBV 4'!$N$3:$O$34,2,FALSE)))</f>
        <v>0</v>
      </c>
      <c r="L330" s="19">
        <f>MAX(IF(ISNA(VLOOKUP(B330,'NÖBV 1'!$B$3:$C$34,2,FALSE))=TRUE,0,VLOOKUP(B330,'NÖBV 1'!$B$3:$C$34,2,FALSE)),IF(ISNA(VLOOKUP(B330,'NÖBV 1'!$F$3:$G$34,2,FALSE))=TRUE,0,VLOOKUP(B330,'NÖBV 1'!$F$3:$G$34,2,FALSE)),IF(ISNA(VLOOKUP(B330,'NÖBV 1'!$J$3:$K$34,2,FALSE))=TRUE,0,VLOOKUP(B330,'NÖBV 1'!$J$3:$K$34,2,FALSE)),IF(ISNA(VLOOKUP(B330,'NÖBV 1'!$N$3:$O$34,2,FALSE))=TRUE,0,VLOOKUP(B330,'NÖBV 1'!$N$3:$O$34,2,FALSE)))</f>
        <v>0</v>
      </c>
      <c r="M330" s="19">
        <f>MAX(IF(ISNA(VLOOKUP(B330,'NÖBV 2'!$B$3:$C$34,2,FALSE))=TRUE,0,VLOOKUP(B330,'NÖBV 2'!$B$3:$C$34,2,FALSE)),IF(ISNA(VLOOKUP(B330,'NÖBV 2'!$F$3:$G$34,2,FALSE))=TRUE,0,VLOOKUP(B330,'NÖBV 2'!$F$3:$G$34,2,FALSE)),IF(ISNA(VLOOKUP(B330,'NÖBV 2'!$J$3:$K$34,2,FALSE))=TRUE,0,VLOOKUP(B330,'NÖBV 2'!$J$3:$K$34,2,FALSE)),IF(ISNA(VLOOKUP(B330,'NÖBV 2'!$N$3:$O$34,2,FALSE))=TRUE,0,VLOOKUP(B330,'NÖBV 2'!$N$3:$O$34,2,FALSE)))</f>
        <v>0</v>
      </c>
      <c r="N330" s="19">
        <f>MAX(IF(ISNA(VLOOKUP(B330,'NÖBV 3'!$B$3:$C$34,2,FALSE))=TRUE,0,VLOOKUP(B330,'NÖBV 3'!$B$3:$C$34,2,FALSE)),IF(ISNA(VLOOKUP(B330,'NÖBV 3'!$F$3:$G$34,2,FALSE))=TRUE,0,VLOOKUP(B330,'NÖBV 3'!$F$3:$G$34,2,FALSE)),IF(ISNA(VLOOKUP(B330,'NÖBV 3'!$J$3:$K$34,2,FALSE))=TRUE,0,VLOOKUP(B330,'NÖBV 3'!$J$3:$K$34,2,FALSE)),IF(ISNA(VLOOKUP(B330,'NÖBV 3'!$N$3:$O$34,2,FALSE))=TRUE,0,VLOOKUP(B330,'NÖBV 3'!$N$3:$O$34,2,FALSE)))</f>
        <v>0</v>
      </c>
      <c r="O330" s="15">
        <f>MAX(IF(ISNA(VLOOKUP(B330,'Regioturnier 1'!$B$3:$C$34,2,FALSE))=TRUE,0,VLOOKUP(B330,'Regioturnier 1'!$B$3:$C$34,2,FALSE)),IF(ISNA(VLOOKUP(B330,'Regioturnier 1'!$F$3:$G$34,2,FALSE))=TRUE,0,VLOOKUP(B330,'Regioturnier 1'!$F$3:$G$34,2,FALSE)),IF(ISNA(VLOOKUP(B330,'Regioturnier 1'!$J$3:$K$34,2,FALSE))=TRUE,0,VLOOKUP(B330,'Regioturnier 1'!$J$3:$K$34,2,FALSE)),IF(ISNA(VLOOKUP(B330,'Regioturnier 1'!$N$3:$O$34,2,FALSE))=TRUE,0,VLOOKUP(B330,'Regioturnier 1'!$N$3:$O$34,2,FALSE)),IF(ISNA(VLOOKUP(B330,'Regioturnier 1'!$R$3:$S$34,2,FALSE))=TRUE,0,VLOOKUP(B330,'Regioturnier 1'!$R$3:$S$34,2,FALSE)), IF(ISNA(VLOOKUP(B330,'Regioturnier 1'!$V$3:$W$34,2,FALSE))=TRUE,0,VLOOKUP(B330,'Regioturnier 1'!$V$3:$W$34,2,FALSE)), IF(ISNA(VLOOKUP(B330,'Regioturnier 1'!$Z$3:$AA$34,2,FALSE))=TRUE,0,VLOOKUP(B330,'Regioturnier 1'!$Z$3:$AA$34,2,FALSE)))</f>
        <v>0</v>
      </c>
      <c r="P330" s="15">
        <f>MAX(IF(ISNA(VLOOKUP(B330,'Regioturnier 2'!$B$3:$C$34,2,FALSE))=TRUE,0,VLOOKUP(B330,'Regioturnier 2'!$B$3:$C$34,2,FALSE)),IF(ISNA(VLOOKUP(B330,'Regioturnier 2'!$F$3:$G$34,2,FALSE))=TRUE,0,VLOOKUP(B330,'Regioturnier 2'!$F$3:$G$34,2,FALSE)),IF(ISNA(VLOOKUP(B330,'Regioturnier 2'!$J$3:$K$34,2,FALSE))=TRUE,0,VLOOKUP(B330,'Regioturnier 2'!$J$3:$K$34,2,FALSE)),IF(ISNA(VLOOKUP(B330,'Regioturnier 2'!$N$3:$O$34,2,FALSE))=TRUE,0,VLOOKUP(B330,'Regioturnier 2'!$N$3:$O$34,2,FALSE)),IF(ISNA(VLOOKUP(B330,'Regioturnier 2'!$R$3:$S$34,2,FALSE))=TRUE,0,VLOOKUP(B330,'Regioturnier 2'!$R$3:$S$34,2,FALSE)), IF(ISNA(VLOOKUP(B330,'Regioturnier 2'!$V$3:$W$34,2,FALSE))=TRUE,0,VLOOKUP(B330,'Regioturnier 2'!$V$3:$W$34,2,FALSE)), IF(ISNA(VLOOKUP(B330,'Regioturnier 2'!$Z$3:$AA$34,2,FALSE))=TRUE,0,VLOOKUP(B330,'Regioturnier 2'!$Z$3:$AA$34,2,FALSE)))</f>
        <v>0</v>
      </c>
      <c r="Q330" s="15">
        <f>MAX(IF(ISNA(VLOOKUP(B330,'Regioturnier 3'!$B$3:$C$34,2,FALSE))=TRUE,0,VLOOKUP(B330,'Regioturnier 3'!$B$3:$C$34,2,FALSE)),IF(ISNA(VLOOKUP(B330,'Regioturnier 3'!$F$3:$G$34,2,FALSE))=TRUE,0,VLOOKUP(B330,'Regioturnier 3'!$F$3:$G$34,2,FALSE)),IF(ISNA(VLOOKUP(B330,'Regioturnier 3'!$J$3:$K$34,2,FALSE))=TRUE,0,VLOOKUP(B330,'Regioturnier 3'!$J$3:$K$34,2,FALSE)),IF(ISNA(VLOOKUP(B330,'Regioturnier 3'!$N$3:$O$34,2,FALSE))=TRUE,0,VLOOKUP(B330,'Regioturnier 3'!$N$3:$O$34,2,FALSE)),IF(ISNA(VLOOKUP(B330,'Regioturnier 3'!$R$3:$S$34,2,FALSE))=TRUE,0,VLOOKUP(B330,'Regioturnier 3'!$R$3:$S$34,2,FALSE)), IF(ISNA(VLOOKUP(B330,'Regioturnier 3'!$V$3:$W$34,2,FALSE))=TRUE,0,VLOOKUP(B330,'Regioturnier 3'!$V$3:$W$34,2,FALSE)), IF(ISNA(VLOOKUP(B330,'Regioturnier 3'!$Z$3:$AA$34,2,FALSE))=TRUE,0,VLOOKUP(B330,'Regioturnier 3'!$Z$3:$AA$34,2,FALSE)))</f>
        <v>0</v>
      </c>
      <c r="R330" s="20">
        <f>0.5*INDEX($H330:$N330,MATCH(LARGE($H330:$N330,1),$H330:$N330,0))+0.3*INDEX($H330:$N330,MATCH(LARGE($H330:$N330,2),$H330:$N330,0))+0.2*INDEX($H330:$N330,MATCH(LARGE($H330:$N330,3),$H330:$N330,0))</f>
        <v>0</v>
      </c>
      <c r="S330" s="20">
        <f>0.6*INDEX(O330:Q330,MATCH(LARGE(O330:Q330,1),O330:Q330,0))+0.4*INDEX(O330:Q330,MATCH(LARGE(O330:Q330,2),O330:Q330,0))+0*INDEX(O330:Q330,MATCH(LARGE(O330:Q330,3),O330:Q330,0))</f>
        <v>0</v>
      </c>
      <c r="T330" s="15">
        <f>1*INDEX(R330:S330,MATCH(LARGE(R330:S330,1),R330:S330,0))+0*INDEX(R330:S330,MATCH(LARGE(R330:S330,2),R330:S330,0))</f>
        <v>0</v>
      </c>
      <c r="U330" s="21"/>
      <c r="V330" s="21"/>
      <c r="W330" s="21"/>
      <c r="X330" s="21"/>
      <c r="Y330" s="21"/>
      <c r="Z330" s="21"/>
    </row>
    <row r="331" spans="1:26" ht="12.75" customHeight="1" x14ac:dyDescent="0.3">
      <c r="A331" s="15">
        <v>330</v>
      </c>
      <c r="B331" s="21" t="s">
        <v>336</v>
      </c>
      <c r="C331" s="21" t="s">
        <v>31</v>
      </c>
      <c r="D331" s="15" t="s">
        <v>26</v>
      </c>
      <c r="E331" s="15" t="s">
        <v>40</v>
      </c>
      <c r="F331" s="15"/>
      <c r="G331" s="15"/>
      <c r="H331" s="15">
        <f>MAX(IF(ISNA(VLOOKUP(B331,'WBV 1'!$B$3:$C$34,2,FALSE))=TRUE,0,VLOOKUP(B331,'WBV 1'!$B$3:$C$34,2,FALSE)),IF(ISNA(VLOOKUP(B331,'WBV 1'!$F$3:$G$34,2,FALSE))=TRUE,0,VLOOKUP(B331,'WBV 1'!$F$3:$G$34,2,FALSE)),IF(ISNA(VLOOKUP(B331,'WBV 1'!$J$3:$K$34,2,FALSE))=TRUE,0,VLOOKUP(B331,'WBV 1'!$J$3:$K$34,2,FALSE)),IF(ISNA(VLOOKUP(B331,'WBV 1'!$N$3:$O$34,2,FALSE))=TRUE,0,VLOOKUP(B331,'WBV 1'!$N$3:$O$34,2,FALSE)))</f>
        <v>0</v>
      </c>
      <c r="I331" s="15">
        <f>MAX(IF(ISNA(VLOOKUP(B331,'WBV 2'!$B$3:$C$34,2,FALSE))=TRUE,0,VLOOKUP(B331,'WBV 2'!$B$3:$C$34,2,FALSE)),IF(ISNA(VLOOKUP(B331,'WBV 2'!$F$3:$G$34,2,FALSE))=TRUE,0,VLOOKUP(B331,'WBV 2'!$F$3:$G$34,2,FALSE)),IF(ISNA(VLOOKUP(B331,'WBV 2'!$J$3:$K$34,2,FALSE))=TRUE,0,VLOOKUP(B331,'WBV 2'!$J$3:$K$34,2,FALSE)),IF(ISNA(VLOOKUP(B331,'WBV 2'!$N$3:$O$34,2,FALSE))=TRUE,0,VLOOKUP(B331,'WBV 2'!$N$3:$O$34,2,FALSE)))</f>
        <v>0</v>
      </c>
      <c r="J331" s="15">
        <f>MAX(IF(ISNA(VLOOKUP(B331,'WBV 3'!$B$3:$C$34,2,FALSE))=TRUE,0,VLOOKUP(B331,'WBV 3'!$B$3:$C$34,2,FALSE)),IF(ISNA(VLOOKUP(B331,'WBV 3'!$F$3:$G$34,2,FALSE))=TRUE,0,VLOOKUP(B331,'WBV 3'!$F$3:$G$34,2,FALSE)),IF(ISNA(VLOOKUP(B331,'WBV 3'!$J$3:$K$34,2,FALSE))=TRUE,0,VLOOKUP(B331,'WBV 3'!$J$3:$K$34,2,FALSE)),IF(ISNA(VLOOKUP(B331,'WBV 3'!$N$3:$O$34,2,FALSE))=TRUE,0,VLOOKUP(B331,'WBV 3'!$N$3:$O$34,2,FALSE)))</f>
        <v>0</v>
      </c>
      <c r="K331" s="15">
        <f>MAX(IF(ISNA(VLOOKUP(B331,'WBV 4'!$B$3:$C$34,2,FALSE))=TRUE,0,VLOOKUP(B331,'WBV 4'!$B$3:$C$34,2,FALSE)),IF(ISNA(VLOOKUP(B331,'WBV 4'!$F$3:$G$34,2,FALSE))=TRUE,0,VLOOKUP(B331,'WBV 4'!$F$3:$G$34,2,FALSE)),IF(ISNA(VLOOKUP(B331,'WBV 4'!$J$3:$K$34,2,FALSE))=TRUE,0,VLOOKUP(B331,'WBV 4'!$J$3:$K$34,2,FALSE)),IF(ISNA(VLOOKUP(B331,'WBV 4'!$N$3:$O$34,2,FALSE))=TRUE,0,VLOOKUP(B331,'WBV 4'!$N$3:$O$34,2,FALSE)))</f>
        <v>0</v>
      </c>
      <c r="L331" s="19">
        <f>MAX(IF(ISNA(VLOOKUP(B331,'NÖBV 1'!$B$3:$C$34,2,FALSE))=TRUE,0,VLOOKUP(B331,'NÖBV 1'!$B$3:$C$34,2,FALSE)),IF(ISNA(VLOOKUP(B331,'NÖBV 1'!$F$3:$G$34,2,FALSE))=TRUE,0,VLOOKUP(B331,'NÖBV 1'!$F$3:$G$34,2,FALSE)),IF(ISNA(VLOOKUP(B331,'NÖBV 1'!$J$3:$K$34,2,FALSE))=TRUE,0,VLOOKUP(B331,'NÖBV 1'!$J$3:$K$34,2,FALSE)),IF(ISNA(VLOOKUP(B331,'NÖBV 1'!$N$3:$O$34,2,FALSE))=TRUE,0,VLOOKUP(B331,'NÖBV 1'!$N$3:$O$34,2,FALSE)))</f>
        <v>0</v>
      </c>
      <c r="M331" s="19">
        <f>MAX(IF(ISNA(VLOOKUP(B331,'NÖBV 2'!$B$3:$C$34,2,FALSE))=TRUE,0,VLOOKUP(B331,'NÖBV 2'!$B$3:$C$34,2,FALSE)),IF(ISNA(VLOOKUP(B331,'NÖBV 2'!$F$3:$G$34,2,FALSE))=TRUE,0,VLOOKUP(B331,'NÖBV 2'!$F$3:$G$34,2,FALSE)),IF(ISNA(VLOOKUP(B331,'NÖBV 2'!$J$3:$K$34,2,FALSE))=TRUE,0,VLOOKUP(B331,'NÖBV 2'!$J$3:$K$34,2,FALSE)),IF(ISNA(VLOOKUP(B331,'NÖBV 2'!$N$3:$O$34,2,FALSE))=TRUE,0,VLOOKUP(B331,'NÖBV 2'!$N$3:$O$34,2,FALSE)))</f>
        <v>0</v>
      </c>
      <c r="N331" s="19">
        <f>MAX(IF(ISNA(VLOOKUP(B331,'NÖBV 3'!$B$3:$C$34,2,FALSE))=TRUE,0,VLOOKUP(B331,'NÖBV 3'!$B$3:$C$34,2,FALSE)),IF(ISNA(VLOOKUP(B331,'NÖBV 3'!$F$3:$G$34,2,FALSE))=TRUE,0,VLOOKUP(B331,'NÖBV 3'!$F$3:$G$34,2,FALSE)),IF(ISNA(VLOOKUP(B331,'NÖBV 3'!$J$3:$K$34,2,FALSE))=TRUE,0,VLOOKUP(B331,'NÖBV 3'!$J$3:$K$34,2,FALSE)),IF(ISNA(VLOOKUP(B331,'NÖBV 3'!$N$3:$O$34,2,FALSE))=TRUE,0,VLOOKUP(B331,'NÖBV 3'!$N$3:$O$34,2,FALSE)))</f>
        <v>0</v>
      </c>
      <c r="O331" s="15">
        <f>MAX(IF(ISNA(VLOOKUP(B331,'Regioturnier 1'!$B$3:$C$34,2,FALSE))=TRUE,0,VLOOKUP(B331,'Regioturnier 1'!$B$3:$C$34,2,FALSE)),IF(ISNA(VLOOKUP(B331,'Regioturnier 1'!$F$3:$G$34,2,FALSE))=TRUE,0,VLOOKUP(B331,'Regioturnier 1'!$F$3:$G$34,2,FALSE)),IF(ISNA(VLOOKUP(B331,'Regioturnier 1'!$J$3:$K$34,2,FALSE))=TRUE,0,VLOOKUP(B331,'Regioturnier 1'!$J$3:$K$34,2,FALSE)),IF(ISNA(VLOOKUP(B331,'Regioturnier 1'!$N$3:$O$34,2,FALSE))=TRUE,0,VLOOKUP(B331,'Regioturnier 1'!$N$3:$O$34,2,FALSE)),IF(ISNA(VLOOKUP(B331,'Regioturnier 1'!$R$3:$S$34,2,FALSE))=TRUE,0,VLOOKUP(B331,'Regioturnier 1'!$R$3:$S$34,2,FALSE)), IF(ISNA(VLOOKUP(B331,'Regioturnier 1'!$V$3:$W$34,2,FALSE))=TRUE,0,VLOOKUP(B331,'Regioturnier 1'!$V$3:$W$34,2,FALSE)), IF(ISNA(VLOOKUP(B331,'Regioturnier 1'!$Z$3:$AA$34,2,FALSE))=TRUE,0,VLOOKUP(B331,'Regioturnier 1'!$Z$3:$AA$34,2,FALSE)))</f>
        <v>0</v>
      </c>
      <c r="P331" s="15">
        <f>MAX(IF(ISNA(VLOOKUP(B331,'Regioturnier 2'!$B$3:$C$34,2,FALSE))=TRUE,0,VLOOKUP(B331,'Regioturnier 2'!$B$3:$C$34,2,FALSE)),IF(ISNA(VLOOKUP(B331,'Regioturnier 2'!$F$3:$G$34,2,FALSE))=TRUE,0,VLOOKUP(B331,'Regioturnier 2'!$F$3:$G$34,2,FALSE)),IF(ISNA(VLOOKUP(B331,'Regioturnier 2'!$J$3:$K$34,2,FALSE))=TRUE,0,VLOOKUP(B331,'Regioturnier 2'!$J$3:$K$34,2,FALSE)),IF(ISNA(VLOOKUP(B331,'Regioturnier 2'!$N$3:$O$34,2,FALSE))=TRUE,0,VLOOKUP(B331,'Regioturnier 2'!$N$3:$O$34,2,FALSE)),IF(ISNA(VLOOKUP(B331,'Regioturnier 2'!$R$3:$S$34,2,FALSE))=TRUE,0,VLOOKUP(B331,'Regioturnier 2'!$R$3:$S$34,2,FALSE)), IF(ISNA(VLOOKUP(B331,'Regioturnier 2'!$V$3:$W$34,2,FALSE))=TRUE,0,VLOOKUP(B331,'Regioturnier 2'!$V$3:$W$34,2,FALSE)), IF(ISNA(VLOOKUP(B331,'Regioturnier 2'!$Z$3:$AA$34,2,FALSE))=TRUE,0,VLOOKUP(B331,'Regioturnier 2'!$Z$3:$AA$34,2,FALSE)))</f>
        <v>0</v>
      </c>
      <c r="Q331" s="15">
        <f>MAX(IF(ISNA(VLOOKUP(B331,'Regioturnier 3'!$B$3:$C$34,2,FALSE))=TRUE,0,VLOOKUP(B331,'Regioturnier 3'!$B$3:$C$34,2,FALSE)),IF(ISNA(VLOOKUP(B331,'Regioturnier 3'!$F$3:$G$34,2,FALSE))=TRUE,0,VLOOKUP(B331,'Regioturnier 3'!$F$3:$G$34,2,FALSE)),IF(ISNA(VLOOKUP(B331,'Regioturnier 3'!$J$3:$K$34,2,FALSE))=TRUE,0,VLOOKUP(B331,'Regioturnier 3'!$J$3:$K$34,2,FALSE)),IF(ISNA(VLOOKUP(B331,'Regioturnier 3'!$N$3:$O$34,2,FALSE))=TRUE,0,VLOOKUP(B331,'Regioturnier 3'!$N$3:$O$34,2,FALSE)),IF(ISNA(VLOOKUP(B331,'Regioturnier 3'!$R$3:$S$34,2,FALSE))=TRUE,0,VLOOKUP(B331,'Regioturnier 3'!$R$3:$S$34,2,FALSE)), IF(ISNA(VLOOKUP(B331,'Regioturnier 3'!$V$3:$W$34,2,FALSE))=TRUE,0,VLOOKUP(B331,'Regioturnier 3'!$V$3:$W$34,2,FALSE)), IF(ISNA(VLOOKUP(B331,'Regioturnier 3'!$Z$3:$AA$34,2,FALSE))=TRUE,0,VLOOKUP(B331,'Regioturnier 3'!$Z$3:$AA$34,2,FALSE)))</f>
        <v>0</v>
      </c>
      <c r="R331" s="20">
        <f>0.5*INDEX($H331:$N331,MATCH(LARGE($H331:$N331,1),$H331:$N331,0))+0.3*INDEX($H331:$N331,MATCH(LARGE($H331:$N331,2),$H331:$N331,0))+0.2*INDEX($H331:$N331,MATCH(LARGE($H331:$N331,3),$H331:$N331,0))</f>
        <v>0</v>
      </c>
      <c r="S331" s="20">
        <f>0.6*INDEX(O331:Q331,MATCH(LARGE(O331:Q331,1),O331:Q331,0))+0.4*INDEX(O331:Q331,MATCH(LARGE(O331:Q331,2),O331:Q331,0))+0*INDEX(O331:Q331,MATCH(LARGE(O331:Q331,3),O331:Q331,0))</f>
        <v>0</v>
      </c>
      <c r="T331" s="15">
        <f>1*INDEX(R331:S331,MATCH(LARGE(R331:S331,1),R331:S331,0))+0*INDEX(R331:S331,MATCH(LARGE(R331:S331,2),R331:S331,0))</f>
        <v>0</v>
      </c>
      <c r="U331" s="21"/>
      <c r="V331" s="21"/>
      <c r="W331" s="21"/>
      <c r="X331" s="21"/>
      <c r="Y331" s="21"/>
      <c r="Z331" s="21"/>
    </row>
    <row r="332" spans="1:26" ht="12.75" customHeight="1" x14ac:dyDescent="0.3">
      <c r="A332" s="15">
        <v>331</v>
      </c>
      <c r="B332" s="21" t="s">
        <v>337</v>
      </c>
      <c r="C332" s="21" t="s">
        <v>43</v>
      </c>
      <c r="D332" s="15" t="s">
        <v>26</v>
      </c>
      <c r="E332" s="15" t="s">
        <v>23</v>
      </c>
      <c r="F332" s="15">
        <v>109510</v>
      </c>
      <c r="G332" s="15">
        <v>2013</v>
      </c>
      <c r="H332" s="15">
        <f>MAX(IF(ISNA(VLOOKUP(B332,'WBV 1'!$B$3:$C$34,2,FALSE))=TRUE,0,VLOOKUP(B332,'WBV 1'!$B$3:$C$34,2,FALSE)),IF(ISNA(VLOOKUP(B332,'WBV 1'!$F$3:$G$34,2,FALSE))=TRUE,0,VLOOKUP(B332,'WBV 1'!$F$3:$G$34,2,FALSE)),IF(ISNA(VLOOKUP(B332,'WBV 1'!$J$3:$K$34,2,FALSE))=TRUE,0,VLOOKUP(B332,'WBV 1'!$J$3:$K$34,2,FALSE)),IF(ISNA(VLOOKUP(B332,'WBV 1'!$N$3:$O$34,2,FALSE))=TRUE,0,VLOOKUP(B332,'WBV 1'!$N$3:$O$34,2,FALSE)))</f>
        <v>0</v>
      </c>
      <c r="I332" s="15">
        <f>MAX(IF(ISNA(VLOOKUP(B332,'WBV 2'!$B$3:$C$34,2,FALSE))=TRUE,0,VLOOKUP(B332,'WBV 2'!$B$3:$C$34,2,FALSE)),IF(ISNA(VLOOKUP(B332,'WBV 2'!$F$3:$G$34,2,FALSE))=TRUE,0,VLOOKUP(B332,'WBV 2'!$F$3:$G$34,2,FALSE)),IF(ISNA(VLOOKUP(B332,'WBV 2'!$J$3:$K$34,2,FALSE))=TRUE,0,VLOOKUP(B332,'WBV 2'!$J$3:$K$34,2,FALSE)),IF(ISNA(VLOOKUP(B332,'WBV 2'!$N$3:$O$34,2,FALSE))=TRUE,0,VLOOKUP(B332,'WBV 2'!$N$3:$O$34,2,FALSE)))</f>
        <v>0</v>
      </c>
      <c r="J332" s="15">
        <f>MAX(IF(ISNA(VLOOKUP(B332,'WBV 3'!$B$3:$C$34,2,FALSE))=TRUE,0,VLOOKUP(B332,'WBV 3'!$B$3:$C$34,2,FALSE)),IF(ISNA(VLOOKUP(B332,'WBV 3'!$F$3:$G$34,2,FALSE))=TRUE,0,VLOOKUP(B332,'WBV 3'!$F$3:$G$34,2,FALSE)),IF(ISNA(VLOOKUP(B332,'WBV 3'!$J$3:$K$34,2,FALSE))=TRUE,0,VLOOKUP(B332,'WBV 3'!$J$3:$K$34,2,FALSE)),IF(ISNA(VLOOKUP(B332,'WBV 3'!$N$3:$O$34,2,FALSE))=TRUE,0,VLOOKUP(B332,'WBV 3'!$N$3:$O$34,2,FALSE)))</f>
        <v>0</v>
      </c>
      <c r="K332" s="15">
        <f>MAX(IF(ISNA(VLOOKUP(B332,'WBV 4'!$B$3:$C$34,2,FALSE))=TRUE,0,VLOOKUP(B332,'WBV 4'!$B$3:$C$34,2,FALSE)),IF(ISNA(VLOOKUP(B332,'WBV 4'!$F$3:$G$34,2,FALSE))=TRUE,0,VLOOKUP(B332,'WBV 4'!$F$3:$G$34,2,FALSE)),IF(ISNA(VLOOKUP(B332,'WBV 4'!$J$3:$K$34,2,FALSE))=TRUE,0,VLOOKUP(B332,'WBV 4'!$J$3:$K$34,2,FALSE)),IF(ISNA(VLOOKUP(B332,'WBV 4'!$N$3:$O$34,2,FALSE))=TRUE,0,VLOOKUP(B332,'WBV 4'!$N$3:$O$34,2,FALSE)))</f>
        <v>0</v>
      </c>
      <c r="L332" s="19">
        <f>MAX(IF(ISNA(VLOOKUP(B332,'NÖBV 1'!$B$3:$C$34,2,FALSE))=TRUE,0,VLOOKUP(B332,'NÖBV 1'!$B$3:$C$34,2,FALSE)),IF(ISNA(VLOOKUP(B332,'NÖBV 1'!$F$3:$G$34,2,FALSE))=TRUE,0,VLOOKUP(B332,'NÖBV 1'!$F$3:$G$34,2,FALSE)),IF(ISNA(VLOOKUP(B332,'NÖBV 1'!$J$3:$K$34,2,FALSE))=TRUE,0,VLOOKUP(B332,'NÖBV 1'!$J$3:$K$34,2,FALSE)),IF(ISNA(VLOOKUP(B332,'NÖBV 1'!$N$3:$O$34,2,FALSE))=TRUE,0,VLOOKUP(B332,'NÖBV 1'!$N$3:$O$34,2,FALSE)))</f>
        <v>0</v>
      </c>
      <c r="M332" s="19">
        <f>MAX(IF(ISNA(VLOOKUP(B332,'NÖBV 2'!$B$3:$C$34,2,FALSE))=TRUE,0,VLOOKUP(B332,'NÖBV 2'!$B$3:$C$34,2,FALSE)),IF(ISNA(VLOOKUP(B332,'NÖBV 2'!$F$3:$G$34,2,FALSE))=TRUE,0,VLOOKUP(B332,'NÖBV 2'!$F$3:$G$34,2,FALSE)),IF(ISNA(VLOOKUP(B332,'NÖBV 2'!$J$3:$K$34,2,FALSE))=TRUE,0,VLOOKUP(B332,'NÖBV 2'!$J$3:$K$34,2,FALSE)),IF(ISNA(VLOOKUP(B332,'NÖBV 2'!$N$3:$O$34,2,FALSE))=TRUE,0,VLOOKUP(B332,'NÖBV 2'!$N$3:$O$34,2,FALSE)))</f>
        <v>0</v>
      </c>
      <c r="N332" s="19">
        <f>MAX(IF(ISNA(VLOOKUP(B332,'NÖBV 3'!$B$3:$C$34,2,FALSE))=TRUE,0,VLOOKUP(B332,'NÖBV 3'!$B$3:$C$34,2,FALSE)),IF(ISNA(VLOOKUP(B332,'NÖBV 3'!$F$3:$G$34,2,FALSE))=TRUE,0,VLOOKUP(B332,'NÖBV 3'!$F$3:$G$34,2,FALSE)),IF(ISNA(VLOOKUP(B332,'NÖBV 3'!$J$3:$K$34,2,FALSE))=TRUE,0,VLOOKUP(B332,'NÖBV 3'!$J$3:$K$34,2,FALSE)),IF(ISNA(VLOOKUP(B332,'NÖBV 3'!$N$3:$O$34,2,FALSE))=TRUE,0,VLOOKUP(B332,'NÖBV 3'!$N$3:$O$34,2,FALSE)))</f>
        <v>0</v>
      </c>
      <c r="O332" s="15">
        <f>MAX(IF(ISNA(VLOOKUP(B332,'Regioturnier 1'!$B$3:$C$34,2,FALSE))=TRUE,0,VLOOKUP(B332,'Regioturnier 1'!$B$3:$C$34,2,FALSE)),IF(ISNA(VLOOKUP(B332,'Regioturnier 1'!$F$3:$G$34,2,FALSE))=TRUE,0,VLOOKUP(B332,'Regioturnier 1'!$F$3:$G$34,2,FALSE)),IF(ISNA(VLOOKUP(B332,'Regioturnier 1'!$J$3:$K$34,2,FALSE))=TRUE,0,VLOOKUP(B332,'Regioturnier 1'!$J$3:$K$34,2,FALSE)),IF(ISNA(VLOOKUP(B332,'Regioturnier 1'!$N$3:$O$34,2,FALSE))=TRUE,0,VLOOKUP(B332,'Regioturnier 1'!$N$3:$O$34,2,FALSE)),IF(ISNA(VLOOKUP(B332,'Regioturnier 1'!$R$3:$S$34,2,FALSE))=TRUE,0,VLOOKUP(B332,'Regioturnier 1'!$R$3:$S$34,2,FALSE)), IF(ISNA(VLOOKUP(B332,'Regioturnier 1'!$V$3:$W$34,2,FALSE))=TRUE,0,VLOOKUP(B332,'Regioturnier 1'!$V$3:$W$34,2,FALSE)), IF(ISNA(VLOOKUP(B332,'Regioturnier 1'!$Z$3:$AA$34,2,FALSE))=TRUE,0,VLOOKUP(B332,'Regioturnier 1'!$Z$3:$AA$34,2,FALSE)))</f>
        <v>0</v>
      </c>
      <c r="P332" s="15">
        <f>MAX(IF(ISNA(VLOOKUP(B332,'Regioturnier 2'!$B$3:$C$34,2,FALSE))=TRUE,0,VLOOKUP(B332,'Regioturnier 2'!$B$3:$C$34,2,FALSE)),IF(ISNA(VLOOKUP(B332,'Regioturnier 2'!$F$3:$G$34,2,FALSE))=TRUE,0,VLOOKUP(B332,'Regioturnier 2'!$F$3:$G$34,2,FALSE)),IF(ISNA(VLOOKUP(B332,'Regioturnier 2'!$J$3:$K$34,2,FALSE))=TRUE,0,VLOOKUP(B332,'Regioturnier 2'!$J$3:$K$34,2,FALSE)),IF(ISNA(VLOOKUP(B332,'Regioturnier 2'!$N$3:$O$34,2,FALSE))=TRUE,0,VLOOKUP(B332,'Regioturnier 2'!$N$3:$O$34,2,FALSE)),IF(ISNA(VLOOKUP(B332,'Regioturnier 2'!$R$3:$S$34,2,FALSE))=TRUE,0,VLOOKUP(B332,'Regioturnier 2'!$R$3:$S$34,2,FALSE)), IF(ISNA(VLOOKUP(B332,'Regioturnier 2'!$V$3:$W$34,2,FALSE))=TRUE,0,VLOOKUP(B332,'Regioturnier 2'!$V$3:$W$34,2,FALSE)), IF(ISNA(VLOOKUP(B332,'Regioturnier 2'!$Z$3:$AA$34,2,FALSE))=TRUE,0,VLOOKUP(B332,'Regioturnier 2'!$Z$3:$AA$34,2,FALSE)))</f>
        <v>0</v>
      </c>
      <c r="Q332" s="15">
        <f>MAX(IF(ISNA(VLOOKUP(B332,'Regioturnier 3'!$B$3:$C$34,2,FALSE))=TRUE,0,VLOOKUP(B332,'Regioturnier 3'!$B$3:$C$34,2,FALSE)),IF(ISNA(VLOOKUP(B332,'Regioturnier 3'!$F$3:$G$34,2,FALSE))=TRUE,0,VLOOKUP(B332,'Regioturnier 3'!$F$3:$G$34,2,FALSE)),IF(ISNA(VLOOKUP(B332,'Regioturnier 3'!$J$3:$K$34,2,FALSE))=TRUE,0,VLOOKUP(B332,'Regioturnier 3'!$J$3:$K$34,2,FALSE)),IF(ISNA(VLOOKUP(B332,'Regioturnier 3'!$N$3:$O$34,2,FALSE))=TRUE,0,VLOOKUP(B332,'Regioturnier 3'!$N$3:$O$34,2,FALSE)),IF(ISNA(VLOOKUP(B332,'Regioturnier 3'!$R$3:$S$34,2,FALSE))=TRUE,0,VLOOKUP(B332,'Regioturnier 3'!$R$3:$S$34,2,FALSE)), IF(ISNA(VLOOKUP(B332,'Regioturnier 3'!$V$3:$W$34,2,FALSE))=TRUE,0,VLOOKUP(B332,'Regioturnier 3'!$V$3:$W$34,2,FALSE)), IF(ISNA(VLOOKUP(B332,'Regioturnier 3'!$Z$3:$AA$34,2,FALSE))=TRUE,0,VLOOKUP(B332,'Regioturnier 3'!$Z$3:$AA$34,2,FALSE)))</f>
        <v>0</v>
      </c>
      <c r="R332" s="20">
        <f>0.5*INDEX($H332:$N332,MATCH(LARGE($H332:$N332,1),$H332:$N332,0))+0.3*INDEX($H332:$N332,MATCH(LARGE($H332:$N332,2),$H332:$N332,0))+0.2*INDEX($H332:$N332,MATCH(LARGE($H332:$N332,3),$H332:$N332,0))</f>
        <v>0</v>
      </c>
      <c r="S332" s="20">
        <f>0.6*INDEX(O332:Q332,MATCH(LARGE(O332:Q332,1),O332:Q332,0))+0.4*INDEX(O332:Q332,MATCH(LARGE(O332:Q332,2),O332:Q332,0))+0*INDEX(O332:Q332,MATCH(LARGE(O332:Q332,3),O332:Q332,0))</f>
        <v>0</v>
      </c>
      <c r="T332" s="15">
        <f>1*INDEX(R332:S332,MATCH(LARGE(R332:S332,1),R332:S332,0))+0*INDEX(R332:S332,MATCH(LARGE(R332:S332,2),R332:S332,0))</f>
        <v>0</v>
      </c>
      <c r="U332" s="21"/>
      <c r="V332" s="21"/>
      <c r="W332" s="21"/>
      <c r="X332" s="21"/>
      <c r="Y332" s="21"/>
      <c r="Z332" s="21"/>
    </row>
    <row r="333" spans="1:26" ht="12.75" customHeight="1" x14ac:dyDescent="0.3">
      <c r="A333" s="15">
        <v>332</v>
      </c>
      <c r="B333" s="21" t="s">
        <v>338</v>
      </c>
      <c r="C333" s="21" t="s">
        <v>48</v>
      </c>
      <c r="D333" s="15" t="s">
        <v>26</v>
      </c>
      <c r="E333" s="15" t="s">
        <v>23</v>
      </c>
      <c r="F333" s="15">
        <v>110329</v>
      </c>
      <c r="G333" s="15">
        <v>2010</v>
      </c>
      <c r="H333" s="15">
        <f>MAX(IF(ISNA(VLOOKUP(B333,'WBV 1'!$B$3:$C$34,2,FALSE))=TRUE,0,VLOOKUP(B333,'WBV 1'!$B$3:$C$34,2,FALSE)),IF(ISNA(VLOOKUP(B333,'WBV 1'!$F$3:$G$34,2,FALSE))=TRUE,0,VLOOKUP(B333,'WBV 1'!$F$3:$G$34,2,FALSE)),IF(ISNA(VLOOKUP(B333,'WBV 1'!$J$3:$K$34,2,FALSE))=TRUE,0,VLOOKUP(B333,'WBV 1'!$J$3:$K$34,2,FALSE)),IF(ISNA(VLOOKUP(B333,'WBV 1'!$N$3:$O$34,2,FALSE))=TRUE,0,VLOOKUP(B333,'WBV 1'!$N$3:$O$34,2,FALSE)))</f>
        <v>0</v>
      </c>
      <c r="I333" s="15">
        <f>MAX(IF(ISNA(VLOOKUP(B333,'WBV 2'!$B$3:$C$34,2,FALSE))=TRUE,0,VLOOKUP(B333,'WBV 2'!$B$3:$C$34,2,FALSE)),IF(ISNA(VLOOKUP(B333,'WBV 2'!$F$3:$G$34,2,FALSE))=TRUE,0,VLOOKUP(B333,'WBV 2'!$F$3:$G$34,2,FALSE)),IF(ISNA(VLOOKUP(B333,'WBV 2'!$J$3:$K$34,2,FALSE))=TRUE,0,VLOOKUP(B333,'WBV 2'!$J$3:$K$34,2,FALSE)),IF(ISNA(VLOOKUP(B333,'WBV 2'!$N$3:$O$34,2,FALSE))=TRUE,0,VLOOKUP(B333,'WBV 2'!$N$3:$O$34,2,FALSE)))</f>
        <v>0</v>
      </c>
      <c r="J333" s="15">
        <f>MAX(IF(ISNA(VLOOKUP(B333,'WBV 3'!$B$3:$C$34,2,FALSE))=TRUE,0,VLOOKUP(B333,'WBV 3'!$B$3:$C$34,2,FALSE)),IF(ISNA(VLOOKUP(B333,'WBV 3'!$F$3:$G$34,2,FALSE))=TRUE,0,VLOOKUP(B333,'WBV 3'!$F$3:$G$34,2,FALSE)),IF(ISNA(VLOOKUP(B333,'WBV 3'!$J$3:$K$34,2,FALSE))=TRUE,0,VLOOKUP(B333,'WBV 3'!$J$3:$K$34,2,FALSE)),IF(ISNA(VLOOKUP(B333,'WBV 3'!$N$3:$O$34,2,FALSE))=TRUE,0,VLOOKUP(B333,'WBV 3'!$N$3:$O$34,2,FALSE)))</f>
        <v>0</v>
      </c>
      <c r="K333" s="15">
        <f>MAX(IF(ISNA(VLOOKUP(B333,'WBV 4'!$B$3:$C$34,2,FALSE))=TRUE,0,VLOOKUP(B333,'WBV 4'!$B$3:$C$34,2,FALSE)),IF(ISNA(VLOOKUP(B333,'WBV 4'!$F$3:$G$34,2,FALSE))=TRUE,0,VLOOKUP(B333,'WBV 4'!$F$3:$G$34,2,FALSE)),IF(ISNA(VLOOKUP(B333,'WBV 4'!$J$3:$K$34,2,FALSE))=TRUE,0,VLOOKUP(B333,'WBV 4'!$J$3:$K$34,2,FALSE)),IF(ISNA(VLOOKUP(B333,'WBV 4'!$N$3:$O$34,2,FALSE))=TRUE,0,VLOOKUP(B333,'WBV 4'!$N$3:$O$34,2,FALSE)))</f>
        <v>0</v>
      </c>
      <c r="L333" s="19">
        <f>MAX(IF(ISNA(VLOOKUP(B333,'NÖBV 1'!$B$3:$C$34,2,FALSE))=TRUE,0,VLOOKUP(B333,'NÖBV 1'!$B$3:$C$34,2,FALSE)),IF(ISNA(VLOOKUP(B333,'NÖBV 1'!$F$3:$G$34,2,FALSE))=TRUE,0,VLOOKUP(B333,'NÖBV 1'!$F$3:$G$34,2,FALSE)),IF(ISNA(VLOOKUP(B333,'NÖBV 1'!$J$3:$K$34,2,FALSE))=TRUE,0,VLOOKUP(B333,'NÖBV 1'!$J$3:$K$34,2,FALSE)),IF(ISNA(VLOOKUP(B333,'NÖBV 1'!$N$3:$O$34,2,FALSE))=TRUE,0,VLOOKUP(B333,'NÖBV 1'!$N$3:$O$34,2,FALSE)))</f>
        <v>0</v>
      </c>
      <c r="M333" s="19">
        <f>MAX(IF(ISNA(VLOOKUP(B333,'NÖBV 2'!$B$3:$C$34,2,FALSE))=TRUE,0,VLOOKUP(B333,'NÖBV 2'!$B$3:$C$34,2,FALSE)),IF(ISNA(VLOOKUP(B333,'NÖBV 2'!$F$3:$G$34,2,FALSE))=TRUE,0,VLOOKUP(B333,'NÖBV 2'!$F$3:$G$34,2,FALSE)),IF(ISNA(VLOOKUP(B333,'NÖBV 2'!$J$3:$K$34,2,FALSE))=TRUE,0,VLOOKUP(B333,'NÖBV 2'!$J$3:$K$34,2,FALSE)),IF(ISNA(VLOOKUP(B333,'NÖBV 2'!$N$3:$O$34,2,FALSE))=TRUE,0,VLOOKUP(B333,'NÖBV 2'!$N$3:$O$34,2,FALSE)))</f>
        <v>0</v>
      </c>
      <c r="N333" s="19">
        <f>MAX(IF(ISNA(VLOOKUP(B333,'NÖBV 3'!$B$3:$C$34,2,FALSE))=TRUE,0,VLOOKUP(B333,'NÖBV 3'!$B$3:$C$34,2,FALSE)),IF(ISNA(VLOOKUP(B333,'NÖBV 3'!$F$3:$G$34,2,FALSE))=TRUE,0,VLOOKUP(B333,'NÖBV 3'!$F$3:$G$34,2,FALSE)),IF(ISNA(VLOOKUP(B333,'NÖBV 3'!$J$3:$K$34,2,FALSE))=TRUE,0,VLOOKUP(B333,'NÖBV 3'!$J$3:$K$34,2,FALSE)),IF(ISNA(VLOOKUP(B333,'NÖBV 3'!$N$3:$O$34,2,FALSE))=TRUE,0,VLOOKUP(B333,'NÖBV 3'!$N$3:$O$34,2,FALSE)))</f>
        <v>0</v>
      </c>
      <c r="O333" s="15">
        <f>MAX(IF(ISNA(VLOOKUP(B333,'Regioturnier 1'!$B$3:$C$34,2,FALSE))=TRUE,0,VLOOKUP(B333,'Regioturnier 1'!$B$3:$C$34,2,FALSE)),IF(ISNA(VLOOKUP(B333,'Regioturnier 1'!$F$3:$G$34,2,FALSE))=TRUE,0,VLOOKUP(B333,'Regioturnier 1'!$F$3:$G$34,2,FALSE)),IF(ISNA(VLOOKUP(B333,'Regioturnier 1'!$J$3:$K$34,2,FALSE))=TRUE,0,VLOOKUP(B333,'Regioturnier 1'!$J$3:$K$34,2,FALSE)),IF(ISNA(VLOOKUP(B333,'Regioturnier 1'!$N$3:$O$34,2,FALSE))=TRUE,0,VLOOKUP(B333,'Regioturnier 1'!$N$3:$O$34,2,FALSE)),IF(ISNA(VLOOKUP(B333,'Regioturnier 1'!$R$3:$S$34,2,FALSE))=TRUE,0,VLOOKUP(B333,'Regioturnier 1'!$R$3:$S$34,2,FALSE)), IF(ISNA(VLOOKUP(B333,'Regioturnier 1'!$V$3:$W$34,2,FALSE))=TRUE,0,VLOOKUP(B333,'Regioturnier 1'!$V$3:$W$34,2,FALSE)), IF(ISNA(VLOOKUP(B333,'Regioturnier 1'!$Z$3:$AA$34,2,FALSE))=TRUE,0,VLOOKUP(B333,'Regioturnier 1'!$Z$3:$AA$34,2,FALSE)))</f>
        <v>0</v>
      </c>
      <c r="P333" s="15">
        <f>MAX(IF(ISNA(VLOOKUP(B333,'Regioturnier 2'!$B$3:$C$34,2,FALSE))=TRUE,0,VLOOKUP(B333,'Regioturnier 2'!$B$3:$C$34,2,FALSE)),IF(ISNA(VLOOKUP(B333,'Regioturnier 2'!$F$3:$G$34,2,FALSE))=TRUE,0,VLOOKUP(B333,'Regioturnier 2'!$F$3:$G$34,2,FALSE)),IF(ISNA(VLOOKUP(B333,'Regioturnier 2'!$J$3:$K$34,2,FALSE))=TRUE,0,VLOOKUP(B333,'Regioturnier 2'!$J$3:$K$34,2,FALSE)),IF(ISNA(VLOOKUP(B333,'Regioturnier 2'!$N$3:$O$34,2,FALSE))=TRUE,0,VLOOKUP(B333,'Regioturnier 2'!$N$3:$O$34,2,FALSE)),IF(ISNA(VLOOKUP(B333,'Regioturnier 2'!$R$3:$S$34,2,FALSE))=TRUE,0,VLOOKUP(B333,'Regioturnier 2'!$R$3:$S$34,2,FALSE)), IF(ISNA(VLOOKUP(B333,'Regioturnier 2'!$V$3:$W$34,2,FALSE))=TRUE,0,VLOOKUP(B333,'Regioturnier 2'!$V$3:$W$34,2,FALSE)), IF(ISNA(VLOOKUP(B333,'Regioturnier 2'!$Z$3:$AA$34,2,FALSE))=TRUE,0,VLOOKUP(B333,'Regioturnier 2'!$Z$3:$AA$34,2,FALSE)))</f>
        <v>0</v>
      </c>
      <c r="Q333" s="15">
        <f>MAX(IF(ISNA(VLOOKUP(B333,'Regioturnier 3'!$B$3:$C$34,2,FALSE))=TRUE,0,VLOOKUP(B333,'Regioturnier 3'!$B$3:$C$34,2,FALSE)),IF(ISNA(VLOOKUP(B333,'Regioturnier 3'!$F$3:$G$34,2,FALSE))=TRUE,0,VLOOKUP(B333,'Regioturnier 3'!$F$3:$G$34,2,FALSE)),IF(ISNA(VLOOKUP(B333,'Regioturnier 3'!$J$3:$K$34,2,FALSE))=TRUE,0,VLOOKUP(B333,'Regioturnier 3'!$J$3:$K$34,2,FALSE)),IF(ISNA(VLOOKUP(B333,'Regioturnier 3'!$N$3:$O$34,2,FALSE))=TRUE,0,VLOOKUP(B333,'Regioturnier 3'!$N$3:$O$34,2,FALSE)),IF(ISNA(VLOOKUP(B333,'Regioturnier 3'!$R$3:$S$34,2,FALSE))=TRUE,0,VLOOKUP(B333,'Regioturnier 3'!$R$3:$S$34,2,FALSE)), IF(ISNA(VLOOKUP(B333,'Regioturnier 3'!$V$3:$W$34,2,FALSE))=TRUE,0,VLOOKUP(B333,'Regioturnier 3'!$V$3:$W$34,2,FALSE)), IF(ISNA(VLOOKUP(B333,'Regioturnier 3'!$Z$3:$AA$34,2,FALSE))=TRUE,0,VLOOKUP(B333,'Regioturnier 3'!$Z$3:$AA$34,2,FALSE)))</f>
        <v>0</v>
      </c>
      <c r="R333" s="20">
        <f>0.5*INDEX($H333:$N333,MATCH(LARGE($H333:$N333,1),$H333:$N333,0))+0.3*INDEX($H333:$N333,MATCH(LARGE($H333:$N333,2),$H333:$N333,0))+0.2*INDEX($H333:$N333,MATCH(LARGE($H333:$N333,3),$H333:$N333,0))</f>
        <v>0</v>
      </c>
      <c r="S333" s="20">
        <f>0.6*INDEX(O333:Q333,MATCH(LARGE(O333:Q333,1),O333:Q333,0))+0.4*INDEX(O333:Q333,MATCH(LARGE(O333:Q333,2),O333:Q333,0))+0*INDEX(O333:Q333,MATCH(LARGE(O333:Q333,3),O333:Q333,0))</f>
        <v>0</v>
      </c>
      <c r="T333" s="15">
        <f>1*INDEX(R333:S333,MATCH(LARGE(R333:S333,1),R333:S333,0))+0*INDEX(R333:S333,MATCH(LARGE(R333:S333,2),R333:S333,0))</f>
        <v>0</v>
      </c>
      <c r="U333" s="21"/>
      <c r="V333" s="21"/>
      <c r="W333" s="21"/>
      <c r="X333" s="21"/>
      <c r="Y333" s="21"/>
      <c r="Z333" s="21"/>
    </row>
    <row r="334" spans="1:26" ht="12.75" customHeight="1" x14ac:dyDescent="0.3">
      <c r="A334" s="15">
        <v>333</v>
      </c>
      <c r="B334" s="21" t="s">
        <v>339</v>
      </c>
      <c r="C334" s="21" t="s">
        <v>25</v>
      </c>
      <c r="D334" s="15" t="s">
        <v>26</v>
      </c>
      <c r="E334" s="15" t="s">
        <v>23</v>
      </c>
      <c r="F334" s="15">
        <v>110349</v>
      </c>
      <c r="G334" s="15">
        <v>2013</v>
      </c>
      <c r="H334" s="15">
        <f>MAX(IF(ISNA(VLOOKUP(B334,'WBV 1'!$B$3:$C$34,2,FALSE))=TRUE,0,VLOOKUP(B334,'WBV 1'!$B$3:$C$34,2,FALSE)),IF(ISNA(VLOOKUP(B334,'WBV 1'!$F$3:$G$34,2,FALSE))=TRUE,0,VLOOKUP(B334,'WBV 1'!$F$3:$G$34,2,FALSE)),IF(ISNA(VLOOKUP(B334,'WBV 1'!$J$3:$K$34,2,FALSE))=TRUE,0,VLOOKUP(B334,'WBV 1'!$J$3:$K$34,2,FALSE)),IF(ISNA(VLOOKUP(B334,'WBV 1'!$N$3:$O$34,2,FALSE))=TRUE,0,VLOOKUP(B334,'WBV 1'!$N$3:$O$34,2,FALSE)))</f>
        <v>0</v>
      </c>
      <c r="I334" s="15">
        <f>MAX(IF(ISNA(VLOOKUP(B334,'WBV 2'!$B$3:$C$34,2,FALSE))=TRUE,0,VLOOKUP(B334,'WBV 2'!$B$3:$C$34,2,FALSE)),IF(ISNA(VLOOKUP(B334,'WBV 2'!$F$3:$G$34,2,FALSE))=TRUE,0,VLOOKUP(B334,'WBV 2'!$F$3:$G$34,2,FALSE)),IF(ISNA(VLOOKUP(B334,'WBV 2'!$J$3:$K$34,2,FALSE))=TRUE,0,VLOOKUP(B334,'WBV 2'!$J$3:$K$34,2,FALSE)),IF(ISNA(VLOOKUP(B334,'WBV 2'!$N$3:$O$34,2,FALSE))=TRUE,0,VLOOKUP(B334,'WBV 2'!$N$3:$O$34,2,FALSE)))</f>
        <v>0</v>
      </c>
      <c r="J334" s="15">
        <f>MAX(IF(ISNA(VLOOKUP(B334,'WBV 3'!$B$3:$C$34,2,FALSE))=TRUE,0,VLOOKUP(B334,'WBV 3'!$B$3:$C$34,2,FALSE)),IF(ISNA(VLOOKUP(B334,'WBV 3'!$F$3:$G$34,2,FALSE))=TRUE,0,VLOOKUP(B334,'WBV 3'!$F$3:$G$34,2,FALSE)),IF(ISNA(VLOOKUP(B334,'WBV 3'!$J$3:$K$34,2,FALSE))=TRUE,0,VLOOKUP(B334,'WBV 3'!$J$3:$K$34,2,FALSE)),IF(ISNA(VLOOKUP(B334,'WBV 3'!$N$3:$O$34,2,FALSE))=TRUE,0,VLOOKUP(B334,'WBV 3'!$N$3:$O$34,2,FALSE)))</f>
        <v>0</v>
      </c>
      <c r="K334" s="15">
        <f>MAX(IF(ISNA(VLOOKUP(B334,'WBV 4'!$B$3:$C$34,2,FALSE))=TRUE,0,VLOOKUP(B334,'WBV 4'!$B$3:$C$34,2,FALSE)),IF(ISNA(VLOOKUP(B334,'WBV 4'!$F$3:$G$34,2,FALSE))=TRUE,0,VLOOKUP(B334,'WBV 4'!$F$3:$G$34,2,FALSE)),IF(ISNA(VLOOKUP(B334,'WBV 4'!$J$3:$K$34,2,FALSE))=TRUE,0,VLOOKUP(B334,'WBV 4'!$J$3:$K$34,2,FALSE)),IF(ISNA(VLOOKUP(B334,'WBV 4'!$N$3:$O$34,2,FALSE))=TRUE,0,VLOOKUP(B334,'WBV 4'!$N$3:$O$34,2,FALSE)))</f>
        <v>0</v>
      </c>
      <c r="L334" s="19">
        <f>MAX(IF(ISNA(VLOOKUP(B334,'NÖBV 1'!$B$3:$C$34,2,FALSE))=TRUE,0,VLOOKUP(B334,'NÖBV 1'!$B$3:$C$34,2,FALSE)),IF(ISNA(VLOOKUP(B334,'NÖBV 1'!$F$3:$G$34,2,FALSE))=TRUE,0,VLOOKUP(B334,'NÖBV 1'!$F$3:$G$34,2,FALSE)),IF(ISNA(VLOOKUP(B334,'NÖBV 1'!$J$3:$K$34,2,FALSE))=TRUE,0,VLOOKUP(B334,'NÖBV 1'!$J$3:$K$34,2,FALSE)),IF(ISNA(VLOOKUP(B334,'NÖBV 1'!$N$3:$O$34,2,FALSE))=TRUE,0,VLOOKUP(B334,'NÖBV 1'!$N$3:$O$34,2,FALSE)))</f>
        <v>0</v>
      </c>
      <c r="M334" s="19">
        <f>MAX(IF(ISNA(VLOOKUP(B334,'NÖBV 2'!$B$3:$C$34,2,FALSE))=TRUE,0,VLOOKUP(B334,'NÖBV 2'!$B$3:$C$34,2,FALSE)),IF(ISNA(VLOOKUP(B334,'NÖBV 2'!$F$3:$G$34,2,FALSE))=TRUE,0,VLOOKUP(B334,'NÖBV 2'!$F$3:$G$34,2,FALSE)),IF(ISNA(VLOOKUP(B334,'NÖBV 2'!$J$3:$K$34,2,FALSE))=TRUE,0,VLOOKUP(B334,'NÖBV 2'!$J$3:$K$34,2,FALSE)),IF(ISNA(VLOOKUP(B334,'NÖBV 2'!$N$3:$O$34,2,FALSE))=TRUE,0,VLOOKUP(B334,'NÖBV 2'!$N$3:$O$34,2,FALSE)))</f>
        <v>0</v>
      </c>
      <c r="N334" s="19">
        <f>MAX(IF(ISNA(VLOOKUP(B334,'NÖBV 3'!$B$3:$C$34,2,FALSE))=TRUE,0,VLOOKUP(B334,'NÖBV 3'!$B$3:$C$34,2,FALSE)),IF(ISNA(VLOOKUP(B334,'NÖBV 3'!$F$3:$G$34,2,FALSE))=TRUE,0,VLOOKUP(B334,'NÖBV 3'!$F$3:$G$34,2,FALSE)),IF(ISNA(VLOOKUP(B334,'NÖBV 3'!$J$3:$K$34,2,FALSE))=TRUE,0,VLOOKUP(B334,'NÖBV 3'!$J$3:$K$34,2,FALSE)),IF(ISNA(VLOOKUP(B334,'NÖBV 3'!$N$3:$O$34,2,FALSE))=TRUE,0,VLOOKUP(B334,'NÖBV 3'!$N$3:$O$34,2,FALSE)))</f>
        <v>0</v>
      </c>
      <c r="O334" s="15">
        <f>MAX(IF(ISNA(VLOOKUP(B334,'Regioturnier 1'!$B$3:$C$34,2,FALSE))=TRUE,0,VLOOKUP(B334,'Regioturnier 1'!$B$3:$C$34,2,FALSE)),IF(ISNA(VLOOKUP(B334,'Regioturnier 1'!$F$3:$G$34,2,FALSE))=TRUE,0,VLOOKUP(B334,'Regioturnier 1'!$F$3:$G$34,2,FALSE)),IF(ISNA(VLOOKUP(B334,'Regioturnier 1'!$J$3:$K$34,2,FALSE))=TRUE,0,VLOOKUP(B334,'Regioturnier 1'!$J$3:$K$34,2,FALSE)),IF(ISNA(VLOOKUP(B334,'Regioturnier 1'!$N$3:$O$34,2,FALSE))=TRUE,0,VLOOKUP(B334,'Regioturnier 1'!$N$3:$O$34,2,FALSE)),IF(ISNA(VLOOKUP(B334,'Regioturnier 1'!$R$3:$S$34,2,FALSE))=TRUE,0,VLOOKUP(B334,'Regioturnier 1'!$R$3:$S$34,2,FALSE)), IF(ISNA(VLOOKUP(B334,'Regioturnier 1'!$V$3:$W$34,2,FALSE))=TRUE,0,VLOOKUP(B334,'Regioturnier 1'!$V$3:$W$34,2,FALSE)), IF(ISNA(VLOOKUP(B334,'Regioturnier 1'!$Z$3:$AA$34,2,FALSE))=TRUE,0,VLOOKUP(B334,'Regioturnier 1'!$Z$3:$AA$34,2,FALSE)))</f>
        <v>0</v>
      </c>
      <c r="P334" s="15">
        <f>MAX(IF(ISNA(VLOOKUP(B334,'Regioturnier 2'!$B$3:$C$34,2,FALSE))=TRUE,0,VLOOKUP(B334,'Regioturnier 2'!$B$3:$C$34,2,FALSE)),IF(ISNA(VLOOKUP(B334,'Regioturnier 2'!$F$3:$G$34,2,FALSE))=TRUE,0,VLOOKUP(B334,'Regioturnier 2'!$F$3:$G$34,2,FALSE)),IF(ISNA(VLOOKUP(B334,'Regioturnier 2'!$J$3:$K$34,2,FALSE))=TRUE,0,VLOOKUP(B334,'Regioturnier 2'!$J$3:$K$34,2,FALSE)),IF(ISNA(VLOOKUP(B334,'Regioturnier 2'!$N$3:$O$34,2,FALSE))=TRUE,0,VLOOKUP(B334,'Regioturnier 2'!$N$3:$O$34,2,FALSE)),IF(ISNA(VLOOKUP(B334,'Regioturnier 2'!$R$3:$S$34,2,FALSE))=TRUE,0,VLOOKUP(B334,'Regioturnier 2'!$R$3:$S$34,2,FALSE)), IF(ISNA(VLOOKUP(B334,'Regioturnier 2'!$V$3:$W$34,2,FALSE))=TRUE,0,VLOOKUP(B334,'Regioturnier 2'!$V$3:$W$34,2,FALSE)), IF(ISNA(VLOOKUP(B334,'Regioturnier 2'!$Z$3:$AA$34,2,FALSE))=TRUE,0,VLOOKUP(B334,'Regioturnier 2'!$Z$3:$AA$34,2,FALSE)))</f>
        <v>0</v>
      </c>
      <c r="Q334" s="15">
        <f>MAX(IF(ISNA(VLOOKUP(B334,'Regioturnier 3'!$B$3:$C$34,2,FALSE))=TRUE,0,VLOOKUP(B334,'Regioturnier 3'!$B$3:$C$34,2,FALSE)),IF(ISNA(VLOOKUP(B334,'Regioturnier 3'!$F$3:$G$34,2,FALSE))=TRUE,0,VLOOKUP(B334,'Regioturnier 3'!$F$3:$G$34,2,FALSE)),IF(ISNA(VLOOKUP(B334,'Regioturnier 3'!$J$3:$K$34,2,FALSE))=TRUE,0,VLOOKUP(B334,'Regioturnier 3'!$J$3:$K$34,2,FALSE)),IF(ISNA(VLOOKUP(B334,'Regioturnier 3'!$N$3:$O$34,2,FALSE))=TRUE,0,VLOOKUP(B334,'Regioturnier 3'!$N$3:$O$34,2,FALSE)),IF(ISNA(VLOOKUP(B334,'Regioturnier 3'!$R$3:$S$34,2,FALSE))=TRUE,0,VLOOKUP(B334,'Regioturnier 3'!$R$3:$S$34,2,FALSE)), IF(ISNA(VLOOKUP(B334,'Regioturnier 3'!$V$3:$W$34,2,FALSE))=TRUE,0,VLOOKUP(B334,'Regioturnier 3'!$V$3:$W$34,2,FALSE)), IF(ISNA(VLOOKUP(B334,'Regioturnier 3'!$Z$3:$AA$34,2,FALSE))=TRUE,0,VLOOKUP(B334,'Regioturnier 3'!$Z$3:$AA$34,2,FALSE)))</f>
        <v>0</v>
      </c>
      <c r="R334" s="20">
        <f>0.5*INDEX($H334:$N334,MATCH(LARGE($H334:$N334,1),$H334:$N334,0))+0.3*INDEX($H334:$N334,MATCH(LARGE($H334:$N334,2),$H334:$N334,0))+0.2*INDEX($H334:$N334,MATCH(LARGE($H334:$N334,3),$H334:$N334,0))</f>
        <v>0</v>
      </c>
      <c r="S334" s="20">
        <f>0.6*INDEX(O334:Q334,MATCH(LARGE(O334:Q334,1),O334:Q334,0))+0.4*INDEX(O334:Q334,MATCH(LARGE(O334:Q334,2),O334:Q334,0))+0*INDEX(O334:Q334,MATCH(LARGE(O334:Q334,3),O334:Q334,0))</f>
        <v>0</v>
      </c>
      <c r="T334" s="15">
        <f>1*INDEX(R334:S334,MATCH(LARGE(R334:S334,1),R334:S334,0))+0*INDEX(R334:S334,MATCH(LARGE(R334:S334,2),R334:S334,0))</f>
        <v>0</v>
      </c>
      <c r="U334" s="21"/>
      <c r="V334" s="21"/>
      <c r="W334" s="21"/>
      <c r="X334" s="21"/>
      <c r="Y334" s="21"/>
      <c r="Z334" s="21"/>
    </row>
    <row r="335" spans="1:26" ht="12.75" customHeight="1" x14ac:dyDescent="0.3">
      <c r="A335" s="15">
        <v>334</v>
      </c>
      <c r="B335" s="21" t="s">
        <v>340</v>
      </c>
      <c r="C335" s="21" t="s">
        <v>48</v>
      </c>
      <c r="D335" s="15" t="s">
        <v>26</v>
      </c>
      <c r="E335" s="15" t="s">
        <v>23</v>
      </c>
      <c r="F335" s="15"/>
      <c r="G335" s="15">
        <v>2010</v>
      </c>
      <c r="H335" s="15">
        <f>MAX(IF(ISNA(VLOOKUP(B335,'WBV 1'!$B$3:$C$34,2,FALSE))=TRUE,0,VLOOKUP(B335,'WBV 1'!$B$3:$C$34,2,FALSE)),IF(ISNA(VLOOKUP(B335,'WBV 1'!$F$3:$G$34,2,FALSE))=TRUE,0,VLOOKUP(B335,'WBV 1'!$F$3:$G$34,2,FALSE)),IF(ISNA(VLOOKUP(B335,'WBV 1'!$J$3:$K$34,2,FALSE))=TRUE,0,VLOOKUP(B335,'WBV 1'!$J$3:$K$34,2,FALSE)),IF(ISNA(VLOOKUP(B335,'WBV 1'!$N$3:$O$34,2,FALSE))=TRUE,0,VLOOKUP(B335,'WBV 1'!$N$3:$O$34,2,FALSE)))</f>
        <v>0</v>
      </c>
      <c r="I335" s="15">
        <f>MAX(IF(ISNA(VLOOKUP(B335,'WBV 2'!$B$3:$C$34,2,FALSE))=TRUE,0,VLOOKUP(B335,'WBV 2'!$B$3:$C$34,2,FALSE)),IF(ISNA(VLOOKUP(B335,'WBV 2'!$F$3:$G$34,2,FALSE))=TRUE,0,VLOOKUP(B335,'WBV 2'!$F$3:$G$34,2,FALSE)),IF(ISNA(VLOOKUP(B335,'WBV 2'!$J$3:$K$34,2,FALSE))=TRUE,0,VLOOKUP(B335,'WBV 2'!$J$3:$K$34,2,FALSE)),IF(ISNA(VLOOKUP(B335,'WBV 2'!$N$3:$O$34,2,FALSE))=TRUE,0,VLOOKUP(B335,'WBV 2'!$N$3:$O$34,2,FALSE)))</f>
        <v>0</v>
      </c>
      <c r="J335" s="15">
        <f>MAX(IF(ISNA(VLOOKUP(B335,'WBV 3'!$B$3:$C$34,2,FALSE))=TRUE,0,VLOOKUP(B335,'WBV 3'!$B$3:$C$34,2,FALSE)),IF(ISNA(VLOOKUP(B335,'WBV 3'!$F$3:$G$34,2,FALSE))=TRUE,0,VLOOKUP(B335,'WBV 3'!$F$3:$G$34,2,FALSE)),IF(ISNA(VLOOKUP(B335,'WBV 3'!$J$3:$K$34,2,FALSE))=TRUE,0,VLOOKUP(B335,'WBV 3'!$J$3:$K$34,2,FALSE)),IF(ISNA(VLOOKUP(B335,'WBV 3'!$N$3:$O$34,2,FALSE))=TRUE,0,VLOOKUP(B335,'WBV 3'!$N$3:$O$34,2,FALSE)))</f>
        <v>0</v>
      </c>
      <c r="K335" s="15">
        <f>MAX(IF(ISNA(VLOOKUP(B335,'WBV 4'!$B$3:$C$34,2,FALSE))=TRUE,0,VLOOKUP(B335,'WBV 4'!$B$3:$C$34,2,FALSE)),IF(ISNA(VLOOKUP(B335,'WBV 4'!$F$3:$G$34,2,FALSE))=TRUE,0,VLOOKUP(B335,'WBV 4'!$F$3:$G$34,2,FALSE)),IF(ISNA(VLOOKUP(B335,'WBV 4'!$J$3:$K$34,2,FALSE))=TRUE,0,VLOOKUP(B335,'WBV 4'!$J$3:$K$34,2,FALSE)),IF(ISNA(VLOOKUP(B335,'WBV 4'!$N$3:$O$34,2,FALSE))=TRUE,0,VLOOKUP(B335,'WBV 4'!$N$3:$O$34,2,FALSE)))</f>
        <v>0</v>
      </c>
      <c r="L335" s="19">
        <f>MAX(IF(ISNA(VLOOKUP(B335,'NÖBV 1'!$B$3:$C$34,2,FALSE))=TRUE,0,VLOOKUP(B335,'NÖBV 1'!$B$3:$C$34,2,FALSE)),IF(ISNA(VLOOKUP(B335,'NÖBV 1'!$F$3:$G$34,2,FALSE))=TRUE,0,VLOOKUP(B335,'NÖBV 1'!$F$3:$G$34,2,FALSE)),IF(ISNA(VLOOKUP(B335,'NÖBV 1'!$J$3:$K$34,2,FALSE))=TRUE,0,VLOOKUP(B335,'NÖBV 1'!$J$3:$K$34,2,FALSE)),IF(ISNA(VLOOKUP(B335,'NÖBV 1'!$N$3:$O$34,2,FALSE))=TRUE,0,VLOOKUP(B335,'NÖBV 1'!$N$3:$O$34,2,FALSE)))</f>
        <v>0</v>
      </c>
      <c r="M335" s="19">
        <f>MAX(IF(ISNA(VLOOKUP(B335,'NÖBV 2'!$B$3:$C$34,2,FALSE))=TRUE,0,VLOOKUP(B335,'NÖBV 2'!$B$3:$C$34,2,FALSE)),IF(ISNA(VLOOKUP(B335,'NÖBV 2'!$F$3:$G$34,2,FALSE))=TRUE,0,VLOOKUP(B335,'NÖBV 2'!$F$3:$G$34,2,FALSE)),IF(ISNA(VLOOKUP(B335,'NÖBV 2'!$J$3:$K$34,2,FALSE))=TRUE,0,VLOOKUP(B335,'NÖBV 2'!$J$3:$K$34,2,FALSE)),IF(ISNA(VLOOKUP(B335,'NÖBV 2'!$N$3:$O$34,2,FALSE))=TRUE,0,VLOOKUP(B335,'NÖBV 2'!$N$3:$O$34,2,FALSE)))</f>
        <v>0</v>
      </c>
      <c r="N335" s="19">
        <f>MAX(IF(ISNA(VLOOKUP(B335,'NÖBV 3'!$B$3:$C$34,2,FALSE))=TRUE,0,VLOOKUP(B335,'NÖBV 3'!$B$3:$C$34,2,FALSE)),IF(ISNA(VLOOKUP(B335,'NÖBV 3'!$F$3:$G$34,2,FALSE))=TRUE,0,VLOOKUP(B335,'NÖBV 3'!$F$3:$G$34,2,FALSE)),IF(ISNA(VLOOKUP(B335,'NÖBV 3'!$J$3:$K$34,2,FALSE))=TRUE,0,VLOOKUP(B335,'NÖBV 3'!$J$3:$K$34,2,FALSE)),IF(ISNA(VLOOKUP(B335,'NÖBV 3'!$N$3:$O$34,2,FALSE))=TRUE,0,VLOOKUP(B335,'NÖBV 3'!$N$3:$O$34,2,FALSE)))</f>
        <v>0</v>
      </c>
      <c r="O335" s="15">
        <f>MAX(IF(ISNA(VLOOKUP(B335,'Regioturnier 1'!$B$3:$C$34,2,FALSE))=TRUE,0,VLOOKUP(B335,'Regioturnier 1'!$B$3:$C$34,2,FALSE)),IF(ISNA(VLOOKUP(B335,'Regioturnier 1'!$F$3:$G$34,2,FALSE))=TRUE,0,VLOOKUP(B335,'Regioturnier 1'!$F$3:$G$34,2,FALSE)),IF(ISNA(VLOOKUP(B335,'Regioturnier 1'!$J$3:$K$34,2,FALSE))=TRUE,0,VLOOKUP(B335,'Regioturnier 1'!$J$3:$K$34,2,FALSE)),IF(ISNA(VLOOKUP(B335,'Regioturnier 1'!$N$3:$O$34,2,FALSE))=TRUE,0,VLOOKUP(B335,'Regioturnier 1'!$N$3:$O$34,2,FALSE)),IF(ISNA(VLOOKUP(B335,'Regioturnier 1'!$R$3:$S$34,2,FALSE))=TRUE,0,VLOOKUP(B335,'Regioturnier 1'!$R$3:$S$34,2,FALSE)), IF(ISNA(VLOOKUP(B335,'Regioturnier 1'!$V$3:$W$34,2,FALSE))=TRUE,0,VLOOKUP(B335,'Regioturnier 1'!$V$3:$W$34,2,FALSE)), IF(ISNA(VLOOKUP(B335,'Regioturnier 1'!$Z$3:$AA$34,2,FALSE))=TRUE,0,VLOOKUP(B335,'Regioturnier 1'!$Z$3:$AA$34,2,FALSE)))</f>
        <v>0</v>
      </c>
      <c r="P335" s="15">
        <f>MAX(IF(ISNA(VLOOKUP(B335,'Regioturnier 2'!$B$3:$C$34,2,FALSE))=TRUE,0,VLOOKUP(B335,'Regioturnier 2'!$B$3:$C$34,2,FALSE)),IF(ISNA(VLOOKUP(B335,'Regioturnier 2'!$F$3:$G$34,2,FALSE))=TRUE,0,VLOOKUP(B335,'Regioturnier 2'!$F$3:$G$34,2,FALSE)),IF(ISNA(VLOOKUP(B335,'Regioturnier 2'!$J$3:$K$34,2,FALSE))=TRUE,0,VLOOKUP(B335,'Regioturnier 2'!$J$3:$K$34,2,FALSE)),IF(ISNA(VLOOKUP(B335,'Regioturnier 2'!$N$3:$O$34,2,FALSE))=TRUE,0,VLOOKUP(B335,'Regioturnier 2'!$N$3:$O$34,2,FALSE)),IF(ISNA(VLOOKUP(B335,'Regioturnier 2'!$R$3:$S$34,2,FALSE))=TRUE,0,VLOOKUP(B335,'Regioturnier 2'!$R$3:$S$34,2,FALSE)), IF(ISNA(VLOOKUP(B335,'Regioturnier 2'!$V$3:$W$34,2,FALSE))=TRUE,0,VLOOKUP(B335,'Regioturnier 2'!$V$3:$W$34,2,FALSE)), IF(ISNA(VLOOKUP(B335,'Regioturnier 2'!$Z$3:$AA$34,2,FALSE))=TRUE,0,VLOOKUP(B335,'Regioturnier 2'!$Z$3:$AA$34,2,FALSE)))</f>
        <v>0</v>
      </c>
      <c r="Q335" s="15">
        <f>MAX(IF(ISNA(VLOOKUP(B335,'Regioturnier 3'!$B$3:$C$34,2,FALSE))=TRUE,0,VLOOKUP(B335,'Regioturnier 3'!$B$3:$C$34,2,FALSE)),IF(ISNA(VLOOKUP(B335,'Regioturnier 3'!$F$3:$G$34,2,FALSE))=TRUE,0,VLOOKUP(B335,'Regioturnier 3'!$F$3:$G$34,2,FALSE)),IF(ISNA(VLOOKUP(B335,'Regioturnier 3'!$J$3:$K$34,2,FALSE))=TRUE,0,VLOOKUP(B335,'Regioturnier 3'!$J$3:$K$34,2,FALSE)),IF(ISNA(VLOOKUP(B335,'Regioturnier 3'!$N$3:$O$34,2,FALSE))=TRUE,0,VLOOKUP(B335,'Regioturnier 3'!$N$3:$O$34,2,FALSE)),IF(ISNA(VLOOKUP(B335,'Regioturnier 3'!$R$3:$S$34,2,FALSE))=TRUE,0,VLOOKUP(B335,'Regioturnier 3'!$R$3:$S$34,2,FALSE)), IF(ISNA(VLOOKUP(B335,'Regioturnier 3'!$V$3:$W$34,2,FALSE))=TRUE,0,VLOOKUP(B335,'Regioturnier 3'!$V$3:$W$34,2,FALSE)), IF(ISNA(VLOOKUP(B335,'Regioturnier 3'!$Z$3:$AA$34,2,FALSE))=TRUE,0,VLOOKUP(B335,'Regioturnier 3'!$Z$3:$AA$34,2,FALSE)))</f>
        <v>0</v>
      </c>
      <c r="R335" s="20">
        <f>0.5*INDEX($H335:$N335,MATCH(LARGE($H335:$N335,1),$H335:$N335,0))+0.3*INDEX($H335:$N335,MATCH(LARGE($H335:$N335,2),$H335:$N335,0))+0.2*INDEX($H335:$N335,MATCH(LARGE($H335:$N335,3),$H335:$N335,0))</f>
        <v>0</v>
      </c>
      <c r="S335" s="20">
        <f>0.6*INDEX(O335:Q335,MATCH(LARGE(O335:Q335,1),O335:Q335,0))+0.4*INDEX(O335:Q335,MATCH(LARGE(O335:Q335,2),O335:Q335,0))+0*INDEX(O335:Q335,MATCH(LARGE(O335:Q335,3),O335:Q335,0))</f>
        <v>0</v>
      </c>
      <c r="T335" s="15">
        <f>1*INDEX(R335:S335,MATCH(LARGE(R335:S335,1),R335:S335,0))+0*INDEX(R335:S335,MATCH(LARGE(R335:S335,2),R335:S335,0))</f>
        <v>0</v>
      </c>
      <c r="U335" s="21"/>
      <c r="V335" s="21"/>
      <c r="W335" s="21"/>
      <c r="X335" s="21"/>
      <c r="Y335" s="21"/>
      <c r="Z335" s="21"/>
    </row>
    <row r="336" spans="1:26" ht="12.75" customHeight="1" x14ac:dyDescent="0.3">
      <c r="A336" s="15">
        <v>335</v>
      </c>
      <c r="B336" s="21" t="s">
        <v>341</v>
      </c>
      <c r="C336" s="21" t="s">
        <v>342</v>
      </c>
      <c r="D336" s="15" t="s">
        <v>26</v>
      </c>
      <c r="E336" s="15" t="s">
        <v>23</v>
      </c>
      <c r="F336" s="15"/>
      <c r="G336" s="15"/>
      <c r="H336" s="15">
        <f>MAX(IF(ISNA(VLOOKUP(B336,'WBV 1'!$B$3:$C$34,2,FALSE))=TRUE,0,VLOOKUP(B336,'WBV 1'!$B$3:$C$34,2,FALSE)),IF(ISNA(VLOOKUP(B336,'WBV 1'!$F$3:$G$34,2,FALSE))=TRUE,0,VLOOKUP(B336,'WBV 1'!$F$3:$G$34,2,FALSE)),IF(ISNA(VLOOKUP(B336,'WBV 1'!$J$3:$K$34,2,FALSE))=TRUE,0,VLOOKUP(B336,'WBV 1'!$J$3:$K$34,2,FALSE)),IF(ISNA(VLOOKUP(B336,'WBV 1'!$N$3:$O$34,2,FALSE))=TRUE,0,VLOOKUP(B336,'WBV 1'!$N$3:$O$34,2,FALSE)))</f>
        <v>0</v>
      </c>
      <c r="I336" s="15">
        <f>MAX(IF(ISNA(VLOOKUP(B336,'WBV 2'!$B$3:$C$34,2,FALSE))=TRUE,0,VLOOKUP(B336,'WBV 2'!$B$3:$C$34,2,FALSE)),IF(ISNA(VLOOKUP(B336,'WBV 2'!$F$3:$G$34,2,FALSE))=TRUE,0,VLOOKUP(B336,'WBV 2'!$F$3:$G$34,2,FALSE)),IF(ISNA(VLOOKUP(B336,'WBV 2'!$J$3:$K$34,2,FALSE))=TRUE,0,VLOOKUP(B336,'WBV 2'!$J$3:$K$34,2,FALSE)),IF(ISNA(VLOOKUP(B336,'WBV 2'!$N$3:$O$34,2,FALSE))=TRUE,0,VLOOKUP(B336,'WBV 2'!$N$3:$O$34,2,FALSE)))</f>
        <v>0</v>
      </c>
      <c r="J336" s="15">
        <f>MAX(IF(ISNA(VLOOKUP(B336,'WBV 3'!$B$3:$C$34,2,FALSE))=TRUE,0,VLOOKUP(B336,'WBV 3'!$B$3:$C$34,2,FALSE)),IF(ISNA(VLOOKUP(B336,'WBV 3'!$F$3:$G$34,2,FALSE))=TRUE,0,VLOOKUP(B336,'WBV 3'!$F$3:$G$34,2,FALSE)),IF(ISNA(VLOOKUP(B336,'WBV 3'!$J$3:$K$34,2,FALSE))=TRUE,0,VLOOKUP(B336,'WBV 3'!$J$3:$K$34,2,FALSE)),IF(ISNA(VLOOKUP(B336,'WBV 3'!$N$3:$O$34,2,FALSE))=TRUE,0,VLOOKUP(B336,'WBV 3'!$N$3:$O$34,2,FALSE)))</f>
        <v>0</v>
      </c>
      <c r="K336" s="15">
        <f>MAX(IF(ISNA(VLOOKUP(B336,'WBV 4'!$B$3:$C$34,2,FALSE))=TRUE,0,VLOOKUP(B336,'WBV 4'!$B$3:$C$34,2,FALSE)),IF(ISNA(VLOOKUP(B336,'WBV 4'!$F$3:$G$34,2,FALSE))=TRUE,0,VLOOKUP(B336,'WBV 4'!$F$3:$G$34,2,FALSE)),IF(ISNA(VLOOKUP(B336,'WBV 4'!$J$3:$K$34,2,FALSE))=TRUE,0,VLOOKUP(B336,'WBV 4'!$J$3:$K$34,2,FALSE)),IF(ISNA(VLOOKUP(B336,'WBV 4'!$N$3:$O$34,2,FALSE))=TRUE,0,VLOOKUP(B336,'WBV 4'!$N$3:$O$34,2,FALSE)))</f>
        <v>0</v>
      </c>
      <c r="L336" s="19">
        <f>MAX(IF(ISNA(VLOOKUP(B336,'NÖBV 1'!$B$3:$C$34,2,FALSE))=TRUE,0,VLOOKUP(B336,'NÖBV 1'!$B$3:$C$34,2,FALSE)),IF(ISNA(VLOOKUP(B336,'NÖBV 1'!$F$3:$G$34,2,FALSE))=TRUE,0,VLOOKUP(B336,'NÖBV 1'!$F$3:$G$34,2,FALSE)),IF(ISNA(VLOOKUP(B336,'NÖBV 1'!$J$3:$K$34,2,FALSE))=TRUE,0,VLOOKUP(B336,'NÖBV 1'!$J$3:$K$34,2,FALSE)),IF(ISNA(VLOOKUP(B336,'NÖBV 1'!$N$3:$O$34,2,FALSE))=TRUE,0,VLOOKUP(B336,'NÖBV 1'!$N$3:$O$34,2,FALSE)))</f>
        <v>0</v>
      </c>
      <c r="M336" s="19">
        <f>MAX(IF(ISNA(VLOOKUP(B336,'NÖBV 2'!$B$3:$C$34,2,FALSE))=TRUE,0,VLOOKUP(B336,'NÖBV 2'!$B$3:$C$34,2,FALSE)),IF(ISNA(VLOOKUP(B336,'NÖBV 2'!$F$3:$G$34,2,FALSE))=TRUE,0,VLOOKUP(B336,'NÖBV 2'!$F$3:$G$34,2,FALSE)),IF(ISNA(VLOOKUP(B336,'NÖBV 2'!$J$3:$K$34,2,FALSE))=TRUE,0,VLOOKUP(B336,'NÖBV 2'!$J$3:$K$34,2,FALSE)),IF(ISNA(VLOOKUP(B336,'NÖBV 2'!$N$3:$O$34,2,FALSE))=TRUE,0,VLOOKUP(B336,'NÖBV 2'!$N$3:$O$34,2,FALSE)))</f>
        <v>0</v>
      </c>
      <c r="N336" s="19">
        <f>MAX(IF(ISNA(VLOOKUP(B336,'NÖBV 3'!$B$3:$C$34,2,FALSE))=TRUE,0,VLOOKUP(B336,'NÖBV 3'!$B$3:$C$34,2,FALSE)),IF(ISNA(VLOOKUP(B336,'NÖBV 3'!$F$3:$G$34,2,FALSE))=TRUE,0,VLOOKUP(B336,'NÖBV 3'!$F$3:$G$34,2,FALSE)),IF(ISNA(VLOOKUP(B336,'NÖBV 3'!$J$3:$K$34,2,FALSE))=TRUE,0,VLOOKUP(B336,'NÖBV 3'!$J$3:$K$34,2,FALSE)),IF(ISNA(VLOOKUP(B336,'NÖBV 3'!$N$3:$O$34,2,FALSE))=TRUE,0,VLOOKUP(B336,'NÖBV 3'!$N$3:$O$34,2,FALSE)))</f>
        <v>0</v>
      </c>
      <c r="O336" s="15">
        <f>MAX(IF(ISNA(VLOOKUP(B336,'Regioturnier 1'!$B$3:$C$34,2,FALSE))=TRUE,0,VLOOKUP(B336,'Regioturnier 1'!$B$3:$C$34,2,FALSE)),IF(ISNA(VLOOKUP(B336,'Regioturnier 1'!$F$3:$G$34,2,FALSE))=TRUE,0,VLOOKUP(B336,'Regioturnier 1'!$F$3:$G$34,2,FALSE)),IF(ISNA(VLOOKUP(B336,'Regioturnier 1'!$J$3:$K$34,2,FALSE))=TRUE,0,VLOOKUP(B336,'Regioturnier 1'!$J$3:$K$34,2,FALSE)),IF(ISNA(VLOOKUP(B336,'Regioturnier 1'!$N$3:$O$34,2,FALSE))=TRUE,0,VLOOKUP(B336,'Regioturnier 1'!$N$3:$O$34,2,FALSE)),IF(ISNA(VLOOKUP(B336,'Regioturnier 1'!$R$3:$S$34,2,FALSE))=TRUE,0,VLOOKUP(B336,'Regioturnier 1'!$R$3:$S$34,2,FALSE)), IF(ISNA(VLOOKUP(B336,'Regioturnier 1'!$V$3:$W$34,2,FALSE))=TRUE,0,VLOOKUP(B336,'Regioturnier 1'!$V$3:$W$34,2,FALSE)), IF(ISNA(VLOOKUP(B336,'Regioturnier 1'!$Z$3:$AA$34,2,FALSE))=TRUE,0,VLOOKUP(B336,'Regioturnier 1'!$Z$3:$AA$34,2,FALSE)))</f>
        <v>0</v>
      </c>
      <c r="P336" s="15">
        <f>MAX(IF(ISNA(VLOOKUP(B336,'Regioturnier 2'!$B$3:$C$34,2,FALSE))=TRUE,0,VLOOKUP(B336,'Regioturnier 2'!$B$3:$C$34,2,FALSE)),IF(ISNA(VLOOKUP(B336,'Regioturnier 2'!$F$3:$G$34,2,FALSE))=TRUE,0,VLOOKUP(B336,'Regioturnier 2'!$F$3:$G$34,2,FALSE)),IF(ISNA(VLOOKUP(B336,'Regioturnier 2'!$J$3:$K$34,2,FALSE))=TRUE,0,VLOOKUP(B336,'Regioturnier 2'!$J$3:$K$34,2,FALSE)),IF(ISNA(VLOOKUP(B336,'Regioturnier 2'!$N$3:$O$34,2,FALSE))=TRUE,0,VLOOKUP(B336,'Regioturnier 2'!$N$3:$O$34,2,FALSE)),IF(ISNA(VLOOKUP(B336,'Regioturnier 2'!$R$3:$S$34,2,FALSE))=TRUE,0,VLOOKUP(B336,'Regioturnier 2'!$R$3:$S$34,2,FALSE)), IF(ISNA(VLOOKUP(B336,'Regioturnier 2'!$V$3:$W$34,2,FALSE))=TRUE,0,VLOOKUP(B336,'Regioturnier 2'!$V$3:$W$34,2,FALSE)), IF(ISNA(VLOOKUP(B336,'Regioturnier 2'!$Z$3:$AA$34,2,FALSE))=TRUE,0,VLOOKUP(B336,'Regioturnier 2'!$Z$3:$AA$34,2,FALSE)))</f>
        <v>0</v>
      </c>
      <c r="Q336" s="15">
        <f>MAX(IF(ISNA(VLOOKUP(B336,'Regioturnier 3'!$B$3:$C$34,2,FALSE))=TRUE,0,VLOOKUP(B336,'Regioturnier 3'!$B$3:$C$34,2,FALSE)),IF(ISNA(VLOOKUP(B336,'Regioturnier 3'!$F$3:$G$34,2,FALSE))=TRUE,0,VLOOKUP(B336,'Regioturnier 3'!$F$3:$G$34,2,FALSE)),IF(ISNA(VLOOKUP(B336,'Regioturnier 3'!$J$3:$K$34,2,FALSE))=TRUE,0,VLOOKUP(B336,'Regioturnier 3'!$J$3:$K$34,2,FALSE)),IF(ISNA(VLOOKUP(B336,'Regioturnier 3'!$N$3:$O$34,2,FALSE))=TRUE,0,VLOOKUP(B336,'Regioturnier 3'!$N$3:$O$34,2,FALSE)),IF(ISNA(VLOOKUP(B336,'Regioturnier 3'!$R$3:$S$34,2,FALSE))=TRUE,0,VLOOKUP(B336,'Regioturnier 3'!$R$3:$S$34,2,FALSE)), IF(ISNA(VLOOKUP(B336,'Regioturnier 3'!$V$3:$W$34,2,FALSE))=TRUE,0,VLOOKUP(B336,'Regioturnier 3'!$V$3:$W$34,2,FALSE)), IF(ISNA(VLOOKUP(B336,'Regioturnier 3'!$Z$3:$AA$34,2,FALSE))=TRUE,0,VLOOKUP(B336,'Regioturnier 3'!$Z$3:$AA$34,2,FALSE)))</f>
        <v>0</v>
      </c>
      <c r="R336" s="20">
        <f>0.5*INDEX($H336:$N336,MATCH(LARGE($H336:$N336,1),$H336:$N336,0))+0.3*INDEX($H336:$N336,MATCH(LARGE($H336:$N336,2),$H336:$N336,0))+0.2*INDEX($H336:$N336,MATCH(LARGE($H336:$N336,3),$H336:$N336,0))</f>
        <v>0</v>
      </c>
      <c r="S336" s="20">
        <f>0.6*INDEX(O336:Q336,MATCH(LARGE(O336:Q336,1),O336:Q336,0))+0.4*INDEX(O336:Q336,MATCH(LARGE(O336:Q336,2),O336:Q336,0))+0*INDEX(O336:Q336,MATCH(LARGE(O336:Q336,3),O336:Q336,0))</f>
        <v>0</v>
      </c>
      <c r="T336" s="15">
        <f>1*INDEX(R336:S336,MATCH(LARGE(R336:S336,1),R336:S336,0))+0*INDEX(R336:S336,MATCH(LARGE(R336:S336,2),R336:S336,0))</f>
        <v>0</v>
      </c>
      <c r="U336" s="21"/>
      <c r="V336" s="21"/>
      <c r="W336" s="21"/>
      <c r="X336" s="21"/>
      <c r="Y336" s="21"/>
      <c r="Z336" s="21"/>
    </row>
    <row r="337" spans="1:26" ht="12.75" customHeight="1" x14ac:dyDescent="0.3">
      <c r="A337" s="15">
        <v>336</v>
      </c>
      <c r="B337" s="21" t="s">
        <v>343</v>
      </c>
      <c r="C337" s="21" t="s">
        <v>342</v>
      </c>
      <c r="D337" s="15" t="s">
        <v>26</v>
      </c>
      <c r="E337" s="15" t="s">
        <v>23</v>
      </c>
      <c r="F337" s="15"/>
      <c r="G337" s="15"/>
      <c r="H337" s="15">
        <f>MAX(IF(ISNA(VLOOKUP(B337,'WBV 1'!$B$3:$C$34,2,FALSE))=TRUE,0,VLOOKUP(B337,'WBV 1'!$B$3:$C$34,2,FALSE)),IF(ISNA(VLOOKUP(B337,'WBV 1'!$F$3:$G$34,2,FALSE))=TRUE,0,VLOOKUP(B337,'WBV 1'!$F$3:$G$34,2,FALSE)),IF(ISNA(VLOOKUP(B337,'WBV 1'!$J$3:$K$34,2,FALSE))=TRUE,0,VLOOKUP(B337,'WBV 1'!$J$3:$K$34,2,FALSE)),IF(ISNA(VLOOKUP(B337,'WBV 1'!$N$3:$O$34,2,FALSE))=TRUE,0,VLOOKUP(B337,'WBV 1'!$N$3:$O$34,2,FALSE)))</f>
        <v>0</v>
      </c>
      <c r="I337" s="15">
        <f>MAX(IF(ISNA(VLOOKUP(B337,'WBV 2'!$B$3:$C$34,2,FALSE))=TRUE,0,VLOOKUP(B337,'WBV 2'!$B$3:$C$34,2,FALSE)),IF(ISNA(VLOOKUP(B337,'WBV 2'!$F$3:$G$34,2,FALSE))=TRUE,0,VLOOKUP(B337,'WBV 2'!$F$3:$G$34,2,FALSE)),IF(ISNA(VLOOKUP(B337,'WBV 2'!$J$3:$K$34,2,FALSE))=TRUE,0,VLOOKUP(B337,'WBV 2'!$J$3:$K$34,2,FALSE)),IF(ISNA(VLOOKUP(B337,'WBV 2'!$N$3:$O$34,2,FALSE))=TRUE,0,VLOOKUP(B337,'WBV 2'!$N$3:$O$34,2,FALSE)))</f>
        <v>0</v>
      </c>
      <c r="J337" s="15">
        <f>MAX(IF(ISNA(VLOOKUP(B337,'WBV 3'!$B$3:$C$34,2,FALSE))=TRUE,0,VLOOKUP(B337,'WBV 3'!$B$3:$C$34,2,FALSE)),IF(ISNA(VLOOKUP(B337,'WBV 3'!$F$3:$G$34,2,FALSE))=TRUE,0,VLOOKUP(B337,'WBV 3'!$F$3:$G$34,2,FALSE)),IF(ISNA(VLOOKUP(B337,'WBV 3'!$J$3:$K$34,2,FALSE))=TRUE,0,VLOOKUP(B337,'WBV 3'!$J$3:$K$34,2,FALSE)),IF(ISNA(VLOOKUP(B337,'WBV 3'!$N$3:$O$34,2,FALSE))=TRUE,0,VLOOKUP(B337,'WBV 3'!$N$3:$O$34,2,FALSE)))</f>
        <v>0</v>
      </c>
      <c r="K337" s="15">
        <f>MAX(IF(ISNA(VLOOKUP(B337,'WBV 4'!$B$3:$C$34,2,FALSE))=TRUE,0,VLOOKUP(B337,'WBV 4'!$B$3:$C$34,2,FALSE)),IF(ISNA(VLOOKUP(B337,'WBV 4'!$F$3:$G$34,2,FALSE))=TRUE,0,VLOOKUP(B337,'WBV 4'!$F$3:$G$34,2,FALSE)),IF(ISNA(VLOOKUP(B337,'WBV 4'!$J$3:$K$34,2,FALSE))=TRUE,0,VLOOKUP(B337,'WBV 4'!$J$3:$K$34,2,FALSE)),IF(ISNA(VLOOKUP(B337,'WBV 4'!$N$3:$O$34,2,FALSE))=TRUE,0,VLOOKUP(B337,'WBV 4'!$N$3:$O$34,2,FALSE)))</f>
        <v>0</v>
      </c>
      <c r="L337" s="19">
        <f>MAX(IF(ISNA(VLOOKUP(B337,'NÖBV 1'!$B$3:$C$34,2,FALSE))=TRUE,0,VLOOKUP(B337,'NÖBV 1'!$B$3:$C$34,2,FALSE)),IF(ISNA(VLOOKUP(B337,'NÖBV 1'!$F$3:$G$34,2,FALSE))=TRUE,0,VLOOKUP(B337,'NÖBV 1'!$F$3:$G$34,2,FALSE)),IF(ISNA(VLOOKUP(B337,'NÖBV 1'!$J$3:$K$34,2,FALSE))=TRUE,0,VLOOKUP(B337,'NÖBV 1'!$J$3:$K$34,2,FALSE)),IF(ISNA(VLOOKUP(B337,'NÖBV 1'!$N$3:$O$34,2,FALSE))=TRUE,0,VLOOKUP(B337,'NÖBV 1'!$N$3:$O$34,2,FALSE)))</f>
        <v>0</v>
      </c>
      <c r="M337" s="19">
        <f>MAX(IF(ISNA(VLOOKUP(B337,'NÖBV 2'!$B$3:$C$34,2,FALSE))=TRUE,0,VLOOKUP(B337,'NÖBV 2'!$B$3:$C$34,2,FALSE)),IF(ISNA(VLOOKUP(B337,'NÖBV 2'!$F$3:$G$34,2,FALSE))=TRUE,0,VLOOKUP(B337,'NÖBV 2'!$F$3:$G$34,2,FALSE)),IF(ISNA(VLOOKUP(B337,'NÖBV 2'!$J$3:$K$34,2,FALSE))=TRUE,0,VLOOKUP(B337,'NÖBV 2'!$J$3:$K$34,2,FALSE)),IF(ISNA(VLOOKUP(B337,'NÖBV 2'!$N$3:$O$34,2,FALSE))=TRUE,0,VLOOKUP(B337,'NÖBV 2'!$N$3:$O$34,2,FALSE)))</f>
        <v>0</v>
      </c>
      <c r="N337" s="19">
        <f>MAX(IF(ISNA(VLOOKUP(B337,'NÖBV 3'!$B$3:$C$34,2,FALSE))=TRUE,0,VLOOKUP(B337,'NÖBV 3'!$B$3:$C$34,2,FALSE)),IF(ISNA(VLOOKUP(B337,'NÖBV 3'!$F$3:$G$34,2,FALSE))=TRUE,0,VLOOKUP(B337,'NÖBV 3'!$F$3:$G$34,2,FALSE)),IF(ISNA(VLOOKUP(B337,'NÖBV 3'!$J$3:$K$34,2,FALSE))=TRUE,0,VLOOKUP(B337,'NÖBV 3'!$J$3:$K$34,2,FALSE)),IF(ISNA(VLOOKUP(B337,'NÖBV 3'!$N$3:$O$34,2,FALSE))=TRUE,0,VLOOKUP(B337,'NÖBV 3'!$N$3:$O$34,2,FALSE)))</f>
        <v>0</v>
      </c>
      <c r="O337" s="15">
        <f>MAX(IF(ISNA(VLOOKUP(B337,'Regioturnier 1'!$B$3:$C$34,2,FALSE))=TRUE,0,VLOOKUP(B337,'Regioturnier 1'!$B$3:$C$34,2,FALSE)),IF(ISNA(VLOOKUP(B337,'Regioturnier 1'!$F$3:$G$34,2,FALSE))=TRUE,0,VLOOKUP(B337,'Regioturnier 1'!$F$3:$G$34,2,FALSE)),IF(ISNA(VLOOKUP(B337,'Regioturnier 1'!$J$3:$K$34,2,FALSE))=TRUE,0,VLOOKUP(B337,'Regioturnier 1'!$J$3:$K$34,2,FALSE)),IF(ISNA(VLOOKUP(B337,'Regioturnier 1'!$N$3:$O$34,2,FALSE))=TRUE,0,VLOOKUP(B337,'Regioturnier 1'!$N$3:$O$34,2,FALSE)),IF(ISNA(VLOOKUP(B337,'Regioturnier 1'!$R$3:$S$34,2,FALSE))=TRUE,0,VLOOKUP(B337,'Regioturnier 1'!$R$3:$S$34,2,FALSE)), IF(ISNA(VLOOKUP(B337,'Regioturnier 1'!$V$3:$W$34,2,FALSE))=TRUE,0,VLOOKUP(B337,'Regioturnier 1'!$V$3:$W$34,2,FALSE)), IF(ISNA(VLOOKUP(B337,'Regioturnier 1'!$Z$3:$AA$34,2,FALSE))=TRUE,0,VLOOKUP(B337,'Regioturnier 1'!$Z$3:$AA$34,2,FALSE)))</f>
        <v>0</v>
      </c>
      <c r="P337" s="15">
        <f>MAX(IF(ISNA(VLOOKUP(B337,'Regioturnier 2'!$B$3:$C$34,2,FALSE))=TRUE,0,VLOOKUP(B337,'Regioturnier 2'!$B$3:$C$34,2,FALSE)),IF(ISNA(VLOOKUP(B337,'Regioturnier 2'!$F$3:$G$34,2,FALSE))=TRUE,0,VLOOKUP(B337,'Regioturnier 2'!$F$3:$G$34,2,FALSE)),IF(ISNA(VLOOKUP(B337,'Regioturnier 2'!$J$3:$K$34,2,FALSE))=TRUE,0,VLOOKUP(B337,'Regioturnier 2'!$J$3:$K$34,2,FALSE)),IF(ISNA(VLOOKUP(B337,'Regioturnier 2'!$N$3:$O$34,2,FALSE))=TRUE,0,VLOOKUP(B337,'Regioturnier 2'!$N$3:$O$34,2,FALSE)),IF(ISNA(VLOOKUP(B337,'Regioturnier 2'!$R$3:$S$34,2,FALSE))=TRUE,0,VLOOKUP(B337,'Regioturnier 2'!$R$3:$S$34,2,FALSE)), IF(ISNA(VLOOKUP(B337,'Regioturnier 2'!$V$3:$W$34,2,FALSE))=TRUE,0,VLOOKUP(B337,'Regioturnier 2'!$V$3:$W$34,2,FALSE)), IF(ISNA(VLOOKUP(B337,'Regioturnier 2'!$Z$3:$AA$34,2,FALSE))=TRUE,0,VLOOKUP(B337,'Regioturnier 2'!$Z$3:$AA$34,2,FALSE)))</f>
        <v>0</v>
      </c>
      <c r="Q337" s="15">
        <f>MAX(IF(ISNA(VLOOKUP(B337,'Regioturnier 3'!$B$3:$C$34,2,FALSE))=TRUE,0,VLOOKUP(B337,'Regioturnier 3'!$B$3:$C$34,2,FALSE)),IF(ISNA(VLOOKUP(B337,'Regioturnier 3'!$F$3:$G$34,2,FALSE))=TRUE,0,VLOOKUP(B337,'Regioturnier 3'!$F$3:$G$34,2,FALSE)),IF(ISNA(VLOOKUP(B337,'Regioturnier 3'!$J$3:$K$34,2,FALSE))=TRUE,0,VLOOKUP(B337,'Regioturnier 3'!$J$3:$K$34,2,FALSE)),IF(ISNA(VLOOKUP(B337,'Regioturnier 3'!$N$3:$O$34,2,FALSE))=TRUE,0,VLOOKUP(B337,'Regioturnier 3'!$N$3:$O$34,2,FALSE)),IF(ISNA(VLOOKUP(B337,'Regioturnier 3'!$R$3:$S$34,2,FALSE))=TRUE,0,VLOOKUP(B337,'Regioturnier 3'!$R$3:$S$34,2,FALSE)), IF(ISNA(VLOOKUP(B337,'Regioturnier 3'!$V$3:$W$34,2,FALSE))=TRUE,0,VLOOKUP(B337,'Regioturnier 3'!$V$3:$W$34,2,FALSE)), IF(ISNA(VLOOKUP(B337,'Regioturnier 3'!$Z$3:$AA$34,2,FALSE))=TRUE,0,VLOOKUP(B337,'Regioturnier 3'!$Z$3:$AA$34,2,FALSE)))</f>
        <v>0</v>
      </c>
      <c r="R337" s="20">
        <f>0.5*INDEX($H337:$N337,MATCH(LARGE($H337:$N337,1),$H337:$N337,0))+0.3*INDEX($H337:$N337,MATCH(LARGE($H337:$N337,2),$H337:$N337,0))+0.2*INDEX($H337:$N337,MATCH(LARGE($H337:$N337,3),$H337:$N337,0))</f>
        <v>0</v>
      </c>
      <c r="S337" s="20">
        <f>0.6*INDEX(O337:Q337,MATCH(LARGE(O337:Q337,1),O337:Q337,0))+0.4*INDEX(O337:Q337,MATCH(LARGE(O337:Q337,2),O337:Q337,0))+0*INDEX(O337:Q337,MATCH(LARGE(O337:Q337,3),O337:Q337,0))</f>
        <v>0</v>
      </c>
      <c r="T337" s="15">
        <f>1*INDEX(R337:S337,MATCH(LARGE(R337:S337,1),R337:S337,0))+0*INDEX(R337:S337,MATCH(LARGE(R337:S337,2),R337:S337,0))</f>
        <v>0</v>
      </c>
      <c r="U337" s="21"/>
      <c r="V337" s="21"/>
      <c r="W337" s="21"/>
      <c r="X337" s="21"/>
      <c r="Y337" s="21"/>
      <c r="Z337" s="21"/>
    </row>
    <row r="338" spans="1:26" ht="12.75" customHeight="1" x14ac:dyDescent="0.3">
      <c r="A338" s="15">
        <v>337</v>
      </c>
      <c r="B338" s="21" t="s">
        <v>344</v>
      </c>
      <c r="C338" s="21" t="s">
        <v>48</v>
      </c>
      <c r="D338" s="15" t="s">
        <v>26</v>
      </c>
      <c r="E338" s="15" t="s">
        <v>40</v>
      </c>
      <c r="F338" s="15">
        <v>110327</v>
      </c>
      <c r="G338" s="15">
        <v>2009</v>
      </c>
      <c r="H338" s="15">
        <f>MAX(IF(ISNA(VLOOKUP(B338,'WBV 1'!$B$3:$C$34,2,FALSE))=TRUE,0,VLOOKUP(B338,'WBV 1'!$B$3:$C$34,2,FALSE)),IF(ISNA(VLOOKUP(B338,'WBV 1'!$F$3:$G$34,2,FALSE))=TRUE,0,VLOOKUP(B338,'WBV 1'!$F$3:$G$34,2,FALSE)),IF(ISNA(VLOOKUP(B338,'WBV 1'!$J$3:$K$34,2,FALSE))=TRUE,0,VLOOKUP(B338,'WBV 1'!$J$3:$K$34,2,FALSE)),IF(ISNA(VLOOKUP(B338,'WBV 1'!$N$3:$O$34,2,FALSE))=TRUE,0,VLOOKUP(B338,'WBV 1'!$N$3:$O$34,2,FALSE)))</f>
        <v>0</v>
      </c>
      <c r="I338" s="15">
        <f>MAX(IF(ISNA(VLOOKUP(B338,'WBV 2'!$B$3:$C$34,2,FALSE))=TRUE,0,VLOOKUP(B338,'WBV 2'!$B$3:$C$34,2,FALSE)),IF(ISNA(VLOOKUP(B338,'WBV 2'!$F$3:$G$34,2,FALSE))=TRUE,0,VLOOKUP(B338,'WBV 2'!$F$3:$G$34,2,FALSE)),IF(ISNA(VLOOKUP(B338,'WBV 2'!$J$3:$K$34,2,FALSE))=TRUE,0,VLOOKUP(B338,'WBV 2'!$J$3:$K$34,2,FALSE)),IF(ISNA(VLOOKUP(B338,'WBV 2'!$N$3:$O$34,2,FALSE))=TRUE,0,VLOOKUP(B338,'WBV 2'!$N$3:$O$34,2,FALSE)))</f>
        <v>0</v>
      </c>
      <c r="J338" s="15">
        <f>MAX(IF(ISNA(VLOOKUP(B338,'WBV 3'!$B$3:$C$34,2,FALSE))=TRUE,0,VLOOKUP(B338,'WBV 3'!$B$3:$C$34,2,FALSE)),IF(ISNA(VLOOKUP(B338,'WBV 3'!$F$3:$G$34,2,FALSE))=TRUE,0,VLOOKUP(B338,'WBV 3'!$F$3:$G$34,2,FALSE)),IF(ISNA(VLOOKUP(B338,'WBV 3'!$J$3:$K$34,2,FALSE))=TRUE,0,VLOOKUP(B338,'WBV 3'!$J$3:$K$34,2,FALSE)),IF(ISNA(VLOOKUP(B338,'WBV 3'!$N$3:$O$34,2,FALSE))=TRUE,0,VLOOKUP(B338,'WBV 3'!$N$3:$O$34,2,FALSE)))</f>
        <v>0</v>
      </c>
      <c r="K338" s="15">
        <f>MAX(IF(ISNA(VLOOKUP(B338,'WBV 4'!$B$3:$C$34,2,FALSE))=TRUE,0,VLOOKUP(B338,'WBV 4'!$B$3:$C$34,2,FALSE)),IF(ISNA(VLOOKUP(B338,'WBV 4'!$F$3:$G$34,2,FALSE))=TRUE,0,VLOOKUP(B338,'WBV 4'!$F$3:$G$34,2,FALSE)),IF(ISNA(VLOOKUP(B338,'WBV 4'!$J$3:$K$34,2,FALSE))=TRUE,0,VLOOKUP(B338,'WBV 4'!$J$3:$K$34,2,FALSE)),IF(ISNA(VLOOKUP(B338,'WBV 4'!$N$3:$O$34,2,FALSE))=TRUE,0,VLOOKUP(B338,'WBV 4'!$N$3:$O$34,2,FALSE)))</f>
        <v>0</v>
      </c>
      <c r="L338" s="19">
        <f>MAX(IF(ISNA(VLOOKUP(B338,'NÖBV 1'!$B$3:$C$34,2,FALSE))=TRUE,0,VLOOKUP(B338,'NÖBV 1'!$B$3:$C$34,2,FALSE)),IF(ISNA(VLOOKUP(B338,'NÖBV 1'!$F$3:$G$34,2,FALSE))=TRUE,0,VLOOKUP(B338,'NÖBV 1'!$F$3:$G$34,2,FALSE)),IF(ISNA(VLOOKUP(B338,'NÖBV 1'!$J$3:$K$34,2,FALSE))=TRUE,0,VLOOKUP(B338,'NÖBV 1'!$J$3:$K$34,2,FALSE)),IF(ISNA(VLOOKUP(B338,'NÖBV 1'!$N$3:$O$34,2,FALSE))=TRUE,0,VLOOKUP(B338,'NÖBV 1'!$N$3:$O$34,2,FALSE)))</f>
        <v>0</v>
      </c>
      <c r="M338" s="19">
        <f>MAX(IF(ISNA(VLOOKUP(B338,'NÖBV 2'!$B$3:$C$34,2,FALSE))=TRUE,0,VLOOKUP(B338,'NÖBV 2'!$B$3:$C$34,2,FALSE)),IF(ISNA(VLOOKUP(B338,'NÖBV 2'!$F$3:$G$34,2,FALSE))=TRUE,0,VLOOKUP(B338,'NÖBV 2'!$F$3:$G$34,2,FALSE)),IF(ISNA(VLOOKUP(B338,'NÖBV 2'!$J$3:$K$34,2,FALSE))=TRUE,0,VLOOKUP(B338,'NÖBV 2'!$J$3:$K$34,2,FALSE)),IF(ISNA(VLOOKUP(B338,'NÖBV 2'!$N$3:$O$34,2,FALSE))=TRUE,0,VLOOKUP(B338,'NÖBV 2'!$N$3:$O$34,2,FALSE)))</f>
        <v>0</v>
      </c>
      <c r="N338" s="19">
        <f>MAX(IF(ISNA(VLOOKUP(B338,'NÖBV 3'!$B$3:$C$34,2,FALSE))=TRUE,0,VLOOKUP(B338,'NÖBV 3'!$B$3:$C$34,2,FALSE)),IF(ISNA(VLOOKUP(B338,'NÖBV 3'!$F$3:$G$34,2,FALSE))=TRUE,0,VLOOKUP(B338,'NÖBV 3'!$F$3:$G$34,2,FALSE)),IF(ISNA(VLOOKUP(B338,'NÖBV 3'!$J$3:$K$34,2,FALSE))=TRUE,0,VLOOKUP(B338,'NÖBV 3'!$J$3:$K$34,2,FALSE)),IF(ISNA(VLOOKUP(B338,'NÖBV 3'!$N$3:$O$34,2,FALSE))=TRUE,0,VLOOKUP(B338,'NÖBV 3'!$N$3:$O$34,2,FALSE)))</f>
        <v>0</v>
      </c>
      <c r="O338" s="15">
        <f>MAX(IF(ISNA(VLOOKUP(B338,'Regioturnier 1'!$B$3:$C$34,2,FALSE))=TRUE,0,VLOOKUP(B338,'Regioturnier 1'!$B$3:$C$34,2,FALSE)),IF(ISNA(VLOOKUP(B338,'Regioturnier 1'!$F$3:$G$34,2,FALSE))=TRUE,0,VLOOKUP(B338,'Regioturnier 1'!$F$3:$G$34,2,FALSE)),IF(ISNA(VLOOKUP(B338,'Regioturnier 1'!$J$3:$K$34,2,FALSE))=TRUE,0,VLOOKUP(B338,'Regioturnier 1'!$J$3:$K$34,2,FALSE)),IF(ISNA(VLOOKUP(B338,'Regioturnier 1'!$N$3:$O$34,2,FALSE))=TRUE,0,VLOOKUP(B338,'Regioturnier 1'!$N$3:$O$34,2,FALSE)),IF(ISNA(VLOOKUP(B338,'Regioturnier 1'!$R$3:$S$34,2,FALSE))=TRUE,0,VLOOKUP(B338,'Regioturnier 1'!$R$3:$S$34,2,FALSE)), IF(ISNA(VLOOKUP(B338,'Regioturnier 1'!$V$3:$W$34,2,FALSE))=TRUE,0,VLOOKUP(B338,'Regioturnier 1'!$V$3:$W$34,2,FALSE)), IF(ISNA(VLOOKUP(B338,'Regioturnier 1'!$Z$3:$AA$34,2,FALSE))=TRUE,0,VLOOKUP(B338,'Regioturnier 1'!$Z$3:$AA$34,2,FALSE)))</f>
        <v>0</v>
      </c>
      <c r="P338" s="15">
        <f>MAX(IF(ISNA(VLOOKUP(B338,'Regioturnier 2'!$B$3:$C$34,2,FALSE))=TRUE,0,VLOOKUP(B338,'Regioturnier 2'!$B$3:$C$34,2,FALSE)),IF(ISNA(VLOOKUP(B338,'Regioturnier 2'!$F$3:$G$34,2,FALSE))=TRUE,0,VLOOKUP(B338,'Regioturnier 2'!$F$3:$G$34,2,FALSE)),IF(ISNA(VLOOKUP(B338,'Regioturnier 2'!$J$3:$K$34,2,FALSE))=TRUE,0,VLOOKUP(B338,'Regioturnier 2'!$J$3:$K$34,2,FALSE)),IF(ISNA(VLOOKUP(B338,'Regioturnier 2'!$N$3:$O$34,2,FALSE))=TRUE,0,VLOOKUP(B338,'Regioturnier 2'!$N$3:$O$34,2,FALSE)),IF(ISNA(VLOOKUP(B338,'Regioturnier 2'!$R$3:$S$34,2,FALSE))=TRUE,0,VLOOKUP(B338,'Regioturnier 2'!$R$3:$S$34,2,FALSE)), IF(ISNA(VLOOKUP(B338,'Regioturnier 2'!$V$3:$W$34,2,FALSE))=TRUE,0,VLOOKUP(B338,'Regioturnier 2'!$V$3:$W$34,2,FALSE)), IF(ISNA(VLOOKUP(B338,'Regioturnier 2'!$Z$3:$AA$34,2,FALSE))=TRUE,0,VLOOKUP(B338,'Regioturnier 2'!$Z$3:$AA$34,2,FALSE)))</f>
        <v>0</v>
      </c>
      <c r="Q338" s="15">
        <f>MAX(IF(ISNA(VLOOKUP(B338,'Regioturnier 3'!$B$3:$C$34,2,FALSE))=TRUE,0,VLOOKUP(B338,'Regioturnier 3'!$B$3:$C$34,2,FALSE)),IF(ISNA(VLOOKUP(B338,'Regioturnier 3'!$F$3:$G$34,2,FALSE))=TRUE,0,VLOOKUP(B338,'Regioturnier 3'!$F$3:$G$34,2,FALSE)),IF(ISNA(VLOOKUP(B338,'Regioturnier 3'!$J$3:$K$34,2,FALSE))=TRUE,0,VLOOKUP(B338,'Regioturnier 3'!$J$3:$K$34,2,FALSE)),IF(ISNA(VLOOKUP(B338,'Regioturnier 3'!$N$3:$O$34,2,FALSE))=TRUE,0,VLOOKUP(B338,'Regioturnier 3'!$N$3:$O$34,2,FALSE)),IF(ISNA(VLOOKUP(B338,'Regioturnier 3'!$R$3:$S$34,2,FALSE))=TRUE,0,VLOOKUP(B338,'Regioturnier 3'!$R$3:$S$34,2,FALSE)), IF(ISNA(VLOOKUP(B338,'Regioturnier 3'!$V$3:$W$34,2,FALSE))=TRUE,0,VLOOKUP(B338,'Regioturnier 3'!$V$3:$W$34,2,FALSE)), IF(ISNA(VLOOKUP(B338,'Regioturnier 3'!$Z$3:$AA$34,2,FALSE))=TRUE,0,VLOOKUP(B338,'Regioturnier 3'!$Z$3:$AA$34,2,FALSE)))</f>
        <v>0</v>
      </c>
      <c r="R338" s="20">
        <f>0.5*INDEX($H338:$N338,MATCH(LARGE($H338:$N338,1),$H338:$N338,0))+0.3*INDEX($H338:$N338,MATCH(LARGE($H338:$N338,2),$H338:$N338,0))+0.2*INDEX($H338:$N338,MATCH(LARGE($H338:$N338,3),$H338:$N338,0))</f>
        <v>0</v>
      </c>
      <c r="S338" s="20">
        <f>0.6*INDEX(O338:Q338,MATCH(LARGE(O338:Q338,1),O338:Q338,0))+0.4*INDEX(O338:Q338,MATCH(LARGE(O338:Q338,2),O338:Q338,0))+0*INDEX(O338:Q338,MATCH(LARGE(O338:Q338,3),O338:Q338,0))</f>
        <v>0</v>
      </c>
      <c r="T338" s="15">
        <f>1*INDEX(R338:S338,MATCH(LARGE(R338:S338,1),R338:S338,0))+0*INDEX(R338:S338,MATCH(LARGE(R338:S338,2),R338:S338,0))</f>
        <v>0</v>
      </c>
      <c r="U338" s="21"/>
      <c r="V338" s="21"/>
      <c r="W338" s="21"/>
      <c r="X338" s="21"/>
      <c r="Y338" s="21"/>
      <c r="Z338" s="21"/>
    </row>
    <row r="339" spans="1:26" ht="12.75" customHeight="1" x14ac:dyDescent="0.3">
      <c r="A339" s="15"/>
      <c r="B339" s="21"/>
      <c r="C339" s="21"/>
      <c r="D339" s="15"/>
      <c r="E339" s="15"/>
      <c r="F339" s="15"/>
      <c r="G339" s="15"/>
      <c r="H339" s="15"/>
      <c r="I339" s="15"/>
      <c r="J339" s="15"/>
      <c r="K339" s="15"/>
      <c r="L339" s="15"/>
      <c r="M339" s="15"/>
      <c r="N339" s="15"/>
      <c r="O339" s="15"/>
      <c r="P339" s="15"/>
      <c r="Q339" s="15"/>
      <c r="R339" s="15"/>
      <c r="S339" s="20"/>
      <c r="T339" s="15"/>
      <c r="U339" s="21"/>
      <c r="V339" s="21"/>
      <c r="W339" s="21"/>
      <c r="X339" s="21"/>
      <c r="Y339" s="21"/>
      <c r="Z339" s="21"/>
    </row>
    <row r="340" spans="1:26" ht="12.75" customHeight="1" x14ac:dyDescent="0.3">
      <c r="A340" s="15"/>
      <c r="B340" s="21"/>
      <c r="C340" s="21"/>
      <c r="D340" s="15"/>
      <c r="E340" s="15"/>
      <c r="F340" s="15"/>
      <c r="G340" s="15"/>
      <c r="H340" s="15"/>
      <c r="I340" s="15"/>
      <c r="J340" s="15"/>
      <c r="K340" s="15"/>
      <c r="L340" s="15"/>
      <c r="M340" s="15"/>
      <c r="N340" s="15"/>
      <c r="O340" s="15"/>
      <c r="P340" s="15"/>
      <c r="Q340" s="15"/>
      <c r="R340" s="15"/>
      <c r="S340" s="20"/>
      <c r="T340" s="15"/>
      <c r="U340" s="21"/>
      <c r="V340" s="21"/>
      <c r="W340" s="21"/>
      <c r="X340" s="21"/>
      <c r="Y340" s="21"/>
      <c r="Z340" s="21"/>
    </row>
    <row r="341" spans="1:26" ht="12.75" customHeight="1" x14ac:dyDescent="0.3">
      <c r="A341" s="15"/>
      <c r="B341" s="21"/>
      <c r="C341" s="21"/>
      <c r="D341" s="15"/>
      <c r="E341" s="15"/>
      <c r="F341" s="15"/>
      <c r="G341" s="15"/>
      <c r="H341" s="15"/>
      <c r="I341" s="15"/>
      <c r="J341" s="15"/>
      <c r="K341" s="15"/>
      <c r="L341" s="15"/>
      <c r="M341" s="15"/>
      <c r="N341" s="15"/>
      <c r="O341" s="15"/>
      <c r="P341" s="15"/>
      <c r="Q341" s="15"/>
      <c r="R341" s="15"/>
      <c r="S341" s="20"/>
      <c r="T341" s="15"/>
      <c r="U341" s="21"/>
      <c r="V341" s="21"/>
      <c r="W341" s="21"/>
      <c r="X341" s="21"/>
      <c r="Y341" s="21"/>
      <c r="Z341" s="21"/>
    </row>
    <row r="342" spans="1:26" ht="12.75" customHeight="1" x14ac:dyDescent="0.3">
      <c r="A342" s="15"/>
      <c r="B342" s="21"/>
      <c r="C342" s="21"/>
      <c r="D342" s="15"/>
      <c r="E342" s="15"/>
      <c r="F342" s="15"/>
      <c r="G342" s="15"/>
      <c r="H342" s="15"/>
      <c r="I342" s="15"/>
      <c r="J342" s="15"/>
      <c r="K342" s="15"/>
      <c r="L342" s="15"/>
      <c r="M342" s="15"/>
      <c r="N342" s="15"/>
      <c r="O342" s="15"/>
      <c r="P342" s="15"/>
      <c r="Q342" s="15"/>
      <c r="R342" s="15"/>
      <c r="S342" s="20"/>
      <c r="T342" s="15"/>
      <c r="U342" s="21"/>
      <c r="V342" s="21"/>
      <c r="W342" s="21"/>
      <c r="X342" s="21"/>
      <c r="Y342" s="21"/>
      <c r="Z342" s="21"/>
    </row>
    <row r="343" spans="1:26" ht="12.75" customHeight="1" x14ac:dyDescent="0.3">
      <c r="A343" s="15"/>
      <c r="B343" s="21"/>
      <c r="C343" s="21"/>
      <c r="D343" s="15"/>
      <c r="E343" s="15"/>
      <c r="F343" s="15"/>
      <c r="G343" s="15"/>
      <c r="H343" s="15"/>
      <c r="I343" s="15"/>
      <c r="J343" s="15"/>
      <c r="K343" s="15"/>
      <c r="L343" s="15"/>
      <c r="M343" s="15"/>
      <c r="N343" s="15"/>
      <c r="O343" s="15"/>
      <c r="P343" s="15"/>
      <c r="Q343" s="15"/>
      <c r="R343" s="15"/>
      <c r="S343" s="20"/>
      <c r="T343" s="15"/>
      <c r="U343" s="21"/>
      <c r="V343" s="21"/>
      <c r="W343" s="21"/>
      <c r="X343" s="21"/>
      <c r="Y343" s="21"/>
      <c r="Z343" s="21"/>
    </row>
    <row r="344" spans="1:26" ht="12.75" customHeight="1" x14ac:dyDescent="0.3">
      <c r="A344" s="15"/>
      <c r="B344" s="21"/>
      <c r="C344" s="21"/>
      <c r="D344" s="15"/>
      <c r="E344" s="15"/>
      <c r="F344" s="15"/>
      <c r="G344" s="15"/>
      <c r="H344" s="15"/>
      <c r="I344" s="15"/>
      <c r="J344" s="15"/>
      <c r="K344" s="15"/>
      <c r="L344" s="15"/>
      <c r="M344" s="15"/>
      <c r="N344" s="15"/>
      <c r="O344" s="15"/>
      <c r="P344" s="15"/>
      <c r="Q344" s="15"/>
      <c r="R344" s="15"/>
      <c r="S344" s="20"/>
      <c r="T344" s="15"/>
      <c r="U344" s="21"/>
      <c r="V344" s="21"/>
      <c r="W344" s="21"/>
      <c r="X344" s="21"/>
      <c r="Y344" s="21"/>
      <c r="Z344" s="21"/>
    </row>
    <row r="345" spans="1:26" ht="12.75" customHeight="1" x14ac:dyDescent="0.3">
      <c r="A345" s="15"/>
      <c r="B345" s="21"/>
      <c r="C345" s="21"/>
      <c r="D345" s="15"/>
      <c r="E345" s="15"/>
      <c r="F345" s="15"/>
      <c r="G345" s="15"/>
      <c r="H345" s="15"/>
      <c r="I345" s="15"/>
      <c r="J345" s="15"/>
      <c r="K345" s="15"/>
      <c r="L345" s="15"/>
      <c r="M345" s="15"/>
      <c r="N345" s="15"/>
      <c r="O345" s="15"/>
      <c r="P345" s="15"/>
      <c r="Q345" s="15"/>
      <c r="R345" s="15"/>
      <c r="S345" s="20"/>
      <c r="T345" s="15"/>
      <c r="U345" s="21"/>
      <c r="V345" s="21"/>
      <c r="W345" s="21"/>
      <c r="X345" s="21"/>
      <c r="Y345" s="21"/>
      <c r="Z345" s="21"/>
    </row>
    <row r="346" spans="1:26" ht="12.75" customHeight="1" x14ac:dyDescent="0.3">
      <c r="A346" s="15"/>
      <c r="B346" s="21"/>
      <c r="C346" s="21"/>
      <c r="D346" s="15"/>
      <c r="E346" s="15"/>
      <c r="F346" s="15"/>
      <c r="G346" s="15"/>
      <c r="H346" s="15"/>
      <c r="I346" s="15"/>
      <c r="J346" s="15"/>
      <c r="K346" s="15"/>
      <c r="L346" s="15"/>
      <c r="M346" s="15"/>
      <c r="N346" s="15"/>
      <c r="O346" s="15"/>
      <c r="P346" s="15"/>
      <c r="Q346" s="15"/>
      <c r="R346" s="15"/>
      <c r="S346" s="20"/>
      <c r="T346" s="15"/>
      <c r="U346" s="21"/>
      <c r="V346" s="21"/>
      <c r="W346" s="21"/>
      <c r="X346" s="21"/>
      <c r="Y346" s="21"/>
      <c r="Z346" s="21"/>
    </row>
    <row r="347" spans="1:26" ht="12.75" customHeight="1" x14ac:dyDescent="0.3">
      <c r="A347" s="15"/>
      <c r="B347" s="21"/>
      <c r="C347" s="21"/>
      <c r="D347" s="15"/>
      <c r="E347" s="15"/>
      <c r="F347" s="15"/>
      <c r="G347" s="15"/>
      <c r="H347" s="15"/>
      <c r="I347" s="15"/>
      <c r="J347" s="15"/>
      <c r="K347" s="15"/>
      <c r="L347" s="15"/>
      <c r="M347" s="15"/>
      <c r="N347" s="15"/>
      <c r="O347" s="15"/>
      <c r="P347" s="15"/>
      <c r="Q347" s="15"/>
      <c r="R347" s="15"/>
      <c r="S347" s="20"/>
      <c r="T347" s="15"/>
      <c r="U347" s="21"/>
      <c r="V347" s="21"/>
      <c r="W347" s="21"/>
      <c r="X347" s="21"/>
      <c r="Y347" s="21"/>
      <c r="Z347" s="21"/>
    </row>
    <row r="348" spans="1:26" ht="12.75" customHeight="1" x14ac:dyDescent="0.3">
      <c r="A348" s="15"/>
      <c r="B348" s="21"/>
      <c r="C348" s="21"/>
      <c r="D348" s="15"/>
      <c r="E348" s="15"/>
      <c r="F348" s="15"/>
      <c r="G348" s="15"/>
      <c r="H348" s="15"/>
      <c r="I348" s="15"/>
      <c r="J348" s="15"/>
      <c r="K348" s="15"/>
      <c r="L348" s="15"/>
      <c r="M348" s="15"/>
      <c r="N348" s="15"/>
      <c r="O348" s="15"/>
      <c r="P348" s="15"/>
      <c r="Q348" s="15"/>
      <c r="R348" s="15"/>
      <c r="S348" s="20"/>
      <c r="T348" s="15"/>
      <c r="U348" s="21"/>
      <c r="V348" s="21"/>
      <c r="W348" s="21"/>
      <c r="X348" s="21"/>
      <c r="Y348" s="21"/>
      <c r="Z348" s="21"/>
    </row>
    <row r="349" spans="1:26" ht="12.75" customHeight="1" x14ac:dyDescent="0.3">
      <c r="A349" s="15"/>
      <c r="B349" s="21"/>
      <c r="C349" s="21"/>
      <c r="D349" s="15"/>
      <c r="E349" s="15"/>
      <c r="F349" s="15"/>
      <c r="G349" s="15"/>
      <c r="H349" s="15"/>
      <c r="I349" s="15"/>
      <c r="J349" s="15"/>
      <c r="K349" s="15"/>
      <c r="L349" s="15"/>
      <c r="M349" s="15"/>
      <c r="N349" s="15"/>
      <c r="O349" s="15"/>
      <c r="P349" s="15"/>
      <c r="Q349" s="15"/>
      <c r="R349" s="15"/>
      <c r="S349" s="20"/>
      <c r="T349" s="15"/>
      <c r="U349" s="21"/>
      <c r="V349" s="21"/>
      <c r="W349" s="21"/>
      <c r="X349" s="21"/>
      <c r="Y349" s="21"/>
      <c r="Z349" s="21"/>
    </row>
    <row r="350" spans="1:26" ht="12.75" customHeight="1" x14ac:dyDescent="0.3">
      <c r="A350" s="15"/>
      <c r="B350" s="21"/>
      <c r="C350" s="21"/>
      <c r="D350" s="15"/>
      <c r="E350" s="15"/>
      <c r="F350" s="15"/>
      <c r="G350" s="15"/>
      <c r="H350" s="15"/>
      <c r="I350" s="15"/>
      <c r="J350" s="15"/>
      <c r="K350" s="15"/>
      <c r="L350" s="15"/>
      <c r="M350" s="15"/>
      <c r="N350" s="15"/>
      <c r="O350" s="15"/>
      <c r="P350" s="15"/>
      <c r="Q350" s="15"/>
      <c r="R350" s="15"/>
      <c r="S350" s="20"/>
      <c r="T350" s="15"/>
      <c r="U350" s="21"/>
      <c r="V350" s="21"/>
      <c r="W350" s="21"/>
      <c r="X350" s="21"/>
      <c r="Y350" s="21"/>
      <c r="Z350" s="21"/>
    </row>
    <row r="351" spans="1:26" ht="12.75" customHeight="1" x14ac:dyDescent="0.3">
      <c r="A351" s="15"/>
      <c r="B351" s="21"/>
      <c r="C351" s="21"/>
      <c r="D351" s="15"/>
      <c r="E351" s="15"/>
      <c r="F351" s="15"/>
      <c r="G351" s="15"/>
      <c r="H351" s="15"/>
      <c r="I351" s="15"/>
      <c r="J351" s="15"/>
      <c r="K351" s="15"/>
      <c r="L351" s="15"/>
      <c r="M351" s="15"/>
      <c r="N351" s="15"/>
      <c r="O351" s="15"/>
      <c r="P351" s="15"/>
      <c r="Q351" s="15"/>
      <c r="R351" s="15"/>
      <c r="S351" s="20"/>
      <c r="T351" s="15"/>
      <c r="U351" s="21"/>
      <c r="V351" s="21"/>
      <c r="W351" s="21"/>
      <c r="X351" s="21"/>
      <c r="Y351" s="21"/>
      <c r="Z351" s="21"/>
    </row>
    <row r="352" spans="1:26" ht="12.75" customHeight="1" x14ac:dyDescent="0.3">
      <c r="A352" s="15"/>
      <c r="B352" s="21"/>
      <c r="C352" s="21"/>
      <c r="D352" s="15"/>
      <c r="E352" s="15"/>
      <c r="F352" s="15"/>
      <c r="G352" s="15"/>
      <c r="H352" s="15"/>
      <c r="I352" s="15"/>
      <c r="J352" s="15"/>
      <c r="K352" s="15"/>
      <c r="L352" s="15"/>
      <c r="M352" s="15"/>
      <c r="N352" s="15"/>
      <c r="O352" s="15"/>
      <c r="P352" s="15"/>
      <c r="Q352" s="15"/>
      <c r="R352" s="15"/>
      <c r="S352" s="20"/>
      <c r="T352" s="15"/>
      <c r="U352" s="21"/>
      <c r="V352" s="21"/>
      <c r="W352" s="21"/>
      <c r="X352" s="21"/>
      <c r="Y352" s="21"/>
      <c r="Z352" s="21"/>
    </row>
    <row r="353" spans="1:26" ht="12.75" customHeight="1" x14ac:dyDescent="0.3">
      <c r="A353" s="15"/>
      <c r="B353" s="21"/>
      <c r="C353" s="21"/>
      <c r="D353" s="15"/>
      <c r="E353" s="15"/>
      <c r="F353" s="15"/>
      <c r="G353" s="15"/>
      <c r="H353" s="15"/>
      <c r="I353" s="15"/>
      <c r="J353" s="15"/>
      <c r="K353" s="15"/>
      <c r="L353" s="15"/>
      <c r="M353" s="15"/>
      <c r="N353" s="15"/>
      <c r="O353" s="15"/>
      <c r="P353" s="15"/>
      <c r="Q353" s="15"/>
      <c r="R353" s="15"/>
      <c r="S353" s="20"/>
      <c r="T353" s="15"/>
      <c r="U353" s="21"/>
      <c r="V353" s="21"/>
      <c r="W353" s="21"/>
      <c r="X353" s="21"/>
      <c r="Y353" s="21"/>
      <c r="Z353" s="21"/>
    </row>
    <row r="354" spans="1:26" ht="12.75" customHeight="1" x14ac:dyDescent="0.3">
      <c r="A354" s="15"/>
      <c r="B354" s="21"/>
      <c r="C354" s="21"/>
      <c r="D354" s="15"/>
      <c r="E354" s="15"/>
      <c r="F354" s="15"/>
      <c r="G354" s="15"/>
      <c r="H354" s="15"/>
      <c r="I354" s="15"/>
      <c r="J354" s="15"/>
      <c r="K354" s="15"/>
      <c r="L354" s="15"/>
      <c r="M354" s="15"/>
      <c r="N354" s="15"/>
      <c r="O354" s="15"/>
      <c r="P354" s="15"/>
      <c r="Q354" s="15"/>
      <c r="R354" s="15"/>
      <c r="S354" s="20"/>
      <c r="T354" s="15"/>
      <c r="U354" s="21"/>
      <c r="V354" s="21"/>
      <c r="W354" s="21"/>
      <c r="X354" s="21"/>
      <c r="Y354" s="21"/>
      <c r="Z354" s="21"/>
    </row>
    <row r="355" spans="1:26" ht="12.75" customHeight="1" x14ac:dyDescent="0.3">
      <c r="A355" s="15"/>
      <c r="B355" s="21"/>
      <c r="C355" s="21"/>
      <c r="D355" s="15"/>
      <c r="E355" s="15"/>
      <c r="F355" s="15"/>
      <c r="G355" s="15"/>
      <c r="H355" s="15"/>
      <c r="I355" s="15"/>
      <c r="J355" s="15"/>
      <c r="K355" s="15"/>
      <c r="L355" s="15"/>
      <c r="M355" s="15"/>
      <c r="N355" s="15"/>
      <c r="O355" s="15"/>
      <c r="P355" s="15"/>
      <c r="Q355" s="15"/>
      <c r="R355" s="15"/>
      <c r="S355" s="20"/>
      <c r="T355" s="15"/>
      <c r="U355" s="21"/>
      <c r="V355" s="21"/>
      <c r="W355" s="21"/>
      <c r="X355" s="21"/>
      <c r="Y355" s="21"/>
      <c r="Z355" s="21"/>
    </row>
    <row r="356" spans="1:26" ht="12.75" customHeight="1" x14ac:dyDescent="0.3">
      <c r="A356" s="15"/>
      <c r="B356" s="21"/>
      <c r="C356" s="21"/>
      <c r="D356" s="15"/>
      <c r="E356" s="15"/>
      <c r="F356" s="15"/>
      <c r="G356" s="15"/>
      <c r="H356" s="15"/>
      <c r="I356" s="15"/>
      <c r="J356" s="15"/>
      <c r="K356" s="15"/>
      <c r="L356" s="15"/>
      <c r="M356" s="15"/>
      <c r="N356" s="15"/>
      <c r="O356" s="15"/>
      <c r="P356" s="15"/>
      <c r="Q356" s="15"/>
      <c r="R356" s="15"/>
      <c r="S356" s="20"/>
      <c r="T356" s="15"/>
      <c r="U356" s="21"/>
      <c r="V356" s="21"/>
      <c r="W356" s="21"/>
      <c r="X356" s="21"/>
      <c r="Y356" s="21"/>
      <c r="Z356" s="21"/>
    </row>
    <row r="357" spans="1:26" ht="12.75" customHeight="1" x14ac:dyDescent="0.3">
      <c r="A357" s="15"/>
      <c r="B357" s="21"/>
      <c r="C357" s="21"/>
      <c r="D357" s="15"/>
      <c r="E357" s="15"/>
      <c r="F357" s="15"/>
      <c r="G357" s="15"/>
      <c r="H357" s="15"/>
      <c r="I357" s="15"/>
      <c r="J357" s="15"/>
      <c r="K357" s="15"/>
      <c r="L357" s="15"/>
      <c r="M357" s="15"/>
      <c r="N357" s="15"/>
      <c r="O357" s="15"/>
      <c r="P357" s="15"/>
      <c r="Q357" s="15"/>
      <c r="R357" s="15"/>
      <c r="S357" s="20"/>
      <c r="T357" s="15"/>
      <c r="U357" s="21"/>
      <c r="V357" s="21"/>
      <c r="W357" s="21"/>
      <c r="X357" s="21"/>
      <c r="Y357" s="21"/>
      <c r="Z357" s="21"/>
    </row>
    <row r="358" spans="1:26" ht="12.75" customHeight="1" x14ac:dyDescent="0.3">
      <c r="A358" s="15"/>
      <c r="B358" s="21"/>
      <c r="C358" s="21"/>
      <c r="D358" s="15"/>
      <c r="E358" s="15"/>
      <c r="F358" s="15"/>
      <c r="G358" s="15"/>
      <c r="H358" s="15"/>
      <c r="I358" s="15"/>
      <c r="J358" s="15"/>
      <c r="K358" s="15"/>
      <c r="L358" s="15"/>
      <c r="M358" s="15"/>
      <c r="N358" s="15"/>
      <c r="O358" s="15"/>
      <c r="P358" s="15"/>
      <c r="Q358" s="15"/>
      <c r="R358" s="15"/>
      <c r="S358" s="20"/>
      <c r="T358" s="15"/>
      <c r="U358" s="21"/>
      <c r="V358" s="21"/>
      <c r="W358" s="21"/>
      <c r="X358" s="21"/>
      <c r="Y358" s="21"/>
      <c r="Z358" s="21"/>
    </row>
    <row r="359" spans="1:26" ht="12.75" customHeight="1" x14ac:dyDescent="0.3">
      <c r="A359" s="15"/>
      <c r="B359" s="21"/>
      <c r="C359" s="21"/>
      <c r="D359" s="15"/>
      <c r="E359" s="15"/>
      <c r="F359" s="15"/>
      <c r="G359" s="15"/>
      <c r="H359" s="15"/>
      <c r="I359" s="15"/>
      <c r="J359" s="15"/>
      <c r="K359" s="15"/>
      <c r="L359" s="15"/>
      <c r="M359" s="15"/>
      <c r="N359" s="15"/>
      <c r="O359" s="15"/>
      <c r="P359" s="15"/>
      <c r="Q359" s="15"/>
      <c r="R359" s="15"/>
      <c r="S359" s="20"/>
      <c r="T359" s="15"/>
      <c r="U359" s="21"/>
      <c r="V359" s="21"/>
      <c r="W359" s="21"/>
      <c r="X359" s="21"/>
      <c r="Y359" s="21"/>
      <c r="Z359" s="21"/>
    </row>
    <row r="360" spans="1:26" ht="12.75" customHeight="1" x14ac:dyDescent="0.3">
      <c r="A360" s="15"/>
      <c r="B360" s="21"/>
      <c r="C360" s="21"/>
      <c r="D360" s="15"/>
      <c r="E360" s="15"/>
      <c r="F360" s="15"/>
      <c r="G360" s="15"/>
      <c r="H360" s="15"/>
      <c r="I360" s="15"/>
      <c r="J360" s="15"/>
      <c r="K360" s="15"/>
      <c r="L360" s="15"/>
      <c r="M360" s="15"/>
      <c r="N360" s="15"/>
      <c r="O360" s="15"/>
      <c r="P360" s="15"/>
      <c r="Q360" s="15"/>
      <c r="R360" s="15"/>
      <c r="S360" s="20"/>
      <c r="T360" s="15"/>
      <c r="U360" s="21"/>
      <c r="V360" s="21"/>
      <c r="W360" s="21"/>
      <c r="X360" s="21"/>
      <c r="Y360" s="21"/>
      <c r="Z360" s="21"/>
    </row>
    <row r="361" spans="1:26" ht="12.75" customHeight="1" x14ac:dyDescent="0.3">
      <c r="A361" s="15"/>
      <c r="B361" s="21"/>
      <c r="C361" s="21"/>
      <c r="D361" s="15"/>
      <c r="E361" s="15"/>
      <c r="F361" s="15"/>
      <c r="G361" s="15"/>
      <c r="H361" s="15"/>
      <c r="I361" s="15"/>
      <c r="J361" s="15"/>
      <c r="K361" s="15"/>
      <c r="L361" s="15"/>
      <c r="M361" s="15"/>
      <c r="N361" s="15"/>
      <c r="O361" s="15"/>
      <c r="P361" s="15"/>
      <c r="Q361" s="15"/>
      <c r="R361" s="15"/>
      <c r="S361" s="20"/>
      <c r="T361" s="15"/>
      <c r="U361" s="21"/>
      <c r="V361" s="21"/>
      <c r="W361" s="21"/>
      <c r="X361" s="21"/>
      <c r="Y361" s="21"/>
      <c r="Z361" s="21"/>
    </row>
    <row r="362" spans="1:26" ht="12.75" customHeight="1" x14ac:dyDescent="0.3">
      <c r="A362" s="15"/>
      <c r="B362" s="21"/>
      <c r="C362" s="21"/>
      <c r="D362" s="15"/>
      <c r="E362" s="15"/>
      <c r="F362" s="15"/>
      <c r="G362" s="15"/>
      <c r="H362" s="15"/>
      <c r="I362" s="15"/>
      <c r="J362" s="15"/>
      <c r="K362" s="15"/>
      <c r="L362" s="15"/>
      <c r="M362" s="15"/>
      <c r="N362" s="15"/>
      <c r="O362" s="15"/>
      <c r="P362" s="15"/>
      <c r="Q362" s="15"/>
      <c r="R362" s="15"/>
      <c r="S362" s="20"/>
      <c r="T362" s="15"/>
      <c r="U362" s="21"/>
      <c r="V362" s="21"/>
      <c r="W362" s="21"/>
      <c r="X362" s="21"/>
      <c r="Y362" s="21"/>
      <c r="Z362" s="21"/>
    </row>
    <row r="363" spans="1:26" ht="12.75" customHeight="1" x14ac:dyDescent="0.3">
      <c r="A363" s="15"/>
      <c r="B363" s="21"/>
      <c r="C363" s="21"/>
      <c r="D363" s="15"/>
      <c r="E363" s="15"/>
      <c r="F363" s="15"/>
      <c r="G363" s="15"/>
      <c r="H363" s="15"/>
      <c r="I363" s="15"/>
      <c r="J363" s="15"/>
      <c r="K363" s="15"/>
      <c r="L363" s="15"/>
      <c r="M363" s="15"/>
      <c r="N363" s="15"/>
      <c r="O363" s="15"/>
      <c r="P363" s="15"/>
      <c r="Q363" s="15"/>
      <c r="R363" s="15"/>
      <c r="S363" s="20"/>
      <c r="T363" s="15"/>
      <c r="U363" s="21"/>
      <c r="V363" s="21"/>
      <c r="W363" s="21"/>
      <c r="X363" s="21"/>
      <c r="Y363" s="21"/>
      <c r="Z363" s="21"/>
    </row>
    <row r="364" spans="1:26" ht="12.75" customHeight="1" x14ac:dyDescent="0.3">
      <c r="A364" s="15"/>
      <c r="B364" s="21"/>
      <c r="C364" s="21"/>
      <c r="D364" s="15"/>
      <c r="E364" s="15"/>
      <c r="F364" s="15"/>
      <c r="G364" s="15"/>
      <c r="H364" s="15"/>
      <c r="I364" s="15"/>
      <c r="J364" s="15"/>
      <c r="K364" s="15"/>
      <c r="L364" s="15"/>
      <c r="M364" s="15"/>
      <c r="N364" s="15"/>
      <c r="O364" s="15"/>
      <c r="P364" s="15"/>
      <c r="Q364" s="15"/>
      <c r="R364" s="15"/>
      <c r="S364" s="20"/>
      <c r="T364" s="15"/>
      <c r="U364" s="21"/>
      <c r="V364" s="21"/>
      <c r="W364" s="21"/>
      <c r="X364" s="21"/>
      <c r="Y364" s="21"/>
      <c r="Z364" s="21"/>
    </row>
    <row r="365" spans="1:26" ht="12.75" customHeight="1" x14ac:dyDescent="0.3">
      <c r="A365" s="15"/>
      <c r="B365" s="21"/>
      <c r="C365" s="21"/>
      <c r="D365" s="15"/>
      <c r="E365" s="15"/>
      <c r="F365" s="15"/>
      <c r="G365" s="15"/>
      <c r="H365" s="15"/>
      <c r="I365" s="15"/>
      <c r="J365" s="15"/>
      <c r="K365" s="15"/>
      <c r="L365" s="15"/>
      <c r="M365" s="15"/>
      <c r="N365" s="15"/>
      <c r="O365" s="15"/>
      <c r="P365" s="15"/>
      <c r="Q365" s="15"/>
      <c r="R365" s="15"/>
      <c r="S365" s="20"/>
      <c r="T365" s="15"/>
      <c r="U365" s="21"/>
      <c r="V365" s="21"/>
      <c r="W365" s="21"/>
      <c r="X365" s="21"/>
      <c r="Y365" s="21"/>
      <c r="Z365" s="21"/>
    </row>
    <row r="366" spans="1:26" ht="12.75" customHeight="1" x14ac:dyDescent="0.3">
      <c r="A366" s="15"/>
      <c r="B366" s="21"/>
      <c r="C366" s="21"/>
      <c r="D366" s="15"/>
      <c r="E366" s="15"/>
      <c r="F366" s="15"/>
      <c r="G366" s="15"/>
      <c r="H366" s="15"/>
      <c r="I366" s="15"/>
      <c r="J366" s="15"/>
      <c r="K366" s="15"/>
      <c r="L366" s="15"/>
      <c r="M366" s="15"/>
      <c r="N366" s="15"/>
      <c r="O366" s="15"/>
      <c r="P366" s="15"/>
      <c r="Q366" s="15"/>
      <c r="R366" s="15"/>
      <c r="S366" s="20"/>
      <c r="T366" s="15"/>
      <c r="U366" s="21"/>
      <c r="V366" s="21"/>
      <c r="W366" s="21"/>
      <c r="X366" s="21"/>
      <c r="Y366" s="21"/>
      <c r="Z366" s="21"/>
    </row>
    <row r="367" spans="1:26" ht="12.75" customHeight="1" x14ac:dyDescent="0.3">
      <c r="A367" s="15"/>
      <c r="B367" s="21"/>
      <c r="C367" s="21"/>
      <c r="D367" s="15"/>
      <c r="E367" s="15"/>
      <c r="F367" s="15"/>
      <c r="G367" s="15"/>
      <c r="H367" s="15"/>
      <c r="I367" s="15"/>
      <c r="J367" s="15"/>
      <c r="K367" s="15"/>
      <c r="L367" s="15"/>
      <c r="M367" s="15"/>
      <c r="N367" s="15"/>
      <c r="O367" s="15"/>
      <c r="P367" s="15"/>
      <c r="Q367" s="15"/>
      <c r="R367" s="15"/>
      <c r="S367" s="20"/>
      <c r="T367" s="15"/>
      <c r="U367" s="21"/>
      <c r="V367" s="21"/>
      <c r="W367" s="21"/>
      <c r="X367" s="21"/>
      <c r="Y367" s="21"/>
      <c r="Z367" s="21"/>
    </row>
    <row r="368" spans="1:26" ht="12.75" customHeight="1" x14ac:dyDescent="0.3">
      <c r="A368" s="15"/>
      <c r="B368" s="21"/>
      <c r="C368" s="21"/>
      <c r="D368" s="15"/>
      <c r="E368" s="15"/>
      <c r="F368" s="15"/>
      <c r="G368" s="15"/>
      <c r="H368" s="15"/>
      <c r="I368" s="15"/>
      <c r="J368" s="15"/>
      <c r="K368" s="15"/>
      <c r="L368" s="15"/>
      <c r="M368" s="15"/>
      <c r="N368" s="15"/>
      <c r="O368" s="15"/>
      <c r="P368" s="15"/>
      <c r="Q368" s="15"/>
      <c r="R368" s="15"/>
      <c r="S368" s="20"/>
      <c r="T368" s="15"/>
      <c r="U368" s="21"/>
      <c r="V368" s="21"/>
      <c r="W368" s="21"/>
      <c r="X368" s="21"/>
      <c r="Y368" s="21"/>
      <c r="Z368" s="21"/>
    </row>
    <row r="369" spans="1:26" ht="12.75" customHeight="1" x14ac:dyDescent="0.3">
      <c r="A369" s="15"/>
      <c r="B369" s="21"/>
      <c r="C369" s="21"/>
      <c r="D369" s="15"/>
      <c r="E369" s="15"/>
      <c r="F369" s="15"/>
      <c r="G369" s="15"/>
      <c r="H369" s="15"/>
      <c r="I369" s="15"/>
      <c r="J369" s="15"/>
      <c r="K369" s="15"/>
      <c r="L369" s="15"/>
      <c r="M369" s="15"/>
      <c r="N369" s="15"/>
      <c r="O369" s="15"/>
      <c r="P369" s="15"/>
      <c r="Q369" s="15"/>
      <c r="R369" s="15"/>
      <c r="S369" s="20"/>
      <c r="T369" s="15"/>
      <c r="U369" s="21"/>
      <c r="V369" s="21"/>
      <c r="W369" s="21"/>
      <c r="X369" s="21"/>
      <c r="Y369" s="21"/>
      <c r="Z369" s="21"/>
    </row>
    <row r="370" spans="1:26" ht="12.75" customHeight="1" x14ac:dyDescent="0.3">
      <c r="A370" s="15"/>
      <c r="B370" s="21"/>
      <c r="C370" s="21"/>
      <c r="D370" s="15"/>
      <c r="E370" s="15"/>
      <c r="F370" s="15"/>
      <c r="G370" s="15"/>
      <c r="H370" s="15"/>
      <c r="I370" s="15"/>
      <c r="J370" s="15"/>
      <c r="K370" s="15"/>
      <c r="L370" s="15"/>
      <c r="M370" s="15"/>
      <c r="N370" s="15"/>
      <c r="O370" s="15"/>
      <c r="P370" s="15"/>
      <c r="Q370" s="15"/>
      <c r="R370" s="15"/>
      <c r="S370" s="20"/>
      <c r="T370" s="15"/>
      <c r="U370" s="21"/>
      <c r="V370" s="21"/>
      <c r="W370" s="21"/>
      <c r="X370" s="21"/>
      <c r="Y370" s="21"/>
      <c r="Z370" s="21"/>
    </row>
    <row r="371" spans="1:26" ht="12.75" customHeight="1" x14ac:dyDescent="0.3">
      <c r="A371" s="15"/>
      <c r="B371" s="21"/>
      <c r="C371" s="21"/>
      <c r="D371" s="15"/>
      <c r="E371" s="15"/>
      <c r="F371" s="15"/>
      <c r="G371" s="15"/>
      <c r="H371" s="15"/>
      <c r="I371" s="15"/>
      <c r="J371" s="15"/>
      <c r="K371" s="15"/>
      <c r="L371" s="15"/>
      <c r="M371" s="15"/>
      <c r="N371" s="15"/>
      <c r="O371" s="15"/>
      <c r="P371" s="15"/>
      <c r="Q371" s="15"/>
      <c r="R371" s="15"/>
      <c r="S371" s="20"/>
      <c r="T371" s="15"/>
      <c r="U371" s="21"/>
      <c r="V371" s="21"/>
      <c r="W371" s="21"/>
      <c r="X371" s="21"/>
      <c r="Y371" s="21"/>
      <c r="Z371" s="21"/>
    </row>
    <row r="372" spans="1:26" ht="12.75" customHeight="1" x14ac:dyDescent="0.3">
      <c r="A372" s="15"/>
      <c r="B372" s="21"/>
      <c r="C372" s="21"/>
      <c r="D372" s="15"/>
      <c r="E372" s="15"/>
      <c r="F372" s="15"/>
      <c r="G372" s="15"/>
      <c r="H372" s="15"/>
      <c r="I372" s="15"/>
      <c r="J372" s="15"/>
      <c r="K372" s="15"/>
      <c r="L372" s="15"/>
      <c r="M372" s="15"/>
      <c r="N372" s="15"/>
      <c r="O372" s="15"/>
      <c r="P372" s="15"/>
      <c r="Q372" s="15"/>
      <c r="R372" s="15"/>
      <c r="S372" s="20"/>
      <c r="T372" s="15"/>
      <c r="U372" s="21"/>
      <c r="V372" s="21"/>
      <c r="W372" s="21"/>
      <c r="X372" s="21"/>
      <c r="Y372" s="21"/>
      <c r="Z372" s="21"/>
    </row>
    <row r="373" spans="1:26" ht="12.75" customHeight="1" x14ac:dyDescent="0.3">
      <c r="A373" s="15"/>
      <c r="B373" s="21"/>
      <c r="C373" s="21"/>
      <c r="D373" s="15"/>
      <c r="E373" s="15"/>
      <c r="F373" s="15"/>
      <c r="G373" s="15"/>
      <c r="H373" s="15"/>
      <c r="I373" s="15"/>
      <c r="J373" s="15"/>
      <c r="K373" s="15"/>
      <c r="L373" s="15"/>
      <c r="M373" s="15"/>
      <c r="N373" s="15"/>
      <c r="O373" s="15"/>
      <c r="P373" s="15"/>
      <c r="Q373" s="15"/>
      <c r="R373" s="15"/>
      <c r="S373" s="20"/>
      <c r="T373" s="15"/>
      <c r="U373" s="21"/>
      <c r="V373" s="21"/>
      <c r="W373" s="21"/>
      <c r="X373" s="21"/>
      <c r="Y373" s="21"/>
      <c r="Z373" s="21"/>
    </row>
    <row r="374" spans="1:26" ht="12.75" customHeight="1" x14ac:dyDescent="0.3">
      <c r="A374" s="15"/>
      <c r="B374" s="21"/>
      <c r="C374" s="21"/>
      <c r="D374" s="15"/>
      <c r="E374" s="15"/>
      <c r="F374" s="15"/>
      <c r="G374" s="15"/>
      <c r="H374" s="15"/>
      <c r="I374" s="15"/>
      <c r="J374" s="15"/>
      <c r="K374" s="15"/>
      <c r="L374" s="15"/>
      <c r="M374" s="15"/>
      <c r="N374" s="15"/>
      <c r="O374" s="15"/>
      <c r="P374" s="15"/>
      <c r="Q374" s="15"/>
      <c r="R374" s="15"/>
      <c r="S374" s="20"/>
      <c r="T374" s="15"/>
      <c r="U374" s="21"/>
      <c r="V374" s="21"/>
      <c r="W374" s="21"/>
      <c r="X374" s="21"/>
      <c r="Y374" s="21"/>
      <c r="Z374" s="21"/>
    </row>
    <row r="375" spans="1:26" ht="12.75" customHeight="1" x14ac:dyDescent="0.3">
      <c r="A375" s="15"/>
      <c r="B375" s="21"/>
      <c r="C375" s="21"/>
      <c r="D375" s="15"/>
      <c r="E375" s="15"/>
      <c r="F375" s="15"/>
      <c r="G375" s="15"/>
      <c r="H375" s="15"/>
      <c r="I375" s="15"/>
      <c r="J375" s="15"/>
      <c r="K375" s="15"/>
      <c r="L375" s="15"/>
      <c r="M375" s="15"/>
      <c r="N375" s="15"/>
      <c r="O375" s="15"/>
      <c r="P375" s="15"/>
      <c r="Q375" s="15"/>
      <c r="R375" s="15"/>
      <c r="S375" s="20"/>
      <c r="T375" s="15"/>
      <c r="U375" s="21"/>
      <c r="V375" s="21"/>
      <c r="W375" s="21"/>
      <c r="X375" s="21"/>
      <c r="Y375" s="21"/>
      <c r="Z375" s="21"/>
    </row>
    <row r="376" spans="1:26" ht="12.75" customHeight="1" x14ac:dyDescent="0.3">
      <c r="A376" s="15"/>
      <c r="B376" s="21"/>
      <c r="C376" s="21"/>
      <c r="D376" s="15"/>
      <c r="E376" s="15"/>
      <c r="F376" s="15"/>
      <c r="G376" s="15"/>
      <c r="H376" s="15"/>
      <c r="I376" s="15"/>
      <c r="J376" s="15"/>
      <c r="K376" s="15"/>
      <c r="L376" s="15"/>
      <c r="M376" s="15"/>
      <c r="N376" s="15"/>
      <c r="O376" s="15"/>
      <c r="P376" s="15"/>
      <c r="Q376" s="15"/>
      <c r="R376" s="15"/>
      <c r="S376" s="20"/>
      <c r="T376" s="15"/>
      <c r="U376" s="21"/>
      <c r="V376" s="21"/>
      <c r="W376" s="21"/>
      <c r="X376" s="21"/>
      <c r="Y376" s="21"/>
      <c r="Z376" s="21"/>
    </row>
    <row r="377" spans="1:26" ht="12.75" customHeight="1" x14ac:dyDescent="0.3">
      <c r="A377" s="15"/>
      <c r="B377" s="21"/>
      <c r="C377" s="21"/>
      <c r="D377" s="15"/>
      <c r="E377" s="15"/>
      <c r="F377" s="15"/>
      <c r="G377" s="15"/>
      <c r="H377" s="15"/>
      <c r="I377" s="15"/>
      <c r="J377" s="15"/>
      <c r="K377" s="15"/>
      <c r="L377" s="15"/>
      <c r="M377" s="15"/>
      <c r="N377" s="15"/>
      <c r="O377" s="15"/>
      <c r="P377" s="15"/>
      <c r="Q377" s="15"/>
      <c r="R377" s="15"/>
      <c r="S377" s="20"/>
      <c r="T377" s="15"/>
      <c r="U377" s="21"/>
      <c r="V377" s="21"/>
      <c r="W377" s="21"/>
      <c r="X377" s="21"/>
      <c r="Y377" s="21"/>
      <c r="Z377" s="21"/>
    </row>
    <row r="378" spans="1:26" ht="12.75" customHeight="1" x14ac:dyDescent="0.3">
      <c r="A378" s="15"/>
      <c r="B378" s="21"/>
      <c r="C378" s="21"/>
      <c r="D378" s="15"/>
      <c r="E378" s="15"/>
      <c r="F378" s="15"/>
      <c r="G378" s="15"/>
      <c r="H378" s="15"/>
      <c r="I378" s="15"/>
      <c r="J378" s="15"/>
      <c r="K378" s="15"/>
      <c r="L378" s="15"/>
      <c r="M378" s="15"/>
      <c r="N378" s="15"/>
      <c r="O378" s="15"/>
      <c r="P378" s="15"/>
      <c r="Q378" s="15"/>
      <c r="R378" s="15"/>
      <c r="S378" s="20"/>
      <c r="T378" s="15"/>
      <c r="U378" s="21"/>
      <c r="V378" s="21"/>
      <c r="W378" s="21"/>
      <c r="X378" s="21"/>
      <c r="Y378" s="21"/>
      <c r="Z378" s="21"/>
    </row>
    <row r="379" spans="1:26" ht="12.75" customHeight="1" x14ac:dyDescent="0.3">
      <c r="A379" s="15"/>
      <c r="B379" s="21"/>
      <c r="C379" s="21"/>
      <c r="D379" s="15"/>
      <c r="E379" s="15"/>
      <c r="F379" s="15"/>
      <c r="G379" s="15"/>
      <c r="H379" s="15"/>
      <c r="I379" s="15"/>
      <c r="J379" s="15"/>
      <c r="K379" s="15"/>
      <c r="L379" s="15"/>
      <c r="M379" s="15"/>
      <c r="N379" s="15"/>
      <c r="O379" s="15"/>
      <c r="P379" s="15"/>
      <c r="Q379" s="15"/>
      <c r="R379" s="15"/>
      <c r="S379" s="20"/>
      <c r="T379" s="15"/>
      <c r="U379" s="21"/>
      <c r="V379" s="21"/>
      <c r="W379" s="21"/>
      <c r="X379" s="21"/>
      <c r="Y379" s="21"/>
      <c r="Z379" s="21"/>
    </row>
    <row r="380" spans="1:26" ht="12.75" customHeight="1" x14ac:dyDescent="0.3">
      <c r="A380" s="15"/>
      <c r="B380" s="21"/>
      <c r="C380" s="21"/>
      <c r="D380" s="15"/>
      <c r="E380" s="15"/>
      <c r="F380" s="15"/>
      <c r="G380" s="15"/>
      <c r="H380" s="15"/>
      <c r="I380" s="15"/>
      <c r="J380" s="15"/>
      <c r="K380" s="15"/>
      <c r="L380" s="15"/>
      <c r="M380" s="15"/>
      <c r="N380" s="15"/>
      <c r="O380" s="15"/>
      <c r="P380" s="15"/>
      <c r="Q380" s="15"/>
      <c r="R380" s="15"/>
      <c r="S380" s="20"/>
      <c r="T380" s="15"/>
      <c r="U380" s="21"/>
      <c r="V380" s="21"/>
      <c r="W380" s="21"/>
      <c r="X380" s="21"/>
      <c r="Y380" s="21"/>
      <c r="Z380" s="21"/>
    </row>
    <row r="381" spans="1:26" ht="12.75" customHeight="1" x14ac:dyDescent="0.3">
      <c r="A381" s="15"/>
      <c r="B381" s="21"/>
      <c r="C381" s="21"/>
      <c r="D381" s="15"/>
      <c r="E381" s="15"/>
      <c r="F381" s="15"/>
      <c r="G381" s="15"/>
      <c r="H381" s="15"/>
      <c r="I381" s="15"/>
      <c r="J381" s="15"/>
      <c r="K381" s="15"/>
      <c r="L381" s="15"/>
      <c r="M381" s="15"/>
      <c r="N381" s="15"/>
      <c r="O381" s="15"/>
      <c r="P381" s="15"/>
      <c r="Q381" s="15"/>
      <c r="R381" s="15"/>
      <c r="S381" s="20"/>
      <c r="T381" s="15"/>
      <c r="U381" s="21"/>
      <c r="V381" s="21"/>
      <c r="W381" s="21"/>
      <c r="X381" s="21"/>
      <c r="Y381" s="21"/>
      <c r="Z381" s="21"/>
    </row>
    <row r="382" spans="1:26" ht="12.75" customHeight="1" x14ac:dyDescent="0.3">
      <c r="A382" s="15"/>
      <c r="B382" s="21"/>
      <c r="C382" s="21"/>
      <c r="D382" s="15"/>
      <c r="E382" s="15"/>
      <c r="F382" s="15"/>
      <c r="G382" s="15"/>
      <c r="H382" s="15"/>
      <c r="I382" s="15"/>
      <c r="J382" s="15"/>
      <c r="K382" s="15"/>
      <c r="L382" s="15"/>
      <c r="M382" s="15"/>
      <c r="N382" s="15"/>
      <c r="O382" s="15"/>
      <c r="P382" s="15"/>
      <c r="Q382" s="15"/>
      <c r="R382" s="15"/>
      <c r="S382" s="20"/>
      <c r="T382" s="15"/>
      <c r="U382" s="21"/>
      <c r="V382" s="21"/>
      <c r="W382" s="21"/>
      <c r="X382" s="21"/>
      <c r="Y382" s="21"/>
      <c r="Z382" s="21"/>
    </row>
    <row r="383" spans="1:26" ht="12.75" customHeight="1" x14ac:dyDescent="0.3">
      <c r="A383" s="15"/>
      <c r="B383" s="21"/>
      <c r="C383" s="21"/>
      <c r="D383" s="15"/>
      <c r="E383" s="15"/>
      <c r="F383" s="15"/>
      <c r="G383" s="15"/>
      <c r="H383" s="15"/>
      <c r="I383" s="15"/>
      <c r="J383" s="15"/>
      <c r="K383" s="15"/>
      <c r="L383" s="15"/>
      <c r="M383" s="15"/>
      <c r="N383" s="15"/>
      <c r="O383" s="15"/>
      <c r="P383" s="15"/>
      <c r="Q383" s="15"/>
      <c r="R383" s="15"/>
      <c r="S383" s="20"/>
      <c r="T383" s="15"/>
      <c r="U383" s="21"/>
      <c r="V383" s="21"/>
      <c r="W383" s="21"/>
      <c r="X383" s="21"/>
      <c r="Y383" s="21"/>
      <c r="Z383" s="21"/>
    </row>
    <row r="384" spans="1:26" ht="12.75" customHeight="1" x14ac:dyDescent="0.3">
      <c r="A384" s="15"/>
      <c r="B384" s="21"/>
      <c r="C384" s="21"/>
      <c r="D384" s="15"/>
      <c r="E384" s="15"/>
      <c r="F384" s="15"/>
      <c r="G384" s="15"/>
      <c r="H384" s="15"/>
      <c r="I384" s="15"/>
      <c r="J384" s="15"/>
      <c r="K384" s="15"/>
      <c r="L384" s="15"/>
      <c r="M384" s="15"/>
      <c r="N384" s="15"/>
      <c r="O384" s="15"/>
      <c r="P384" s="15"/>
      <c r="Q384" s="15"/>
      <c r="R384" s="15"/>
      <c r="S384" s="20"/>
      <c r="T384" s="15"/>
      <c r="U384" s="21"/>
      <c r="V384" s="21"/>
      <c r="W384" s="21"/>
      <c r="X384" s="21"/>
      <c r="Y384" s="21"/>
      <c r="Z384" s="21"/>
    </row>
    <row r="385" spans="1:26" ht="12.75" customHeight="1" x14ac:dyDescent="0.3">
      <c r="A385" s="15"/>
      <c r="B385" s="21"/>
      <c r="C385" s="21"/>
      <c r="D385" s="15"/>
      <c r="E385" s="15"/>
      <c r="F385" s="15"/>
      <c r="G385" s="15"/>
      <c r="H385" s="15"/>
      <c r="I385" s="15"/>
      <c r="J385" s="15"/>
      <c r="K385" s="15"/>
      <c r="L385" s="15"/>
      <c r="M385" s="15"/>
      <c r="N385" s="15"/>
      <c r="O385" s="15"/>
      <c r="P385" s="15"/>
      <c r="Q385" s="15"/>
      <c r="R385" s="15"/>
      <c r="S385" s="20"/>
      <c r="T385" s="15"/>
      <c r="U385" s="21"/>
      <c r="V385" s="21"/>
      <c r="W385" s="21"/>
      <c r="X385" s="21"/>
      <c r="Y385" s="21"/>
      <c r="Z385" s="21"/>
    </row>
    <row r="386" spans="1:26" ht="12.75" customHeight="1" x14ac:dyDescent="0.3">
      <c r="A386" s="15"/>
      <c r="B386" s="21"/>
      <c r="C386" s="21"/>
      <c r="D386" s="15"/>
      <c r="E386" s="15"/>
      <c r="F386" s="15"/>
      <c r="G386" s="15"/>
      <c r="H386" s="15"/>
      <c r="I386" s="15"/>
      <c r="J386" s="15"/>
      <c r="K386" s="15"/>
      <c r="L386" s="15"/>
      <c r="M386" s="15"/>
      <c r="N386" s="15"/>
      <c r="O386" s="15"/>
      <c r="P386" s="15"/>
      <c r="Q386" s="15"/>
      <c r="R386" s="15"/>
      <c r="S386" s="20"/>
      <c r="T386" s="15"/>
      <c r="U386" s="21"/>
      <c r="V386" s="21"/>
      <c r="W386" s="21"/>
      <c r="X386" s="21"/>
      <c r="Y386" s="21"/>
      <c r="Z386" s="21"/>
    </row>
    <row r="387" spans="1:26" ht="12.75" customHeight="1" x14ac:dyDescent="0.3">
      <c r="A387" s="15"/>
      <c r="B387" s="21"/>
      <c r="C387" s="21"/>
      <c r="D387" s="15"/>
      <c r="E387" s="15"/>
      <c r="F387" s="15"/>
      <c r="G387" s="15"/>
      <c r="H387" s="15"/>
      <c r="I387" s="15"/>
      <c r="J387" s="15"/>
      <c r="K387" s="15"/>
      <c r="L387" s="15"/>
      <c r="M387" s="15"/>
      <c r="N387" s="15"/>
      <c r="O387" s="15"/>
      <c r="P387" s="15"/>
      <c r="Q387" s="15"/>
      <c r="R387" s="15"/>
      <c r="S387" s="20"/>
      <c r="T387" s="15"/>
      <c r="U387" s="21"/>
      <c r="V387" s="21"/>
      <c r="W387" s="21"/>
      <c r="X387" s="21"/>
      <c r="Y387" s="21"/>
      <c r="Z387" s="21"/>
    </row>
    <row r="388" spans="1:26" ht="12.75" customHeight="1" x14ac:dyDescent="0.3">
      <c r="A388" s="15"/>
      <c r="B388" s="21"/>
      <c r="C388" s="21"/>
      <c r="D388" s="15"/>
      <c r="E388" s="15"/>
      <c r="F388" s="15"/>
      <c r="G388" s="15"/>
      <c r="H388" s="15"/>
      <c r="I388" s="15"/>
      <c r="J388" s="15"/>
      <c r="K388" s="15"/>
      <c r="L388" s="15"/>
      <c r="M388" s="15"/>
      <c r="N388" s="15"/>
      <c r="O388" s="15"/>
      <c r="P388" s="15"/>
      <c r="Q388" s="15"/>
      <c r="R388" s="15"/>
      <c r="S388" s="20"/>
      <c r="T388" s="15"/>
      <c r="U388" s="21"/>
      <c r="V388" s="21"/>
      <c r="W388" s="21"/>
      <c r="X388" s="21"/>
      <c r="Y388" s="21"/>
      <c r="Z388" s="21"/>
    </row>
    <row r="389" spans="1:26" ht="12.75" customHeight="1" x14ac:dyDescent="0.3">
      <c r="A389" s="15"/>
      <c r="B389" s="21"/>
      <c r="C389" s="21"/>
      <c r="D389" s="15"/>
      <c r="E389" s="15"/>
      <c r="F389" s="15"/>
      <c r="G389" s="15"/>
      <c r="H389" s="15"/>
      <c r="I389" s="15"/>
      <c r="J389" s="15"/>
      <c r="K389" s="15"/>
      <c r="L389" s="15"/>
      <c r="M389" s="15"/>
      <c r="N389" s="15"/>
      <c r="O389" s="15"/>
      <c r="P389" s="15"/>
      <c r="Q389" s="15"/>
      <c r="R389" s="15"/>
      <c r="S389" s="20"/>
      <c r="T389" s="15"/>
      <c r="U389" s="21"/>
      <c r="V389" s="21"/>
      <c r="W389" s="21"/>
      <c r="X389" s="21"/>
      <c r="Y389" s="21"/>
      <c r="Z389" s="21"/>
    </row>
    <row r="390" spans="1:26" ht="12.75" customHeight="1" x14ac:dyDescent="0.3">
      <c r="A390" s="15"/>
      <c r="B390" s="21"/>
      <c r="C390" s="21"/>
      <c r="D390" s="15"/>
      <c r="E390" s="15"/>
      <c r="F390" s="15"/>
      <c r="G390" s="15"/>
      <c r="H390" s="15"/>
      <c r="I390" s="15"/>
      <c r="J390" s="15"/>
      <c r="K390" s="15"/>
      <c r="L390" s="15"/>
      <c r="M390" s="15"/>
      <c r="N390" s="15"/>
      <c r="O390" s="15"/>
      <c r="P390" s="15"/>
      <c r="Q390" s="15"/>
      <c r="R390" s="15"/>
      <c r="S390" s="20"/>
      <c r="T390" s="15"/>
      <c r="U390" s="21"/>
      <c r="V390" s="21"/>
      <c r="W390" s="21"/>
      <c r="X390" s="21"/>
      <c r="Y390" s="21"/>
      <c r="Z390" s="21"/>
    </row>
    <row r="391" spans="1:26" ht="12.75" customHeight="1" x14ac:dyDescent="0.3">
      <c r="A391" s="15"/>
      <c r="B391" s="21"/>
      <c r="C391" s="21"/>
      <c r="D391" s="15"/>
      <c r="E391" s="15"/>
      <c r="F391" s="15"/>
      <c r="G391" s="15"/>
      <c r="H391" s="15"/>
      <c r="I391" s="15"/>
      <c r="J391" s="15"/>
      <c r="K391" s="15"/>
      <c r="L391" s="15"/>
      <c r="M391" s="15"/>
      <c r="N391" s="15"/>
      <c r="O391" s="15"/>
      <c r="P391" s="15"/>
      <c r="Q391" s="15"/>
      <c r="R391" s="15"/>
      <c r="S391" s="20"/>
      <c r="T391" s="15"/>
      <c r="U391" s="21"/>
      <c r="V391" s="21"/>
      <c r="W391" s="21"/>
      <c r="X391" s="21"/>
      <c r="Y391" s="21"/>
      <c r="Z391" s="21"/>
    </row>
    <row r="392" spans="1:26" ht="12.75" customHeight="1" x14ac:dyDescent="0.3">
      <c r="A392" s="15"/>
      <c r="B392" s="21"/>
      <c r="C392" s="21"/>
      <c r="D392" s="15"/>
      <c r="E392" s="15"/>
      <c r="F392" s="15"/>
      <c r="G392" s="15"/>
      <c r="H392" s="15"/>
      <c r="I392" s="15"/>
      <c r="J392" s="15"/>
      <c r="K392" s="15"/>
      <c r="L392" s="15"/>
      <c r="M392" s="15"/>
      <c r="N392" s="15"/>
      <c r="O392" s="15"/>
      <c r="P392" s="15"/>
      <c r="Q392" s="15"/>
      <c r="R392" s="15"/>
      <c r="S392" s="20"/>
      <c r="T392" s="15"/>
      <c r="U392" s="21"/>
      <c r="V392" s="21"/>
      <c r="W392" s="21"/>
      <c r="X392" s="21"/>
      <c r="Y392" s="21"/>
      <c r="Z392" s="21"/>
    </row>
    <row r="393" spans="1:26" ht="12.75" customHeight="1" x14ac:dyDescent="0.3">
      <c r="A393" s="15"/>
      <c r="B393" s="21"/>
      <c r="C393" s="21"/>
      <c r="D393" s="15"/>
      <c r="E393" s="15"/>
      <c r="F393" s="15"/>
      <c r="G393" s="15"/>
      <c r="H393" s="15"/>
      <c r="I393" s="15"/>
      <c r="J393" s="15"/>
      <c r="K393" s="15"/>
      <c r="L393" s="15"/>
      <c r="M393" s="15"/>
      <c r="N393" s="15"/>
      <c r="O393" s="15"/>
      <c r="P393" s="15"/>
      <c r="Q393" s="15"/>
      <c r="R393" s="15"/>
      <c r="S393" s="20"/>
      <c r="T393" s="15"/>
      <c r="U393" s="21"/>
      <c r="V393" s="21"/>
      <c r="W393" s="21"/>
      <c r="X393" s="21"/>
      <c r="Y393" s="21"/>
      <c r="Z393" s="21"/>
    </row>
    <row r="394" spans="1:26" ht="12.75" customHeight="1" x14ac:dyDescent="0.3">
      <c r="A394" s="15"/>
      <c r="B394" s="21"/>
      <c r="C394" s="21"/>
      <c r="D394" s="15"/>
      <c r="E394" s="15"/>
      <c r="F394" s="15"/>
      <c r="G394" s="15"/>
      <c r="H394" s="15"/>
      <c r="I394" s="15"/>
      <c r="J394" s="15"/>
      <c r="K394" s="15"/>
      <c r="L394" s="15"/>
      <c r="M394" s="15"/>
      <c r="N394" s="15"/>
      <c r="O394" s="15"/>
      <c r="P394" s="15"/>
      <c r="Q394" s="15"/>
      <c r="R394" s="15"/>
      <c r="S394" s="20"/>
      <c r="T394" s="15"/>
      <c r="U394" s="21"/>
      <c r="V394" s="21"/>
      <c r="W394" s="21"/>
      <c r="X394" s="21"/>
      <c r="Y394" s="21"/>
      <c r="Z394" s="21"/>
    </row>
    <row r="395" spans="1:26" ht="12.75" customHeight="1" x14ac:dyDescent="0.3">
      <c r="A395" s="15"/>
      <c r="B395" s="21"/>
      <c r="C395" s="21"/>
      <c r="D395" s="15"/>
      <c r="E395" s="15"/>
      <c r="F395" s="15"/>
      <c r="G395" s="15"/>
      <c r="H395" s="15"/>
      <c r="I395" s="15"/>
      <c r="J395" s="15"/>
      <c r="K395" s="15"/>
      <c r="L395" s="15"/>
      <c r="M395" s="15"/>
      <c r="N395" s="15"/>
      <c r="O395" s="15"/>
      <c r="P395" s="15"/>
      <c r="Q395" s="15"/>
      <c r="R395" s="15"/>
      <c r="S395" s="20"/>
      <c r="T395" s="15"/>
      <c r="U395" s="21"/>
      <c r="V395" s="21"/>
      <c r="W395" s="21"/>
      <c r="X395" s="21"/>
      <c r="Y395" s="21"/>
      <c r="Z395" s="21"/>
    </row>
    <row r="396" spans="1:26" ht="12.75" customHeight="1" x14ac:dyDescent="0.3">
      <c r="A396" s="15"/>
      <c r="B396" s="21"/>
      <c r="C396" s="21"/>
      <c r="D396" s="15"/>
      <c r="E396" s="15"/>
      <c r="F396" s="15"/>
      <c r="G396" s="15"/>
      <c r="H396" s="15"/>
      <c r="I396" s="15"/>
      <c r="J396" s="15"/>
      <c r="K396" s="15"/>
      <c r="L396" s="15"/>
      <c r="M396" s="15"/>
      <c r="N396" s="15"/>
      <c r="O396" s="15"/>
      <c r="P396" s="15"/>
      <c r="Q396" s="15"/>
      <c r="R396" s="15"/>
      <c r="S396" s="20"/>
      <c r="T396" s="15"/>
      <c r="U396" s="21"/>
      <c r="V396" s="21"/>
      <c r="W396" s="21"/>
      <c r="X396" s="21"/>
      <c r="Y396" s="21"/>
      <c r="Z396" s="21"/>
    </row>
    <row r="397" spans="1:26" ht="12.75" customHeight="1" x14ac:dyDescent="0.3">
      <c r="A397" s="15"/>
      <c r="B397" s="21"/>
      <c r="C397" s="21"/>
      <c r="D397" s="15"/>
      <c r="E397" s="15"/>
      <c r="F397" s="15"/>
      <c r="G397" s="15"/>
      <c r="H397" s="15"/>
      <c r="I397" s="15"/>
      <c r="J397" s="15"/>
      <c r="K397" s="15"/>
      <c r="L397" s="15"/>
      <c r="M397" s="15"/>
      <c r="N397" s="15"/>
      <c r="O397" s="15"/>
      <c r="P397" s="15"/>
      <c r="Q397" s="15"/>
      <c r="R397" s="15"/>
      <c r="S397" s="20"/>
      <c r="T397" s="15"/>
      <c r="U397" s="21"/>
      <c r="V397" s="21"/>
      <c r="W397" s="21"/>
      <c r="X397" s="21"/>
      <c r="Y397" s="21"/>
      <c r="Z397" s="21"/>
    </row>
    <row r="398" spans="1:26" ht="12.75" customHeight="1" x14ac:dyDescent="0.3">
      <c r="A398" s="15"/>
      <c r="B398" s="21"/>
      <c r="C398" s="21"/>
      <c r="D398" s="15"/>
      <c r="E398" s="15"/>
      <c r="F398" s="15"/>
      <c r="G398" s="15"/>
      <c r="H398" s="15"/>
      <c r="I398" s="15"/>
      <c r="J398" s="15"/>
      <c r="K398" s="15"/>
      <c r="L398" s="15"/>
      <c r="M398" s="15"/>
      <c r="N398" s="15"/>
      <c r="O398" s="15"/>
      <c r="P398" s="15"/>
      <c r="Q398" s="15"/>
      <c r="R398" s="15"/>
      <c r="S398" s="20"/>
      <c r="T398" s="15"/>
      <c r="U398" s="21"/>
      <c r="V398" s="21"/>
      <c r="W398" s="21"/>
      <c r="X398" s="21"/>
      <c r="Y398" s="21"/>
      <c r="Z398" s="21"/>
    </row>
    <row r="399" spans="1:26" ht="12.75" customHeight="1" x14ac:dyDescent="0.3">
      <c r="A399" s="15"/>
      <c r="B399" s="21"/>
      <c r="C399" s="21"/>
      <c r="D399" s="15"/>
      <c r="E399" s="15"/>
      <c r="F399" s="15"/>
      <c r="G399" s="15"/>
      <c r="H399" s="15"/>
      <c r="I399" s="15"/>
      <c r="J399" s="15"/>
      <c r="K399" s="15"/>
      <c r="L399" s="15"/>
      <c r="M399" s="15"/>
      <c r="N399" s="15"/>
      <c r="O399" s="15"/>
      <c r="P399" s="15"/>
      <c r="Q399" s="15"/>
      <c r="R399" s="15"/>
      <c r="S399" s="20"/>
      <c r="T399" s="15"/>
      <c r="U399" s="21"/>
      <c r="V399" s="21"/>
      <c r="W399" s="21"/>
      <c r="X399" s="21"/>
      <c r="Y399" s="21"/>
      <c r="Z399" s="21"/>
    </row>
    <row r="400" spans="1:26" ht="12.75" customHeight="1" x14ac:dyDescent="0.3">
      <c r="A400" s="15"/>
      <c r="B400" s="21"/>
      <c r="C400" s="21"/>
      <c r="D400" s="15"/>
      <c r="E400" s="15"/>
      <c r="F400" s="15"/>
      <c r="G400" s="15"/>
      <c r="H400" s="15"/>
      <c r="I400" s="15"/>
      <c r="J400" s="15"/>
      <c r="K400" s="15"/>
      <c r="L400" s="15"/>
      <c r="M400" s="15"/>
      <c r="N400" s="15"/>
      <c r="O400" s="15"/>
      <c r="P400" s="15"/>
      <c r="Q400" s="15"/>
      <c r="R400" s="15"/>
      <c r="S400" s="20"/>
      <c r="T400" s="15"/>
      <c r="U400" s="21"/>
      <c r="V400" s="21"/>
      <c r="W400" s="21"/>
      <c r="X400" s="21"/>
      <c r="Y400" s="21"/>
      <c r="Z400" s="21"/>
    </row>
    <row r="401" spans="1:26" ht="12.75" customHeight="1" x14ac:dyDescent="0.3">
      <c r="A401" s="15"/>
      <c r="B401" s="21"/>
      <c r="C401" s="21"/>
      <c r="D401" s="15"/>
      <c r="E401" s="15"/>
      <c r="F401" s="15"/>
      <c r="G401" s="15"/>
      <c r="H401" s="15"/>
      <c r="I401" s="15"/>
      <c r="J401" s="15"/>
      <c r="K401" s="15"/>
      <c r="L401" s="15"/>
      <c r="M401" s="15"/>
      <c r="N401" s="15"/>
      <c r="O401" s="15"/>
      <c r="P401" s="15"/>
      <c r="Q401" s="15"/>
      <c r="R401" s="15"/>
      <c r="S401" s="20"/>
      <c r="T401" s="15"/>
      <c r="U401" s="21"/>
      <c r="V401" s="21"/>
      <c r="W401" s="21"/>
      <c r="X401" s="21"/>
      <c r="Y401" s="21"/>
      <c r="Z401" s="21"/>
    </row>
    <row r="402" spans="1:26" ht="12.75" customHeight="1" x14ac:dyDescent="0.3">
      <c r="A402" s="15"/>
      <c r="B402" s="21"/>
      <c r="C402" s="21"/>
      <c r="D402" s="15"/>
      <c r="E402" s="15"/>
      <c r="F402" s="15"/>
      <c r="G402" s="15"/>
      <c r="H402" s="15"/>
      <c r="I402" s="15"/>
      <c r="J402" s="15"/>
      <c r="K402" s="15"/>
      <c r="L402" s="15"/>
      <c r="M402" s="15"/>
      <c r="N402" s="15"/>
      <c r="O402" s="15"/>
      <c r="P402" s="15"/>
      <c r="Q402" s="15"/>
      <c r="R402" s="15"/>
      <c r="S402" s="20"/>
      <c r="T402" s="15"/>
      <c r="U402" s="21"/>
      <c r="V402" s="21"/>
      <c r="W402" s="21"/>
      <c r="X402" s="21"/>
      <c r="Y402" s="21"/>
      <c r="Z402" s="21"/>
    </row>
    <row r="403" spans="1:26" ht="12.75" customHeight="1" x14ac:dyDescent="0.3">
      <c r="A403" s="15"/>
      <c r="B403" s="21"/>
      <c r="C403" s="21"/>
      <c r="D403" s="15"/>
      <c r="E403" s="15"/>
      <c r="F403" s="15"/>
      <c r="G403" s="15"/>
      <c r="H403" s="15"/>
      <c r="I403" s="15"/>
      <c r="J403" s="15"/>
      <c r="K403" s="15"/>
      <c r="L403" s="15"/>
      <c r="M403" s="15"/>
      <c r="N403" s="15"/>
      <c r="O403" s="15"/>
      <c r="P403" s="15"/>
      <c r="Q403" s="15"/>
      <c r="R403" s="15"/>
      <c r="S403" s="20"/>
      <c r="T403" s="15"/>
      <c r="U403" s="21"/>
      <c r="V403" s="21"/>
      <c r="W403" s="21"/>
      <c r="X403" s="21"/>
      <c r="Y403" s="21"/>
      <c r="Z403" s="21"/>
    </row>
    <row r="404" spans="1:26" ht="12.75" customHeight="1" x14ac:dyDescent="0.3">
      <c r="A404" s="15"/>
      <c r="B404" s="21"/>
      <c r="C404" s="21"/>
      <c r="D404" s="15"/>
      <c r="E404" s="15"/>
      <c r="F404" s="15"/>
      <c r="G404" s="15"/>
      <c r="H404" s="15"/>
      <c r="I404" s="15"/>
      <c r="J404" s="15"/>
      <c r="K404" s="15"/>
      <c r="L404" s="15"/>
      <c r="M404" s="15"/>
      <c r="N404" s="15"/>
      <c r="O404" s="15"/>
      <c r="P404" s="15"/>
      <c r="Q404" s="15"/>
      <c r="R404" s="15"/>
      <c r="S404" s="20"/>
      <c r="T404" s="15"/>
      <c r="U404" s="21"/>
      <c r="V404" s="21"/>
      <c r="W404" s="21"/>
      <c r="X404" s="21"/>
      <c r="Y404" s="21"/>
      <c r="Z404" s="21"/>
    </row>
    <row r="405" spans="1:26" ht="12.75" customHeight="1" x14ac:dyDescent="0.3">
      <c r="A405" s="15"/>
      <c r="B405" s="21"/>
      <c r="C405" s="21"/>
      <c r="D405" s="15"/>
      <c r="E405" s="15"/>
      <c r="F405" s="15"/>
      <c r="G405" s="15"/>
      <c r="H405" s="15"/>
      <c r="I405" s="15"/>
      <c r="J405" s="15"/>
      <c r="K405" s="15"/>
      <c r="L405" s="15"/>
      <c r="M405" s="15"/>
      <c r="N405" s="15"/>
      <c r="O405" s="15"/>
      <c r="P405" s="15"/>
      <c r="Q405" s="15"/>
      <c r="R405" s="15"/>
      <c r="S405" s="20"/>
      <c r="T405" s="15"/>
      <c r="U405" s="21"/>
      <c r="V405" s="21"/>
      <c r="W405" s="21"/>
      <c r="X405" s="21"/>
      <c r="Y405" s="21"/>
      <c r="Z405" s="21"/>
    </row>
    <row r="406" spans="1:26" ht="12.75" customHeight="1" x14ac:dyDescent="0.3">
      <c r="A406" s="15"/>
      <c r="B406" s="21"/>
      <c r="C406" s="21"/>
      <c r="D406" s="15"/>
      <c r="E406" s="15"/>
      <c r="F406" s="15"/>
      <c r="G406" s="15"/>
      <c r="H406" s="15"/>
      <c r="I406" s="15"/>
      <c r="J406" s="15"/>
      <c r="K406" s="15"/>
      <c r="L406" s="15"/>
      <c r="M406" s="15"/>
      <c r="N406" s="15"/>
      <c r="O406" s="15"/>
      <c r="P406" s="15"/>
      <c r="Q406" s="15"/>
      <c r="R406" s="15"/>
      <c r="S406" s="20"/>
      <c r="T406" s="15"/>
      <c r="U406" s="21"/>
      <c r="V406" s="21"/>
      <c r="W406" s="21"/>
      <c r="X406" s="21"/>
      <c r="Y406" s="21"/>
      <c r="Z406" s="21"/>
    </row>
    <row r="407" spans="1:26" ht="12.75" customHeight="1" x14ac:dyDescent="0.3">
      <c r="A407" s="15"/>
      <c r="B407" s="21"/>
      <c r="C407" s="21"/>
      <c r="D407" s="15"/>
      <c r="E407" s="15"/>
      <c r="F407" s="15"/>
      <c r="G407" s="15"/>
      <c r="H407" s="15"/>
      <c r="I407" s="15"/>
      <c r="J407" s="15"/>
      <c r="K407" s="15"/>
      <c r="L407" s="15"/>
      <c r="M407" s="15"/>
      <c r="N407" s="15"/>
      <c r="O407" s="15"/>
      <c r="P407" s="15"/>
      <c r="Q407" s="15"/>
      <c r="R407" s="15"/>
      <c r="S407" s="20"/>
      <c r="T407" s="15"/>
      <c r="U407" s="21"/>
      <c r="V407" s="21"/>
      <c r="W407" s="21"/>
      <c r="X407" s="21"/>
      <c r="Y407" s="21"/>
      <c r="Z407" s="21"/>
    </row>
    <row r="408" spans="1:26" ht="12.75" customHeight="1" x14ac:dyDescent="0.3">
      <c r="A408" s="15"/>
      <c r="B408" s="21"/>
      <c r="C408" s="21"/>
      <c r="D408" s="15"/>
      <c r="E408" s="15"/>
      <c r="F408" s="15"/>
      <c r="G408" s="15"/>
      <c r="H408" s="15"/>
      <c r="I408" s="15"/>
      <c r="J408" s="15"/>
      <c r="K408" s="15"/>
      <c r="L408" s="15"/>
      <c r="M408" s="15"/>
      <c r="N408" s="15"/>
      <c r="O408" s="15"/>
      <c r="P408" s="15"/>
      <c r="Q408" s="15"/>
      <c r="R408" s="15"/>
      <c r="S408" s="20"/>
      <c r="T408" s="15"/>
      <c r="U408" s="21"/>
      <c r="V408" s="21"/>
      <c r="W408" s="21"/>
      <c r="X408" s="21"/>
      <c r="Y408" s="21"/>
      <c r="Z408" s="21"/>
    </row>
    <row r="409" spans="1:26" ht="12.75" customHeight="1" x14ac:dyDescent="0.3">
      <c r="A409" s="15"/>
      <c r="B409" s="21"/>
      <c r="C409" s="21"/>
      <c r="D409" s="15"/>
      <c r="E409" s="15"/>
      <c r="F409" s="15"/>
      <c r="G409" s="15"/>
      <c r="H409" s="15"/>
      <c r="I409" s="15"/>
      <c r="J409" s="15"/>
      <c r="K409" s="15"/>
      <c r="L409" s="15"/>
      <c r="M409" s="15"/>
      <c r="N409" s="15"/>
      <c r="O409" s="15"/>
      <c r="P409" s="15"/>
      <c r="Q409" s="15"/>
      <c r="R409" s="15"/>
      <c r="S409" s="20"/>
      <c r="T409" s="15"/>
      <c r="U409" s="21"/>
      <c r="V409" s="21"/>
      <c r="W409" s="21"/>
      <c r="X409" s="21"/>
      <c r="Y409" s="21"/>
      <c r="Z409" s="21"/>
    </row>
    <row r="410" spans="1:26" ht="15.75" customHeight="1" x14ac:dyDescent="0.3">
      <c r="B410" s="23"/>
      <c r="C410" s="23"/>
      <c r="G410" s="24"/>
      <c r="S410" s="25"/>
    </row>
    <row r="411" spans="1:26" ht="15.75" customHeight="1" x14ac:dyDescent="0.3">
      <c r="B411" s="23"/>
      <c r="C411" s="23"/>
      <c r="G411" s="24"/>
      <c r="S411" s="25"/>
    </row>
    <row r="412" spans="1:26" ht="15.75" customHeight="1" x14ac:dyDescent="0.3">
      <c r="B412" s="23"/>
      <c r="C412" s="23"/>
      <c r="G412" s="24"/>
      <c r="S412" s="25"/>
    </row>
    <row r="413" spans="1:26" ht="15.75" customHeight="1" x14ac:dyDescent="0.3">
      <c r="B413" s="23"/>
      <c r="C413" s="23"/>
      <c r="G413" s="24"/>
      <c r="S413" s="25"/>
    </row>
    <row r="414" spans="1:26" ht="15.75" customHeight="1" x14ac:dyDescent="0.3">
      <c r="B414" s="23"/>
      <c r="C414" s="23"/>
      <c r="G414" s="24"/>
      <c r="S414" s="25"/>
    </row>
    <row r="415" spans="1:26" ht="15.75" customHeight="1" x14ac:dyDescent="0.3">
      <c r="B415" s="23"/>
      <c r="C415" s="23"/>
      <c r="G415" s="24"/>
      <c r="S415" s="25"/>
    </row>
    <row r="416" spans="1:26" ht="15.75" customHeight="1" x14ac:dyDescent="0.3">
      <c r="B416" s="23"/>
      <c r="C416" s="23"/>
      <c r="G416" s="24"/>
      <c r="S416" s="25"/>
    </row>
    <row r="417" spans="2:19" ht="15.75" customHeight="1" x14ac:dyDescent="0.3">
      <c r="B417" s="23"/>
      <c r="C417" s="23"/>
      <c r="G417" s="24"/>
      <c r="S417" s="25"/>
    </row>
    <row r="418" spans="2:19" ht="15.75" customHeight="1" x14ac:dyDescent="0.3">
      <c r="B418" s="23"/>
      <c r="C418" s="23"/>
      <c r="G418" s="24"/>
      <c r="S418" s="25"/>
    </row>
    <row r="419" spans="2:19" ht="15.75" customHeight="1" x14ac:dyDescent="0.3">
      <c r="B419" s="23"/>
      <c r="C419" s="23"/>
      <c r="G419" s="24"/>
      <c r="S419" s="25"/>
    </row>
    <row r="420" spans="2:19" ht="15.75" customHeight="1" x14ac:dyDescent="0.3">
      <c r="B420" s="23"/>
      <c r="C420" s="23"/>
      <c r="G420" s="24"/>
      <c r="S420" s="25"/>
    </row>
    <row r="421" spans="2:19" ht="15.75" customHeight="1" x14ac:dyDescent="0.3">
      <c r="B421" s="23"/>
      <c r="C421" s="23"/>
      <c r="G421" s="24"/>
      <c r="S421" s="25"/>
    </row>
    <row r="422" spans="2:19" ht="15.75" customHeight="1" x14ac:dyDescent="0.3">
      <c r="B422" s="23"/>
      <c r="C422" s="23"/>
      <c r="G422" s="24"/>
      <c r="S422" s="25"/>
    </row>
    <row r="423" spans="2:19" ht="15.75" customHeight="1" x14ac:dyDescent="0.3">
      <c r="B423" s="23"/>
      <c r="C423" s="23"/>
      <c r="G423" s="24"/>
      <c r="S423" s="25"/>
    </row>
    <row r="424" spans="2:19" ht="15.75" customHeight="1" x14ac:dyDescent="0.3">
      <c r="B424" s="23"/>
      <c r="C424" s="23"/>
      <c r="G424" s="24"/>
      <c r="S424" s="25"/>
    </row>
    <row r="425" spans="2:19" ht="15.75" customHeight="1" x14ac:dyDescent="0.3">
      <c r="B425" s="23"/>
      <c r="C425" s="23"/>
      <c r="G425" s="24"/>
      <c r="S425" s="25"/>
    </row>
    <row r="426" spans="2:19" ht="15.75" customHeight="1" x14ac:dyDescent="0.3">
      <c r="B426" s="23"/>
      <c r="C426" s="23"/>
      <c r="G426" s="24"/>
      <c r="S426" s="25"/>
    </row>
    <row r="427" spans="2:19" ht="15.75" customHeight="1" x14ac:dyDescent="0.3">
      <c r="B427" s="23"/>
      <c r="C427" s="23"/>
      <c r="G427" s="24"/>
      <c r="S427" s="25"/>
    </row>
    <row r="428" spans="2:19" ht="15.75" customHeight="1" x14ac:dyDescent="0.3">
      <c r="B428" s="23"/>
      <c r="C428" s="23"/>
      <c r="G428" s="24"/>
      <c r="S428" s="25"/>
    </row>
    <row r="429" spans="2:19" ht="15.75" customHeight="1" x14ac:dyDescent="0.3">
      <c r="B429" s="23"/>
      <c r="C429" s="23"/>
      <c r="G429" s="24"/>
      <c r="S429" s="25"/>
    </row>
    <row r="430" spans="2:19" ht="15.75" customHeight="1" x14ac:dyDescent="0.3">
      <c r="B430" s="23"/>
      <c r="C430" s="23"/>
      <c r="G430" s="24"/>
      <c r="S430" s="25"/>
    </row>
    <row r="431" spans="2:19" ht="15.75" customHeight="1" x14ac:dyDescent="0.3">
      <c r="B431" s="23"/>
      <c r="C431" s="23"/>
      <c r="G431" s="24"/>
      <c r="S431" s="25"/>
    </row>
    <row r="432" spans="2:19" ht="15.75" customHeight="1" x14ac:dyDescent="0.3">
      <c r="B432" s="23"/>
      <c r="C432" s="23"/>
      <c r="G432" s="24"/>
      <c r="S432" s="25"/>
    </row>
    <row r="433" spans="2:19" ht="15.75" customHeight="1" x14ac:dyDescent="0.3">
      <c r="B433" s="23"/>
      <c r="C433" s="23"/>
      <c r="G433" s="24"/>
      <c r="S433" s="25"/>
    </row>
    <row r="434" spans="2:19" ht="15.75" customHeight="1" x14ac:dyDescent="0.3">
      <c r="B434" s="23"/>
      <c r="C434" s="23"/>
      <c r="G434" s="24"/>
      <c r="S434" s="25"/>
    </row>
    <row r="435" spans="2:19" ht="15.75" customHeight="1" x14ac:dyDescent="0.3">
      <c r="B435" s="23"/>
      <c r="C435" s="23"/>
      <c r="G435" s="24"/>
      <c r="S435" s="25"/>
    </row>
    <row r="436" spans="2:19" ht="15.75" customHeight="1" x14ac:dyDescent="0.3">
      <c r="B436" s="23"/>
      <c r="C436" s="23"/>
      <c r="G436" s="24"/>
      <c r="S436" s="25"/>
    </row>
    <row r="437" spans="2:19" ht="15.75" customHeight="1" x14ac:dyDescent="0.3">
      <c r="B437" s="23"/>
      <c r="C437" s="23"/>
      <c r="G437" s="24"/>
      <c r="S437" s="25"/>
    </row>
    <row r="438" spans="2:19" ht="15.75" customHeight="1" x14ac:dyDescent="0.3">
      <c r="B438" s="23"/>
      <c r="C438" s="23"/>
      <c r="G438" s="24"/>
      <c r="S438" s="25"/>
    </row>
    <row r="439" spans="2:19" ht="15.75" customHeight="1" x14ac:dyDescent="0.3">
      <c r="B439" s="23"/>
      <c r="C439" s="23"/>
      <c r="G439" s="24"/>
      <c r="S439" s="25"/>
    </row>
    <row r="440" spans="2:19" ht="15.75" customHeight="1" x14ac:dyDescent="0.3">
      <c r="B440" s="23"/>
      <c r="C440" s="23"/>
      <c r="G440" s="24"/>
      <c r="S440" s="25"/>
    </row>
    <row r="441" spans="2:19" ht="15.75" customHeight="1" x14ac:dyDescent="0.3">
      <c r="B441" s="23"/>
      <c r="C441" s="23"/>
      <c r="G441" s="24"/>
      <c r="S441" s="25"/>
    </row>
    <row r="442" spans="2:19" ht="15.75" customHeight="1" x14ac:dyDescent="0.3">
      <c r="B442" s="23"/>
      <c r="C442" s="23"/>
      <c r="G442" s="24"/>
      <c r="S442" s="25"/>
    </row>
    <row r="443" spans="2:19" ht="15.75" customHeight="1" x14ac:dyDescent="0.3">
      <c r="B443" s="23"/>
      <c r="C443" s="23"/>
      <c r="G443" s="24"/>
      <c r="S443" s="25"/>
    </row>
    <row r="444" spans="2:19" ht="15.75" customHeight="1" x14ac:dyDescent="0.3">
      <c r="B444" s="23"/>
      <c r="C444" s="23"/>
      <c r="G444" s="24"/>
      <c r="S444" s="25"/>
    </row>
    <row r="445" spans="2:19" ht="15.75" customHeight="1" x14ac:dyDescent="0.3">
      <c r="B445" s="23"/>
      <c r="C445" s="23"/>
      <c r="G445" s="24"/>
      <c r="S445" s="25"/>
    </row>
    <row r="446" spans="2:19" ht="15.75" customHeight="1" x14ac:dyDescent="0.3">
      <c r="B446" s="23"/>
      <c r="C446" s="23"/>
      <c r="G446" s="24"/>
      <c r="S446" s="25"/>
    </row>
    <row r="447" spans="2:19" ht="15.75" customHeight="1" x14ac:dyDescent="0.3">
      <c r="B447" s="23"/>
      <c r="C447" s="23"/>
      <c r="G447" s="24"/>
      <c r="S447" s="25"/>
    </row>
    <row r="448" spans="2:19" ht="15.75" customHeight="1" x14ac:dyDescent="0.3">
      <c r="B448" s="23"/>
      <c r="C448" s="23"/>
      <c r="G448" s="24"/>
      <c r="S448" s="25"/>
    </row>
    <row r="449" spans="2:19" ht="15.75" customHeight="1" x14ac:dyDescent="0.3">
      <c r="B449" s="23"/>
      <c r="C449" s="23"/>
      <c r="G449" s="24"/>
      <c r="S449" s="25"/>
    </row>
    <row r="450" spans="2:19" ht="15.75" customHeight="1" x14ac:dyDescent="0.3">
      <c r="B450" s="23"/>
      <c r="C450" s="23"/>
      <c r="G450" s="24"/>
      <c r="S450" s="25"/>
    </row>
    <row r="451" spans="2:19" ht="15.75" customHeight="1" x14ac:dyDescent="0.3">
      <c r="B451" s="23"/>
      <c r="C451" s="23"/>
      <c r="G451" s="24"/>
      <c r="S451" s="25"/>
    </row>
    <row r="452" spans="2:19" ht="15.75" customHeight="1" x14ac:dyDescent="0.3">
      <c r="B452" s="23"/>
      <c r="C452" s="23"/>
      <c r="G452" s="24"/>
      <c r="S452" s="25"/>
    </row>
    <row r="453" spans="2:19" ht="15.75" customHeight="1" x14ac:dyDescent="0.3">
      <c r="B453" s="23"/>
      <c r="C453" s="23"/>
      <c r="G453" s="24"/>
      <c r="S453" s="25"/>
    </row>
    <row r="454" spans="2:19" ht="15.75" customHeight="1" x14ac:dyDescent="0.3">
      <c r="B454" s="23"/>
      <c r="C454" s="23"/>
      <c r="G454" s="24"/>
      <c r="S454" s="25"/>
    </row>
    <row r="455" spans="2:19" ht="15.75" customHeight="1" x14ac:dyDescent="0.3">
      <c r="B455" s="23"/>
      <c r="C455" s="23"/>
      <c r="G455" s="24"/>
      <c r="S455" s="25"/>
    </row>
    <row r="456" spans="2:19" ht="15.75" customHeight="1" x14ac:dyDescent="0.3">
      <c r="B456" s="23"/>
      <c r="C456" s="23"/>
      <c r="G456" s="24"/>
      <c r="S456" s="25"/>
    </row>
    <row r="457" spans="2:19" ht="15.75" customHeight="1" x14ac:dyDescent="0.3">
      <c r="B457" s="23"/>
      <c r="C457" s="23"/>
      <c r="G457" s="24"/>
      <c r="S457" s="25"/>
    </row>
    <row r="458" spans="2:19" ht="15.75" customHeight="1" x14ac:dyDescent="0.3">
      <c r="B458" s="23"/>
      <c r="C458" s="23"/>
      <c r="G458" s="24"/>
      <c r="S458" s="25"/>
    </row>
    <row r="459" spans="2:19" ht="15.75" customHeight="1" x14ac:dyDescent="0.3">
      <c r="B459" s="23"/>
      <c r="C459" s="23"/>
      <c r="G459" s="24"/>
      <c r="S459" s="25"/>
    </row>
    <row r="460" spans="2:19" ht="15.75" customHeight="1" x14ac:dyDescent="0.3">
      <c r="B460" s="23"/>
      <c r="C460" s="23"/>
      <c r="G460" s="24"/>
      <c r="S460" s="25"/>
    </row>
    <row r="461" spans="2:19" ht="15.75" customHeight="1" x14ac:dyDescent="0.3">
      <c r="B461" s="23"/>
      <c r="C461" s="23"/>
      <c r="G461" s="24"/>
      <c r="S461" s="25"/>
    </row>
    <row r="462" spans="2:19" ht="15.75" customHeight="1" x14ac:dyDescent="0.3">
      <c r="B462" s="23"/>
      <c r="C462" s="23"/>
      <c r="G462" s="24"/>
      <c r="S462" s="25"/>
    </row>
    <row r="463" spans="2:19" ht="15.75" customHeight="1" x14ac:dyDescent="0.3">
      <c r="B463" s="23"/>
      <c r="C463" s="23"/>
      <c r="G463" s="24"/>
      <c r="S463" s="25"/>
    </row>
    <row r="464" spans="2:19" ht="15.75" customHeight="1" x14ac:dyDescent="0.3">
      <c r="B464" s="23"/>
      <c r="C464" s="23"/>
      <c r="G464" s="24"/>
      <c r="S464" s="25"/>
    </row>
    <row r="465" spans="2:19" ht="15.75" customHeight="1" x14ac:dyDescent="0.3">
      <c r="B465" s="23"/>
      <c r="C465" s="23"/>
      <c r="G465" s="24"/>
      <c r="S465" s="25"/>
    </row>
    <row r="466" spans="2:19" ht="15.75" customHeight="1" x14ac:dyDescent="0.3">
      <c r="B466" s="23"/>
      <c r="C466" s="23"/>
      <c r="G466" s="24"/>
      <c r="S466" s="25"/>
    </row>
    <row r="467" spans="2:19" ht="15.75" customHeight="1" x14ac:dyDescent="0.3">
      <c r="B467" s="23"/>
      <c r="C467" s="23"/>
      <c r="G467" s="24"/>
      <c r="S467" s="25"/>
    </row>
    <row r="468" spans="2:19" ht="15.75" customHeight="1" x14ac:dyDescent="0.3">
      <c r="B468" s="23"/>
      <c r="C468" s="23"/>
      <c r="G468" s="24"/>
      <c r="S468" s="25"/>
    </row>
    <row r="469" spans="2:19" ht="15.75" customHeight="1" x14ac:dyDescent="0.3">
      <c r="B469" s="23"/>
      <c r="C469" s="23"/>
      <c r="G469" s="24"/>
      <c r="S469" s="25"/>
    </row>
    <row r="470" spans="2:19" ht="15.75" customHeight="1" x14ac:dyDescent="0.3">
      <c r="B470" s="23"/>
      <c r="C470" s="23"/>
      <c r="G470" s="24"/>
      <c r="S470" s="25"/>
    </row>
    <row r="471" spans="2:19" ht="15.75" customHeight="1" x14ac:dyDescent="0.3">
      <c r="B471" s="23"/>
      <c r="C471" s="23"/>
      <c r="G471" s="24"/>
      <c r="S471" s="25"/>
    </row>
    <row r="472" spans="2:19" ht="15.75" customHeight="1" x14ac:dyDescent="0.3">
      <c r="B472" s="23"/>
      <c r="C472" s="23"/>
      <c r="G472" s="24"/>
      <c r="S472" s="25"/>
    </row>
    <row r="473" spans="2:19" ht="15.75" customHeight="1" x14ac:dyDescent="0.3">
      <c r="B473" s="23"/>
      <c r="C473" s="23"/>
      <c r="G473" s="24"/>
      <c r="S473" s="25"/>
    </row>
    <row r="474" spans="2:19" ht="15.75" customHeight="1" x14ac:dyDescent="0.3">
      <c r="B474" s="23"/>
      <c r="C474" s="23"/>
      <c r="G474" s="24"/>
      <c r="S474" s="25"/>
    </row>
    <row r="475" spans="2:19" ht="15.75" customHeight="1" x14ac:dyDescent="0.3">
      <c r="B475" s="23"/>
      <c r="C475" s="23"/>
      <c r="G475" s="24"/>
      <c r="S475" s="25"/>
    </row>
    <row r="476" spans="2:19" ht="15.75" customHeight="1" x14ac:dyDescent="0.3">
      <c r="B476" s="23"/>
      <c r="C476" s="23"/>
      <c r="G476" s="24"/>
      <c r="S476" s="25"/>
    </row>
    <row r="477" spans="2:19" ht="15.75" customHeight="1" x14ac:dyDescent="0.3">
      <c r="B477" s="23"/>
      <c r="C477" s="23"/>
      <c r="G477" s="24"/>
      <c r="S477" s="25"/>
    </row>
    <row r="478" spans="2:19" ht="15.75" customHeight="1" x14ac:dyDescent="0.3">
      <c r="B478" s="23"/>
      <c r="C478" s="23"/>
      <c r="G478" s="24"/>
      <c r="S478" s="25"/>
    </row>
    <row r="479" spans="2:19" ht="15.75" customHeight="1" x14ac:dyDescent="0.3">
      <c r="B479" s="23"/>
      <c r="C479" s="23"/>
      <c r="G479" s="24"/>
      <c r="S479" s="25"/>
    </row>
    <row r="480" spans="2:19" ht="15.75" customHeight="1" x14ac:dyDescent="0.3">
      <c r="B480" s="23"/>
      <c r="C480" s="23"/>
      <c r="G480" s="24"/>
      <c r="S480" s="25"/>
    </row>
    <row r="481" spans="2:19" ht="15.75" customHeight="1" x14ac:dyDescent="0.3">
      <c r="B481" s="23"/>
      <c r="C481" s="23"/>
      <c r="G481" s="24"/>
      <c r="S481" s="25"/>
    </row>
    <row r="482" spans="2:19" ht="15.75" customHeight="1" x14ac:dyDescent="0.3">
      <c r="B482" s="23"/>
      <c r="C482" s="23"/>
      <c r="G482" s="24"/>
      <c r="S482" s="25"/>
    </row>
    <row r="483" spans="2:19" ht="15.75" customHeight="1" x14ac:dyDescent="0.3">
      <c r="B483" s="23"/>
      <c r="C483" s="23"/>
      <c r="G483" s="24"/>
      <c r="S483" s="25"/>
    </row>
    <row r="484" spans="2:19" ht="15.75" customHeight="1" x14ac:dyDescent="0.3">
      <c r="B484" s="23"/>
      <c r="C484" s="23"/>
      <c r="G484" s="24"/>
      <c r="S484" s="25"/>
    </row>
    <row r="485" spans="2:19" ht="15.75" customHeight="1" x14ac:dyDescent="0.3">
      <c r="B485" s="23"/>
      <c r="C485" s="23"/>
      <c r="G485" s="24"/>
      <c r="S485" s="25"/>
    </row>
    <row r="486" spans="2:19" ht="15.75" customHeight="1" x14ac:dyDescent="0.3">
      <c r="B486" s="23"/>
      <c r="C486" s="23"/>
      <c r="G486" s="24"/>
      <c r="S486" s="25"/>
    </row>
    <row r="487" spans="2:19" ht="15.75" customHeight="1" x14ac:dyDescent="0.3">
      <c r="B487" s="23"/>
      <c r="C487" s="23"/>
      <c r="G487" s="24"/>
      <c r="S487" s="25"/>
    </row>
    <row r="488" spans="2:19" ht="15.75" customHeight="1" x14ac:dyDescent="0.3">
      <c r="B488" s="23"/>
      <c r="C488" s="23"/>
      <c r="G488" s="24"/>
      <c r="S488" s="25"/>
    </row>
    <row r="489" spans="2:19" ht="15.75" customHeight="1" x14ac:dyDescent="0.3">
      <c r="B489" s="23"/>
      <c r="C489" s="23"/>
      <c r="G489" s="24"/>
      <c r="S489" s="25"/>
    </row>
    <row r="490" spans="2:19" ht="15.75" customHeight="1" x14ac:dyDescent="0.3">
      <c r="B490" s="23"/>
      <c r="C490" s="23"/>
      <c r="G490" s="24"/>
      <c r="S490" s="25"/>
    </row>
    <row r="491" spans="2:19" ht="15.75" customHeight="1" x14ac:dyDescent="0.3">
      <c r="B491" s="23"/>
      <c r="C491" s="23"/>
      <c r="G491" s="24"/>
      <c r="S491" s="25"/>
    </row>
    <row r="492" spans="2:19" ht="15.75" customHeight="1" x14ac:dyDescent="0.3">
      <c r="B492" s="23"/>
      <c r="C492" s="23"/>
      <c r="G492" s="24"/>
      <c r="S492" s="25"/>
    </row>
    <row r="493" spans="2:19" ht="15.75" customHeight="1" x14ac:dyDescent="0.3">
      <c r="B493" s="23"/>
      <c r="C493" s="23"/>
      <c r="G493" s="24"/>
      <c r="S493" s="25"/>
    </row>
    <row r="494" spans="2:19" ht="15.75" customHeight="1" x14ac:dyDescent="0.3">
      <c r="B494" s="23"/>
      <c r="C494" s="23"/>
      <c r="G494" s="24"/>
      <c r="S494" s="25"/>
    </row>
    <row r="495" spans="2:19" ht="15.75" customHeight="1" x14ac:dyDescent="0.3">
      <c r="B495" s="23"/>
      <c r="C495" s="23"/>
      <c r="G495" s="24"/>
      <c r="S495" s="25"/>
    </row>
    <row r="496" spans="2:19" ht="15.75" customHeight="1" x14ac:dyDescent="0.3">
      <c r="B496" s="23"/>
      <c r="C496" s="23"/>
      <c r="G496" s="24"/>
      <c r="S496" s="25"/>
    </row>
    <row r="497" spans="2:19" ht="15.75" customHeight="1" x14ac:dyDescent="0.3">
      <c r="B497" s="23"/>
      <c r="C497" s="23"/>
      <c r="G497" s="24"/>
      <c r="S497" s="25"/>
    </row>
    <row r="498" spans="2:19" ht="15.75" customHeight="1" x14ac:dyDescent="0.3">
      <c r="B498" s="23"/>
      <c r="C498" s="23"/>
      <c r="G498" s="24"/>
      <c r="S498" s="25"/>
    </row>
    <row r="499" spans="2:19" ht="15.75" customHeight="1" x14ac:dyDescent="0.3">
      <c r="B499" s="23"/>
      <c r="C499" s="23"/>
      <c r="G499" s="24"/>
      <c r="S499" s="25"/>
    </row>
    <row r="500" spans="2:19" ht="15.75" customHeight="1" x14ac:dyDescent="0.3">
      <c r="B500" s="23"/>
      <c r="C500" s="23"/>
      <c r="G500" s="24"/>
      <c r="S500" s="25"/>
    </row>
    <row r="501" spans="2:19" ht="15.75" customHeight="1" x14ac:dyDescent="0.3">
      <c r="B501" s="23"/>
      <c r="C501" s="23"/>
      <c r="G501" s="24"/>
      <c r="S501" s="25"/>
    </row>
    <row r="502" spans="2:19" ht="15.75" customHeight="1" x14ac:dyDescent="0.3">
      <c r="B502" s="23"/>
      <c r="C502" s="23"/>
      <c r="G502" s="24"/>
      <c r="S502" s="25"/>
    </row>
    <row r="503" spans="2:19" ht="15.75" customHeight="1" x14ac:dyDescent="0.3">
      <c r="B503" s="23"/>
      <c r="C503" s="23"/>
      <c r="G503" s="24"/>
      <c r="S503" s="25"/>
    </row>
    <row r="504" spans="2:19" ht="15.75" customHeight="1" x14ac:dyDescent="0.3">
      <c r="B504" s="23"/>
      <c r="C504" s="23"/>
      <c r="G504" s="24"/>
      <c r="S504" s="25"/>
    </row>
    <row r="505" spans="2:19" ht="15.75" customHeight="1" x14ac:dyDescent="0.3">
      <c r="B505" s="23"/>
      <c r="C505" s="23"/>
      <c r="G505" s="24"/>
      <c r="S505" s="25"/>
    </row>
    <row r="506" spans="2:19" ht="15.75" customHeight="1" x14ac:dyDescent="0.3">
      <c r="B506" s="23"/>
      <c r="C506" s="23"/>
      <c r="G506" s="24"/>
      <c r="S506" s="25"/>
    </row>
    <row r="507" spans="2:19" ht="15.75" customHeight="1" x14ac:dyDescent="0.3">
      <c r="B507" s="23"/>
      <c r="C507" s="23"/>
      <c r="G507" s="24"/>
      <c r="S507" s="25"/>
    </row>
    <row r="508" spans="2:19" ht="15.75" customHeight="1" x14ac:dyDescent="0.3">
      <c r="B508" s="23"/>
      <c r="C508" s="23"/>
      <c r="G508" s="24"/>
      <c r="S508" s="25"/>
    </row>
    <row r="509" spans="2:19" ht="15.75" customHeight="1" x14ac:dyDescent="0.3">
      <c r="B509" s="23"/>
      <c r="C509" s="23"/>
      <c r="G509" s="24"/>
      <c r="S509" s="25"/>
    </row>
    <row r="510" spans="2:19" ht="15.75" customHeight="1" x14ac:dyDescent="0.3">
      <c r="B510" s="23"/>
      <c r="C510" s="23"/>
      <c r="G510" s="24"/>
      <c r="S510" s="25"/>
    </row>
    <row r="511" spans="2:19" ht="15.75" customHeight="1" x14ac:dyDescent="0.3">
      <c r="B511" s="23"/>
      <c r="C511" s="23"/>
      <c r="G511" s="24"/>
      <c r="S511" s="25"/>
    </row>
    <row r="512" spans="2:19" ht="15.75" customHeight="1" x14ac:dyDescent="0.3">
      <c r="B512" s="23"/>
      <c r="C512" s="23"/>
      <c r="G512" s="24"/>
      <c r="S512" s="25"/>
    </row>
    <row r="513" spans="2:19" ht="15.75" customHeight="1" x14ac:dyDescent="0.3">
      <c r="B513" s="23"/>
      <c r="C513" s="23"/>
      <c r="G513" s="24"/>
      <c r="S513" s="25"/>
    </row>
    <row r="514" spans="2:19" ht="15.75" customHeight="1" x14ac:dyDescent="0.3">
      <c r="B514" s="23"/>
      <c r="C514" s="23"/>
      <c r="G514" s="24"/>
      <c r="S514" s="25"/>
    </row>
    <row r="515" spans="2:19" ht="15.75" customHeight="1" x14ac:dyDescent="0.3">
      <c r="B515" s="23"/>
      <c r="C515" s="23"/>
      <c r="G515" s="24"/>
      <c r="S515" s="25"/>
    </row>
    <row r="516" spans="2:19" ht="15.75" customHeight="1" x14ac:dyDescent="0.3">
      <c r="B516" s="23"/>
      <c r="C516" s="23"/>
      <c r="G516" s="24"/>
      <c r="S516" s="25"/>
    </row>
    <row r="517" spans="2:19" ht="15.75" customHeight="1" x14ac:dyDescent="0.3">
      <c r="B517" s="23"/>
      <c r="C517" s="23"/>
      <c r="G517" s="24"/>
      <c r="S517" s="25"/>
    </row>
    <row r="518" spans="2:19" ht="15.75" customHeight="1" x14ac:dyDescent="0.3">
      <c r="B518" s="23"/>
      <c r="C518" s="23"/>
      <c r="G518" s="24"/>
      <c r="S518" s="25"/>
    </row>
    <row r="519" spans="2:19" ht="15.75" customHeight="1" x14ac:dyDescent="0.3">
      <c r="B519" s="23"/>
      <c r="C519" s="23"/>
      <c r="G519" s="24"/>
      <c r="S519" s="25"/>
    </row>
    <row r="520" spans="2:19" ht="15.75" customHeight="1" x14ac:dyDescent="0.3">
      <c r="B520" s="23"/>
      <c r="C520" s="23"/>
      <c r="G520" s="24"/>
      <c r="S520" s="25"/>
    </row>
    <row r="521" spans="2:19" ht="15.75" customHeight="1" x14ac:dyDescent="0.3">
      <c r="B521" s="23"/>
      <c r="C521" s="23"/>
      <c r="G521" s="24"/>
      <c r="S521" s="25"/>
    </row>
    <row r="522" spans="2:19" ht="15.75" customHeight="1" x14ac:dyDescent="0.3">
      <c r="B522" s="23"/>
      <c r="C522" s="23"/>
      <c r="G522" s="24"/>
      <c r="S522" s="25"/>
    </row>
    <row r="523" spans="2:19" ht="15.75" customHeight="1" x14ac:dyDescent="0.3">
      <c r="B523" s="23"/>
      <c r="C523" s="23"/>
      <c r="G523" s="24"/>
      <c r="S523" s="25"/>
    </row>
    <row r="524" spans="2:19" ht="15.75" customHeight="1" x14ac:dyDescent="0.3">
      <c r="B524" s="23"/>
      <c r="C524" s="23"/>
      <c r="G524" s="24"/>
      <c r="S524" s="25"/>
    </row>
    <row r="525" spans="2:19" ht="15.75" customHeight="1" x14ac:dyDescent="0.3">
      <c r="B525" s="23"/>
      <c r="C525" s="23"/>
      <c r="G525" s="24"/>
      <c r="S525" s="25"/>
    </row>
    <row r="526" spans="2:19" ht="15.75" customHeight="1" x14ac:dyDescent="0.3">
      <c r="B526" s="23"/>
      <c r="C526" s="23"/>
      <c r="G526" s="24"/>
      <c r="S526" s="25"/>
    </row>
    <row r="527" spans="2:19" ht="15.75" customHeight="1" x14ac:dyDescent="0.3">
      <c r="B527" s="23"/>
      <c r="C527" s="23"/>
      <c r="G527" s="24"/>
      <c r="S527" s="25"/>
    </row>
    <row r="528" spans="2:19" ht="15.75" customHeight="1" x14ac:dyDescent="0.3">
      <c r="B528" s="23"/>
      <c r="C528" s="23"/>
      <c r="G528" s="24"/>
      <c r="S528" s="25"/>
    </row>
    <row r="529" spans="2:19" ht="15.75" customHeight="1" x14ac:dyDescent="0.3">
      <c r="B529" s="23"/>
      <c r="C529" s="23"/>
      <c r="G529" s="24"/>
      <c r="S529" s="25"/>
    </row>
    <row r="530" spans="2:19" ht="15.75" customHeight="1" x14ac:dyDescent="0.3">
      <c r="B530" s="23"/>
      <c r="C530" s="23"/>
      <c r="G530" s="24"/>
      <c r="S530" s="25"/>
    </row>
    <row r="531" spans="2:19" ht="15.75" customHeight="1" x14ac:dyDescent="0.3">
      <c r="B531" s="23"/>
      <c r="C531" s="23"/>
      <c r="G531" s="24"/>
      <c r="S531" s="25"/>
    </row>
    <row r="532" spans="2:19" ht="15.75" customHeight="1" x14ac:dyDescent="0.3">
      <c r="B532" s="23"/>
      <c r="C532" s="23"/>
      <c r="G532" s="24"/>
      <c r="S532" s="25"/>
    </row>
    <row r="533" spans="2:19" ht="15.75" customHeight="1" x14ac:dyDescent="0.3">
      <c r="B533" s="23"/>
      <c r="C533" s="23"/>
      <c r="G533" s="24"/>
      <c r="S533" s="25"/>
    </row>
    <row r="534" spans="2:19" ht="15.75" customHeight="1" x14ac:dyDescent="0.3">
      <c r="B534" s="23"/>
      <c r="C534" s="23"/>
      <c r="G534" s="24"/>
      <c r="S534" s="25"/>
    </row>
    <row r="535" spans="2:19" ht="15.75" customHeight="1" x14ac:dyDescent="0.3">
      <c r="B535" s="23"/>
      <c r="C535" s="23"/>
      <c r="G535" s="24"/>
      <c r="S535" s="25"/>
    </row>
    <row r="536" spans="2:19" ht="15.75" customHeight="1" x14ac:dyDescent="0.3">
      <c r="B536" s="23"/>
      <c r="C536" s="23"/>
      <c r="G536" s="24"/>
      <c r="S536" s="25"/>
    </row>
    <row r="537" spans="2:19" ht="15.75" customHeight="1" x14ac:dyDescent="0.3">
      <c r="B537" s="23"/>
      <c r="C537" s="23"/>
      <c r="G537" s="24"/>
      <c r="S537" s="25"/>
    </row>
    <row r="538" spans="2:19" ht="15.75" customHeight="1" x14ac:dyDescent="0.3">
      <c r="B538" s="23"/>
      <c r="C538" s="23"/>
      <c r="G538" s="24"/>
      <c r="S538" s="25"/>
    </row>
    <row r="539" spans="2:19" ht="15.75" customHeight="1" x14ac:dyDescent="0.3">
      <c r="B539" s="23"/>
      <c r="C539" s="23"/>
      <c r="G539" s="24"/>
      <c r="S539" s="25"/>
    </row>
    <row r="540" spans="2:19" ht="15.75" customHeight="1" x14ac:dyDescent="0.3">
      <c r="B540" s="23"/>
      <c r="C540" s="23"/>
      <c r="G540" s="24"/>
      <c r="S540" s="25"/>
    </row>
    <row r="541" spans="2:19" ht="15.75" customHeight="1" x14ac:dyDescent="0.3">
      <c r="B541" s="23"/>
      <c r="C541" s="23"/>
      <c r="G541" s="24"/>
      <c r="S541" s="25"/>
    </row>
    <row r="542" spans="2:19" ht="15.75" customHeight="1" x14ac:dyDescent="0.3">
      <c r="B542" s="23"/>
      <c r="C542" s="23"/>
      <c r="G542" s="24"/>
      <c r="S542" s="25"/>
    </row>
    <row r="543" spans="2:19" ht="15.75" customHeight="1" x14ac:dyDescent="0.3">
      <c r="B543" s="23"/>
      <c r="C543" s="23"/>
      <c r="G543" s="24"/>
      <c r="S543" s="25"/>
    </row>
    <row r="544" spans="2:19" ht="15.75" customHeight="1" x14ac:dyDescent="0.3">
      <c r="B544" s="23"/>
      <c r="C544" s="23"/>
      <c r="G544" s="24"/>
      <c r="S544" s="25"/>
    </row>
    <row r="545" spans="2:19" ht="15.75" customHeight="1" x14ac:dyDescent="0.3">
      <c r="B545" s="23"/>
      <c r="C545" s="23"/>
      <c r="G545" s="24"/>
      <c r="S545" s="25"/>
    </row>
    <row r="546" spans="2:19" ht="15.75" customHeight="1" x14ac:dyDescent="0.3">
      <c r="B546" s="23"/>
      <c r="C546" s="23"/>
      <c r="G546" s="24"/>
      <c r="S546" s="25"/>
    </row>
    <row r="547" spans="2:19" ht="15.75" customHeight="1" x14ac:dyDescent="0.3">
      <c r="B547" s="23"/>
      <c r="C547" s="23"/>
      <c r="G547" s="24"/>
      <c r="S547" s="25"/>
    </row>
    <row r="548" spans="2:19" ht="15.75" customHeight="1" x14ac:dyDescent="0.3">
      <c r="B548" s="23"/>
      <c r="C548" s="23"/>
      <c r="G548" s="24"/>
      <c r="S548" s="25"/>
    </row>
    <row r="549" spans="2:19" ht="15.75" customHeight="1" x14ac:dyDescent="0.3">
      <c r="B549" s="23"/>
      <c r="C549" s="23"/>
      <c r="G549" s="24"/>
      <c r="S549" s="25"/>
    </row>
    <row r="550" spans="2:19" ht="15.75" customHeight="1" x14ac:dyDescent="0.3">
      <c r="B550" s="23"/>
      <c r="C550" s="23"/>
      <c r="G550" s="24"/>
      <c r="S550" s="25"/>
    </row>
    <row r="551" spans="2:19" ht="15.75" customHeight="1" x14ac:dyDescent="0.3">
      <c r="B551" s="23"/>
      <c r="C551" s="23"/>
      <c r="G551" s="24"/>
      <c r="S551" s="25"/>
    </row>
    <row r="552" spans="2:19" ht="15.75" customHeight="1" x14ac:dyDescent="0.3">
      <c r="B552" s="23"/>
      <c r="C552" s="23"/>
      <c r="G552" s="24"/>
      <c r="S552" s="25"/>
    </row>
    <row r="553" spans="2:19" ht="15.75" customHeight="1" x14ac:dyDescent="0.3">
      <c r="B553" s="23"/>
      <c r="C553" s="23"/>
      <c r="G553" s="24"/>
      <c r="S553" s="25"/>
    </row>
    <row r="554" spans="2:19" ht="15.75" customHeight="1" x14ac:dyDescent="0.3">
      <c r="B554" s="23"/>
      <c r="C554" s="23"/>
      <c r="G554" s="24"/>
      <c r="S554" s="25"/>
    </row>
    <row r="555" spans="2:19" ht="15.75" customHeight="1" x14ac:dyDescent="0.3">
      <c r="B555" s="23"/>
      <c r="C555" s="23"/>
      <c r="G555" s="24"/>
      <c r="S555" s="25"/>
    </row>
    <row r="556" spans="2:19" ht="15.75" customHeight="1" x14ac:dyDescent="0.3">
      <c r="B556" s="23"/>
      <c r="C556" s="23"/>
      <c r="G556" s="24"/>
      <c r="S556" s="25"/>
    </row>
    <row r="557" spans="2:19" ht="15.75" customHeight="1" x14ac:dyDescent="0.3">
      <c r="B557" s="23"/>
      <c r="C557" s="23"/>
      <c r="G557" s="24"/>
      <c r="S557" s="25"/>
    </row>
    <row r="558" spans="2:19" ht="15.75" customHeight="1" x14ac:dyDescent="0.3">
      <c r="B558" s="23"/>
      <c r="C558" s="23"/>
      <c r="G558" s="24"/>
      <c r="S558" s="25"/>
    </row>
    <row r="559" spans="2:19" ht="15.75" customHeight="1" x14ac:dyDescent="0.3">
      <c r="B559" s="23"/>
      <c r="C559" s="23"/>
      <c r="G559" s="24"/>
      <c r="S559" s="25"/>
    </row>
    <row r="560" spans="2:19" ht="15.75" customHeight="1" x14ac:dyDescent="0.3">
      <c r="B560" s="23"/>
      <c r="C560" s="23"/>
      <c r="G560" s="24"/>
      <c r="S560" s="25"/>
    </row>
    <row r="561" spans="2:19" ht="15.75" customHeight="1" x14ac:dyDescent="0.3">
      <c r="B561" s="23"/>
      <c r="C561" s="23"/>
      <c r="G561" s="24"/>
      <c r="S561" s="25"/>
    </row>
    <row r="562" spans="2:19" ht="15.75" customHeight="1" x14ac:dyDescent="0.3">
      <c r="B562" s="23"/>
      <c r="C562" s="23"/>
      <c r="G562" s="24"/>
      <c r="S562" s="25"/>
    </row>
    <row r="563" spans="2:19" ht="15.75" customHeight="1" x14ac:dyDescent="0.3">
      <c r="B563" s="23"/>
      <c r="C563" s="23"/>
      <c r="G563" s="24"/>
      <c r="S563" s="25"/>
    </row>
    <row r="564" spans="2:19" ht="15.75" customHeight="1" x14ac:dyDescent="0.3">
      <c r="B564" s="23"/>
      <c r="C564" s="23"/>
      <c r="G564" s="24"/>
      <c r="S564" s="25"/>
    </row>
    <row r="565" spans="2:19" ht="15.75" customHeight="1" x14ac:dyDescent="0.3">
      <c r="B565" s="23"/>
      <c r="C565" s="23"/>
      <c r="G565" s="24"/>
      <c r="S565" s="25"/>
    </row>
    <row r="566" spans="2:19" ht="15.75" customHeight="1" x14ac:dyDescent="0.3">
      <c r="B566" s="23"/>
      <c r="C566" s="23"/>
      <c r="G566" s="24"/>
      <c r="S566" s="25"/>
    </row>
    <row r="567" spans="2:19" ht="15.75" customHeight="1" x14ac:dyDescent="0.3">
      <c r="B567" s="23"/>
      <c r="C567" s="23"/>
      <c r="G567" s="24"/>
      <c r="S567" s="25"/>
    </row>
    <row r="568" spans="2:19" ht="15.75" customHeight="1" x14ac:dyDescent="0.3">
      <c r="B568" s="23"/>
      <c r="C568" s="23"/>
      <c r="G568" s="24"/>
      <c r="S568" s="25"/>
    </row>
    <row r="569" spans="2:19" ht="15.75" customHeight="1" x14ac:dyDescent="0.3">
      <c r="B569" s="23"/>
      <c r="C569" s="23"/>
      <c r="G569" s="24"/>
      <c r="S569" s="25"/>
    </row>
    <row r="570" spans="2:19" ht="15.75" customHeight="1" x14ac:dyDescent="0.3">
      <c r="B570" s="23"/>
      <c r="C570" s="23"/>
      <c r="G570" s="24"/>
      <c r="S570" s="25"/>
    </row>
    <row r="571" spans="2:19" ht="15.75" customHeight="1" x14ac:dyDescent="0.3">
      <c r="B571" s="23"/>
      <c r="C571" s="23"/>
      <c r="G571" s="24"/>
      <c r="S571" s="25"/>
    </row>
    <row r="572" spans="2:19" ht="15.75" customHeight="1" x14ac:dyDescent="0.3">
      <c r="B572" s="23"/>
      <c r="C572" s="23"/>
      <c r="G572" s="24"/>
      <c r="S572" s="25"/>
    </row>
    <row r="573" spans="2:19" ht="15.75" customHeight="1" x14ac:dyDescent="0.3">
      <c r="B573" s="23"/>
      <c r="C573" s="23"/>
      <c r="G573" s="24"/>
      <c r="S573" s="25"/>
    </row>
    <row r="574" spans="2:19" ht="15.75" customHeight="1" x14ac:dyDescent="0.3">
      <c r="B574" s="23"/>
      <c r="C574" s="23"/>
      <c r="G574" s="24"/>
      <c r="S574" s="25"/>
    </row>
    <row r="575" spans="2:19" ht="15.75" customHeight="1" x14ac:dyDescent="0.3">
      <c r="B575" s="23"/>
      <c r="C575" s="23"/>
      <c r="G575" s="24"/>
      <c r="S575" s="25"/>
    </row>
    <row r="576" spans="2:19" ht="15.75" customHeight="1" x14ac:dyDescent="0.3">
      <c r="B576" s="23"/>
      <c r="C576" s="23"/>
      <c r="G576" s="24"/>
      <c r="S576" s="25"/>
    </row>
    <row r="577" spans="2:19" ht="15.75" customHeight="1" x14ac:dyDescent="0.3">
      <c r="B577" s="23"/>
      <c r="C577" s="23"/>
      <c r="G577" s="24"/>
      <c r="S577" s="25"/>
    </row>
    <row r="578" spans="2:19" ht="15.75" customHeight="1" x14ac:dyDescent="0.3">
      <c r="B578" s="23"/>
      <c r="C578" s="23"/>
      <c r="G578" s="24"/>
      <c r="S578" s="25"/>
    </row>
    <row r="579" spans="2:19" ht="15.75" customHeight="1" x14ac:dyDescent="0.3">
      <c r="B579" s="23"/>
      <c r="C579" s="23"/>
      <c r="G579" s="24"/>
      <c r="S579" s="25"/>
    </row>
    <row r="580" spans="2:19" ht="15.75" customHeight="1" x14ac:dyDescent="0.3">
      <c r="B580" s="23"/>
      <c r="C580" s="23"/>
      <c r="G580" s="24"/>
      <c r="S580" s="25"/>
    </row>
    <row r="581" spans="2:19" ht="15.75" customHeight="1" x14ac:dyDescent="0.3">
      <c r="B581" s="23"/>
      <c r="C581" s="23"/>
      <c r="G581" s="24"/>
      <c r="S581" s="25"/>
    </row>
    <row r="582" spans="2:19" ht="15.75" customHeight="1" x14ac:dyDescent="0.3">
      <c r="B582" s="23"/>
      <c r="C582" s="23"/>
      <c r="G582" s="24"/>
      <c r="S582" s="25"/>
    </row>
    <row r="583" spans="2:19" ht="15.75" customHeight="1" x14ac:dyDescent="0.3">
      <c r="B583" s="23"/>
      <c r="C583" s="23"/>
      <c r="G583" s="24"/>
      <c r="S583" s="25"/>
    </row>
    <row r="584" spans="2:19" ht="15.75" customHeight="1" x14ac:dyDescent="0.3">
      <c r="B584" s="23"/>
      <c r="C584" s="23"/>
      <c r="G584" s="24"/>
      <c r="S584" s="25"/>
    </row>
    <row r="585" spans="2:19" ht="15.75" customHeight="1" x14ac:dyDescent="0.3">
      <c r="B585" s="23"/>
      <c r="C585" s="23"/>
      <c r="G585" s="24"/>
      <c r="S585" s="25"/>
    </row>
    <row r="586" spans="2:19" ht="15.75" customHeight="1" x14ac:dyDescent="0.3">
      <c r="B586" s="23"/>
      <c r="C586" s="23"/>
      <c r="G586" s="24"/>
      <c r="S586" s="25"/>
    </row>
    <row r="587" spans="2:19" ht="15.75" customHeight="1" x14ac:dyDescent="0.3">
      <c r="B587" s="23"/>
      <c r="C587" s="23"/>
      <c r="G587" s="24"/>
      <c r="S587" s="25"/>
    </row>
    <row r="588" spans="2:19" ht="15.75" customHeight="1" x14ac:dyDescent="0.3">
      <c r="B588" s="23"/>
      <c r="C588" s="23"/>
      <c r="G588" s="24"/>
      <c r="S588" s="25"/>
    </row>
    <row r="589" spans="2:19" ht="15.75" customHeight="1" x14ac:dyDescent="0.3">
      <c r="B589" s="23"/>
      <c r="C589" s="23"/>
      <c r="G589" s="24"/>
      <c r="S589" s="25"/>
    </row>
    <row r="590" spans="2:19" ht="15.75" customHeight="1" x14ac:dyDescent="0.3">
      <c r="B590" s="23"/>
      <c r="C590" s="23"/>
      <c r="G590" s="24"/>
      <c r="S590" s="25"/>
    </row>
    <row r="591" spans="2:19" ht="15.75" customHeight="1" x14ac:dyDescent="0.3">
      <c r="B591" s="23"/>
      <c r="C591" s="23"/>
      <c r="G591" s="24"/>
      <c r="S591" s="25"/>
    </row>
    <row r="592" spans="2:19" ht="15.75" customHeight="1" x14ac:dyDescent="0.3">
      <c r="B592" s="23"/>
      <c r="C592" s="23"/>
      <c r="G592" s="24"/>
      <c r="S592" s="25"/>
    </row>
    <row r="593" spans="2:19" ht="15.75" customHeight="1" x14ac:dyDescent="0.3">
      <c r="B593" s="23"/>
      <c r="C593" s="23"/>
      <c r="G593" s="24"/>
      <c r="S593" s="25"/>
    </row>
    <row r="594" spans="2:19" ht="15.75" customHeight="1" x14ac:dyDescent="0.3">
      <c r="B594" s="23"/>
      <c r="C594" s="23"/>
      <c r="G594" s="24"/>
      <c r="S594" s="25"/>
    </row>
    <row r="595" spans="2:19" ht="15.75" customHeight="1" x14ac:dyDescent="0.3">
      <c r="B595" s="23"/>
      <c r="C595" s="23"/>
      <c r="G595" s="24"/>
      <c r="S595" s="25"/>
    </row>
    <row r="596" spans="2:19" ht="15.75" customHeight="1" x14ac:dyDescent="0.3">
      <c r="B596" s="23"/>
      <c r="C596" s="23"/>
      <c r="G596" s="24"/>
      <c r="S596" s="25"/>
    </row>
    <row r="597" spans="2:19" ht="15.75" customHeight="1" x14ac:dyDescent="0.3">
      <c r="B597" s="23"/>
      <c r="C597" s="23"/>
      <c r="G597" s="24"/>
      <c r="S597" s="25"/>
    </row>
    <row r="598" spans="2:19" ht="15.75" customHeight="1" x14ac:dyDescent="0.3">
      <c r="B598" s="23"/>
      <c r="C598" s="23"/>
      <c r="G598" s="24"/>
      <c r="S598" s="25"/>
    </row>
    <row r="599" spans="2:19" ht="15.75" customHeight="1" x14ac:dyDescent="0.3">
      <c r="B599" s="23"/>
      <c r="C599" s="23"/>
      <c r="G599" s="24"/>
      <c r="S599" s="25"/>
    </row>
    <row r="600" spans="2:19" ht="15.75" customHeight="1" x14ac:dyDescent="0.3">
      <c r="B600" s="23"/>
      <c r="C600" s="23"/>
      <c r="G600" s="24"/>
      <c r="S600" s="25"/>
    </row>
    <row r="601" spans="2:19" ht="15.75" customHeight="1" x14ac:dyDescent="0.3">
      <c r="B601" s="23"/>
      <c r="C601" s="23"/>
      <c r="G601" s="24"/>
      <c r="S601" s="25"/>
    </row>
    <row r="602" spans="2:19" ht="15.75" customHeight="1" x14ac:dyDescent="0.3">
      <c r="B602" s="23"/>
      <c r="C602" s="23"/>
      <c r="G602" s="24"/>
      <c r="S602" s="25"/>
    </row>
    <row r="603" spans="2:19" ht="15.75" customHeight="1" x14ac:dyDescent="0.3">
      <c r="B603" s="23"/>
      <c r="C603" s="23"/>
      <c r="G603" s="24"/>
      <c r="S603" s="25"/>
    </row>
    <row r="604" spans="2:19" ht="15.75" customHeight="1" x14ac:dyDescent="0.3">
      <c r="B604" s="23"/>
      <c r="C604" s="23"/>
      <c r="G604" s="24"/>
      <c r="S604" s="25"/>
    </row>
    <row r="605" spans="2:19" ht="15.75" customHeight="1" x14ac:dyDescent="0.3">
      <c r="B605" s="23"/>
      <c r="C605" s="23"/>
      <c r="G605" s="24"/>
      <c r="S605" s="25"/>
    </row>
    <row r="606" spans="2:19" ht="15.75" customHeight="1" x14ac:dyDescent="0.3">
      <c r="B606" s="23"/>
      <c r="C606" s="23"/>
      <c r="G606" s="24"/>
      <c r="S606" s="25"/>
    </row>
    <row r="607" spans="2:19" ht="15.75" customHeight="1" x14ac:dyDescent="0.3">
      <c r="B607" s="23"/>
      <c r="C607" s="23"/>
      <c r="G607" s="24"/>
      <c r="S607" s="25"/>
    </row>
    <row r="608" spans="2:19" ht="15.75" customHeight="1" x14ac:dyDescent="0.3">
      <c r="B608" s="23"/>
      <c r="C608" s="23"/>
      <c r="G608" s="24"/>
      <c r="S608" s="25"/>
    </row>
    <row r="609" spans="2:19" ht="15.75" customHeight="1" x14ac:dyDescent="0.3">
      <c r="B609" s="23"/>
      <c r="C609" s="23"/>
      <c r="G609" s="24"/>
      <c r="S609" s="25"/>
    </row>
    <row r="610" spans="2:19" ht="15.75" customHeight="1" x14ac:dyDescent="0.3">
      <c r="B610" s="23"/>
      <c r="C610" s="23"/>
      <c r="G610" s="24"/>
      <c r="S610" s="25"/>
    </row>
    <row r="611" spans="2:19" ht="15.75" customHeight="1" x14ac:dyDescent="0.3">
      <c r="B611" s="23"/>
      <c r="C611" s="23"/>
      <c r="G611" s="24"/>
      <c r="S611" s="25"/>
    </row>
    <row r="612" spans="2:19" ht="15.75" customHeight="1" x14ac:dyDescent="0.3">
      <c r="B612" s="23"/>
      <c r="C612" s="23"/>
      <c r="G612" s="24"/>
      <c r="S612" s="25"/>
    </row>
    <row r="613" spans="2:19" ht="15.75" customHeight="1" x14ac:dyDescent="0.3">
      <c r="B613" s="23"/>
      <c r="C613" s="23"/>
      <c r="G613" s="24"/>
      <c r="S613" s="25"/>
    </row>
    <row r="614" spans="2:19" ht="15.75" customHeight="1" x14ac:dyDescent="0.3">
      <c r="B614" s="23"/>
      <c r="C614" s="23"/>
      <c r="G614" s="24"/>
      <c r="S614" s="25"/>
    </row>
    <row r="615" spans="2:19" ht="15.75" customHeight="1" x14ac:dyDescent="0.3">
      <c r="B615" s="23"/>
      <c r="C615" s="23"/>
      <c r="G615" s="24"/>
      <c r="S615" s="25"/>
    </row>
    <row r="616" spans="2:19" ht="15.75" customHeight="1" x14ac:dyDescent="0.3">
      <c r="B616" s="23"/>
      <c r="C616" s="23"/>
      <c r="G616" s="24"/>
      <c r="S616" s="25"/>
    </row>
    <row r="617" spans="2:19" ht="15.75" customHeight="1" x14ac:dyDescent="0.3">
      <c r="B617" s="23"/>
      <c r="C617" s="23"/>
      <c r="G617" s="24"/>
      <c r="S617" s="25"/>
    </row>
    <row r="618" spans="2:19" ht="15.75" customHeight="1" x14ac:dyDescent="0.3">
      <c r="B618" s="23"/>
      <c r="C618" s="23"/>
      <c r="G618" s="24"/>
      <c r="S618" s="25"/>
    </row>
    <row r="619" spans="2:19" ht="15.75" customHeight="1" x14ac:dyDescent="0.3">
      <c r="B619" s="23"/>
      <c r="C619" s="23"/>
      <c r="G619" s="24"/>
      <c r="S619" s="25"/>
    </row>
    <row r="620" spans="2:19" ht="15.75" customHeight="1" x14ac:dyDescent="0.3">
      <c r="B620" s="23"/>
      <c r="C620" s="23"/>
      <c r="G620" s="24"/>
      <c r="S620" s="25"/>
    </row>
    <row r="621" spans="2:19" ht="15.75" customHeight="1" x14ac:dyDescent="0.3">
      <c r="B621" s="23"/>
      <c r="C621" s="23"/>
      <c r="G621" s="24"/>
      <c r="S621" s="25"/>
    </row>
    <row r="622" spans="2:19" ht="15.75" customHeight="1" x14ac:dyDescent="0.3">
      <c r="B622" s="23"/>
      <c r="C622" s="23"/>
      <c r="G622" s="24"/>
      <c r="S622" s="25"/>
    </row>
    <row r="623" spans="2:19" ht="15.75" customHeight="1" x14ac:dyDescent="0.3">
      <c r="B623" s="23"/>
      <c r="C623" s="23"/>
      <c r="G623" s="24"/>
      <c r="S623" s="25"/>
    </row>
    <row r="624" spans="2:19" ht="15.75" customHeight="1" x14ac:dyDescent="0.3">
      <c r="B624" s="23"/>
      <c r="C624" s="23"/>
      <c r="G624" s="24"/>
      <c r="S624" s="25"/>
    </row>
    <row r="625" spans="2:19" ht="15.75" customHeight="1" x14ac:dyDescent="0.3">
      <c r="B625" s="23"/>
      <c r="C625" s="23"/>
      <c r="G625" s="24"/>
      <c r="S625" s="25"/>
    </row>
    <row r="626" spans="2:19" ht="15.75" customHeight="1" x14ac:dyDescent="0.3">
      <c r="B626" s="23"/>
      <c r="C626" s="23"/>
      <c r="G626" s="24"/>
      <c r="S626" s="25"/>
    </row>
    <row r="627" spans="2:19" ht="15.75" customHeight="1" x14ac:dyDescent="0.3">
      <c r="B627" s="23"/>
      <c r="C627" s="23"/>
      <c r="G627" s="24"/>
      <c r="S627" s="25"/>
    </row>
    <row r="628" spans="2:19" ht="15.75" customHeight="1" x14ac:dyDescent="0.3">
      <c r="B628" s="23"/>
      <c r="C628" s="23"/>
      <c r="G628" s="24"/>
      <c r="S628" s="25"/>
    </row>
    <row r="629" spans="2:19" ht="15.75" customHeight="1" x14ac:dyDescent="0.3">
      <c r="B629" s="23"/>
      <c r="C629" s="23"/>
      <c r="G629" s="24"/>
      <c r="S629" s="25"/>
    </row>
    <row r="630" spans="2:19" ht="15.75" customHeight="1" x14ac:dyDescent="0.3">
      <c r="B630" s="23"/>
      <c r="C630" s="23"/>
      <c r="G630" s="24"/>
      <c r="S630" s="25"/>
    </row>
    <row r="631" spans="2:19" ht="15.75" customHeight="1" x14ac:dyDescent="0.3">
      <c r="B631" s="23"/>
      <c r="C631" s="23"/>
      <c r="G631" s="24"/>
      <c r="S631" s="25"/>
    </row>
    <row r="632" spans="2:19" ht="15.75" customHeight="1" x14ac:dyDescent="0.3">
      <c r="B632" s="23"/>
      <c r="C632" s="23"/>
      <c r="G632" s="24"/>
      <c r="S632" s="25"/>
    </row>
    <row r="633" spans="2:19" ht="15.75" customHeight="1" x14ac:dyDescent="0.3">
      <c r="B633" s="23"/>
      <c r="C633" s="23"/>
      <c r="G633" s="24"/>
      <c r="S633" s="25"/>
    </row>
    <row r="634" spans="2:19" ht="15.75" customHeight="1" x14ac:dyDescent="0.3">
      <c r="B634" s="23"/>
      <c r="C634" s="23"/>
      <c r="G634" s="24"/>
      <c r="S634" s="25"/>
    </row>
    <row r="635" spans="2:19" ht="15.75" customHeight="1" x14ac:dyDescent="0.3">
      <c r="B635" s="23"/>
      <c r="C635" s="23"/>
      <c r="G635" s="24"/>
      <c r="S635" s="25"/>
    </row>
    <row r="636" spans="2:19" ht="15.75" customHeight="1" x14ac:dyDescent="0.3">
      <c r="B636" s="23"/>
      <c r="C636" s="23"/>
      <c r="G636" s="24"/>
      <c r="S636" s="25"/>
    </row>
    <row r="637" spans="2:19" ht="15.75" customHeight="1" x14ac:dyDescent="0.3">
      <c r="B637" s="23"/>
      <c r="C637" s="23"/>
      <c r="G637" s="24"/>
      <c r="S637" s="25"/>
    </row>
    <row r="638" spans="2:19" ht="15.75" customHeight="1" x14ac:dyDescent="0.3">
      <c r="B638" s="23"/>
      <c r="C638" s="23"/>
      <c r="G638" s="24"/>
      <c r="S638" s="25"/>
    </row>
    <row r="639" spans="2:19" ht="15.75" customHeight="1" x14ac:dyDescent="0.3">
      <c r="B639" s="23"/>
      <c r="C639" s="23"/>
      <c r="G639" s="24"/>
      <c r="S639" s="25"/>
    </row>
    <row r="640" spans="2:19" ht="15.75" customHeight="1" x14ac:dyDescent="0.3">
      <c r="B640" s="23"/>
      <c r="C640" s="23"/>
      <c r="G640" s="24"/>
      <c r="S640" s="25"/>
    </row>
    <row r="641" spans="2:19" ht="15.75" customHeight="1" x14ac:dyDescent="0.3">
      <c r="B641" s="23"/>
      <c r="C641" s="23"/>
      <c r="G641" s="24"/>
      <c r="S641" s="25"/>
    </row>
    <row r="642" spans="2:19" ht="15.75" customHeight="1" x14ac:dyDescent="0.3">
      <c r="B642" s="23"/>
      <c r="C642" s="23"/>
      <c r="G642" s="24"/>
      <c r="S642" s="25"/>
    </row>
    <row r="643" spans="2:19" ht="15.75" customHeight="1" x14ac:dyDescent="0.3">
      <c r="B643" s="23"/>
      <c r="C643" s="23"/>
      <c r="G643" s="24"/>
      <c r="S643" s="25"/>
    </row>
    <row r="644" spans="2:19" ht="15.75" customHeight="1" x14ac:dyDescent="0.3">
      <c r="B644" s="23"/>
      <c r="C644" s="23"/>
      <c r="G644" s="24"/>
      <c r="S644" s="25"/>
    </row>
    <row r="645" spans="2:19" ht="15.75" customHeight="1" x14ac:dyDescent="0.3">
      <c r="B645" s="23"/>
      <c r="C645" s="23"/>
      <c r="G645" s="24"/>
      <c r="S645" s="25"/>
    </row>
    <row r="646" spans="2:19" ht="15.75" customHeight="1" x14ac:dyDescent="0.3">
      <c r="B646" s="23"/>
      <c r="C646" s="23"/>
      <c r="G646" s="24"/>
      <c r="S646" s="25"/>
    </row>
    <row r="647" spans="2:19" ht="15.75" customHeight="1" x14ac:dyDescent="0.3">
      <c r="B647" s="23"/>
      <c r="C647" s="23"/>
      <c r="G647" s="24"/>
      <c r="S647" s="25"/>
    </row>
    <row r="648" spans="2:19" ht="15.75" customHeight="1" x14ac:dyDescent="0.3">
      <c r="B648" s="23"/>
      <c r="C648" s="23"/>
      <c r="G648" s="24"/>
      <c r="S648" s="25"/>
    </row>
    <row r="649" spans="2:19" ht="15.75" customHeight="1" x14ac:dyDescent="0.3">
      <c r="B649" s="23"/>
      <c r="C649" s="23"/>
      <c r="G649" s="24"/>
      <c r="S649" s="25"/>
    </row>
    <row r="650" spans="2:19" ht="15.75" customHeight="1" x14ac:dyDescent="0.3">
      <c r="B650" s="23"/>
      <c r="C650" s="23"/>
      <c r="G650" s="24"/>
      <c r="S650" s="25"/>
    </row>
    <row r="651" spans="2:19" ht="15.75" customHeight="1" x14ac:dyDescent="0.3">
      <c r="B651" s="23"/>
      <c r="C651" s="23"/>
      <c r="G651" s="24"/>
      <c r="S651" s="25"/>
    </row>
    <row r="652" spans="2:19" ht="15.75" customHeight="1" x14ac:dyDescent="0.3">
      <c r="B652" s="23"/>
      <c r="C652" s="23"/>
      <c r="G652" s="24"/>
      <c r="S652" s="25"/>
    </row>
    <row r="653" spans="2:19" ht="15.75" customHeight="1" x14ac:dyDescent="0.3">
      <c r="B653" s="23"/>
      <c r="C653" s="23"/>
      <c r="G653" s="24"/>
      <c r="S653" s="25"/>
    </row>
    <row r="654" spans="2:19" ht="15.75" customHeight="1" x14ac:dyDescent="0.3">
      <c r="B654" s="23"/>
      <c r="C654" s="23"/>
      <c r="G654" s="24"/>
      <c r="S654" s="25"/>
    </row>
    <row r="655" spans="2:19" ht="15.75" customHeight="1" x14ac:dyDescent="0.3">
      <c r="B655" s="23"/>
      <c r="C655" s="23"/>
      <c r="G655" s="24"/>
      <c r="S655" s="25"/>
    </row>
    <row r="656" spans="2:19" ht="15.75" customHeight="1" x14ac:dyDescent="0.3">
      <c r="B656" s="23"/>
      <c r="C656" s="23"/>
      <c r="G656" s="24"/>
      <c r="S656" s="25"/>
    </row>
    <row r="657" spans="2:19" ht="15.75" customHeight="1" x14ac:dyDescent="0.3">
      <c r="B657" s="23"/>
      <c r="C657" s="23"/>
      <c r="G657" s="24"/>
      <c r="S657" s="25"/>
    </row>
    <row r="658" spans="2:19" ht="15.75" customHeight="1" x14ac:dyDescent="0.3">
      <c r="B658" s="23"/>
      <c r="C658" s="23"/>
      <c r="G658" s="24"/>
      <c r="S658" s="25"/>
    </row>
    <row r="659" spans="2:19" ht="15.75" customHeight="1" x14ac:dyDescent="0.3">
      <c r="B659" s="23"/>
      <c r="C659" s="23"/>
      <c r="G659" s="24"/>
      <c r="S659" s="25"/>
    </row>
    <row r="660" spans="2:19" ht="15.75" customHeight="1" x14ac:dyDescent="0.3">
      <c r="B660" s="23"/>
      <c r="C660" s="23"/>
      <c r="G660" s="24"/>
      <c r="S660" s="25"/>
    </row>
    <row r="661" spans="2:19" ht="15.75" customHeight="1" x14ac:dyDescent="0.3">
      <c r="B661" s="23"/>
      <c r="C661" s="23"/>
      <c r="G661" s="24"/>
      <c r="S661" s="25"/>
    </row>
    <row r="662" spans="2:19" ht="15.75" customHeight="1" x14ac:dyDescent="0.3">
      <c r="B662" s="23"/>
      <c r="C662" s="23"/>
      <c r="G662" s="24"/>
      <c r="S662" s="25"/>
    </row>
    <row r="663" spans="2:19" ht="15.75" customHeight="1" x14ac:dyDescent="0.3">
      <c r="B663" s="23"/>
      <c r="C663" s="23"/>
      <c r="G663" s="24"/>
      <c r="S663" s="25"/>
    </row>
    <row r="664" spans="2:19" ht="15.75" customHeight="1" x14ac:dyDescent="0.3">
      <c r="B664" s="23"/>
      <c r="C664" s="23"/>
      <c r="G664" s="24"/>
      <c r="S664" s="25"/>
    </row>
    <row r="665" spans="2:19" ht="15.75" customHeight="1" x14ac:dyDescent="0.3">
      <c r="B665" s="23"/>
      <c r="C665" s="23"/>
      <c r="G665" s="24"/>
      <c r="S665" s="25"/>
    </row>
    <row r="666" spans="2:19" ht="15.75" customHeight="1" x14ac:dyDescent="0.3">
      <c r="B666" s="23"/>
      <c r="C666" s="23"/>
      <c r="G666" s="24"/>
      <c r="S666" s="25"/>
    </row>
    <row r="667" spans="2:19" ht="15.75" customHeight="1" x14ac:dyDescent="0.3">
      <c r="B667" s="23"/>
      <c r="C667" s="23"/>
      <c r="G667" s="24"/>
      <c r="S667" s="25"/>
    </row>
    <row r="668" spans="2:19" ht="15.75" customHeight="1" x14ac:dyDescent="0.3">
      <c r="B668" s="23"/>
      <c r="C668" s="23"/>
      <c r="G668" s="24"/>
      <c r="S668" s="25"/>
    </row>
    <row r="669" spans="2:19" ht="15.75" customHeight="1" x14ac:dyDescent="0.3">
      <c r="B669" s="23"/>
      <c r="C669" s="23"/>
      <c r="G669" s="24"/>
      <c r="S669" s="25"/>
    </row>
    <row r="670" spans="2:19" ht="15.75" customHeight="1" x14ac:dyDescent="0.3">
      <c r="B670" s="23"/>
      <c r="C670" s="23"/>
      <c r="G670" s="24"/>
      <c r="S670" s="25"/>
    </row>
    <row r="671" spans="2:19" ht="15.75" customHeight="1" x14ac:dyDescent="0.3">
      <c r="B671" s="23"/>
      <c r="C671" s="23"/>
      <c r="G671" s="24"/>
      <c r="S671" s="25"/>
    </row>
    <row r="672" spans="2:19" ht="15.75" customHeight="1" x14ac:dyDescent="0.3">
      <c r="B672" s="23"/>
      <c r="C672" s="23"/>
      <c r="G672" s="24"/>
      <c r="S672" s="25"/>
    </row>
    <row r="673" spans="2:19" ht="15.75" customHeight="1" x14ac:dyDescent="0.3">
      <c r="B673" s="23"/>
      <c r="C673" s="23"/>
      <c r="G673" s="24"/>
      <c r="S673" s="25"/>
    </row>
    <row r="674" spans="2:19" ht="15.75" customHeight="1" x14ac:dyDescent="0.3">
      <c r="B674" s="23"/>
      <c r="C674" s="23"/>
      <c r="G674" s="24"/>
      <c r="S674" s="25"/>
    </row>
    <row r="675" spans="2:19" ht="15.75" customHeight="1" x14ac:dyDescent="0.3">
      <c r="B675" s="23"/>
      <c r="C675" s="23"/>
      <c r="G675" s="24"/>
      <c r="S675" s="25"/>
    </row>
    <row r="676" spans="2:19" ht="15.75" customHeight="1" x14ac:dyDescent="0.3">
      <c r="B676" s="23"/>
      <c r="C676" s="23"/>
      <c r="G676" s="24"/>
      <c r="S676" s="25"/>
    </row>
    <row r="677" spans="2:19" ht="15.75" customHeight="1" x14ac:dyDescent="0.3">
      <c r="B677" s="23"/>
      <c r="C677" s="23"/>
      <c r="G677" s="24"/>
      <c r="S677" s="25"/>
    </row>
    <row r="678" spans="2:19" ht="15.75" customHeight="1" x14ac:dyDescent="0.3">
      <c r="B678" s="23"/>
      <c r="C678" s="23"/>
      <c r="G678" s="24"/>
      <c r="S678" s="25"/>
    </row>
    <row r="679" spans="2:19" ht="15.75" customHeight="1" x14ac:dyDescent="0.3">
      <c r="B679" s="23"/>
      <c r="C679" s="23"/>
      <c r="G679" s="24"/>
      <c r="S679" s="25"/>
    </row>
    <row r="680" spans="2:19" ht="15.75" customHeight="1" x14ac:dyDescent="0.3">
      <c r="B680" s="23"/>
      <c r="C680" s="23"/>
      <c r="G680" s="24"/>
      <c r="S680" s="25"/>
    </row>
    <row r="681" spans="2:19" ht="15.75" customHeight="1" x14ac:dyDescent="0.3">
      <c r="B681" s="23"/>
      <c r="C681" s="23"/>
      <c r="G681" s="24"/>
      <c r="S681" s="25"/>
    </row>
    <row r="682" spans="2:19" ht="15.75" customHeight="1" x14ac:dyDescent="0.3">
      <c r="B682" s="23"/>
      <c r="C682" s="23"/>
      <c r="G682" s="24"/>
      <c r="S682" s="25"/>
    </row>
    <row r="683" spans="2:19" ht="15.75" customHeight="1" x14ac:dyDescent="0.3">
      <c r="B683" s="23"/>
      <c r="C683" s="23"/>
      <c r="G683" s="24"/>
      <c r="S683" s="25"/>
    </row>
    <row r="684" spans="2:19" ht="15.75" customHeight="1" x14ac:dyDescent="0.3">
      <c r="B684" s="23"/>
      <c r="C684" s="23"/>
      <c r="G684" s="24"/>
      <c r="S684" s="25"/>
    </row>
    <row r="685" spans="2:19" ht="15.75" customHeight="1" x14ac:dyDescent="0.3">
      <c r="B685" s="23"/>
      <c r="C685" s="23"/>
      <c r="G685" s="24"/>
      <c r="S685" s="25"/>
    </row>
    <row r="686" spans="2:19" ht="15.75" customHeight="1" x14ac:dyDescent="0.3">
      <c r="B686" s="23"/>
      <c r="C686" s="23"/>
      <c r="G686" s="24"/>
      <c r="S686" s="25"/>
    </row>
    <row r="687" spans="2:19" ht="15.75" customHeight="1" x14ac:dyDescent="0.3">
      <c r="B687" s="23"/>
      <c r="C687" s="23"/>
      <c r="G687" s="24"/>
      <c r="S687" s="25"/>
    </row>
    <row r="688" spans="2:19" ht="15.75" customHeight="1" x14ac:dyDescent="0.3">
      <c r="B688" s="23"/>
      <c r="C688" s="23"/>
      <c r="G688" s="24"/>
      <c r="S688" s="25"/>
    </row>
    <row r="689" spans="2:19" ht="15.75" customHeight="1" x14ac:dyDescent="0.3">
      <c r="B689" s="23"/>
      <c r="C689" s="23"/>
      <c r="G689" s="24"/>
      <c r="S689" s="25"/>
    </row>
    <row r="690" spans="2:19" ht="15.75" customHeight="1" x14ac:dyDescent="0.3">
      <c r="B690" s="23"/>
      <c r="C690" s="23"/>
      <c r="G690" s="24"/>
      <c r="S690" s="25"/>
    </row>
    <row r="691" spans="2:19" ht="15.75" customHeight="1" x14ac:dyDescent="0.3">
      <c r="B691" s="23"/>
      <c r="C691" s="23"/>
      <c r="G691" s="24"/>
      <c r="S691" s="25"/>
    </row>
    <row r="692" spans="2:19" ht="15.75" customHeight="1" x14ac:dyDescent="0.3">
      <c r="B692" s="23"/>
      <c r="C692" s="23"/>
      <c r="G692" s="24"/>
      <c r="S692" s="25"/>
    </row>
    <row r="693" spans="2:19" ht="15.75" customHeight="1" x14ac:dyDescent="0.3">
      <c r="B693" s="23"/>
      <c r="C693" s="23"/>
      <c r="G693" s="24"/>
      <c r="S693" s="25"/>
    </row>
    <row r="694" spans="2:19" ht="15.75" customHeight="1" x14ac:dyDescent="0.3">
      <c r="B694" s="23"/>
      <c r="C694" s="23"/>
      <c r="G694" s="24"/>
      <c r="S694" s="25"/>
    </row>
    <row r="695" spans="2:19" ht="15.75" customHeight="1" x14ac:dyDescent="0.3">
      <c r="B695" s="23"/>
      <c r="C695" s="23"/>
      <c r="G695" s="24"/>
      <c r="S695" s="25"/>
    </row>
    <row r="696" spans="2:19" ht="15.75" customHeight="1" x14ac:dyDescent="0.3">
      <c r="B696" s="23"/>
      <c r="C696" s="23"/>
      <c r="G696" s="24"/>
      <c r="S696" s="25"/>
    </row>
    <row r="697" spans="2:19" ht="15.75" customHeight="1" x14ac:dyDescent="0.3">
      <c r="B697" s="23"/>
      <c r="C697" s="23"/>
      <c r="G697" s="24"/>
      <c r="S697" s="25"/>
    </row>
    <row r="698" spans="2:19" ht="15.75" customHeight="1" x14ac:dyDescent="0.3">
      <c r="B698" s="23"/>
      <c r="C698" s="23"/>
      <c r="G698" s="24"/>
      <c r="S698" s="25"/>
    </row>
    <row r="699" spans="2:19" ht="15.75" customHeight="1" x14ac:dyDescent="0.3">
      <c r="B699" s="23"/>
      <c r="C699" s="23"/>
      <c r="G699" s="24"/>
      <c r="S699" s="25"/>
    </row>
    <row r="700" spans="2:19" ht="15.75" customHeight="1" x14ac:dyDescent="0.3">
      <c r="B700" s="23"/>
      <c r="C700" s="23"/>
      <c r="G700" s="24"/>
      <c r="S700" s="25"/>
    </row>
    <row r="701" spans="2:19" ht="15.75" customHeight="1" x14ac:dyDescent="0.3">
      <c r="B701" s="23"/>
      <c r="C701" s="23"/>
      <c r="G701" s="24"/>
      <c r="S701" s="25"/>
    </row>
    <row r="702" spans="2:19" ht="15.75" customHeight="1" x14ac:dyDescent="0.3">
      <c r="B702" s="23"/>
      <c r="C702" s="23"/>
      <c r="G702" s="24"/>
      <c r="S702" s="25"/>
    </row>
    <row r="703" spans="2:19" ht="15.75" customHeight="1" x14ac:dyDescent="0.3">
      <c r="B703" s="23"/>
      <c r="C703" s="23"/>
      <c r="G703" s="24"/>
      <c r="S703" s="25"/>
    </row>
    <row r="704" spans="2:19" ht="15.75" customHeight="1" x14ac:dyDescent="0.3">
      <c r="B704" s="23"/>
      <c r="C704" s="23"/>
      <c r="G704" s="24"/>
      <c r="S704" s="25"/>
    </row>
    <row r="705" spans="2:19" ht="15.75" customHeight="1" x14ac:dyDescent="0.3">
      <c r="B705" s="23"/>
      <c r="C705" s="23"/>
      <c r="G705" s="24"/>
      <c r="S705" s="25"/>
    </row>
    <row r="706" spans="2:19" ht="15.75" customHeight="1" x14ac:dyDescent="0.3">
      <c r="B706" s="23"/>
      <c r="C706" s="23"/>
      <c r="G706" s="24"/>
      <c r="S706" s="25"/>
    </row>
    <row r="707" spans="2:19" ht="15.75" customHeight="1" x14ac:dyDescent="0.3">
      <c r="B707" s="23"/>
      <c r="C707" s="23"/>
      <c r="G707" s="24"/>
      <c r="S707" s="25"/>
    </row>
    <row r="708" spans="2:19" ht="15.75" customHeight="1" x14ac:dyDescent="0.3">
      <c r="B708" s="23"/>
      <c r="C708" s="23"/>
      <c r="G708" s="24"/>
      <c r="S708" s="25"/>
    </row>
    <row r="709" spans="2:19" ht="15.75" customHeight="1" x14ac:dyDescent="0.3">
      <c r="B709" s="23"/>
      <c r="C709" s="23"/>
      <c r="G709" s="24"/>
      <c r="S709" s="25"/>
    </row>
    <row r="710" spans="2:19" ht="15.75" customHeight="1" x14ac:dyDescent="0.3">
      <c r="B710" s="23"/>
      <c r="C710" s="23"/>
      <c r="G710" s="24"/>
      <c r="S710" s="25"/>
    </row>
    <row r="711" spans="2:19" ht="15.75" customHeight="1" x14ac:dyDescent="0.3">
      <c r="B711" s="23"/>
      <c r="C711" s="23"/>
      <c r="G711" s="24"/>
      <c r="S711" s="25"/>
    </row>
    <row r="712" spans="2:19" ht="15.75" customHeight="1" x14ac:dyDescent="0.3">
      <c r="B712" s="23"/>
      <c r="C712" s="23"/>
      <c r="G712" s="24"/>
      <c r="S712" s="25"/>
    </row>
    <row r="713" spans="2:19" ht="15.75" customHeight="1" x14ac:dyDescent="0.3">
      <c r="B713" s="23"/>
      <c r="C713" s="23"/>
      <c r="G713" s="24"/>
      <c r="S713" s="25"/>
    </row>
    <row r="714" spans="2:19" ht="15.75" customHeight="1" x14ac:dyDescent="0.3">
      <c r="B714" s="23"/>
      <c r="C714" s="23"/>
      <c r="G714" s="24"/>
      <c r="S714" s="25"/>
    </row>
    <row r="715" spans="2:19" ht="15.75" customHeight="1" x14ac:dyDescent="0.3">
      <c r="B715" s="23"/>
      <c r="C715" s="23"/>
      <c r="G715" s="24"/>
      <c r="S715" s="25"/>
    </row>
    <row r="716" spans="2:19" ht="15.75" customHeight="1" x14ac:dyDescent="0.3">
      <c r="B716" s="23"/>
      <c r="C716" s="23"/>
      <c r="G716" s="24"/>
      <c r="S716" s="25"/>
    </row>
    <row r="717" spans="2:19" ht="15.75" customHeight="1" x14ac:dyDescent="0.3">
      <c r="B717" s="23"/>
      <c r="C717" s="23"/>
      <c r="G717" s="24"/>
      <c r="S717" s="25"/>
    </row>
    <row r="718" spans="2:19" ht="15.75" customHeight="1" x14ac:dyDescent="0.3">
      <c r="B718" s="23"/>
      <c r="C718" s="23"/>
      <c r="G718" s="24"/>
      <c r="S718" s="25"/>
    </row>
    <row r="719" spans="2:19" ht="15.75" customHeight="1" x14ac:dyDescent="0.3">
      <c r="B719" s="23"/>
      <c r="C719" s="23"/>
      <c r="G719" s="24"/>
      <c r="S719" s="25"/>
    </row>
    <row r="720" spans="2:19" ht="15.75" customHeight="1" x14ac:dyDescent="0.3">
      <c r="B720" s="23"/>
      <c r="C720" s="23"/>
      <c r="G720" s="24"/>
      <c r="S720" s="25"/>
    </row>
    <row r="721" spans="2:19" ht="15.75" customHeight="1" x14ac:dyDescent="0.3">
      <c r="B721" s="23"/>
      <c r="C721" s="23"/>
      <c r="G721" s="24"/>
      <c r="S721" s="25"/>
    </row>
    <row r="722" spans="2:19" ht="15.75" customHeight="1" x14ac:dyDescent="0.3">
      <c r="B722" s="23"/>
      <c r="C722" s="23"/>
      <c r="G722" s="24"/>
      <c r="S722" s="25"/>
    </row>
    <row r="723" spans="2:19" ht="15.75" customHeight="1" x14ac:dyDescent="0.3">
      <c r="B723" s="23"/>
      <c r="C723" s="23"/>
      <c r="G723" s="24"/>
      <c r="S723" s="25"/>
    </row>
    <row r="724" spans="2:19" ht="15.75" customHeight="1" x14ac:dyDescent="0.3">
      <c r="B724" s="23"/>
      <c r="C724" s="23"/>
      <c r="G724" s="24"/>
      <c r="S724" s="25"/>
    </row>
    <row r="725" spans="2:19" ht="15.75" customHeight="1" x14ac:dyDescent="0.3">
      <c r="B725" s="23"/>
      <c r="C725" s="23"/>
      <c r="G725" s="24"/>
      <c r="S725" s="25"/>
    </row>
    <row r="726" spans="2:19" ht="15.75" customHeight="1" x14ac:dyDescent="0.3">
      <c r="B726" s="23"/>
      <c r="C726" s="23"/>
      <c r="G726" s="24"/>
      <c r="S726" s="25"/>
    </row>
    <row r="727" spans="2:19" ht="15.75" customHeight="1" x14ac:dyDescent="0.3">
      <c r="B727" s="23"/>
      <c r="C727" s="23"/>
      <c r="G727" s="24"/>
      <c r="S727" s="25"/>
    </row>
    <row r="728" spans="2:19" ht="15.75" customHeight="1" x14ac:dyDescent="0.3">
      <c r="B728" s="23"/>
      <c r="C728" s="23"/>
      <c r="G728" s="24"/>
      <c r="S728" s="25"/>
    </row>
    <row r="729" spans="2:19" ht="15.75" customHeight="1" x14ac:dyDescent="0.3">
      <c r="B729" s="23"/>
      <c r="C729" s="23"/>
      <c r="G729" s="24"/>
      <c r="S729" s="25"/>
    </row>
    <row r="730" spans="2:19" ht="15.75" customHeight="1" x14ac:dyDescent="0.3">
      <c r="B730" s="23"/>
      <c r="C730" s="23"/>
      <c r="G730" s="24"/>
      <c r="S730" s="25"/>
    </row>
    <row r="731" spans="2:19" ht="15.75" customHeight="1" x14ac:dyDescent="0.3">
      <c r="B731" s="23"/>
      <c r="C731" s="23"/>
      <c r="G731" s="24"/>
      <c r="S731" s="25"/>
    </row>
    <row r="732" spans="2:19" ht="15.75" customHeight="1" x14ac:dyDescent="0.3">
      <c r="B732" s="23"/>
      <c r="C732" s="23"/>
      <c r="G732" s="24"/>
      <c r="S732" s="25"/>
    </row>
    <row r="733" spans="2:19" ht="15.75" customHeight="1" x14ac:dyDescent="0.3">
      <c r="B733" s="23"/>
      <c r="C733" s="23"/>
      <c r="G733" s="24"/>
      <c r="S733" s="25"/>
    </row>
    <row r="734" spans="2:19" ht="15.75" customHeight="1" x14ac:dyDescent="0.3">
      <c r="B734" s="23"/>
      <c r="C734" s="23"/>
      <c r="G734" s="24"/>
      <c r="S734" s="25"/>
    </row>
    <row r="735" spans="2:19" ht="15.75" customHeight="1" x14ac:dyDescent="0.3">
      <c r="B735" s="23"/>
      <c r="C735" s="23"/>
      <c r="G735" s="24"/>
      <c r="S735" s="25"/>
    </row>
    <row r="736" spans="2:19" ht="15.75" customHeight="1" x14ac:dyDescent="0.3">
      <c r="B736" s="23"/>
      <c r="C736" s="23"/>
      <c r="G736" s="24"/>
      <c r="S736" s="25"/>
    </row>
    <row r="737" spans="2:19" ht="15.75" customHeight="1" x14ac:dyDescent="0.3">
      <c r="B737" s="23"/>
      <c r="C737" s="23"/>
      <c r="G737" s="24"/>
      <c r="S737" s="25"/>
    </row>
    <row r="738" spans="2:19" ht="15.75" customHeight="1" x14ac:dyDescent="0.3">
      <c r="B738" s="23"/>
      <c r="C738" s="23"/>
      <c r="G738" s="24"/>
      <c r="S738" s="25"/>
    </row>
    <row r="739" spans="2:19" ht="15.75" customHeight="1" x14ac:dyDescent="0.3">
      <c r="B739" s="23"/>
      <c r="C739" s="23"/>
      <c r="G739" s="24"/>
      <c r="S739" s="25"/>
    </row>
    <row r="740" spans="2:19" ht="15.75" customHeight="1" x14ac:dyDescent="0.3">
      <c r="B740" s="23"/>
      <c r="C740" s="23"/>
      <c r="G740" s="24"/>
      <c r="S740" s="25"/>
    </row>
    <row r="741" spans="2:19" ht="15.75" customHeight="1" x14ac:dyDescent="0.3">
      <c r="B741" s="23"/>
      <c r="C741" s="23"/>
      <c r="G741" s="24"/>
      <c r="S741" s="25"/>
    </row>
    <row r="742" spans="2:19" ht="15.75" customHeight="1" x14ac:dyDescent="0.3">
      <c r="B742" s="23"/>
      <c r="C742" s="23"/>
      <c r="G742" s="24"/>
      <c r="S742" s="25"/>
    </row>
    <row r="743" spans="2:19" ht="15.75" customHeight="1" x14ac:dyDescent="0.3">
      <c r="B743" s="23"/>
      <c r="C743" s="23"/>
      <c r="G743" s="24"/>
      <c r="S743" s="25"/>
    </row>
    <row r="744" spans="2:19" ht="15.75" customHeight="1" x14ac:dyDescent="0.3">
      <c r="B744" s="23"/>
      <c r="C744" s="23"/>
      <c r="G744" s="24"/>
      <c r="S744" s="25"/>
    </row>
    <row r="745" spans="2:19" ht="15.75" customHeight="1" x14ac:dyDescent="0.3">
      <c r="B745" s="23"/>
      <c r="C745" s="23"/>
      <c r="G745" s="24"/>
      <c r="S745" s="25"/>
    </row>
    <row r="746" spans="2:19" ht="15.75" customHeight="1" x14ac:dyDescent="0.3">
      <c r="B746" s="23"/>
      <c r="C746" s="23"/>
      <c r="G746" s="24"/>
      <c r="S746" s="25"/>
    </row>
    <row r="747" spans="2:19" ht="15.75" customHeight="1" x14ac:dyDescent="0.3">
      <c r="B747" s="23"/>
      <c r="C747" s="23"/>
      <c r="G747" s="24"/>
      <c r="S747" s="25"/>
    </row>
    <row r="748" spans="2:19" ht="15.75" customHeight="1" x14ac:dyDescent="0.3">
      <c r="B748" s="23"/>
      <c r="C748" s="23"/>
      <c r="G748" s="24"/>
      <c r="S748" s="25"/>
    </row>
    <row r="749" spans="2:19" ht="15.75" customHeight="1" x14ac:dyDescent="0.3">
      <c r="B749" s="23"/>
      <c r="C749" s="23"/>
      <c r="G749" s="24"/>
      <c r="S749" s="25"/>
    </row>
    <row r="750" spans="2:19" ht="15.75" customHeight="1" x14ac:dyDescent="0.3">
      <c r="B750" s="23"/>
      <c r="C750" s="23"/>
      <c r="G750" s="24"/>
      <c r="S750" s="25"/>
    </row>
    <row r="751" spans="2:19" ht="15.75" customHeight="1" x14ac:dyDescent="0.3">
      <c r="B751" s="23"/>
      <c r="C751" s="23"/>
      <c r="G751" s="24"/>
      <c r="S751" s="25"/>
    </row>
    <row r="752" spans="2:19" ht="15.75" customHeight="1" x14ac:dyDescent="0.3">
      <c r="B752" s="23"/>
      <c r="C752" s="23"/>
      <c r="G752" s="24"/>
      <c r="S752" s="25"/>
    </row>
    <row r="753" spans="2:19" ht="15.75" customHeight="1" x14ac:dyDescent="0.3">
      <c r="B753" s="23"/>
      <c r="C753" s="23"/>
      <c r="G753" s="24"/>
      <c r="S753" s="25"/>
    </row>
    <row r="754" spans="2:19" ht="15.75" customHeight="1" x14ac:dyDescent="0.3">
      <c r="B754" s="23"/>
      <c r="C754" s="23"/>
      <c r="G754" s="24"/>
      <c r="S754" s="25"/>
    </row>
    <row r="755" spans="2:19" ht="15.75" customHeight="1" x14ac:dyDescent="0.3">
      <c r="B755" s="23"/>
      <c r="C755" s="23"/>
      <c r="G755" s="24"/>
      <c r="S755" s="25"/>
    </row>
    <row r="756" spans="2:19" ht="15.75" customHeight="1" x14ac:dyDescent="0.3">
      <c r="B756" s="23"/>
      <c r="C756" s="23"/>
      <c r="G756" s="24"/>
      <c r="S756" s="25"/>
    </row>
    <row r="757" spans="2:19" ht="15.75" customHeight="1" x14ac:dyDescent="0.3">
      <c r="B757" s="23"/>
      <c r="C757" s="23"/>
      <c r="G757" s="24"/>
      <c r="S757" s="25"/>
    </row>
    <row r="758" spans="2:19" ht="15.75" customHeight="1" x14ac:dyDescent="0.3">
      <c r="B758" s="23"/>
      <c r="C758" s="23"/>
      <c r="G758" s="24"/>
      <c r="S758" s="25"/>
    </row>
    <row r="759" spans="2:19" ht="15.75" customHeight="1" x14ac:dyDescent="0.3">
      <c r="B759" s="23"/>
      <c r="C759" s="23"/>
      <c r="G759" s="24"/>
      <c r="S759" s="25"/>
    </row>
    <row r="760" spans="2:19" ht="15.75" customHeight="1" x14ac:dyDescent="0.3">
      <c r="B760" s="23"/>
      <c r="C760" s="23"/>
      <c r="G760" s="24"/>
      <c r="S760" s="25"/>
    </row>
    <row r="761" spans="2:19" ht="15.75" customHeight="1" x14ac:dyDescent="0.3">
      <c r="B761" s="23"/>
      <c r="C761" s="23"/>
      <c r="G761" s="24"/>
      <c r="S761" s="25"/>
    </row>
    <row r="762" spans="2:19" ht="15.75" customHeight="1" x14ac:dyDescent="0.3">
      <c r="B762" s="23"/>
      <c r="C762" s="23"/>
      <c r="G762" s="24"/>
      <c r="S762" s="25"/>
    </row>
    <row r="763" spans="2:19" ht="15.75" customHeight="1" x14ac:dyDescent="0.3">
      <c r="B763" s="23"/>
      <c r="C763" s="23"/>
      <c r="G763" s="24"/>
      <c r="S763" s="25"/>
    </row>
    <row r="764" spans="2:19" ht="15.75" customHeight="1" x14ac:dyDescent="0.3">
      <c r="B764" s="23"/>
      <c r="C764" s="23"/>
      <c r="G764" s="24"/>
      <c r="S764" s="25"/>
    </row>
    <row r="765" spans="2:19" ht="15.75" customHeight="1" x14ac:dyDescent="0.3">
      <c r="B765" s="23"/>
      <c r="C765" s="23"/>
      <c r="G765" s="24"/>
      <c r="S765" s="25"/>
    </row>
    <row r="766" spans="2:19" ht="15.75" customHeight="1" x14ac:dyDescent="0.3">
      <c r="B766" s="23"/>
      <c r="C766" s="23"/>
      <c r="G766" s="24"/>
      <c r="S766" s="25"/>
    </row>
    <row r="767" spans="2:19" ht="15.75" customHeight="1" x14ac:dyDescent="0.3">
      <c r="B767" s="23"/>
      <c r="C767" s="23"/>
      <c r="G767" s="24"/>
      <c r="S767" s="25"/>
    </row>
    <row r="768" spans="2:19" ht="15.75" customHeight="1" x14ac:dyDescent="0.3">
      <c r="B768" s="23"/>
      <c r="C768" s="23"/>
      <c r="G768" s="24"/>
      <c r="S768" s="25"/>
    </row>
    <row r="769" spans="2:19" ht="15.75" customHeight="1" x14ac:dyDescent="0.3">
      <c r="B769" s="23"/>
      <c r="C769" s="23"/>
      <c r="G769" s="24"/>
      <c r="S769" s="25"/>
    </row>
    <row r="770" spans="2:19" ht="15.75" customHeight="1" x14ac:dyDescent="0.3">
      <c r="B770" s="23"/>
      <c r="C770" s="23"/>
      <c r="G770" s="24"/>
      <c r="S770" s="25"/>
    </row>
    <row r="771" spans="2:19" ht="15.75" customHeight="1" x14ac:dyDescent="0.3">
      <c r="B771" s="23"/>
      <c r="C771" s="23"/>
      <c r="G771" s="24"/>
      <c r="S771" s="25"/>
    </row>
    <row r="772" spans="2:19" ht="15.75" customHeight="1" x14ac:dyDescent="0.3">
      <c r="B772" s="23"/>
      <c r="C772" s="23"/>
      <c r="G772" s="24"/>
      <c r="S772" s="25"/>
    </row>
    <row r="773" spans="2:19" ht="15.75" customHeight="1" x14ac:dyDescent="0.3">
      <c r="B773" s="23"/>
      <c r="C773" s="23"/>
      <c r="G773" s="24"/>
      <c r="S773" s="25"/>
    </row>
    <row r="774" spans="2:19" ht="15.75" customHeight="1" x14ac:dyDescent="0.3">
      <c r="B774" s="23"/>
      <c r="C774" s="23"/>
      <c r="G774" s="24"/>
      <c r="S774" s="25"/>
    </row>
    <row r="775" spans="2:19" ht="15.75" customHeight="1" x14ac:dyDescent="0.3">
      <c r="B775" s="23"/>
      <c r="C775" s="23"/>
      <c r="G775" s="24"/>
      <c r="S775" s="25"/>
    </row>
    <row r="776" spans="2:19" ht="15.75" customHeight="1" x14ac:dyDescent="0.3">
      <c r="B776" s="23"/>
      <c r="C776" s="23"/>
      <c r="G776" s="24"/>
      <c r="S776" s="25"/>
    </row>
    <row r="777" spans="2:19" ht="15.75" customHeight="1" x14ac:dyDescent="0.3">
      <c r="B777" s="23"/>
      <c r="C777" s="23"/>
      <c r="G777" s="24"/>
      <c r="S777" s="25"/>
    </row>
    <row r="778" spans="2:19" ht="15.75" customHeight="1" x14ac:dyDescent="0.3">
      <c r="B778" s="23"/>
      <c r="C778" s="23"/>
      <c r="G778" s="24"/>
      <c r="S778" s="25"/>
    </row>
    <row r="779" spans="2:19" ht="15.75" customHeight="1" x14ac:dyDescent="0.3">
      <c r="B779" s="23"/>
      <c r="C779" s="23"/>
      <c r="G779" s="24"/>
      <c r="S779" s="25"/>
    </row>
    <row r="780" spans="2:19" ht="15.75" customHeight="1" x14ac:dyDescent="0.3">
      <c r="B780" s="23"/>
      <c r="C780" s="23"/>
      <c r="G780" s="24"/>
      <c r="S780" s="25"/>
    </row>
    <row r="781" spans="2:19" ht="15.75" customHeight="1" x14ac:dyDescent="0.3">
      <c r="B781" s="23"/>
      <c r="C781" s="23"/>
      <c r="G781" s="24"/>
      <c r="S781" s="25"/>
    </row>
    <row r="782" spans="2:19" ht="15.75" customHeight="1" x14ac:dyDescent="0.3">
      <c r="B782" s="23"/>
      <c r="C782" s="23"/>
      <c r="G782" s="24"/>
      <c r="S782" s="25"/>
    </row>
    <row r="783" spans="2:19" ht="15.75" customHeight="1" x14ac:dyDescent="0.3">
      <c r="B783" s="23"/>
      <c r="C783" s="23"/>
      <c r="G783" s="24"/>
      <c r="S783" s="25"/>
    </row>
    <row r="784" spans="2:19" ht="15.75" customHeight="1" x14ac:dyDescent="0.3">
      <c r="B784" s="23"/>
      <c r="C784" s="23"/>
      <c r="G784" s="24"/>
      <c r="S784" s="25"/>
    </row>
    <row r="785" spans="2:19" ht="15.75" customHeight="1" x14ac:dyDescent="0.3">
      <c r="B785" s="23"/>
      <c r="C785" s="23"/>
      <c r="G785" s="24"/>
      <c r="S785" s="25"/>
    </row>
    <row r="786" spans="2:19" ht="15.75" customHeight="1" x14ac:dyDescent="0.3">
      <c r="B786" s="23"/>
      <c r="C786" s="23"/>
      <c r="G786" s="24"/>
      <c r="S786" s="25"/>
    </row>
    <row r="787" spans="2:19" ht="15.75" customHeight="1" x14ac:dyDescent="0.3">
      <c r="B787" s="23"/>
      <c r="C787" s="23"/>
      <c r="G787" s="24"/>
      <c r="S787" s="25"/>
    </row>
    <row r="788" spans="2:19" ht="15.75" customHeight="1" x14ac:dyDescent="0.3">
      <c r="B788" s="23"/>
      <c r="C788" s="23"/>
      <c r="G788" s="24"/>
      <c r="S788" s="25"/>
    </row>
    <row r="789" spans="2:19" ht="15.75" customHeight="1" x14ac:dyDescent="0.3">
      <c r="B789" s="23"/>
      <c r="C789" s="23"/>
      <c r="G789" s="24"/>
      <c r="S789" s="25"/>
    </row>
    <row r="790" spans="2:19" ht="15.75" customHeight="1" x14ac:dyDescent="0.3">
      <c r="B790" s="23"/>
      <c r="C790" s="23"/>
      <c r="G790" s="24"/>
      <c r="S790" s="25"/>
    </row>
    <row r="791" spans="2:19" ht="15.75" customHeight="1" x14ac:dyDescent="0.3">
      <c r="B791" s="23"/>
      <c r="C791" s="23"/>
      <c r="G791" s="24"/>
      <c r="S791" s="25"/>
    </row>
    <row r="792" spans="2:19" ht="15.75" customHeight="1" x14ac:dyDescent="0.3">
      <c r="B792" s="23"/>
      <c r="C792" s="23"/>
      <c r="G792" s="24"/>
      <c r="S792" s="25"/>
    </row>
    <row r="793" spans="2:19" ht="15.75" customHeight="1" x14ac:dyDescent="0.3">
      <c r="B793" s="23"/>
      <c r="C793" s="23"/>
      <c r="G793" s="24"/>
      <c r="S793" s="25"/>
    </row>
    <row r="794" spans="2:19" ht="15.75" customHeight="1" x14ac:dyDescent="0.3">
      <c r="B794" s="23"/>
      <c r="C794" s="23"/>
      <c r="G794" s="24"/>
      <c r="S794" s="25"/>
    </row>
    <row r="795" spans="2:19" ht="15.75" customHeight="1" x14ac:dyDescent="0.3">
      <c r="B795" s="23"/>
      <c r="C795" s="23"/>
      <c r="G795" s="24"/>
      <c r="S795" s="25"/>
    </row>
    <row r="796" spans="2:19" ht="15.75" customHeight="1" x14ac:dyDescent="0.3">
      <c r="B796" s="23"/>
      <c r="C796" s="23"/>
      <c r="G796" s="24"/>
      <c r="S796" s="25"/>
    </row>
    <row r="797" spans="2:19" ht="15.75" customHeight="1" x14ac:dyDescent="0.3">
      <c r="B797" s="23"/>
      <c r="C797" s="23"/>
      <c r="G797" s="24"/>
      <c r="S797" s="25"/>
    </row>
    <row r="798" spans="2:19" ht="15.75" customHeight="1" x14ac:dyDescent="0.3">
      <c r="B798" s="23"/>
      <c r="C798" s="23"/>
      <c r="G798" s="24"/>
      <c r="S798" s="25"/>
    </row>
    <row r="799" spans="2:19" ht="15.75" customHeight="1" x14ac:dyDescent="0.3">
      <c r="B799" s="23"/>
      <c r="C799" s="23"/>
      <c r="G799" s="24"/>
      <c r="S799" s="25"/>
    </row>
    <row r="800" spans="2:19" ht="15.75" customHeight="1" x14ac:dyDescent="0.3">
      <c r="B800" s="23"/>
      <c r="C800" s="23"/>
      <c r="G800" s="24"/>
      <c r="S800" s="25"/>
    </row>
    <row r="801" spans="2:19" ht="15.75" customHeight="1" x14ac:dyDescent="0.3">
      <c r="B801" s="23"/>
      <c r="C801" s="23"/>
      <c r="G801" s="24"/>
      <c r="S801" s="25"/>
    </row>
    <row r="802" spans="2:19" ht="15.75" customHeight="1" x14ac:dyDescent="0.3">
      <c r="B802" s="23"/>
      <c r="C802" s="23"/>
      <c r="G802" s="24"/>
      <c r="S802" s="25"/>
    </row>
    <row r="803" spans="2:19" ht="15.75" customHeight="1" x14ac:dyDescent="0.3">
      <c r="B803" s="23"/>
      <c r="C803" s="23"/>
      <c r="G803" s="24"/>
      <c r="S803" s="25"/>
    </row>
    <row r="804" spans="2:19" ht="15.75" customHeight="1" x14ac:dyDescent="0.3">
      <c r="B804" s="23"/>
      <c r="C804" s="23"/>
      <c r="G804" s="24"/>
      <c r="S804" s="25"/>
    </row>
    <row r="805" spans="2:19" ht="15.75" customHeight="1" x14ac:dyDescent="0.3">
      <c r="B805" s="23"/>
      <c r="C805" s="23"/>
      <c r="G805" s="24"/>
      <c r="S805" s="25"/>
    </row>
    <row r="806" spans="2:19" ht="15.75" customHeight="1" x14ac:dyDescent="0.3">
      <c r="B806" s="23"/>
      <c r="C806" s="23"/>
      <c r="G806" s="24"/>
      <c r="S806" s="25"/>
    </row>
    <row r="807" spans="2:19" ht="15.75" customHeight="1" x14ac:dyDescent="0.3">
      <c r="B807" s="23"/>
      <c r="C807" s="23"/>
      <c r="G807" s="24"/>
      <c r="S807" s="25"/>
    </row>
    <row r="808" spans="2:19" ht="15.75" customHeight="1" x14ac:dyDescent="0.3">
      <c r="B808" s="23"/>
      <c r="C808" s="23"/>
      <c r="G808" s="24"/>
      <c r="S808" s="25"/>
    </row>
    <row r="809" spans="2:19" ht="15.75" customHeight="1" x14ac:dyDescent="0.3">
      <c r="B809" s="23"/>
      <c r="C809" s="23"/>
      <c r="G809" s="24"/>
      <c r="S809" s="25"/>
    </row>
    <row r="810" spans="2:19" ht="15.75" customHeight="1" x14ac:dyDescent="0.3">
      <c r="B810" s="23"/>
      <c r="C810" s="23"/>
      <c r="G810" s="24"/>
      <c r="S810" s="25"/>
    </row>
    <row r="811" spans="2:19" ht="15.75" customHeight="1" x14ac:dyDescent="0.3">
      <c r="B811" s="23"/>
      <c r="C811" s="23"/>
      <c r="G811" s="24"/>
      <c r="S811" s="25"/>
    </row>
    <row r="812" spans="2:19" ht="15.75" customHeight="1" x14ac:dyDescent="0.3">
      <c r="B812" s="23"/>
      <c r="C812" s="23"/>
      <c r="G812" s="24"/>
      <c r="S812" s="25"/>
    </row>
    <row r="813" spans="2:19" ht="15.75" customHeight="1" x14ac:dyDescent="0.3">
      <c r="B813" s="23"/>
      <c r="C813" s="23"/>
      <c r="G813" s="24"/>
      <c r="S813" s="25"/>
    </row>
    <row r="814" spans="2:19" ht="15.75" customHeight="1" x14ac:dyDescent="0.3">
      <c r="B814" s="23"/>
      <c r="C814" s="23"/>
      <c r="G814" s="24"/>
      <c r="S814" s="25"/>
    </row>
    <row r="815" spans="2:19" ht="15.75" customHeight="1" x14ac:dyDescent="0.3">
      <c r="B815" s="23"/>
      <c r="C815" s="23"/>
      <c r="G815" s="24"/>
      <c r="S815" s="25"/>
    </row>
    <row r="816" spans="2:19" ht="15.75" customHeight="1" x14ac:dyDescent="0.3">
      <c r="B816" s="23"/>
      <c r="C816" s="23"/>
      <c r="G816" s="24"/>
      <c r="S816" s="25"/>
    </row>
    <row r="817" spans="2:19" ht="15.75" customHeight="1" x14ac:dyDescent="0.3">
      <c r="B817" s="23"/>
      <c r="C817" s="23"/>
      <c r="G817" s="24"/>
      <c r="S817" s="25"/>
    </row>
    <row r="818" spans="2:19" ht="15.75" customHeight="1" x14ac:dyDescent="0.3">
      <c r="B818" s="23"/>
      <c r="C818" s="23"/>
      <c r="G818" s="24"/>
      <c r="S818" s="25"/>
    </row>
    <row r="819" spans="2:19" ht="15.75" customHeight="1" x14ac:dyDescent="0.3">
      <c r="B819" s="23"/>
      <c r="C819" s="23"/>
      <c r="G819" s="24"/>
      <c r="S819" s="25"/>
    </row>
    <row r="820" spans="2:19" ht="15.75" customHeight="1" x14ac:dyDescent="0.3">
      <c r="B820" s="23"/>
      <c r="C820" s="23"/>
      <c r="G820" s="24"/>
      <c r="S820" s="25"/>
    </row>
    <row r="821" spans="2:19" ht="15.75" customHeight="1" x14ac:dyDescent="0.3">
      <c r="B821" s="23"/>
      <c r="C821" s="23"/>
      <c r="G821" s="24"/>
      <c r="S821" s="25"/>
    </row>
    <row r="822" spans="2:19" ht="15.75" customHeight="1" x14ac:dyDescent="0.3">
      <c r="B822" s="23"/>
      <c r="C822" s="23"/>
      <c r="G822" s="24"/>
      <c r="S822" s="25"/>
    </row>
    <row r="823" spans="2:19" ht="15.75" customHeight="1" x14ac:dyDescent="0.3">
      <c r="B823" s="23"/>
      <c r="C823" s="23"/>
      <c r="G823" s="24"/>
      <c r="S823" s="25"/>
    </row>
    <row r="824" spans="2:19" ht="15.75" customHeight="1" x14ac:dyDescent="0.3">
      <c r="B824" s="23"/>
      <c r="C824" s="23"/>
      <c r="G824" s="24"/>
      <c r="S824" s="25"/>
    </row>
    <row r="825" spans="2:19" ht="15.75" customHeight="1" x14ac:dyDescent="0.3">
      <c r="B825" s="23"/>
      <c r="C825" s="23"/>
      <c r="G825" s="24"/>
      <c r="S825" s="25"/>
    </row>
    <row r="826" spans="2:19" ht="15.75" customHeight="1" x14ac:dyDescent="0.3">
      <c r="B826" s="23"/>
      <c r="C826" s="23"/>
      <c r="G826" s="24"/>
      <c r="S826" s="25"/>
    </row>
    <row r="827" spans="2:19" ht="15.75" customHeight="1" x14ac:dyDescent="0.3">
      <c r="B827" s="23"/>
      <c r="C827" s="23"/>
      <c r="G827" s="24"/>
      <c r="S827" s="25"/>
    </row>
    <row r="828" spans="2:19" ht="15.75" customHeight="1" x14ac:dyDescent="0.3">
      <c r="B828" s="23"/>
      <c r="C828" s="23"/>
      <c r="G828" s="24"/>
      <c r="S828" s="25"/>
    </row>
    <row r="829" spans="2:19" ht="15.75" customHeight="1" x14ac:dyDescent="0.3">
      <c r="B829" s="23"/>
      <c r="C829" s="23"/>
      <c r="G829" s="24"/>
      <c r="S829" s="25"/>
    </row>
    <row r="830" spans="2:19" ht="15.75" customHeight="1" x14ac:dyDescent="0.3">
      <c r="B830" s="23"/>
      <c r="C830" s="23"/>
      <c r="G830" s="24"/>
      <c r="S830" s="25"/>
    </row>
    <row r="831" spans="2:19" ht="15.75" customHeight="1" x14ac:dyDescent="0.3">
      <c r="B831" s="23"/>
      <c r="C831" s="23"/>
      <c r="G831" s="24"/>
      <c r="S831" s="25"/>
    </row>
    <row r="832" spans="2:19" ht="15.75" customHeight="1" x14ac:dyDescent="0.3">
      <c r="B832" s="23"/>
      <c r="C832" s="23"/>
      <c r="G832" s="24"/>
      <c r="S832" s="25"/>
    </row>
    <row r="833" spans="2:19" ht="15.75" customHeight="1" x14ac:dyDescent="0.3">
      <c r="B833" s="23"/>
      <c r="C833" s="23"/>
      <c r="G833" s="24"/>
      <c r="S833" s="25"/>
    </row>
    <row r="834" spans="2:19" ht="15.75" customHeight="1" x14ac:dyDescent="0.3">
      <c r="B834" s="23"/>
      <c r="C834" s="23"/>
      <c r="G834" s="24"/>
      <c r="S834" s="25"/>
    </row>
    <row r="835" spans="2:19" ht="15.75" customHeight="1" x14ac:dyDescent="0.3">
      <c r="B835" s="23"/>
      <c r="C835" s="23"/>
      <c r="G835" s="24"/>
      <c r="S835" s="25"/>
    </row>
    <row r="836" spans="2:19" ht="15.75" customHeight="1" x14ac:dyDescent="0.3">
      <c r="B836" s="23"/>
      <c r="C836" s="23"/>
      <c r="G836" s="24"/>
      <c r="S836" s="25"/>
    </row>
    <row r="837" spans="2:19" ht="15.75" customHeight="1" x14ac:dyDescent="0.3">
      <c r="B837" s="23"/>
      <c r="C837" s="23"/>
      <c r="G837" s="24"/>
      <c r="S837" s="25"/>
    </row>
    <row r="838" spans="2:19" ht="15.75" customHeight="1" x14ac:dyDescent="0.3">
      <c r="B838" s="23"/>
      <c r="C838" s="23"/>
      <c r="G838" s="24"/>
      <c r="S838" s="25"/>
    </row>
    <row r="839" spans="2:19" ht="15.75" customHeight="1" x14ac:dyDescent="0.3">
      <c r="B839" s="23"/>
      <c r="C839" s="23"/>
      <c r="G839" s="24"/>
      <c r="S839" s="25"/>
    </row>
    <row r="840" spans="2:19" ht="15.75" customHeight="1" x14ac:dyDescent="0.3">
      <c r="B840" s="23"/>
      <c r="C840" s="23"/>
      <c r="G840" s="24"/>
      <c r="S840" s="25"/>
    </row>
    <row r="841" spans="2:19" ht="15.75" customHeight="1" x14ac:dyDescent="0.3">
      <c r="B841" s="23"/>
      <c r="C841" s="23"/>
      <c r="G841" s="24"/>
      <c r="S841" s="25"/>
    </row>
    <row r="842" spans="2:19" ht="15.75" customHeight="1" x14ac:dyDescent="0.3">
      <c r="B842" s="23"/>
      <c r="C842" s="23"/>
      <c r="G842" s="24"/>
      <c r="S842" s="25"/>
    </row>
    <row r="843" spans="2:19" ht="15.75" customHeight="1" x14ac:dyDescent="0.3">
      <c r="B843" s="23"/>
      <c r="C843" s="23"/>
      <c r="G843" s="24"/>
      <c r="S843" s="25"/>
    </row>
    <row r="844" spans="2:19" ht="15.75" customHeight="1" x14ac:dyDescent="0.3">
      <c r="B844" s="23"/>
      <c r="C844" s="23"/>
      <c r="G844" s="24"/>
      <c r="S844" s="25"/>
    </row>
    <row r="845" spans="2:19" ht="15.75" customHeight="1" x14ac:dyDescent="0.3">
      <c r="B845" s="23"/>
      <c r="C845" s="23"/>
      <c r="G845" s="24"/>
      <c r="S845" s="25"/>
    </row>
    <row r="846" spans="2:19" ht="15.75" customHeight="1" x14ac:dyDescent="0.3">
      <c r="B846" s="23"/>
      <c r="C846" s="23"/>
      <c r="G846" s="24"/>
      <c r="S846" s="25"/>
    </row>
    <row r="847" spans="2:19" ht="15.75" customHeight="1" x14ac:dyDescent="0.3">
      <c r="B847" s="23"/>
      <c r="C847" s="23"/>
      <c r="G847" s="24"/>
      <c r="S847" s="25"/>
    </row>
    <row r="848" spans="2:19" ht="15.75" customHeight="1" x14ac:dyDescent="0.3">
      <c r="B848" s="23"/>
      <c r="C848" s="23"/>
      <c r="G848" s="24"/>
      <c r="S848" s="25"/>
    </row>
    <row r="849" spans="2:19" ht="15.75" customHeight="1" x14ac:dyDescent="0.3">
      <c r="B849" s="23"/>
      <c r="C849" s="23"/>
      <c r="G849" s="24"/>
      <c r="S849" s="25"/>
    </row>
    <row r="850" spans="2:19" ht="15.75" customHeight="1" x14ac:dyDescent="0.3">
      <c r="B850" s="23"/>
      <c r="C850" s="23"/>
      <c r="G850" s="24"/>
      <c r="S850" s="25"/>
    </row>
    <row r="851" spans="2:19" ht="15.75" customHeight="1" x14ac:dyDescent="0.3">
      <c r="B851" s="23"/>
      <c r="C851" s="23"/>
      <c r="G851" s="24"/>
      <c r="S851" s="25"/>
    </row>
    <row r="852" spans="2:19" ht="15.75" customHeight="1" x14ac:dyDescent="0.3">
      <c r="B852" s="23"/>
      <c r="C852" s="23"/>
      <c r="G852" s="24"/>
      <c r="S852" s="25"/>
    </row>
    <row r="853" spans="2:19" ht="15.75" customHeight="1" x14ac:dyDescent="0.3">
      <c r="B853" s="23"/>
      <c r="C853" s="23"/>
      <c r="G853" s="24"/>
      <c r="S853" s="25"/>
    </row>
    <row r="854" spans="2:19" ht="15.75" customHeight="1" x14ac:dyDescent="0.3">
      <c r="B854" s="23"/>
      <c r="C854" s="23"/>
      <c r="G854" s="24"/>
      <c r="S854" s="25"/>
    </row>
    <row r="855" spans="2:19" ht="15.75" customHeight="1" x14ac:dyDescent="0.3">
      <c r="B855" s="23"/>
      <c r="C855" s="23"/>
      <c r="G855" s="24"/>
      <c r="S855" s="25"/>
    </row>
    <row r="856" spans="2:19" ht="15.75" customHeight="1" x14ac:dyDescent="0.3">
      <c r="B856" s="23"/>
      <c r="C856" s="23"/>
      <c r="G856" s="24"/>
      <c r="S856" s="25"/>
    </row>
    <row r="857" spans="2:19" ht="15.75" customHeight="1" x14ac:dyDescent="0.3">
      <c r="B857" s="23"/>
      <c r="C857" s="23"/>
      <c r="G857" s="24"/>
      <c r="S857" s="25"/>
    </row>
    <row r="858" spans="2:19" ht="15.75" customHeight="1" x14ac:dyDescent="0.3">
      <c r="B858" s="23"/>
      <c r="C858" s="23"/>
      <c r="G858" s="24"/>
      <c r="S858" s="25"/>
    </row>
    <row r="859" spans="2:19" ht="15.75" customHeight="1" x14ac:dyDescent="0.3">
      <c r="B859" s="23"/>
      <c r="C859" s="23"/>
      <c r="G859" s="24"/>
      <c r="S859" s="25"/>
    </row>
    <row r="860" spans="2:19" ht="15.75" customHeight="1" x14ac:dyDescent="0.3">
      <c r="B860" s="23"/>
      <c r="C860" s="23"/>
      <c r="G860" s="24"/>
      <c r="S860" s="25"/>
    </row>
    <row r="861" spans="2:19" ht="15.75" customHeight="1" x14ac:dyDescent="0.3">
      <c r="B861" s="23"/>
      <c r="C861" s="23"/>
      <c r="G861" s="24"/>
      <c r="S861" s="25"/>
    </row>
    <row r="862" spans="2:19" ht="15.75" customHeight="1" x14ac:dyDescent="0.3">
      <c r="B862" s="23"/>
      <c r="C862" s="23"/>
      <c r="G862" s="24"/>
      <c r="S862" s="25"/>
    </row>
    <row r="863" spans="2:19" ht="15.75" customHeight="1" x14ac:dyDescent="0.3">
      <c r="B863" s="23"/>
      <c r="C863" s="23"/>
      <c r="G863" s="24"/>
      <c r="S863" s="25"/>
    </row>
    <row r="864" spans="2:19" ht="15.75" customHeight="1" x14ac:dyDescent="0.3">
      <c r="B864" s="23"/>
      <c r="C864" s="23"/>
      <c r="G864" s="24"/>
      <c r="S864" s="25"/>
    </row>
    <row r="865" spans="2:19" ht="15.75" customHeight="1" x14ac:dyDescent="0.3">
      <c r="B865" s="23"/>
      <c r="C865" s="23"/>
      <c r="G865" s="24"/>
      <c r="S865" s="25"/>
    </row>
    <row r="866" spans="2:19" ht="15.75" customHeight="1" x14ac:dyDescent="0.3">
      <c r="B866" s="23"/>
      <c r="C866" s="23"/>
      <c r="G866" s="24"/>
      <c r="S866" s="25"/>
    </row>
    <row r="867" spans="2:19" ht="15.75" customHeight="1" x14ac:dyDescent="0.3">
      <c r="B867" s="23"/>
      <c r="C867" s="23"/>
      <c r="G867" s="24"/>
      <c r="S867" s="25"/>
    </row>
    <row r="868" spans="2:19" ht="15.75" customHeight="1" x14ac:dyDescent="0.3">
      <c r="B868" s="23"/>
      <c r="C868" s="23"/>
      <c r="G868" s="24"/>
      <c r="S868" s="25"/>
    </row>
    <row r="869" spans="2:19" ht="15.75" customHeight="1" x14ac:dyDescent="0.3">
      <c r="B869" s="23"/>
      <c r="C869" s="23"/>
      <c r="G869" s="24"/>
      <c r="S869" s="25"/>
    </row>
    <row r="870" spans="2:19" ht="15.75" customHeight="1" x14ac:dyDescent="0.3">
      <c r="B870" s="23"/>
      <c r="C870" s="23"/>
      <c r="G870" s="24"/>
      <c r="S870" s="25"/>
    </row>
    <row r="871" spans="2:19" ht="15.75" customHeight="1" x14ac:dyDescent="0.3">
      <c r="B871" s="23"/>
      <c r="C871" s="23"/>
      <c r="G871" s="24"/>
      <c r="S871" s="25"/>
    </row>
    <row r="872" spans="2:19" ht="15.75" customHeight="1" x14ac:dyDescent="0.3">
      <c r="B872" s="23"/>
      <c r="C872" s="23"/>
      <c r="G872" s="24"/>
      <c r="S872" s="25"/>
    </row>
    <row r="873" spans="2:19" ht="15.75" customHeight="1" x14ac:dyDescent="0.3">
      <c r="B873" s="23"/>
      <c r="C873" s="23"/>
      <c r="G873" s="24"/>
      <c r="S873" s="25"/>
    </row>
    <row r="874" spans="2:19" ht="15.75" customHeight="1" x14ac:dyDescent="0.3">
      <c r="B874" s="23"/>
      <c r="C874" s="23"/>
      <c r="G874" s="24"/>
      <c r="S874" s="25"/>
    </row>
    <row r="875" spans="2:19" ht="15.75" customHeight="1" x14ac:dyDescent="0.3">
      <c r="B875" s="23"/>
      <c r="C875" s="23"/>
      <c r="G875" s="24"/>
      <c r="S875" s="25"/>
    </row>
    <row r="876" spans="2:19" ht="15.75" customHeight="1" x14ac:dyDescent="0.3">
      <c r="B876" s="23"/>
      <c r="C876" s="23"/>
      <c r="G876" s="24"/>
      <c r="S876" s="25"/>
    </row>
    <row r="877" spans="2:19" ht="15.75" customHeight="1" x14ac:dyDescent="0.3">
      <c r="B877" s="23"/>
      <c r="C877" s="23"/>
      <c r="G877" s="24"/>
      <c r="S877" s="25"/>
    </row>
    <row r="878" spans="2:19" ht="15.75" customHeight="1" x14ac:dyDescent="0.3">
      <c r="B878" s="23"/>
      <c r="C878" s="23"/>
      <c r="G878" s="24"/>
      <c r="S878" s="25"/>
    </row>
    <row r="879" spans="2:19" ht="15.75" customHeight="1" x14ac:dyDescent="0.3">
      <c r="B879" s="23"/>
      <c r="C879" s="23"/>
      <c r="G879" s="24"/>
      <c r="S879" s="25"/>
    </row>
    <row r="880" spans="2:19" ht="15.75" customHeight="1" x14ac:dyDescent="0.3">
      <c r="B880" s="23"/>
      <c r="C880" s="23"/>
      <c r="G880" s="24"/>
      <c r="S880" s="25"/>
    </row>
    <row r="881" spans="2:19" ht="15.75" customHeight="1" x14ac:dyDescent="0.3">
      <c r="B881" s="23"/>
      <c r="C881" s="23"/>
      <c r="G881" s="24"/>
      <c r="S881" s="25"/>
    </row>
    <row r="882" spans="2:19" ht="15.75" customHeight="1" x14ac:dyDescent="0.3">
      <c r="B882" s="23"/>
      <c r="C882" s="23"/>
      <c r="G882" s="24"/>
      <c r="S882" s="25"/>
    </row>
    <row r="883" spans="2:19" ht="15.75" customHeight="1" x14ac:dyDescent="0.3">
      <c r="B883" s="23"/>
      <c r="C883" s="23"/>
      <c r="G883" s="24"/>
      <c r="S883" s="25"/>
    </row>
    <row r="884" spans="2:19" ht="15.75" customHeight="1" x14ac:dyDescent="0.3">
      <c r="B884" s="23"/>
      <c r="C884" s="23"/>
      <c r="G884" s="24"/>
      <c r="S884" s="25"/>
    </row>
    <row r="885" spans="2:19" ht="15.75" customHeight="1" x14ac:dyDescent="0.3">
      <c r="B885" s="23"/>
      <c r="C885" s="23"/>
      <c r="G885" s="24"/>
      <c r="S885" s="25"/>
    </row>
    <row r="886" spans="2:19" ht="15.75" customHeight="1" x14ac:dyDescent="0.3">
      <c r="B886" s="23"/>
      <c r="C886" s="23"/>
      <c r="G886" s="24"/>
      <c r="S886" s="25"/>
    </row>
    <row r="887" spans="2:19" ht="15.75" customHeight="1" x14ac:dyDescent="0.3">
      <c r="B887" s="23"/>
      <c r="C887" s="23"/>
      <c r="G887" s="24"/>
      <c r="S887" s="25"/>
    </row>
    <row r="888" spans="2:19" ht="15.75" customHeight="1" x14ac:dyDescent="0.3">
      <c r="B888" s="23"/>
      <c r="C888" s="23"/>
      <c r="G888" s="24"/>
      <c r="S888" s="25"/>
    </row>
    <row r="889" spans="2:19" ht="15.75" customHeight="1" x14ac:dyDescent="0.3">
      <c r="B889" s="23"/>
      <c r="C889" s="23"/>
      <c r="G889" s="24"/>
      <c r="S889" s="25"/>
    </row>
    <row r="890" spans="2:19" ht="15.75" customHeight="1" x14ac:dyDescent="0.3">
      <c r="B890" s="23"/>
      <c r="C890" s="23"/>
      <c r="G890" s="24"/>
      <c r="S890" s="25"/>
    </row>
    <row r="891" spans="2:19" ht="15.75" customHeight="1" x14ac:dyDescent="0.3">
      <c r="B891" s="23"/>
      <c r="C891" s="23"/>
      <c r="G891" s="24"/>
      <c r="S891" s="25"/>
    </row>
    <row r="892" spans="2:19" ht="15.75" customHeight="1" x14ac:dyDescent="0.3">
      <c r="B892" s="23"/>
      <c r="C892" s="23"/>
      <c r="G892" s="24"/>
      <c r="S892" s="25"/>
    </row>
    <row r="893" spans="2:19" ht="15.75" customHeight="1" x14ac:dyDescent="0.3">
      <c r="B893" s="23"/>
      <c r="C893" s="23"/>
      <c r="G893" s="24"/>
      <c r="S893" s="25"/>
    </row>
    <row r="894" spans="2:19" ht="15.75" customHeight="1" x14ac:dyDescent="0.3">
      <c r="B894" s="23"/>
      <c r="C894" s="23"/>
      <c r="G894" s="24"/>
      <c r="S894" s="25"/>
    </row>
    <row r="895" spans="2:19" ht="15.75" customHeight="1" x14ac:dyDescent="0.3">
      <c r="B895" s="23"/>
      <c r="C895" s="23"/>
      <c r="G895" s="24"/>
      <c r="S895" s="25"/>
    </row>
    <row r="896" spans="2:19" ht="15.75" customHeight="1" x14ac:dyDescent="0.3">
      <c r="B896" s="23"/>
      <c r="C896" s="23"/>
      <c r="G896" s="24"/>
      <c r="S896" s="25"/>
    </row>
    <row r="897" spans="2:19" ht="15.75" customHeight="1" x14ac:dyDescent="0.3">
      <c r="B897" s="23"/>
      <c r="C897" s="23"/>
      <c r="G897" s="24"/>
      <c r="S897" s="25"/>
    </row>
    <row r="898" spans="2:19" ht="15.75" customHeight="1" x14ac:dyDescent="0.3">
      <c r="B898" s="23"/>
      <c r="C898" s="23"/>
      <c r="G898" s="24"/>
      <c r="S898" s="25"/>
    </row>
    <row r="899" spans="2:19" ht="15.75" customHeight="1" x14ac:dyDescent="0.3">
      <c r="B899" s="23"/>
      <c r="C899" s="23"/>
      <c r="G899" s="24"/>
      <c r="S899" s="25"/>
    </row>
    <row r="900" spans="2:19" ht="15.75" customHeight="1" x14ac:dyDescent="0.3">
      <c r="B900" s="23"/>
      <c r="C900" s="23"/>
      <c r="G900" s="24"/>
      <c r="S900" s="25"/>
    </row>
    <row r="901" spans="2:19" ht="15.75" customHeight="1" x14ac:dyDescent="0.3">
      <c r="B901" s="23"/>
      <c r="C901" s="23"/>
      <c r="G901" s="24"/>
      <c r="S901" s="25"/>
    </row>
    <row r="902" spans="2:19" ht="15.75" customHeight="1" x14ac:dyDescent="0.3">
      <c r="B902" s="23"/>
      <c r="C902" s="23"/>
      <c r="G902" s="24"/>
      <c r="S902" s="25"/>
    </row>
    <row r="903" spans="2:19" ht="15.75" customHeight="1" x14ac:dyDescent="0.3">
      <c r="B903" s="23"/>
      <c r="C903" s="23"/>
      <c r="G903" s="24"/>
      <c r="S903" s="25"/>
    </row>
    <row r="904" spans="2:19" ht="15.75" customHeight="1" x14ac:dyDescent="0.3">
      <c r="B904" s="23"/>
      <c r="C904" s="23"/>
      <c r="G904" s="24"/>
      <c r="S904" s="25"/>
    </row>
    <row r="905" spans="2:19" ht="15.75" customHeight="1" x14ac:dyDescent="0.3">
      <c r="B905" s="23"/>
      <c r="C905" s="23"/>
      <c r="G905" s="24"/>
      <c r="S905" s="25"/>
    </row>
    <row r="906" spans="2:19" ht="15.75" customHeight="1" x14ac:dyDescent="0.3">
      <c r="B906" s="23"/>
      <c r="C906" s="23"/>
      <c r="G906" s="24"/>
      <c r="S906" s="25"/>
    </row>
    <row r="907" spans="2:19" ht="15.75" customHeight="1" x14ac:dyDescent="0.3">
      <c r="B907" s="23"/>
      <c r="C907" s="23"/>
      <c r="G907" s="24"/>
      <c r="S907" s="25"/>
    </row>
    <row r="908" spans="2:19" ht="15.75" customHeight="1" x14ac:dyDescent="0.3">
      <c r="B908" s="23"/>
      <c r="C908" s="23"/>
      <c r="G908" s="24"/>
      <c r="S908" s="25"/>
    </row>
    <row r="909" spans="2:19" ht="15.75" customHeight="1" x14ac:dyDescent="0.3">
      <c r="B909" s="23"/>
      <c r="C909" s="23"/>
      <c r="G909" s="24"/>
      <c r="S909" s="25"/>
    </row>
    <row r="910" spans="2:19" ht="15.75" customHeight="1" x14ac:dyDescent="0.3">
      <c r="B910" s="23"/>
      <c r="C910" s="23"/>
      <c r="G910" s="24"/>
      <c r="S910" s="25"/>
    </row>
    <row r="911" spans="2:19" ht="15.75" customHeight="1" x14ac:dyDescent="0.3">
      <c r="B911" s="23"/>
      <c r="C911" s="23"/>
      <c r="G911" s="24"/>
      <c r="S911" s="25"/>
    </row>
    <row r="912" spans="2:19" ht="15.75" customHeight="1" x14ac:dyDescent="0.3">
      <c r="B912" s="23"/>
      <c r="C912" s="23"/>
      <c r="G912" s="24"/>
      <c r="S912" s="25"/>
    </row>
    <row r="913" spans="2:19" ht="15.75" customHeight="1" x14ac:dyDescent="0.3">
      <c r="B913" s="23"/>
      <c r="C913" s="23"/>
      <c r="G913" s="24"/>
      <c r="S913" s="25"/>
    </row>
    <row r="914" spans="2:19" ht="15.75" customHeight="1" x14ac:dyDescent="0.3">
      <c r="B914" s="23"/>
      <c r="C914" s="23"/>
      <c r="G914" s="24"/>
      <c r="S914" s="25"/>
    </row>
    <row r="915" spans="2:19" ht="15.75" customHeight="1" x14ac:dyDescent="0.3">
      <c r="B915" s="23"/>
      <c r="C915" s="23"/>
      <c r="G915" s="24"/>
      <c r="S915" s="25"/>
    </row>
    <row r="916" spans="2:19" ht="15.75" customHeight="1" x14ac:dyDescent="0.3">
      <c r="B916" s="23"/>
      <c r="C916" s="23"/>
      <c r="G916" s="24"/>
      <c r="S916" s="25"/>
    </row>
    <row r="917" spans="2:19" ht="15.75" customHeight="1" x14ac:dyDescent="0.3">
      <c r="B917" s="23"/>
      <c r="C917" s="23"/>
      <c r="G917" s="24"/>
      <c r="S917" s="25"/>
    </row>
    <row r="918" spans="2:19" ht="15.75" customHeight="1" x14ac:dyDescent="0.3">
      <c r="B918" s="23"/>
      <c r="C918" s="23"/>
      <c r="G918" s="24"/>
      <c r="S918" s="25"/>
    </row>
    <row r="919" spans="2:19" ht="15.75" customHeight="1" x14ac:dyDescent="0.3">
      <c r="B919" s="23"/>
      <c r="C919" s="23"/>
      <c r="G919" s="24"/>
      <c r="S919" s="25"/>
    </row>
    <row r="920" spans="2:19" ht="15.75" customHeight="1" x14ac:dyDescent="0.3">
      <c r="B920" s="23"/>
      <c r="C920" s="23"/>
      <c r="G920" s="24"/>
      <c r="S920" s="25"/>
    </row>
    <row r="921" spans="2:19" ht="15.75" customHeight="1" x14ac:dyDescent="0.3">
      <c r="B921" s="23"/>
      <c r="C921" s="23"/>
      <c r="G921" s="24"/>
      <c r="S921" s="25"/>
    </row>
    <row r="922" spans="2:19" ht="15.75" customHeight="1" x14ac:dyDescent="0.3">
      <c r="B922" s="23"/>
      <c r="C922" s="23"/>
      <c r="G922" s="24"/>
      <c r="S922" s="25"/>
    </row>
    <row r="923" spans="2:19" ht="15.75" customHeight="1" x14ac:dyDescent="0.3">
      <c r="B923" s="23"/>
      <c r="C923" s="23"/>
      <c r="G923" s="24"/>
      <c r="S923" s="25"/>
    </row>
    <row r="924" spans="2:19" ht="15.75" customHeight="1" x14ac:dyDescent="0.3">
      <c r="B924" s="23"/>
      <c r="C924" s="23"/>
      <c r="G924" s="24"/>
      <c r="S924" s="25"/>
    </row>
    <row r="925" spans="2:19" ht="15.75" customHeight="1" x14ac:dyDescent="0.3">
      <c r="B925" s="23"/>
      <c r="C925" s="23"/>
      <c r="G925" s="24"/>
      <c r="S925" s="25"/>
    </row>
    <row r="926" spans="2:19" ht="15.75" customHeight="1" x14ac:dyDescent="0.3">
      <c r="B926" s="23"/>
      <c r="C926" s="23"/>
      <c r="G926" s="24"/>
      <c r="S926" s="25"/>
    </row>
    <row r="927" spans="2:19" ht="15.75" customHeight="1" x14ac:dyDescent="0.3">
      <c r="B927" s="23"/>
      <c r="C927" s="23"/>
      <c r="G927" s="24"/>
      <c r="S927" s="25"/>
    </row>
    <row r="928" spans="2:19" ht="15.75" customHeight="1" x14ac:dyDescent="0.3">
      <c r="B928" s="23"/>
      <c r="C928" s="23"/>
      <c r="G928" s="24"/>
      <c r="S928" s="25"/>
    </row>
    <row r="929" spans="2:19" ht="15.75" customHeight="1" x14ac:dyDescent="0.3">
      <c r="B929" s="23"/>
      <c r="C929" s="23"/>
      <c r="G929" s="24"/>
      <c r="S929" s="25"/>
    </row>
    <row r="930" spans="2:19" ht="15.75" customHeight="1" x14ac:dyDescent="0.3">
      <c r="B930" s="23"/>
      <c r="C930" s="23"/>
      <c r="G930" s="24"/>
      <c r="S930" s="25"/>
    </row>
    <row r="931" spans="2:19" ht="15.75" customHeight="1" x14ac:dyDescent="0.3">
      <c r="B931" s="23"/>
      <c r="C931" s="23"/>
      <c r="G931" s="24"/>
      <c r="S931" s="25"/>
    </row>
    <row r="932" spans="2:19" ht="15.75" customHeight="1" x14ac:dyDescent="0.3">
      <c r="B932" s="23"/>
      <c r="C932" s="23"/>
      <c r="G932" s="24"/>
      <c r="S932" s="25"/>
    </row>
    <row r="933" spans="2:19" ht="15.75" customHeight="1" x14ac:dyDescent="0.3">
      <c r="B933" s="23"/>
      <c r="C933" s="23"/>
      <c r="G933" s="24"/>
      <c r="S933" s="25"/>
    </row>
    <row r="934" spans="2:19" ht="15.75" customHeight="1" x14ac:dyDescent="0.3">
      <c r="B934" s="23"/>
      <c r="C934" s="23"/>
      <c r="G934" s="24"/>
      <c r="S934" s="25"/>
    </row>
    <row r="935" spans="2:19" ht="15.75" customHeight="1" x14ac:dyDescent="0.3">
      <c r="B935" s="23"/>
      <c r="C935" s="23"/>
      <c r="G935" s="24"/>
      <c r="S935" s="25"/>
    </row>
    <row r="936" spans="2:19" ht="15.75" customHeight="1" x14ac:dyDescent="0.3">
      <c r="B936" s="23"/>
      <c r="C936" s="23"/>
      <c r="G936" s="24"/>
      <c r="S936" s="25"/>
    </row>
    <row r="937" spans="2:19" ht="15.75" customHeight="1" x14ac:dyDescent="0.3">
      <c r="B937" s="23"/>
      <c r="C937" s="23"/>
      <c r="G937" s="24"/>
      <c r="S937" s="25"/>
    </row>
    <row r="938" spans="2:19" ht="15.75" customHeight="1" x14ac:dyDescent="0.3">
      <c r="B938" s="23"/>
      <c r="C938" s="23"/>
      <c r="G938" s="24"/>
      <c r="S938" s="25"/>
    </row>
    <row r="939" spans="2:19" ht="15.75" customHeight="1" x14ac:dyDescent="0.3">
      <c r="B939" s="23"/>
      <c r="C939" s="23"/>
      <c r="G939" s="24"/>
      <c r="S939" s="25"/>
    </row>
    <row r="940" spans="2:19" ht="15.75" customHeight="1" x14ac:dyDescent="0.3">
      <c r="B940" s="23"/>
      <c r="C940" s="23"/>
      <c r="G940" s="24"/>
      <c r="S940" s="25"/>
    </row>
    <row r="941" spans="2:19" ht="15.75" customHeight="1" x14ac:dyDescent="0.3">
      <c r="B941" s="23"/>
      <c r="C941" s="23"/>
      <c r="G941" s="24"/>
      <c r="S941" s="25"/>
    </row>
    <row r="942" spans="2:19" ht="15.75" customHeight="1" x14ac:dyDescent="0.3">
      <c r="B942" s="23"/>
      <c r="C942" s="23"/>
      <c r="G942" s="24"/>
      <c r="S942" s="25"/>
    </row>
    <row r="943" spans="2:19" ht="15.75" customHeight="1" x14ac:dyDescent="0.3">
      <c r="B943" s="23"/>
      <c r="C943" s="23"/>
      <c r="G943" s="24"/>
      <c r="S943" s="25"/>
    </row>
    <row r="944" spans="2:19" ht="15.75" customHeight="1" x14ac:dyDescent="0.3">
      <c r="B944" s="23"/>
      <c r="C944" s="23"/>
      <c r="G944" s="24"/>
      <c r="S944" s="25"/>
    </row>
    <row r="945" spans="2:19" ht="15.75" customHeight="1" x14ac:dyDescent="0.3">
      <c r="B945" s="23"/>
      <c r="C945" s="23"/>
      <c r="G945" s="24"/>
      <c r="S945" s="25"/>
    </row>
    <row r="946" spans="2:19" ht="15.75" customHeight="1" x14ac:dyDescent="0.3">
      <c r="B946" s="23"/>
      <c r="C946" s="23"/>
      <c r="G946" s="24"/>
      <c r="S946" s="25"/>
    </row>
    <row r="947" spans="2:19" ht="15.75" customHeight="1" x14ac:dyDescent="0.3">
      <c r="B947" s="23"/>
      <c r="C947" s="23"/>
      <c r="G947" s="24"/>
      <c r="S947" s="25"/>
    </row>
    <row r="948" spans="2:19" ht="15.75" customHeight="1" x14ac:dyDescent="0.3">
      <c r="B948" s="23"/>
      <c r="C948" s="23"/>
      <c r="G948" s="24"/>
      <c r="S948" s="25"/>
    </row>
    <row r="949" spans="2:19" ht="15.75" customHeight="1" x14ac:dyDescent="0.3">
      <c r="B949" s="23"/>
      <c r="C949" s="23"/>
      <c r="G949" s="24"/>
      <c r="S949" s="25"/>
    </row>
    <row r="950" spans="2:19" ht="15.75" customHeight="1" x14ac:dyDescent="0.3">
      <c r="B950" s="23"/>
      <c r="C950" s="23"/>
      <c r="G950" s="24"/>
      <c r="S950" s="25"/>
    </row>
    <row r="951" spans="2:19" ht="15.75" customHeight="1" x14ac:dyDescent="0.3">
      <c r="B951" s="23"/>
      <c r="C951" s="23"/>
      <c r="G951" s="24"/>
      <c r="S951" s="25"/>
    </row>
    <row r="952" spans="2:19" ht="15.75" customHeight="1" x14ac:dyDescent="0.3">
      <c r="B952" s="23"/>
      <c r="C952" s="23"/>
      <c r="G952" s="24"/>
      <c r="S952" s="25"/>
    </row>
    <row r="953" spans="2:19" ht="15.75" customHeight="1" x14ac:dyDescent="0.3">
      <c r="B953" s="23"/>
      <c r="C953" s="23"/>
      <c r="G953" s="24"/>
      <c r="S953" s="25"/>
    </row>
    <row r="954" spans="2:19" ht="15.75" customHeight="1" x14ac:dyDescent="0.3">
      <c r="B954" s="23"/>
      <c r="C954" s="23"/>
      <c r="G954" s="24"/>
      <c r="S954" s="25"/>
    </row>
    <row r="955" spans="2:19" ht="15.75" customHeight="1" x14ac:dyDescent="0.3">
      <c r="B955" s="23"/>
      <c r="C955" s="23"/>
      <c r="G955" s="24"/>
      <c r="S955" s="25"/>
    </row>
    <row r="956" spans="2:19" ht="15.75" customHeight="1" x14ac:dyDescent="0.3">
      <c r="B956" s="23"/>
      <c r="C956" s="23"/>
      <c r="G956" s="24"/>
      <c r="S956" s="25"/>
    </row>
    <row r="957" spans="2:19" ht="15.75" customHeight="1" x14ac:dyDescent="0.3">
      <c r="B957" s="23"/>
      <c r="C957" s="23"/>
      <c r="G957" s="24"/>
      <c r="S957" s="25"/>
    </row>
    <row r="958" spans="2:19" ht="15.75" customHeight="1" x14ac:dyDescent="0.3">
      <c r="B958" s="23"/>
      <c r="C958" s="23"/>
      <c r="G958" s="24"/>
      <c r="S958" s="25"/>
    </row>
    <row r="959" spans="2:19" ht="15.75" customHeight="1" x14ac:dyDescent="0.3">
      <c r="B959" s="23"/>
      <c r="C959" s="23"/>
      <c r="G959" s="24"/>
      <c r="S959" s="25"/>
    </row>
    <row r="960" spans="2:19" ht="15.75" customHeight="1" x14ac:dyDescent="0.3">
      <c r="B960" s="23"/>
      <c r="C960" s="23"/>
      <c r="G960" s="24"/>
      <c r="S960" s="25"/>
    </row>
    <row r="961" spans="2:19" ht="15.75" customHeight="1" x14ac:dyDescent="0.3">
      <c r="B961" s="23"/>
      <c r="C961" s="23"/>
      <c r="G961" s="24"/>
      <c r="S961" s="25"/>
    </row>
    <row r="962" spans="2:19" ht="15.75" customHeight="1" x14ac:dyDescent="0.3">
      <c r="B962" s="23"/>
      <c r="C962" s="23"/>
      <c r="G962" s="24"/>
      <c r="S962" s="25"/>
    </row>
    <row r="963" spans="2:19" ht="15.75" customHeight="1" x14ac:dyDescent="0.3">
      <c r="B963" s="23"/>
      <c r="C963" s="23"/>
      <c r="G963" s="24"/>
      <c r="S963" s="25"/>
    </row>
    <row r="964" spans="2:19" ht="15.75" customHeight="1" x14ac:dyDescent="0.3">
      <c r="B964" s="23"/>
      <c r="C964" s="23"/>
      <c r="G964" s="24"/>
      <c r="S964" s="25"/>
    </row>
    <row r="965" spans="2:19" ht="15.75" customHeight="1" x14ac:dyDescent="0.3">
      <c r="B965" s="23"/>
      <c r="C965" s="23"/>
      <c r="G965" s="24"/>
      <c r="S965" s="25"/>
    </row>
    <row r="966" spans="2:19" ht="15.75" customHeight="1" x14ac:dyDescent="0.3">
      <c r="B966" s="23"/>
      <c r="C966" s="23"/>
      <c r="G966" s="24"/>
      <c r="S966" s="25"/>
    </row>
    <row r="967" spans="2:19" ht="15.75" customHeight="1" x14ac:dyDescent="0.3">
      <c r="B967" s="23"/>
      <c r="C967" s="23"/>
      <c r="G967" s="24"/>
      <c r="S967" s="25"/>
    </row>
    <row r="968" spans="2:19" ht="15.75" customHeight="1" x14ac:dyDescent="0.3">
      <c r="B968" s="23"/>
      <c r="C968" s="23"/>
      <c r="G968" s="24"/>
      <c r="S968" s="25"/>
    </row>
    <row r="969" spans="2:19" ht="15.75" customHeight="1" x14ac:dyDescent="0.3">
      <c r="B969" s="23"/>
      <c r="C969" s="23"/>
      <c r="G969" s="24"/>
      <c r="S969" s="25"/>
    </row>
    <row r="970" spans="2:19" ht="15.75" customHeight="1" x14ac:dyDescent="0.3">
      <c r="B970" s="23"/>
      <c r="C970" s="23"/>
      <c r="G970" s="24"/>
      <c r="S970" s="25"/>
    </row>
    <row r="971" spans="2:19" ht="15.75" customHeight="1" x14ac:dyDescent="0.3">
      <c r="B971" s="23"/>
      <c r="C971" s="23"/>
      <c r="G971" s="24"/>
      <c r="S971" s="25"/>
    </row>
    <row r="972" spans="2:19" ht="15.75" customHeight="1" x14ac:dyDescent="0.3">
      <c r="B972" s="23"/>
      <c r="C972" s="23"/>
      <c r="G972" s="24"/>
      <c r="S972" s="25"/>
    </row>
    <row r="973" spans="2:19" ht="15.75" customHeight="1" x14ac:dyDescent="0.3">
      <c r="B973" s="23"/>
      <c r="C973" s="23"/>
      <c r="G973" s="24"/>
      <c r="S973" s="25"/>
    </row>
    <row r="974" spans="2:19" ht="15.75" customHeight="1" x14ac:dyDescent="0.3">
      <c r="B974" s="23"/>
      <c r="C974" s="23"/>
      <c r="G974" s="24"/>
      <c r="S974" s="25"/>
    </row>
    <row r="975" spans="2:19" ht="15.75" customHeight="1" x14ac:dyDescent="0.3">
      <c r="B975" s="23"/>
      <c r="C975" s="23"/>
      <c r="G975" s="24"/>
      <c r="S975" s="25"/>
    </row>
    <row r="976" spans="2:19" ht="15.75" customHeight="1" x14ac:dyDescent="0.3">
      <c r="B976" s="23"/>
      <c r="C976" s="23"/>
      <c r="G976" s="24"/>
      <c r="S976" s="25"/>
    </row>
    <row r="977" spans="2:19" ht="15.75" customHeight="1" x14ac:dyDescent="0.3">
      <c r="B977" s="23"/>
      <c r="C977" s="23"/>
      <c r="G977" s="24"/>
      <c r="S977" s="25"/>
    </row>
    <row r="978" spans="2:19" ht="15.75" customHeight="1" x14ac:dyDescent="0.3">
      <c r="B978" s="23"/>
      <c r="C978" s="23"/>
      <c r="G978" s="24"/>
      <c r="S978" s="25"/>
    </row>
    <row r="979" spans="2:19" ht="15.75" customHeight="1" x14ac:dyDescent="0.3">
      <c r="B979" s="23"/>
      <c r="C979" s="23"/>
      <c r="G979" s="24"/>
      <c r="S979" s="25"/>
    </row>
    <row r="980" spans="2:19" ht="15.75" customHeight="1" x14ac:dyDescent="0.3">
      <c r="B980" s="23"/>
      <c r="C980" s="23"/>
      <c r="G980" s="24"/>
      <c r="S980" s="25"/>
    </row>
    <row r="981" spans="2:19" ht="15.75" customHeight="1" x14ac:dyDescent="0.3">
      <c r="B981" s="23"/>
      <c r="C981" s="23"/>
      <c r="G981" s="24"/>
      <c r="S981" s="25"/>
    </row>
    <row r="982" spans="2:19" ht="15.75" customHeight="1" x14ac:dyDescent="0.3">
      <c r="B982" s="23"/>
      <c r="C982" s="23"/>
      <c r="G982" s="24"/>
      <c r="S982" s="25"/>
    </row>
    <row r="983" spans="2:19" ht="15.75" customHeight="1" x14ac:dyDescent="0.3">
      <c r="B983" s="23"/>
      <c r="C983" s="23"/>
      <c r="G983" s="24"/>
      <c r="S983" s="25"/>
    </row>
    <row r="984" spans="2:19" ht="15.75" customHeight="1" x14ac:dyDescent="0.3">
      <c r="B984" s="23"/>
      <c r="C984" s="23"/>
      <c r="G984" s="24"/>
      <c r="S984" s="25"/>
    </row>
    <row r="985" spans="2:19" ht="15.75" customHeight="1" x14ac:dyDescent="0.3">
      <c r="B985" s="23"/>
      <c r="C985" s="23"/>
      <c r="G985" s="24"/>
      <c r="S985" s="25"/>
    </row>
    <row r="986" spans="2:19" ht="15.75" customHeight="1" x14ac:dyDescent="0.3">
      <c r="B986" s="23"/>
      <c r="C986" s="23"/>
      <c r="G986" s="24"/>
      <c r="S986" s="25"/>
    </row>
    <row r="987" spans="2:19" ht="15.75" customHeight="1" x14ac:dyDescent="0.3">
      <c r="B987" s="23"/>
      <c r="C987" s="23"/>
      <c r="G987" s="24"/>
      <c r="S987" s="25"/>
    </row>
    <row r="988" spans="2:19" ht="15.75" customHeight="1" x14ac:dyDescent="0.3">
      <c r="B988" s="23"/>
      <c r="C988" s="23"/>
      <c r="G988" s="24"/>
      <c r="S988" s="25"/>
    </row>
    <row r="989" spans="2:19" ht="15.75" customHeight="1" x14ac:dyDescent="0.3">
      <c r="B989" s="23"/>
      <c r="C989" s="23"/>
      <c r="G989" s="24"/>
      <c r="S989" s="25"/>
    </row>
    <row r="990" spans="2:19" ht="15.75" customHeight="1" x14ac:dyDescent="0.3">
      <c r="B990" s="23"/>
      <c r="C990" s="23"/>
      <c r="G990" s="24"/>
      <c r="S990" s="25"/>
    </row>
    <row r="991" spans="2:19" ht="15.75" customHeight="1" x14ac:dyDescent="0.3">
      <c r="B991" s="23"/>
      <c r="C991" s="23"/>
      <c r="G991" s="24"/>
      <c r="S991" s="25"/>
    </row>
    <row r="992" spans="2:19" ht="15.75" customHeight="1" x14ac:dyDescent="0.3">
      <c r="B992" s="23"/>
      <c r="C992" s="23"/>
      <c r="G992" s="24"/>
      <c r="S992" s="25"/>
    </row>
    <row r="993" spans="2:19" ht="15.75" customHeight="1" x14ac:dyDescent="0.3">
      <c r="B993" s="23"/>
      <c r="C993" s="23"/>
      <c r="G993" s="24"/>
      <c r="S993" s="25"/>
    </row>
    <row r="994" spans="2:19" ht="15.75" customHeight="1" x14ac:dyDescent="0.3">
      <c r="B994" s="23"/>
      <c r="C994" s="23"/>
      <c r="G994" s="24"/>
      <c r="S994" s="25"/>
    </row>
    <row r="995" spans="2:19" ht="15.75" customHeight="1" x14ac:dyDescent="0.3">
      <c r="B995" s="23"/>
      <c r="C995" s="23"/>
      <c r="G995" s="24"/>
      <c r="S995" s="25"/>
    </row>
    <row r="996" spans="2:19" ht="15.75" customHeight="1" x14ac:dyDescent="0.3">
      <c r="B996" s="23"/>
      <c r="C996" s="23"/>
      <c r="G996" s="24"/>
      <c r="S996" s="25"/>
    </row>
    <row r="997" spans="2:19" ht="15.75" customHeight="1" x14ac:dyDescent="0.3">
      <c r="B997" s="23"/>
      <c r="C997" s="23"/>
      <c r="G997" s="24"/>
      <c r="S997" s="25"/>
    </row>
    <row r="998" spans="2:19" ht="15.75" customHeight="1" x14ac:dyDescent="0.3">
      <c r="B998" s="23"/>
      <c r="C998" s="23"/>
      <c r="G998" s="24"/>
      <c r="S998" s="25"/>
    </row>
    <row r="999" spans="2:19" ht="15.75" customHeight="1" x14ac:dyDescent="0.3">
      <c r="B999" s="23"/>
      <c r="C999" s="23"/>
      <c r="G999" s="24"/>
      <c r="S999" s="25"/>
    </row>
    <row r="1000" spans="2:19" ht="15.75" customHeight="1" x14ac:dyDescent="0.3">
      <c r="B1000" s="23"/>
      <c r="C1000" s="23"/>
      <c r="G1000" s="24"/>
      <c r="S1000" s="25"/>
    </row>
    <row r="1001" spans="2:19" ht="15.75" customHeight="1" x14ac:dyDescent="0.3">
      <c r="B1001" s="23"/>
      <c r="C1001" s="23"/>
      <c r="G1001" s="24"/>
      <c r="S1001" s="25"/>
    </row>
    <row r="1002" spans="2:19" ht="15.75" customHeight="1" x14ac:dyDescent="0.3">
      <c r="B1002" s="23"/>
      <c r="C1002" s="23"/>
      <c r="G1002" s="24"/>
      <c r="S1002" s="25"/>
    </row>
    <row r="1003" spans="2:19" ht="15.75" customHeight="1" x14ac:dyDescent="0.3">
      <c r="B1003" s="23"/>
      <c r="C1003" s="23"/>
      <c r="G1003" s="24"/>
      <c r="S1003" s="25"/>
    </row>
    <row r="1004" spans="2:19" ht="15.75" customHeight="1" x14ac:dyDescent="0.3">
      <c r="B1004" s="23"/>
      <c r="C1004" s="23"/>
      <c r="G1004" s="24"/>
      <c r="S1004" s="25"/>
    </row>
  </sheetData>
  <autoFilter ref="A1:T333" xr:uid="{00000000-0009-0000-0000-000000000000}">
    <sortState xmlns:xlrd2="http://schemas.microsoft.com/office/spreadsheetml/2017/richdata2" ref="A2:T338">
      <sortCondition descending="1" ref="T1:T333"/>
    </sortState>
  </autoFilter>
  <sortState xmlns:xlrd2="http://schemas.microsoft.com/office/spreadsheetml/2017/richdata2" ref="B318:B333">
    <sortCondition ref="B333"/>
  </sortState>
  <conditionalFormatting sqref="D1:D1004">
    <cfRule type="cellIs" dxfId="53" priority="2" operator="equal">
      <formula>"BBV"</formula>
    </cfRule>
  </conditionalFormatting>
  <conditionalFormatting sqref="D2:D1004">
    <cfRule type="containsText" dxfId="52" priority="3" operator="containsText" text="NÖBV">
      <formula>NOT(ISERROR(SEARCH(("NÖBV"),(D2))))</formula>
    </cfRule>
    <cfRule type="containsText" dxfId="51" priority="4" operator="containsText" text="WBV">
      <formula>NOT(ISERROR(SEARCH(("WBV"),(D2))))</formula>
    </cfRule>
  </conditionalFormatting>
  <conditionalFormatting sqref="E2:E1004">
    <cfRule type="containsText" dxfId="50" priority="5" operator="containsText" text="W">
      <formula>NOT(ISERROR(SEARCH(("W"),(E2))))</formula>
    </cfRule>
    <cfRule type="containsText" dxfId="49" priority="6" operator="containsText" text="M">
      <formula>NOT(ISERROR(SEARCH(("M"),(E2))))</formula>
    </cfRule>
  </conditionalFormatting>
  <conditionalFormatting sqref="F1:F297">
    <cfRule type="containsBlanks" dxfId="48" priority="7">
      <formula>LEN(TRIM(F1))=0</formula>
    </cfRule>
  </conditionalFormatting>
  <conditionalFormatting sqref="G1:G297">
    <cfRule type="cellIs" dxfId="47" priority="9" operator="equal">
      <formula>""</formula>
    </cfRule>
  </conditionalFormatting>
  <conditionalFormatting sqref="G1:G1004">
    <cfRule type="cellIs" dxfId="46" priority="10" operator="equal">
      <formula>2015</formula>
    </cfRule>
    <cfRule type="cellIs" dxfId="45" priority="11" operator="equal">
      <formula>2014</formula>
    </cfRule>
    <cfRule type="cellIs" dxfId="44" priority="12" operator="equal">
      <formula>2013</formula>
    </cfRule>
    <cfRule type="cellIs" dxfId="43" priority="13" operator="equal">
      <formula>2012</formula>
    </cfRule>
    <cfRule type="cellIs" dxfId="42" priority="14" operator="equal">
      <formula>2010</formula>
    </cfRule>
    <cfRule type="cellIs" dxfId="41" priority="15" operator="equal">
      <formula>2011</formula>
    </cfRule>
  </conditionalFormatting>
  <pageMargins left="0.51181102362204722" right="0.48007246376811596" top="0.98425196850393704" bottom="0.98425196850393704"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C324-12BF-4BCD-B8FD-2CFD5E002A84}">
  <dimension ref="A1:G654"/>
  <sheetViews>
    <sheetView workbookViewId="0">
      <selection activeCell="B7" sqref="B7"/>
    </sheetView>
  </sheetViews>
  <sheetFormatPr defaultRowHeight="13" x14ac:dyDescent="0.3"/>
  <cols>
    <col min="1" max="1" width="14" customWidth="1"/>
    <col min="2" max="2" width="17.69921875" customWidth="1"/>
    <col min="3" max="3" width="13.796875" bestFit="1" customWidth="1"/>
  </cols>
  <sheetData>
    <row r="1" spans="1:7" x14ac:dyDescent="0.3">
      <c r="A1" t="s">
        <v>1</v>
      </c>
      <c r="B1" t="s">
        <v>5</v>
      </c>
      <c r="C1" t="s">
        <v>647</v>
      </c>
      <c r="D1" t="s">
        <v>347</v>
      </c>
      <c r="E1" t="s">
        <v>651</v>
      </c>
      <c r="F1" t="s">
        <v>652</v>
      </c>
      <c r="G1" t="s">
        <v>650</v>
      </c>
    </row>
    <row r="2" spans="1:7" x14ac:dyDescent="0.3">
      <c r="A2" t="str">
        <f>Rangliste!B2</f>
        <v>Valentin Grebien</v>
      </c>
      <c r="B2">
        <f>Rangliste!F2</f>
        <v>108667</v>
      </c>
      <c r="C2">
        <f>Rangliste!A2</f>
        <v>1</v>
      </c>
      <c r="D2">
        <f>Rangliste!T2</f>
        <v>218.4</v>
      </c>
      <c r="E2" t="str">
        <f>IF(Rangliste!E2="M","HE","DE")</f>
        <v>HE</v>
      </c>
      <c r="F2" t="str">
        <f>IF(Rangliste!E2="M","HD","DD")</f>
        <v>HD</v>
      </c>
      <c r="G2" t="s">
        <v>649</v>
      </c>
    </row>
    <row r="3" spans="1:7" x14ac:dyDescent="0.3">
      <c r="A3" t="str">
        <f>Rangliste!B3</f>
        <v>Xinjie Chen</v>
      </c>
      <c r="B3">
        <f>Rangliste!F3</f>
        <v>111768</v>
      </c>
      <c r="C3">
        <f>Rangliste!A3</f>
        <v>2</v>
      </c>
      <c r="D3">
        <f>Rangliste!T3</f>
        <v>214.4</v>
      </c>
      <c r="E3" t="str">
        <f>IF(Rangliste!E3="M","HE","DE")</f>
        <v>HE</v>
      </c>
      <c r="F3" t="str">
        <f>IF(Rangliste!E3="M","HD","DD")</f>
        <v>HD</v>
      </c>
      <c r="G3" t="s">
        <v>649</v>
      </c>
    </row>
    <row r="4" spans="1:7" x14ac:dyDescent="0.3">
      <c r="A4" t="str">
        <f>Rangliste!B4</f>
        <v>Leon Lu</v>
      </c>
      <c r="B4">
        <f>Rangliste!F4</f>
        <v>109049</v>
      </c>
      <c r="C4">
        <f>Rangliste!A4</f>
        <v>3</v>
      </c>
      <c r="D4">
        <f>Rangliste!T4</f>
        <v>213.20000000000002</v>
      </c>
      <c r="E4" t="str">
        <f>IF(Rangliste!E4="M","HE","DE")</f>
        <v>HE</v>
      </c>
      <c r="F4" t="str">
        <f>IF(Rangliste!E4="M","HD","DD")</f>
        <v>HD</v>
      </c>
      <c r="G4" t="s">
        <v>649</v>
      </c>
    </row>
    <row r="5" spans="1:7" x14ac:dyDescent="0.3">
      <c r="A5" t="str">
        <f>Rangliste!B5</f>
        <v>Sebastian Dollinger</v>
      </c>
      <c r="B5">
        <f>Rangliste!F5</f>
        <v>111767</v>
      </c>
      <c r="C5">
        <f>Rangliste!A5</f>
        <v>4</v>
      </c>
      <c r="D5">
        <f>Rangliste!T5</f>
        <v>210</v>
      </c>
      <c r="E5" t="str">
        <f>IF(Rangliste!E5="M","HE","DE")</f>
        <v>HE</v>
      </c>
      <c r="F5" t="str">
        <f>IF(Rangliste!E5="M","HD","DD")</f>
        <v>HD</v>
      </c>
      <c r="G5" t="s">
        <v>649</v>
      </c>
    </row>
    <row r="6" spans="1:7" x14ac:dyDescent="0.3">
      <c r="A6" t="str">
        <f>Rangliste!B6</f>
        <v>Wenzel Tiapal</v>
      </c>
      <c r="B6">
        <f>Rangliste!F6</f>
        <v>207093</v>
      </c>
      <c r="C6">
        <f>Rangliste!A6</f>
        <v>5</v>
      </c>
      <c r="D6">
        <f>Rangliste!T6</f>
        <v>207.2</v>
      </c>
      <c r="E6" t="str">
        <f>IF(Rangliste!E6="M","HE","DE")</f>
        <v>HE</v>
      </c>
      <c r="F6" t="str">
        <f>IF(Rangliste!E6="M","HD","DD")</f>
        <v>HD</v>
      </c>
      <c r="G6" t="s">
        <v>649</v>
      </c>
    </row>
    <row r="7" spans="1:7" x14ac:dyDescent="0.3">
      <c r="A7" t="str">
        <f>Rangliste!B7</f>
        <v>Samuel Nemeskal</v>
      </c>
      <c r="B7">
        <f>Rangliste!F7</f>
        <v>111568</v>
      </c>
      <c r="C7">
        <f>Rangliste!A7</f>
        <v>6</v>
      </c>
      <c r="D7">
        <f>Rangliste!T7</f>
        <v>204.2</v>
      </c>
      <c r="E7" t="str">
        <f>IF(Rangliste!E7="M","HE","DE")</f>
        <v>HE</v>
      </c>
      <c r="F7" t="str">
        <f>IF(Rangliste!E7="M","HD","DD")</f>
        <v>HD</v>
      </c>
      <c r="G7" t="s">
        <v>649</v>
      </c>
    </row>
    <row r="8" spans="1:7" x14ac:dyDescent="0.3">
      <c r="A8" t="str">
        <f>Rangliste!B8</f>
        <v>Philipp Grebien</v>
      </c>
      <c r="B8">
        <f>Rangliste!F8</f>
        <v>110047</v>
      </c>
      <c r="C8">
        <f>Rangliste!A8</f>
        <v>7</v>
      </c>
      <c r="D8">
        <f>Rangliste!T8</f>
        <v>203.4</v>
      </c>
      <c r="E8" t="str">
        <f>IF(Rangliste!E8="M","HE","DE")</f>
        <v>HE</v>
      </c>
      <c r="F8" t="str">
        <f>IF(Rangliste!E8="M","HD","DD")</f>
        <v>HD</v>
      </c>
      <c r="G8" t="s">
        <v>649</v>
      </c>
    </row>
    <row r="9" spans="1:7" x14ac:dyDescent="0.3">
      <c r="A9" t="str">
        <f>Rangliste!B9</f>
        <v>Valentin Schefcik</v>
      </c>
      <c r="B9">
        <f>Rangliste!F9</f>
        <v>26473</v>
      </c>
      <c r="C9">
        <f>Rangliste!A9</f>
        <v>8</v>
      </c>
      <c r="D9">
        <f>Rangliste!T9</f>
        <v>203.2</v>
      </c>
      <c r="E9" t="str">
        <f>IF(Rangliste!E9="M","HE","DE")</f>
        <v>HE</v>
      </c>
      <c r="F9" t="str">
        <f>IF(Rangliste!E9="M","HD","DD")</f>
        <v>HD</v>
      </c>
      <c r="G9" t="s">
        <v>649</v>
      </c>
    </row>
    <row r="10" spans="1:7" x14ac:dyDescent="0.3">
      <c r="A10" t="str">
        <f>Rangliste!B10</f>
        <v>Laura Schindler</v>
      </c>
      <c r="B10">
        <f>Rangliste!F10</f>
        <v>108588</v>
      </c>
      <c r="C10">
        <f>Rangliste!A10</f>
        <v>9</v>
      </c>
      <c r="D10">
        <f>Rangliste!T10</f>
        <v>198</v>
      </c>
      <c r="E10" t="str">
        <f>IF(Rangliste!E10="M","HE","DE")</f>
        <v>DE</v>
      </c>
      <c r="F10" t="str">
        <f>IF(Rangliste!E10="M","HD","DD")</f>
        <v>DD</v>
      </c>
      <c r="G10" t="s">
        <v>649</v>
      </c>
    </row>
    <row r="11" spans="1:7" x14ac:dyDescent="0.3">
      <c r="A11" t="str">
        <f>Rangliste!B11</f>
        <v>Felix Sztatecsny</v>
      </c>
      <c r="B11">
        <f>Rangliste!F11</f>
        <v>207993</v>
      </c>
      <c r="C11">
        <f>Rangliste!A11</f>
        <v>10</v>
      </c>
      <c r="D11">
        <f>Rangliste!T11</f>
        <v>197</v>
      </c>
      <c r="E11" t="str">
        <f>IF(Rangliste!E11="M","HE","DE")</f>
        <v>HE</v>
      </c>
      <c r="F11" t="str">
        <f>IF(Rangliste!E11="M","HD","DD")</f>
        <v>HD</v>
      </c>
      <c r="G11" t="s">
        <v>649</v>
      </c>
    </row>
    <row r="12" spans="1:7" x14ac:dyDescent="0.3">
      <c r="A12" t="str">
        <f>Rangliste!B12</f>
        <v>Johanna Floßmann</v>
      </c>
      <c r="B12">
        <f>Rangliste!F12</f>
        <v>207955</v>
      </c>
      <c r="C12">
        <f>Rangliste!A12</f>
        <v>11</v>
      </c>
      <c r="D12">
        <f>Rangliste!T12</f>
        <v>193.39999999999998</v>
      </c>
      <c r="E12" t="str">
        <f>IF(Rangliste!E12="M","HE","DE")</f>
        <v>DE</v>
      </c>
      <c r="F12" t="str">
        <f>IF(Rangliste!E12="M","HD","DD")</f>
        <v>DD</v>
      </c>
      <c r="G12" t="s">
        <v>649</v>
      </c>
    </row>
    <row r="13" spans="1:7" x14ac:dyDescent="0.3">
      <c r="A13" t="str">
        <f>Rangliste!B13</f>
        <v>Emilia Nagy</v>
      </c>
      <c r="B13">
        <f>Rangliste!F13</f>
        <v>110747</v>
      </c>
      <c r="C13">
        <f>Rangliste!A13</f>
        <v>12</v>
      </c>
      <c r="D13">
        <f>Rangliste!T13</f>
        <v>193</v>
      </c>
      <c r="E13" t="str">
        <f>IF(Rangliste!E13="M","HE","DE")</f>
        <v>DE</v>
      </c>
      <c r="F13" t="str">
        <f>IF(Rangliste!E13="M","HD","DD")</f>
        <v>DD</v>
      </c>
      <c r="G13" t="s">
        <v>649</v>
      </c>
    </row>
    <row r="14" spans="1:7" x14ac:dyDescent="0.3">
      <c r="A14" t="str">
        <f>Rangliste!B14</f>
        <v>Mina Ruenroeng</v>
      </c>
      <c r="B14" t="str">
        <f>Rangliste!F14</f>
        <v>111954</v>
      </c>
      <c r="C14">
        <f>Rangliste!A14</f>
        <v>13</v>
      </c>
      <c r="D14">
        <f>Rangliste!T14</f>
        <v>191.1</v>
      </c>
      <c r="E14" t="str">
        <f>IF(Rangliste!E14="M","HE","DE")</f>
        <v>DE</v>
      </c>
      <c r="F14" t="str">
        <f>IF(Rangliste!E14="M","HD","DD")</f>
        <v>DD</v>
      </c>
      <c r="G14" t="s">
        <v>649</v>
      </c>
    </row>
    <row r="15" spans="1:7" x14ac:dyDescent="0.3">
      <c r="A15" t="str">
        <f>Rangliste!B15</f>
        <v>Lola Ahammer</v>
      </c>
      <c r="B15">
        <f>Rangliste!F15</f>
        <v>109268</v>
      </c>
      <c r="C15">
        <f>Rangliste!A15</f>
        <v>14</v>
      </c>
      <c r="D15">
        <f>Rangliste!T15</f>
        <v>188.39999999999998</v>
      </c>
      <c r="E15" t="str">
        <f>IF(Rangliste!E15="M","HE","DE")</f>
        <v>DE</v>
      </c>
      <c r="F15" t="str">
        <f>IF(Rangliste!E15="M","HD","DD")</f>
        <v>DD</v>
      </c>
      <c r="G15" t="s">
        <v>649</v>
      </c>
    </row>
    <row r="16" spans="1:7" x14ac:dyDescent="0.3">
      <c r="A16" t="str">
        <f>Rangliste!B16</f>
        <v>Levin Anderwald</v>
      </c>
      <c r="B16">
        <f>Rangliste!F16</f>
        <v>110889</v>
      </c>
      <c r="C16">
        <f>Rangliste!A16</f>
        <v>15</v>
      </c>
      <c r="D16">
        <f>Rangliste!T16</f>
        <v>187.39999999999998</v>
      </c>
      <c r="E16" t="str">
        <f>IF(Rangliste!E16="M","HE","DE")</f>
        <v>HE</v>
      </c>
      <c r="F16" t="str">
        <f>IF(Rangliste!E16="M","HD","DD")</f>
        <v>HD</v>
      </c>
      <c r="G16" t="s">
        <v>649</v>
      </c>
    </row>
    <row r="17" spans="1:7" x14ac:dyDescent="0.3">
      <c r="A17" t="str">
        <f>Rangliste!B17</f>
        <v>Jacob Chen</v>
      </c>
      <c r="B17" t="str">
        <f>Rangliste!F17</f>
        <v>108767</v>
      </c>
      <c r="C17">
        <f>Rangliste!A17</f>
        <v>16</v>
      </c>
      <c r="D17">
        <f>Rangliste!T17</f>
        <v>186.6</v>
      </c>
      <c r="E17" t="str">
        <f>IF(Rangliste!E17="M","HE","DE")</f>
        <v>HE</v>
      </c>
      <c r="F17" t="str">
        <f>IF(Rangliste!E17="M","HD","DD")</f>
        <v>HD</v>
      </c>
      <c r="G17" t="s">
        <v>649</v>
      </c>
    </row>
    <row r="18" spans="1:7" x14ac:dyDescent="0.3">
      <c r="A18" t="str">
        <f>Rangliste!B18</f>
        <v>Rafael Markus Gálos</v>
      </c>
      <c r="B18" t="str">
        <f>Rangliste!F18</f>
        <v>111567</v>
      </c>
      <c r="C18">
        <f>Rangliste!A18</f>
        <v>17</v>
      </c>
      <c r="D18">
        <f>Rangliste!T18</f>
        <v>182.1</v>
      </c>
      <c r="E18" t="str">
        <f>IF(Rangliste!E18="M","HE","DE")</f>
        <v>HE</v>
      </c>
      <c r="F18" t="str">
        <f>IF(Rangliste!E18="M","HD","DD")</f>
        <v>HD</v>
      </c>
      <c r="G18" t="s">
        <v>649</v>
      </c>
    </row>
    <row r="19" spans="1:7" x14ac:dyDescent="0.3">
      <c r="A19" t="str">
        <f>Rangliste!B19</f>
        <v>Sofia Neumann</v>
      </c>
      <c r="B19" t="str">
        <f>Rangliste!F19</f>
        <v>208973</v>
      </c>
      <c r="C19">
        <f>Rangliste!A19</f>
        <v>18</v>
      </c>
      <c r="D19">
        <f>Rangliste!T19</f>
        <v>182</v>
      </c>
      <c r="E19" t="str">
        <f>IF(Rangliste!E19="M","HE","DE")</f>
        <v>DE</v>
      </c>
      <c r="F19" t="str">
        <f>IF(Rangliste!E19="M","HD","DD")</f>
        <v>DD</v>
      </c>
      <c r="G19" t="s">
        <v>649</v>
      </c>
    </row>
    <row r="20" spans="1:7" x14ac:dyDescent="0.3">
      <c r="A20" t="str">
        <f>Rangliste!B20</f>
        <v>Alvin Huang</v>
      </c>
      <c r="B20">
        <f>Rangliste!F20</f>
        <v>111347</v>
      </c>
      <c r="C20">
        <f>Rangliste!A20</f>
        <v>19</v>
      </c>
      <c r="D20">
        <f>Rangliste!T20</f>
        <v>180.39999999999998</v>
      </c>
      <c r="E20" t="str">
        <f>IF(Rangliste!E20="M","HE","DE")</f>
        <v>HE</v>
      </c>
      <c r="F20" t="str">
        <f>IF(Rangliste!E20="M","HD","DD")</f>
        <v>HD</v>
      </c>
      <c r="G20" t="s">
        <v>649</v>
      </c>
    </row>
    <row r="21" spans="1:7" x14ac:dyDescent="0.3">
      <c r="A21" t="str">
        <f>Rangliste!B21</f>
        <v>Boen Yan</v>
      </c>
      <c r="B21">
        <f>Rangliste!F21</f>
        <v>111727</v>
      </c>
      <c r="C21">
        <f>Rangliste!A21</f>
        <v>20</v>
      </c>
      <c r="D21">
        <f>Rangliste!T21</f>
        <v>178.3</v>
      </c>
      <c r="E21" t="str">
        <f>IF(Rangliste!E21="M","HE","DE")</f>
        <v>HE</v>
      </c>
      <c r="F21" t="str">
        <f>IF(Rangliste!E21="M","HD","DD")</f>
        <v>HD</v>
      </c>
      <c r="G21" t="s">
        <v>649</v>
      </c>
    </row>
    <row r="22" spans="1:7" x14ac:dyDescent="0.3">
      <c r="A22" t="str">
        <f>Rangliste!B22</f>
        <v>Nora Walter</v>
      </c>
      <c r="B22" t="str">
        <f>Rangliste!F22</f>
        <v>208476</v>
      </c>
      <c r="C22">
        <f>Rangliste!A22</f>
        <v>21</v>
      </c>
      <c r="D22">
        <f>Rangliste!T22</f>
        <v>175.60000000000002</v>
      </c>
      <c r="E22" t="str">
        <f>IF(Rangliste!E22="M","HE","DE")</f>
        <v>DE</v>
      </c>
      <c r="F22" t="str">
        <f>IF(Rangliste!E22="M","HD","DD")</f>
        <v>DD</v>
      </c>
      <c r="G22" t="s">
        <v>649</v>
      </c>
    </row>
    <row r="23" spans="1:7" x14ac:dyDescent="0.3">
      <c r="A23" t="str">
        <f>Rangliste!B23</f>
        <v>Alisha Huang</v>
      </c>
      <c r="B23">
        <f>Rangliste!F23</f>
        <v>112208</v>
      </c>
      <c r="C23">
        <f>Rangliste!A23</f>
        <v>22</v>
      </c>
      <c r="D23">
        <f>Rangliste!T23</f>
        <v>175</v>
      </c>
      <c r="E23" t="str">
        <f>IF(Rangliste!E23="M","HE","DE")</f>
        <v>DE</v>
      </c>
      <c r="F23" t="str">
        <f>IF(Rangliste!E23="M","HD","DD")</f>
        <v>DD</v>
      </c>
      <c r="G23" t="s">
        <v>649</v>
      </c>
    </row>
    <row r="24" spans="1:7" x14ac:dyDescent="0.3">
      <c r="A24" t="str">
        <f>Rangliste!B24</f>
        <v>Marco Papp</v>
      </c>
      <c r="B24" t="str">
        <f>Rangliste!F24</f>
        <v>207976</v>
      </c>
      <c r="C24">
        <f>Rangliste!A24</f>
        <v>23</v>
      </c>
      <c r="D24">
        <f>Rangliste!T24</f>
        <v>173.8</v>
      </c>
      <c r="E24" t="str">
        <f>IF(Rangliste!E24="M","HE","DE")</f>
        <v>HE</v>
      </c>
      <c r="F24" t="str">
        <f>IF(Rangliste!E24="M","HD","DD")</f>
        <v>HD</v>
      </c>
      <c r="G24" t="s">
        <v>649</v>
      </c>
    </row>
    <row r="25" spans="1:7" x14ac:dyDescent="0.3">
      <c r="A25" t="str">
        <f>Rangliste!B25</f>
        <v>Christoph Fessl</v>
      </c>
      <c r="B25">
        <f>Rangliste!F25</f>
        <v>109867</v>
      </c>
      <c r="C25">
        <f>Rangliste!A25</f>
        <v>24</v>
      </c>
      <c r="D25">
        <f>Rangliste!T25</f>
        <v>172.8</v>
      </c>
      <c r="E25" t="str">
        <f>IF(Rangliste!E25="M","HE","DE")</f>
        <v>HE</v>
      </c>
      <c r="F25" t="str">
        <f>IF(Rangliste!E25="M","HD","DD")</f>
        <v>HD</v>
      </c>
      <c r="G25" t="s">
        <v>649</v>
      </c>
    </row>
    <row r="26" spans="1:7" x14ac:dyDescent="0.3">
      <c r="A26" t="str">
        <f>Rangliste!B26</f>
        <v>Golsamin Harandi</v>
      </c>
      <c r="B26">
        <f>Rangliste!F26</f>
        <v>110367</v>
      </c>
      <c r="C26">
        <f>Rangliste!A26</f>
        <v>25</v>
      </c>
      <c r="D26">
        <f>Rangliste!T26</f>
        <v>169</v>
      </c>
      <c r="E26" t="str">
        <f>IF(Rangliste!E26="M","HE","DE")</f>
        <v>HE</v>
      </c>
      <c r="F26" t="str">
        <f>IF(Rangliste!E26="M","HD","DD")</f>
        <v>HD</v>
      </c>
      <c r="G26" t="s">
        <v>649</v>
      </c>
    </row>
    <row r="27" spans="1:7" x14ac:dyDescent="0.3">
      <c r="A27" t="str">
        <f>Rangliste!B27</f>
        <v>Dario Kasser</v>
      </c>
      <c r="B27">
        <f>Rangliste!F27</f>
        <v>208475</v>
      </c>
      <c r="C27">
        <f>Rangliste!A27</f>
        <v>26</v>
      </c>
      <c r="D27">
        <f>Rangliste!T27</f>
        <v>164</v>
      </c>
      <c r="E27" t="str">
        <f>IF(Rangliste!E27="M","HE","DE")</f>
        <v>HE</v>
      </c>
      <c r="F27" t="str">
        <f>IF(Rangliste!E27="M","HD","DD")</f>
        <v>HD</v>
      </c>
      <c r="G27" t="s">
        <v>649</v>
      </c>
    </row>
    <row r="28" spans="1:7" x14ac:dyDescent="0.3">
      <c r="A28" t="str">
        <f>Rangliste!B28</f>
        <v>Louis Mayer</v>
      </c>
      <c r="B28" t="str">
        <f>Rangliste!F28</f>
        <v>112110</v>
      </c>
      <c r="C28">
        <f>Rangliste!A28</f>
        <v>27</v>
      </c>
      <c r="D28">
        <f>Rangliste!T28</f>
        <v>161.89999999999998</v>
      </c>
      <c r="E28" t="str">
        <f>IF(Rangliste!E28="M","HE","DE")</f>
        <v>HE</v>
      </c>
      <c r="F28" t="str">
        <f>IF(Rangliste!E28="M","HD","DD")</f>
        <v>HD</v>
      </c>
      <c r="G28" t="s">
        <v>649</v>
      </c>
    </row>
    <row r="29" spans="1:7" x14ac:dyDescent="0.3">
      <c r="A29" t="str">
        <f>Rangliste!B29</f>
        <v>Hector Recalde</v>
      </c>
      <c r="B29" t="str">
        <f>Rangliste!F29</f>
        <v>208878</v>
      </c>
      <c r="C29">
        <f>Rangliste!A29</f>
        <v>28</v>
      </c>
      <c r="D29">
        <f>Rangliste!T29</f>
        <v>161.19999999999999</v>
      </c>
      <c r="E29" t="str">
        <f>IF(Rangliste!E29="M","HE","DE")</f>
        <v>HE</v>
      </c>
      <c r="F29" t="str">
        <f>IF(Rangliste!E29="M","HD","DD")</f>
        <v>HD</v>
      </c>
      <c r="G29" t="s">
        <v>649</v>
      </c>
    </row>
    <row r="30" spans="1:7" x14ac:dyDescent="0.3">
      <c r="A30" t="str">
        <f>Rangliste!B30</f>
        <v>Tobias Gerner</v>
      </c>
      <c r="B30">
        <f>Rangliste!F30</f>
        <v>112227</v>
      </c>
      <c r="C30">
        <f>Rangliste!A30</f>
        <v>29</v>
      </c>
      <c r="D30">
        <f>Rangliste!T30</f>
        <v>160.1</v>
      </c>
      <c r="E30" t="str">
        <f>IF(Rangliste!E30="M","HE","DE")</f>
        <v>HE</v>
      </c>
      <c r="F30" t="str">
        <f>IF(Rangliste!E30="M","HD","DD")</f>
        <v>HD</v>
      </c>
      <c r="G30" t="s">
        <v>649</v>
      </c>
    </row>
    <row r="31" spans="1:7" x14ac:dyDescent="0.3">
      <c r="A31" t="str">
        <f>Rangliste!B31</f>
        <v>Elias Reisinger</v>
      </c>
      <c r="B31">
        <f>Rangliste!F31</f>
        <v>312853</v>
      </c>
      <c r="C31">
        <f>Rangliste!A31</f>
        <v>30</v>
      </c>
      <c r="D31">
        <f>Rangliste!T31</f>
        <v>156.9</v>
      </c>
      <c r="E31" t="str">
        <f>IF(Rangliste!E31="M","HE","DE")</f>
        <v>HE</v>
      </c>
      <c r="F31" t="str">
        <f>IF(Rangliste!E31="M","HD","DD")</f>
        <v>HD</v>
      </c>
      <c r="G31" t="s">
        <v>649</v>
      </c>
    </row>
    <row r="32" spans="1:7" x14ac:dyDescent="0.3">
      <c r="A32" t="str">
        <f>Rangliste!B32</f>
        <v>Terrence Chen</v>
      </c>
      <c r="B32">
        <f>Rangliste!F32</f>
        <v>109707</v>
      </c>
      <c r="C32">
        <f>Rangliste!A32</f>
        <v>31</v>
      </c>
      <c r="D32">
        <f>Rangliste!T32</f>
        <v>155.30000000000001</v>
      </c>
      <c r="E32" t="str">
        <f>IF(Rangliste!E32="M","HE","DE")</f>
        <v>HE</v>
      </c>
      <c r="F32" t="str">
        <f>IF(Rangliste!E32="M","HD","DD")</f>
        <v>HD</v>
      </c>
      <c r="G32" t="s">
        <v>649</v>
      </c>
    </row>
    <row r="33" spans="1:7" x14ac:dyDescent="0.3">
      <c r="A33" t="str">
        <f>Rangliste!B33</f>
        <v>Tobias Quiroga</v>
      </c>
      <c r="B33">
        <f>Rangliste!F33</f>
        <v>109507</v>
      </c>
      <c r="C33">
        <f>Rangliste!A33</f>
        <v>32</v>
      </c>
      <c r="D33">
        <f>Rangliste!T33</f>
        <v>155</v>
      </c>
      <c r="E33" t="str">
        <f>IF(Rangliste!E33="M","HE","DE")</f>
        <v>HE</v>
      </c>
      <c r="F33" t="str">
        <f>IF(Rangliste!E33="M","HD","DD")</f>
        <v>HD</v>
      </c>
      <c r="G33" t="s">
        <v>649</v>
      </c>
    </row>
    <row r="34" spans="1:7" x14ac:dyDescent="0.3">
      <c r="A34" t="str">
        <f>Rangliste!B34</f>
        <v>Anja Reisinger</v>
      </c>
      <c r="B34">
        <f>Rangliste!F34</f>
        <v>312834</v>
      </c>
      <c r="C34">
        <f>Rangliste!A34</f>
        <v>33</v>
      </c>
      <c r="D34">
        <f>Rangliste!T34</f>
        <v>154.80000000000001</v>
      </c>
      <c r="E34" t="str">
        <f>IF(Rangliste!E34="M","HE","DE")</f>
        <v>DE</v>
      </c>
      <c r="F34" t="str">
        <f>IF(Rangliste!E34="M","HD","DD")</f>
        <v>DD</v>
      </c>
      <c r="G34" t="s">
        <v>649</v>
      </c>
    </row>
    <row r="35" spans="1:7" x14ac:dyDescent="0.3">
      <c r="A35" t="str">
        <f>Rangliste!B35</f>
        <v>Matthias Fessl</v>
      </c>
      <c r="B35">
        <f>Rangliste!F35</f>
        <v>112047</v>
      </c>
      <c r="C35">
        <f>Rangliste!A35</f>
        <v>34</v>
      </c>
      <c r="D35">
        <f>Rangliste!T35</f>
        <v>153.1</v>
      </c>
      <c r="E35" t="str">
        <f>IF(Rangliste!E35="M","HE","DE")</f>
        <v>HE</v>
      </c>
      <c r="F35" t="str">
        <f>IF(Rangliste!E35="M","HD","DD")</f>
        <v>HD</v>
      </c>
      <c r="G35" t="s">
        <v>649</v>
      </c>
    </row>
    <row r="36" spans="1:7" x14ac:dyDescent="0.3">
      <c r="A36" t="str">
        <f>Rangliste!B36</f>
        <v>Joachim Zeilerbauer</v>
      </c>
      <c r="B36">
        <f>Rangliste!F36</f>
        <v>208153</v>
      </c>
      <c r="C36">
        <f>Rangliste!A36</f>
        <v>35</v>
      </c>
      <c r="D36">
        <f>Rangliste!T36</f>
        <v>153.1</v>
      </c>
      <c r="E36" t="str">
        <f>IF(Rangliste!E36="M","HE","DE")</f>
        <v>HE</v>
      </c>
      <c r="F36" t="str">
        <f>IF(Rangliste!E36="M","HD","DD")</f>
        <v>HD</v>
      </c>
      <c r="G36" t="s">
        <v>649</v>
      </c>
    </row>
    <row r="37" spans="1:7" x14ac:dyDescent="0.3">
      <c r="A37" t="str">
        <f>Rangliste!B37</f>
        <v>Faraz Ahmed</v>
      </c>
      <c r="B37">
        <f>Rangliste!F37</f>
        <v>112009</v>
      </c>
      <c r="C37">
        <f>Rangliste!A37</f>
        <v>36</v>
      </c>
      <c r="D37">
        <f>Rangliste!T37</f>
        <v>151.6</v>
      </c>
      <c r="E37" t="str">
        <f>IF(Rangliste!E37="M","HE","DE")</f>
        <v>HE</v>
      </c>
      <c r="F37" t="str">
        <f>IF(Rangliste!E37="M","HD","DD")</f>
        <v>HD</v>
      </c>
      <c r="G37" t="s">
        <v>649</v>
      </c>
    </row>
    <row r="38" spans="1:7" x14ac:dyDescent="0.3">
      <c r="A38" t="str">
        <f>Rangliste!B38</f>
        <v>Kiril Barthel</v>
      </c>
      <c r="B38">
        <f>Rangliste!F38</f>
        <v>108669</v>
      </c>
      <c r="C38">
        <f>Rangliste!A38</f>
        <v>37</v>
      </c>
      <c r="D38">
        <f>Rangliste!T38</f>
        <v>148.4</v>
      </c>
      <c r="E38" t="str">
        <f>IF(Rangliste!E38="M","HE","DE")</f>
        <v>HE</v>
      </c>
      <c r="F38" t="str">
        <f>IF(Rangliste!E38="M","HD","DD")</f>
        <v>HD</v>
      </c>
      <c r="G38" t="s">
        <v>649</v>
      </c>
    </row>
    <row r="39" spans="1:7" x14ac:dyDescent="0.3">
      <c r="A39" t="str">
        <f>Rangliste!B39</f>
        <v>Moritz Köstl</v>
      </c>
      <c r="B39" t="str">
        <f>Rangliste!F39</f>
        <v>112350</v>
      </c>
      <c r="C39">
        <f>Rangliste!A39</f>
        <v>38</v>
      </c>
      <c r="D39">
        <f>Rangliste!T39</f>
        <v>147.80000000000001</v>
      </c>
      <c r="E39" t="str">
        <f>IF(Rangliste!E39="M","HE","DE")</f>
        <v>HE</v>
      </c>
      <c r="F39" t="str">
        <f>IF(Rangliste!E39="M","HD","DD")</f>
        <v>HD</v>
      </c>
      <c r="G39" t="s">
        <v>649</v>
      </c>
    </row>
    <row r="40" spans="1:7" x14ac:dyDescent="0.3">
      <c r="A40" t="str">
        <f>Rangliste!B40</f>
        <v>Aleksandar Zaharieski</v>
      </c>
      <c r="B40">
        <f>Rangliste!F40</f>
        <v>110927</v>
      </c>
      <c r="C40">
        <f>Rangliste!A40</f>
        <v>39</v>
      </c>
      <c r="D40">
        <f>Rangliste!T40</f>
        <v>147.4</v>
      </c>
      <c r="E40" t="str">
        <f>IF(Rangliste!E40="M","HE","DE")</f>
        <v>HE</v>
      </c>
      <c r="F40" t="str">
        <f>IF(Rangliste!E40="M","HD","DD")</f>
        <v>HD</v>
      </c>
      <c r="G40" t="s">
        <v>649</v>
      </c>
    </row>
    <row r="41" spans="1:7" x14ac:dyDescent="0.3">
      <c r="A41" t="str">
        <f>Rangliste!B41</f>
        <v>Felix Rädle</v>
      </c>
      <c r="B41">
        <f>Rangliste!F41</f>
        <v>208574</v>
      </c>
      <c r="C41">
        <f>Rangliste!A41</f>
        <v>40</v>
      </c>
      <c r="D41">
        <f>Rangliste!T41</f>
        <v>146.9</v>
      </c>
      <c r="E41" t="str">
        <f>IF(Rangliste!E41="M","HE","DE")</f>
        <v>HE</v>
      </c>
      <c r="F41" t="str">
        <f>IF(Rangliste!E41="M","HD","DD")</f>
        <v>HD</v>
      </c>
      <c r="G41" t="s">
        <v>649</v>
      </c>
    </row>
    <row r="42" spans="1:7" x14ac:dyDescent="0.3">
      <c r="A42" t="str">
        <f>Rangliste!B42</f>
        <v>Rafael Burian</v>
      </c>
      <c r="B42" t="str">
        <f>Rangliste!F42</f>
        <v>900260</v>
      </c>
      <c r="C42">
        <f>Rangliste!A42</f>
        <v>41</v>
      </c>
      <c r="D42">
        <f>Rangliste!T42</f>
        <v>146.80000000000001</v>
      </c>
      <c r="E42" t="str">
        <f>IF(Rangliste!E42="M","HE","DE")</f>
        <v>HE</v>
      </c>
      <c r="F42" t="str">
        <f>IF(Rangliste!E42="M","HD","DD")</f>
        <v>HD</v>
      </c>
      <c r="G42" t="s">
        <v>649</v>
      </c>
    </row>
    <row r="43" spans="1:7" x14ac:dyDescent="0.3">
      <c r="A43" t="str">
        <f>Rangliste!B43</f>
        <v>Maximilian Wegenstein</v>
      </c>
      <c r="B43">
        <f>Rangliste!F43</f>
        <v>110347</v>
      </c>
      <c r="C43">
        <f>Rangliste!A43</f>
        <v>42</v>
      </c>
      <c r="D43">
        <f>Rangliste!T43</f>
        <v>145</v>
      </c>
      <c r="E43" t="str">
        <f>IF(Rangliste!E43="M","HE","DE")</f>
        <v>HE</v>
      </c>
      <c r="F43" t="str">
        <f>IF(Rangliste!E43="M","HD","DD")</f>
        <v>HD</v>
      </c>
      <c r="G43" t="s">
        <v>649</v>
      </c>
    </row>
    <row r="44" spans="1:7" x14ac:dyDescent="0.3">
      <c r="A44" t="str">
        <f>Rangliste!B44</f>
        <v>Dimitrij Wolgin</v>
      </c>
      <c r="B44">
        <f>Rangliste!F44</f>
        <v>207514</v>
      </c>
      <c r="C44">
        <f>Rangliste!A44</f>
        <v>43</v>
      </c>
      <c r="D44">
        <f>Rangliste!T44</f>
        <v>144.6</v>
      </c>
      <c r="E44" t="str">
        <f>IF(Rangliste!E44="M","HE","DE")</f>
        <v>HE</v>
      </c>
      <c r="F44" t="str">
        <f>IF(Rangliste!E44="M","HD","DD")</f>
        <v>HD</v>
      </c>
      <c r="G44" t="s">
        <v>649</v>
      </c>
    </row>
    <row r="45" spans="1:7" x14ac:dyDescent="0.3">
      <c r="A45" t="str">
        <f>Rangliste!B45</f>
        <v>Julian Taferl</v>
      </c>
      <c r="B45" t="str">
        <f>Rangliste!F45</f>
        <v>312833</v>
      </c>
      <c r="C45">
        <f>Rangliste!A45</f>
        <v>44</v>
      </c>
      <c r="D45">
        <f>Rangliste!T45</f>
        <v>144.1</v>
      </c>
      <c r="E45" t="str">
        <f>IF(Rangliste!E45="M","HE","DE")</f>
        <v>HE</v>
      </c>
      <c r="F45" t="str">
        <f>IF(Rangliste!E45="M","HD","DD")</f>
        <v>HD</v>
      </c>
      <c r="G45" t="s">
        <v>649</v>
      </c>
    </row>
    <row r="46" spans="1:7" x14ac:dyDescent="0.3">
      <c r="A46" t="str">
        <f>Rangliste!B46</f>
        <v>Josua Zeilerbauer</v>
      </c>
      <c r="B46">
        <f>Rangliste!F46</f>
        <v>208174</v>
      </c>
      <c r="C46">
        <f>Rangliste!A46</f>
        <v>45</v>
      </c>
      <c r="D46">
        <f>Rangliste!T46</f>
        <v>142.6</v>
      </c>
      <c r="E46" t="str">
        <f>IF(Rangliste!E46="M","HE","DE")</f>
        <v>HE</v>
      </c>
      <c r="F46" t="str">
        <f>IF(Rangliste!E46="M","HD","DD")</f>
        <v>HD</v>
      </c>
      <c r="G46" t="s">
        <v>649</v>
      </c>
    </row>
    <row r="47" spans="1:7" x14ac:dyDescent="0.3">
      <c r="A47" t="str">
        <f>Rangliste!B47</f>
        <v>Felix Lamplmaier</v>
      </c>
      <c r="B47">
        <f>Rangliste!F47</f>
        <v>209013</v>
      </c>
      <c r="C47">
        <f>Rangliste!A47</f>
        <v>46</v>
      </c>
      <c r="D47">
        <f>Rangliste!T47</f>
        <v>141.80000000000001</v>
      </c>
      <c r="E47" t="str">
        <f>IF(Rangliste!E47="M","HE","DE")</f>
        <v>HE</v>
      </c>
      <c r="F47" t="str">
        <f>IF(Rangliste!E47="M","HD","DD")</f>
        <v>HD</v>
      </c>
      <c r="G47" t="s">
        <v>649</v>
      </c>
    </row>
    <row r="48" spans="1:7" x14ac:dyDescent="0.3">
      <c r="A48" t="str">
        <f>Rangliste!B48</f>
        <v>Emil Fathulla</v>
      </c>
      <c r="B48" t="str">
        <f>Rangliste!F48</f>
        <v>112187</v>
      </c>
      <c r="C48">
        <f>Rangliste!A48</f>
        <v>47</v>
      </c>
      <c r="D48">
        <f>Rangliste!T48</f>
        <v>139.9</v>
      </c>
      <c r="E48" t="str">
        <f>IF(Rangliste!E48="M","HE","DE")</f>
        <v>HE</v>
      </c>
      <c r="F48" t="str">
        <f>IF(Rangliste!E48="M","HD","DD")</f>
        <v>HD</v>
      </c>
      <c r="G48" t="s">
        <v>649</v>
      </c>
    </row>
    <row r="49" spans="1:7" x14ac:dyDescent="0.3">
      <c r="A49" t="str">
        <f>Rangliste!B49</f>
        <v>Leon Hausmann</v>
      </c>
      <c r="B49" t="str">
        <f>Rangliste!F49</f>
        <v>207953</v>
      </c>
      <c r="C49">
        <f>Rangliste!A49</f>
        <v>48</v>
      </c>
      <c r="D49">
        <f>Rangliste!T49</f>
        <v>139.4</v>
      </c>
      <c r="E49" t="str">
        <f>IF(Rangliste!E49="M","HE","DE")</f>
        <v>HE</v>
      </c>
      <c r="F49" t="str">
        <f>IF(Rangliste!E49="M","HD","DD")</f>
        <v>HD</v>
      </c>
      <c r="G49" t="s">
        <v>649</v>
      </c>
    </row>
    <row r="50" spans="1:7" x14ac:dyDescent="0.3">
      <c r="A50" t="str">
        <f>Rangliste!B50</f>
        <v>Clemens Braun</v>
      </c>
      <c r="B50" t="str">
        <f>Rangliste!F50</f>
        <v>112207</v>
      </c>
      <c r="C50">
        <f>Rangliste!A50</f>
        <v>49</v>
      </c>
      <c r="D50">
        <f>Rangliste!T50</f>
        <v>139.39999999999998</v>
      </c>
      <c r="E50" t="str">
        <f>IF(Rangliste!E50="M","HE","DE")</f>
        <v>HE</v>
      </c>
      <c r="F50" t="str">
        <f>IF(Rangliste!E50="M","HD","DD")</f>
        <v>HD</v>
      </c>
      <c r="G50" t="s">
        <v>649</v>
      </c>
    </row>
    <row r="51" spans="1:7" x14ac:dyDescent="0.3">
      <c r="A51" t="str">
        <f>Rangliste!B51</f>
        <v>Ilian Reisinger</v>
      </c>
      <c r="B51" t="str">
        <f>Rangliste!F51</f>
        <v>313153</v>
      </c>
      <c r="C51">
        <f>Rangliste!A51</f>
        <v>50</v>
      </c>
      <c r="D51">
        <f>Rangliste!T51</f>
        <v>139.19999999999999</v>
      </c>
      <c r="E51" t="str">
        <f>IF(Rangliste!E51="M","HE","DE")</f>
        <v>HE</v>
      </c>
      <c r="F51" t="str">
        <f>IF(Rangliste!E51="M","HD","DD")</f>
        <v>HD</v>
      </c>
      <c r="G51" t="s">
        <v>649</v>
      </c>
    </row>
    <row r="52" spans="1:7" x14ac:dyDescent="0.3">
      <c r="A52" t="str">
        <f>Rangliste!B52</f>
        <v>Miriam Duchac-Oberndorfer</v>
      </c>
      <c r="B52">
        <f>Rangliste!F52</f>
        <v>109448</v>
      </c>
      <c r="C52">
        <f>Rangliste!A52</f>
        <v>51</v>
      </c>
      <c r="D52">
        <f>Rangliste!T52</f>
        <v>138.80000000000001</v>
      </c>
      <c r="E52" t="str">
        <f>IF(Rangliste!E52="M","HE","DE")</f>
        <v>DE</v>
      </c>
      <c r="F52" t="str">
        <f>IF(Rangliste!E52="M","HD","DD")</f>
        <v>DD</v>
      </c>
      <c r="G52" t="s">
        <v>649</v>
      </c>
    </row>
    <row r="53" spans="1:7" x14ac:dyDescent="0.3">
      <c r="A53" t="str">
        <f>Rangliste!B53</f>
        <v>Wolfgang Scheifinger</v>
      </c>
      <c r="B53">
        <f>Rangliste!F53</f>
        <v>112628</v>
      </c>
      <c r="C53">
        <f>Rangliste!A53</f>
        <v>52</v>
      </c>
      <c r="D53">
        <f>Rangliste!T53</f>
        <v>137.4</v>
      </c>
      <c r="E53" t="str">
        <f>IF(Rangliste!E53="M","HE","DE")</f>
        <v>HE</v>
      </c>
      <c r="F53" t="str">
        <f>IF(Rangliste!E53="M","HD","DD")</f>
        <v>HD</v>
      </c>
      <c r="G53" t="s">
        <v>649</v>
      </c>
    </row>
    <row r="54" spans="1:7" x14ac:dyDescent="0.3">
      <c r="A54" t="str">
        <f>Rangliste!B54</f>
        <v>Alen Sosyan</v>
      </c>
      <c r="B54">
        <f>Rangliste!F54</f>
        <v>109887</v>
      </c>
      <c r="C54">
        <f>Rangliste!A54</f>
        <v>53</v>
      </c>
      <c r="D54">
        <f>Rangliste!T54</f>
        <v>133</v>
      </c>
      <c r="E54" t="str">
        <f>IF(Rangliste!E54="M","HE","DE")</f>
        <v>HE</v>
      </c>
      <c r="F54" t="str">
        <f>IF(Rangliste!E54="M","HD","DD")</f>
        <v>HD</v>
      </c>
      <c r="G54" t="s">
        <v>649</v>
      </c>
    </row>
    <row r="55" spans="1:7" x14ac:dyDescent="0.3">
      <c r="A55" t="str">
        <f>Rangliste!B55</f>
        <v>Ziqi Li</v>
      </c>
      <c r="B55">
        <f>Rangliste!F55</f>
        <v>108611</v>
      </c>
      <c r="C55">
        <f>Rangliste!A55</f>
        <v>54</v>
      </c>
      <c r="D55">
        <f>Rangliste!T55</f>
        <v>132</v>
      </c>
      <c r="E55" t="str">
        <f>IF(Rangliste!E55="M","HE","DE")</f>
        <v>HE</v>
      </c>
      <c r="F55" t="str">
        <f>IF(Rangliste!E55="M","HD","DD")</f>
        <v>HD</v>
      </c>
      <c r="G55" t="s">
        <v>649</v>
      </c>
    </row>
    <row r="56" spans="1:7" x14ac:dyDescent="0.3">
      <c r="A56" t="str">
        <f>Rangliste!B56</f>
        <v>Oscar Hsu</v>
      </c>
      <c r="B56">
        <f>Rangliste!F56</f>
        <v>111847</v>
      </c>
      <c r="C56">
        <f>Rangliste!A56</f>
        <v>55</v>
      </c>
      <c r="D56">
        <f>Rangliste!T56</f>
        <v>131.5</v>
      </c>
      <c r="E56" t="str">
        <f>IF(Rangliste!E56="M","HE","DE")</f>
        <v>HE</v>
      </c>
      <c r="F56" t="str">
        <f>IF(Rangliste!E56="M","HD","DD")</f>
        <v>HD</v>
      </c>
      <c r="G56" t="s">
        <v>649</v>
      </c>
    </row>
    <row r="57" spans="1:7" x14ac:dyDescent="0.3">
      <c r="A57" t="str">
        <f>Rangliste!B57</f>
        <v>Zhenhui Tang</v>
      </c>
      <c r="B57">
        <f>Rangliste!F57</f>
        <v>17887</v>
      </c>
      <c r="C57">
        <f>Rangliste!A57</f>
        <v>56</v>
      </c>
      <c r="D57">
        <f>Rangliste!T57</f>
        <v>130.79999999999998</v>
      </c>
      <c r="E57" t="str">
        <f>IF(Rangliste!E57="M","HE","DE")</f>
        <v>HE</v>
      </c>
      <c r="F57" t="str">
        <f>IF(Rangliste!E57="M","HD","DD")</f>
        <v>HD</v>
      </c>
      <c r="G57" t="s">
        <v>649</v>
      </c>
    </row>
    <row r="58" spans="1:7" x14ac:dyDescent="0.3">
      <c r="A58" t="str">
        <f>Rangliste!B58</f>
        <v>Matthias Trimmel</v>
      </c>
      <c r="B58">
        <f>Rangliste!F58</f>
        <v>26274</v>
      </c>
      <c r="C58">
        <f>Rangliste!A58</f>
        <v>57</v>
      </c>
      <c r="D58">
        <f>Rangliste!T58</f>
        <v>130.79999999999998</v>
      </c>
      <c r="E58" t="str">
        <f>IF(Rangliste!E58="M","HE","DE")</f>
        <v>HE</v>
      </c>
      <c r="F58" t="str">
        <f>IF(Rangliste!E58="M","HD","DD")</f>
        <v>HD</v>
      </c>
      <c r="G58" t="s">
        <v>649</v>
      </c>
    </row>
    <row r="59" spans="1:7" x14ac:dyDescent="0.3">
      <c r="A59" t="str">
        <f>Rangliste!B59</f>
        <v>Ricky Chen</v>
      </c>
      <c r="B59">
        <f>Rangliste!F59</f>
        <v>17827</v>
      </c>
      <c r="C59">
        <f>Rangliste!A59</f>
        <v>58</v>
      </c>
      <c r="D59">
        <f>Rangliste!T59</f>
        <v>128.4</v>
      </c>
      <c r="E59" t="str">
        <f>IF(Rangliste!E59="M","HE","DE")</f>
        <v>HE</v>
      </c>
      <c r="F59" t="str">
        <f>IF(Rangliste!E59="M","HD","DD")</f>
        <v>HD</v>
      </c>
      <c r="G59" t="s">
        <v>649</v>
      </c>
    </row>
    <row r="60" spans="1:7" x14ac:dyDescent="0.3">
      <c r="A60" t="str">
        <f>Rangliste!B60</f>
        <v>Frederik Braun</v>
      </c>
      <c r="B60">
        <f>Rangliste!F60</f>
        <v>112108</v>
      </c>
      <c r="C60">
        <f>Rangliste!A60</f>
        <v>59</v>
      </c>
      <c r="D60">
        <f>Rangliste!T60</f>
        <v>126.4</v>
      </c>
      <c r="E60" t="str">
        <f>IF(Rangliste!E60="M","HE","DE")</f>
        <v>HE</v>
      </c>
      <c r="F60" t="str">
        <f>IF(Rangliste!E60="M","HD","DD")</f>
        <v>HD</v>
      </c>
      <c r="G60" t="s">
        <v>649</v>
      </c>
    </row>
    <row r="61" spans="1:7" x14ac:dyDescent="0.3">
      <c r="A61" t="str">
        <f>Rangliste!B61</f>
        <v>Mustafa Hussaini</v>
      </c>
      <c r="B61">
        <f>Rangliste!F61</f>
        <v>111527</v>
      </c>
      <c r="C61">
        <f>Rangliste!A61</f>
        <v>60</v>
      </c>
      <c r="D61">
        <f>Rangliste!T61</f>
        <v>124.8</v>
      </c>
      <c r="E61" t="str">
        <f>IF(Rangliste!E61="M","HE","DE")</f>
        <v>HE</v>
      </c>
      <c r="F61" t="str">
        <f>IF(Rangliste!E61="M","HD","DD")</f>
        <v>HD</v>
      </c>
      <c r="G61" t="s">
        <v>649</v>
      </c>
    </row>
    <row r="62" spans="1:7" x14ac:dyDescent="0.3">
      <c r="A62" t="str">
        <f>Rangliste!B62</f>
        <v>Agam Singh</v>
      </c>
      <c r="B62" t="str">
        <f>Rangliste!F62</f>
        <v>112367</v>
      </c>
      <c r="C62">
        <f>Rangliste!A62</f>
        <v>61</v>
      </c>
      <c r="D62">
        <f>Rangliste!T62</f>
        <v>121.8</v>
      </c>
      <c r="E62" t="str">
        <f>IF(Rangliste!E62="M","HE","DE")</f>
        <v>HE</v>
      </c>
      <c r="F62" t="str">
        <f>IF(Rangliste!E62="M","HD","DD")</f>
        <v>HD</v>
      </c>
      <c r="G62" t="s">
        <v>649</v>
      </c>
    </row>
    <row r="63" spans="1:7" x14ac:dyDescent="0.3">
      <c r="A63" t="str">
        <f>Rangliste!B63</f>
        <v>Liam Hammer</v>
      </c>
      <c r="B63" t="str">
        <f>Rangliste!F63</f>
        <v>112627</v>
      </c>
      <c r="C63">
        <f>Rangliste!A63</f>
        <v>62</v>
      </c>
      <c r="D63">
        <f>Rangliste!T63</f>
        <v>121.19999999999999</v>
      </c>
      <c r="E63" t="str">
        <f>IF(Rangliste!E63="M","HE","DE")</f>
        <v>HE</v>
      </c>
      <c r="F63" t="str">
        <f>IF(Rangliste!E63="M","HD","DD")</f>
        <v>HD</v>
      </c>
      <c r="G63" t="s">
        <v>649</v>
      </c>
    </row>
    <row r="64" spans="1:7" x14ac:dyDescent="0.3">
      <c r="A64" t="str">
        <f>Rangliste!B64</f>
        <v>Nikol Odyntsova</v>
      </c>
      <c r="B64">
        <f>Rangliste!F64</f>
        <v>110507</v>
      </c>
      <c r="C64">
        <f>Rangliste!A64</f>
        <v>63</v>
      </c>
      <c r="D64">
        <f>Rangliste!T64</f>
        <v>120</v>
      </c>
      <c r="E64" t="str">
        <f>IF(Rangliste!E64="M","HE","DE")</f>
        <v>DE</v>
      </c>
      <c r="F64" t="str">
        <f>IF(Rangliste!E64="M","HD","DD")</f>
        <v>DD</v>
      </c>
      <c r="G64" t="s">
        <v>649</v>
      </c>
    </row>
    <row r="65" spans="1:7" x14ac:dyDescent="0.3">
      <c r="A65" t="str">
        <f>Rangliste!B65</f>
        <v>Robin Schwaiger</v>
      </c>
      <c r="B65">
        <f>Rangliste!F65</f>
        <v>112176</v>
      </c>
      <c r="C65">
        <f>Rangliste!A65</f>
        <v>64</v>
      </c>
      <c r="D65">
        <f>Rangliste!T65</f>
        <v>119.39999999999999</v>
      </c>
      <c r="E65" t="str">
        <f>IF(Rangliste!E65="M","HE","DE")</f>
        <v>HE</v>
      </c>
      <c r="F65" t="str">
        <f>IF(Rangliste!E65="M","HD","DD")</f>
        <v>HD</v>
      </c>
      <c r="G65" t="s">
        <v>649</v>
      </c>
    </row>
    <row r="66" spans="1:7" x14ac:dyDescent="0.3">
      <c r="A66" t="str">
        <f>Rangliste!B66</f>
        <v>Simon Walter</v>
      </c>
      <c r="B66">
        <f>Rangliste!F66</f>
        <v>209316</v>
      </c>
      <c r="C66">
        <f>Rangliste!A66</f>
        <v>65</v>
      </c>
      <c r="D66">
        <f>Rangliste!T66</f>
        <v>119.19999999999999</v>
      </c>
      <c r="E66" t="str">
        <f>IF(Rangliste!E66="M","HE","DE")</f>
        <v>HE</v>
      </c>
      <c r="F66" t="str">
        <f>IF(Rangliste!E66="M","HD","DD")</f>
        <v>HD</v>
      </c>
      <c r="G66" t="s">
        <v>649</v>
      </c>
    </row>
    <row r="67" spans="1:7" x14ac:dyDescent="0.3">
      <c r="A67" t="str">
        <f>Rangliste!B67</f>
        <v>Nitshada Keawsri</v>
      </c>
      <c r="B67" t="str">
        <f>Rangliste!F67</f>
        <v>112527</v>
      </c>
      <c r="C67">
        <f>Rangliste!A67</f>
        <v>66</v>
      </c>
      <c r="D67">
        <f>Rangliste!T67</f>
        <v>119.1</v>
      </c>
      <c r="E67" t="str">
        <f>IF(Rangliste!E67="M","HE","DE")</f>
        <v>DE</v>
      </c>
      <c r="F67" t="str">
        <f>IF(Rangliste!E67="M","HD","DD")</f>
        <v>DD</v>
      </c>
      <c r="G67" t="s">
        <v>649</v>
      </c>
    </row>
    <row r="68" spans="1:7" x14ac:dyDescent="0.3">
      <c r="A68" t="str">
        <f>Rangliste!B68</f>
        <v>Alexander Huang</v>
      </c>
      <c r="B68">
        <f>Rangliste!F68</f>
        <v>111348</v>
      </c>
      <c r="C68">
        <f>Rangliste!A68</f>
        <v>67</v>
      </c>
      <c r="D68">
        <f>Rangliste!T68</f>
        <v>118.8</v>
      </c>
      <c r="E68" t="str">
        <f>IF(Rangliste!E68="M","HE","DE")</f>
        <v>HE</v>
      </c>
      <c r="F68" t="str">
        <f>IF(Rangliste!E68="M","HD","DD")</f>
        <v>HD</v>
      </c>
      <c r="G68" t="s">
        <v>649</v>
      </c>
    </row>
    <row r="69" spans="1:7" x14ac:dyDescent="0.3">
      <c r="A69" t="str">
        <f>Rangliste!B69</f>
        <v>Luis Burker</v>
      </c>
      <c r="B69">
        <f>Rangliste!F69</f>
        <v>209053</v>
      </c>
      <c r="C69">
        <f>Rangliste!A69</f>
        <v>68</v>
      </c>
      <c r="D69">
        <f>Rangliste!T69</f>
        <v>118.19999999999999</v>
      </c>
      <c r="E69" t="str">
        <f>IF(Rangliste!E69="M","HE","DE")</f>
        <v>HE</v>
      </c>
      <c r="F69" t="str">
        <f>IF(Rangliste!E69="M","HD","DD")</f>
        <v>HD</v>
      </c>
      <c r="G69" t="s">
        <v>649</v>
      </c>
    </row>
    <row r="70" spans="1:7" x14ac:dyDescent="0.3">
      <c r="A70" t="str">
        <f>Rangliste!B70</f>
        <v>Aron Massl</v>
      </c>
      <c r="B70">
        <f>Rangliste!F70</f>
        <v>109608</v>
      </c>
      <c r="C70">
        <f>Rangliste!A70</f>
        <v>69</v>
      </c>
      <c r="D70">
        <f>Rangliste!T70</f>
        <v>117.6</v>
      </c>
      <c r="E70" t="str">
        <f>IF(Rangliste!E70="M","HE","DE")</f>
        <v>HE</v>
      </c>
      <c r="F70" t="str">
        <f>IF(Rangliste!E70="M","HD","DD")</f>
        <v>HD</v>
      </c>
      <c r="G70" t="s">
        <v>649</v>
      </c>
    </row>
    <row r="71" spans="1:7" x14ac:dyDescent="0.3">
      <c r="A71" t="str">
        <f>Rangliste!B71</f>
        <v>Alexander Zadera</v>
      </c>
      <c r="B71">
        <f>Rangliste!F71</f>
        <v>110331</v>
      </c>
      <c r="C71">
        <f>Rangliste!A71</f>
        <v>70</v>
      </c>
      <c r="D71">
        <f>Rangliste!T71</f>
        <v>117</v>
      </c>
      <c r="E71" t="str">
        <f>IF(Rangliste!E71="M","HE","DE")</f>
        <v>HE</v>
      </c>
      <c r="F71" t="str">
        <f>IF(Rangliste!E71="M","HD","DD")</f>
        <v>HD</v>
      </c>
      <c r="G71" t="s">
        <v>649</v>
      </c>
    </row>
    <row r="72" spans="1:7" x14ac:dyDescent="0.3">
      <c r="A72" t="str">
        <f>Rangliste!B72</f>
        <v>Aylin Simone Aktas</v>
      </c>
      <c r="B72" t="str">
        <f>Rangliste!F72</f>
        <v>112528</v>
      </c>
      <c r="C72">
        <f>Rangliste!A72</f>
        <v>71</v>
      </c>
      <c r="D72">
        <f>Rangliste!T72</f>
        <v>116.3</v>
      </c>
      <c r="E72" t="str">
        <f>IF(Rangliste!E72="M","HE","DE")</f>
        <v>DE</v>
      </c>
      <c r="F72" t="str">
        <f>IF(Rangliste!E72="M","HD","DD")</f>
        <v>DD</v>
      </c>
      <c r="G72" t="s">
        <v>649</v>
      </c>
    </row>
    <row r="73" spans="1:7" x14ac:dyDescent="0.3">
      <c r="A73" t="str">
        <f>Rangliste!B73</f>
        <v>Vito Eisenhardt</v>
      </c>
      <c r="B73">
        <f>Rangliste!F73</f>
        <v>109427</v>
      </c>
      <c r="C73">
        <f>Rangliste!A73</f>
        <v>72</v>
      </c>
      <c r="D73">
        <f>Rangliste!T73</f>
        <v>114.9</v>
      </c>
      <c r="E73" t="str">
        <f>IF(Rangliste!E73="M","HE","DE")</f>
        <v>HE</v>
      </c>
      <c r="F73" t="str">
        <f>IF(Rangliste!E73="M","HD","DD")</f>
        <v>HD</v>
      </c>
      <c r="G73" t="s">
        <v>649</v>
      </c>
    </row>
    <row r="74" spans="1:7" x14ac:dyDescent="0.3">
      <c r="A74" t="str">
        <f>Rangliste!B74</f>
        <v>Martin Müller</v>
      </c>
      <c r="B74" t="str">
        <f>Rangliste!F74</f>
        <v>112088</v>
      </c>
      <c r="C74">
        <f>Rangliste!A74</f>
        <v>73</v>
      </c>
      <c r="D74">
        <f>Rangliste!T74</f>
        <v>114.69999999999999</v>
      </c>
      <c r="E74" t="str">
        <f>IF(Rangliste!E74="M","HE","DE")</f>
        <v>HE</v>
      </c>
      <c r="F74" t="str">
        <f>IF(Rangliste!E74="M","HD","DD")</f>
        <v>HD</v>
      </c>
      <c r="G74" t="s">
        <v>649</v>
      </c>
    </row>
    <row r="75" spans="1:7" x14ac:dyDescent="0.3">
      <c r="A75" t="str">
        <f>Rangliste!B75</f>
        <v>Haorui Qu</v>
      </c>
      <c r="B75" t="str">
        <f>Rangliste!F75</f>
        <v>111349</v>
      </c>
      <c r="C75">
        <f>Rangliste!A75</f>
        <v>74</v>
      </c>
      <c r="D75">
        <f>Rangliste!T75</f>
        <v>114</v>
      </c>
      <c r="E75" t="str">
        <f>IF(Rangliste!E75="M","HE","DE")</f>
        <v>HE</v>
      </c>
      <c r="F75" t="str">
        <f>IF(Rangliste!E75="M","HD","DD")</f>
        <v>HD</v>
      </c>
      <c r="G75" t="s">
        <v>649</v>
      </c>
    </row>
    <row r="76" spans="1:7" x14ac:dyDescent="0.3">
      <c r="A76" t="str">
        <f>Rangliste!B76</f>
        <v>Tim Loy</v>
      </c>
      <c r="B76">
        <f>Rangliste!F76</f>
        <v>108748</v>
      </c>
      <c r="C76">
        <f>Rangliste!A76</f>
        <v>75</v>
      </c>
      <c r="D76">
        <f>Rangliste!T76</f>
        <v>113.39999999999999</v>
      </c>
      <c r="E76" t="str">
        <f>IF(Rangliste!E76="M","HE","DE")</f>
        <v>HE</v>
      </c>
      <c r="F76" t="str">
        <f>IF(Rangliste!E76="M","HD","DD")</f>
        <v>HD</v>
      </c>
      <c r="G76" t="s">
        <v>649</v>
      </c>
    </row>
    <row r="77" spans="1:7" x14ac:dyDescent="0.3">
      <c r="A77" t="str">
        <f>Rangliste!B77</f>
        <v>Mia Khaylo</v>
      </c>
      <c r="B77" t="str">
        <f>Rangliste!F77</f>
        <v>112175</v>
      </c>
      <c r="C77">
        <f>Rangliste!A77</f>
        <v>76</v>
      </c>
      <c r="D77">
        <f>Rangliste!T77</f>
        <v>113</v>
      </c>
      <c r="E77" t="str">
        <f>IF(Rangliste!E77="M","HE","DE")</f>
        <v>DE</v>
      </c>
      <c r="F77" t="str">
        <f>IF(Rangliste!E77="M","HD","DD")</f>
        <v>DD</v>
      </c>
      <c r="G77" t="s">
        <v>649</v>
      </c>
    </row>
    <row r="78" spans="1:7" x14ac:dyDescent="0.3">
      <c r="A78" t="str">
        <f>Rangliste!B78</f>
        <v>Linna Dai</v>
      </c>
      <c r="B78">
        <f>Rangliste!F78</f>
        <v>112609</v>
      </c>
      <c r="C78">
        <f>Rangliste!A78</f>
        <v>77</v>
      </c>
      <c r="D78">
        <f>Rangliste!T78</f>
        <v>112.5</v>
      </c>
      <c r="E78" t="str">
        <f>IF(Rangliste!E78="M","HE","DE")</f>
        <v>DE</v>
      </c>
      <c r="F78" t="str">
        <f>IF(Rangliste!E78="M","HD","DD")</f>
        <v>DD</v>
      </c>
      <c r="G78" t="s">
        <v>649</v>
      </c>
    </row>
    <row r="79" spans="1:7" x14ac:dyDescent="0.3">
      <c r="A79" t="str">
        <f>Rangliste!B79</f>
        <v>Vihaan Vishal Sharma</v>
      </c>
      <c r="B79" t="str">
        <f>Rangliste!F79</f>
        <v>112652</v>
      </c>
      <c r="C79">
        <f>Rangliste!A79</f>
        <v>78</v>
      </c>
      <c r="D79">
        <f>Rangliste!T79</f>
        <v>111.3</v>
      </c>
      <c r="E79" t="str">
        <f>IF(Rangliste!E79="M","HE","DE")</f>
        <v>HE</v>
      </c>
      <c r="F79" t="str">
        <f>IF(Rangliste!E79="M","HD","DD")</f>
        <v>HD</v>
      </c>
      <c r="G79" t="s">
        <v>649</v>
      </c>
    </row>
    <row r="80" spans="1:7" x14ac:dyDescent="0.3">
      <c r="A80" t="str">
        <f>Rangliste!B80</f>
        <v>Leonhard Keiler</v>
      </c>
      <c r="B80">
        <f>Rangliste!F80</f>
        <v>110908</v>
      </c>
      <c r="C80">
        <f>Rangliste!A80</f>
        <v>79</v>
      </c>
      <c r="D80">
        <f>Rangliste!T80</f>
        <v>111</v>
      </c>
      <c r="E80" t="str">
        <f>IF(Rangliste!E80="M","HE","DE")</f>
        <v>HE</v>
      </c>
      <c r="F80" t="str">
        <f>IF(Rangliste!E80="M","HD","DD")</f>
        <v>HD</v>
      </c>
      <c r="G80" t="s">
        <v>649</v>
      </c>
    </row>
    <row r="81" spans="1:7" x14ac:dyDescent="0.3">
      <c r="A81" t="str">
        <f>Rangliste!B81</f>
        <v>Anesia Brar</v>
      </c>
      <c r="B81" t="str">
        <f>Rangliste!F81</f>
        <v>112090</v>
      </c>
      <c r="C81">
        <f>Rangliste!A81</f>
        <v>80</v>
      </c>
      <c r="D81">
        <f>Rangliste!T81</f>
        <v>110</v>
      </c>
      <c r="E81" t="str">
        <f>IF(Rangliste!E81="M","HE","DE")</f>
        <v>DE</v>
      </c>
      <c r="F81" t="str">
        <f>IF(Rangliste!E81="M","HD","DD")</f>
        <v>DD</v>
      </c>
      <c r="G81" t="s">
        <v>649</v>
      </c>
    </row>
    <row r="82" spans="1:7" x14ac:dyDescent="0.3">
      <c r="A82" t="str">
        <f>Rangliste!B82</f>
        <v>Tim Jeitler</v>
      </c>
      <c r="B82">
        <f>Rangliste!F82</f>
        <v>208653</v>
      </c>
      <c r="C82">
        <f>Rangliste!A82</f>
        <v>81</v>
      </c>
      <c r="D82">
        <f>Rangliste!T82</f>
        <v>109.8</v>
      </c>
      <c r="E82" t="str">
        <f>IF(Rangliste!E82="M","HE","DE")</f>
        <v>HE</v>
      </c>
      <c r="F82" t="str">
        <f>IF(Rangliste!E82="M","HD","DD")</f>
        <v>HD</v>
      </c>
      <c r="G82" t="s">
        <v>649</v>
      </c>
    </row>
    <row r="83" spans="1:7" x14ac:dyDescent="0.3">
      <c r="A83" t="str">
        <f>Rangliste!B83</f>
        <v>Agampreet Singh</v>
      </c>
      <c r="B83">
        <f>Rangliste!F83</f>
        <v>112367</v>
      </c>
      <c r="C83">
        <f>Rangliste!A83</f>
        <v>82</v>
      </c>
      <c r="D83">
        <f>Rangliste!T83</f>
        <v>108</v>
      </c>
      <c r="E83" t="str">
        <f>IF(Rangliste!E83="M","HE","DE")</f>
        <v>HE</v>
      </c>
      <c r="F83" t="str">
        <f>IF(Rangliste!E83="M","HD","DD")</f>
        <v>HD</v>
      </c>
      <c r="G83" t="s">
        <v>649</v>
      </c>
    </row>
    <row r="84" spans="1:7" x14ac:dyDescent="0.3">
      <c r="A84" t="str">
        <f>Rangliste!B84</f>
        <v>Paul Khaylo</v>
      </c>
      <c r="B84" t="str">
        <f>Rangliste!F84</f>
        <v>112649</v>
      </c>
      <c r="C84">
        <f>Rangliste!A84</f>
        <v>83</v>
      </c>
      <c r="D84">
        <f>Rangliste!T84</f>
        <v>107.6</v>
      </c>
      <c r="E84" t="str">
        <f>IF(Rangliste!E84="M","HE","DE")</f>
        <v>HE</v>
      </c>
      <c r="F84" t="str">
        <f>IF(Rangliste!E84="M","HD","DD")</f>
        <v>HD</v>
      </c>
      <c r="G84" t="s">
        <v>649</v>
      </c>
    </row>
    <row r="85" spans="1:7" x14ac:dyDescent="0.3">
      <c r="A85" t="str">
        <f>Rangliste!B85</f>
        <v>Fabian Müller</v>
      </c>
      <c r="B85" t="str">
        <f>Rangliste!F85</f>
        <v>112087</v>
      </c>
      <c r="C85">
        <f>Rangliste!A85</f>
        <v>84</v>
      </c>
      <c r="D85">
        <f>Rangliste!T85</f>
        <v>107</v>
      </c>
      <c r="E85" t="str">
        <f>IF(Rangliste!E85="M","HE","DE")</f>
        <v>HE</v>
      </c>
      <c r="F85" t="str">
        <f>IF(Rangliste!E85="M","HD","DD")</f>
        <v>HD</v>
      </c>
      <c r="G85" t="s">
        <v>649</v>
      </c>
    </row>
    <row r="86" spans="1:7" x14ac:dyDescent="0.3">
      <c r="A86" t="str">
        <f>Rangliste!B86</f>
        <v>Mae Rädle</v>
      </c>
      <c r="B86">
        <f>Rangliste!F86</f>
        <v>208573</v>
      </c>
      <c r="C86">
        <f>Rangliste!A86</f>
        <v>85</v>
      </c>
      <c r="D86">
        <f>Rangliste!T86</f>
        <v>104.39999999999999</v>
      </c>
      <c r="E86" t="str">
        <f>IF(Rangliste!E86="M","HE","DE")</f>
        <v>DE</v>
      </c>
      <c r="F86" t="str">
        <f>IF(Rangliste!E86="M","HD","DD")</f>
        <v>DD</v>
      </c>
      <c r="G86" t="s">
        <v>649</v>
      </c>
    </row>
    <row r="87" spans="1:7" x14ac:dyDescent="0.3">
      <c r="A87" t="str">
        <f>Rangliste!B87</f>
        <v>Emma Schuster</v>
      </c>
      <c r="B87">
        <f>Rangliste!F87</f>
        <v>209113</v>
      </c>
      <c r="C87">
        <f>Rangliste!A87</f>
        <v>86</v>
      </c>
      <c r="D87">
        <f>Rangliste!T87</f>
        <v>104.39999999999999</v>
      </c>
      <c r="E87" t="str">
        <f>IF(Rangliste!E87="M","HE","DE")</f>
        <v>DE</v>
      </c>
      <c r="F87" t="str">
        <f>IF(Rangliste!E87="M","HD","DD")</f>
        <v>DD</v>
      </c>
      <c r="G87" t="s">
        <v>649</v>
      </c>
    </row>
    <row r="88" spans="1:7" x14ac:dyDescent="0.3">
      <c r="A88" t="str">
        <f>Rangliste!B88</f>
        <v>Anton Baier</v>
      </c>
      <c r="B88" t="str">
        <f>Rangliste!F88</f>
        <v>112089</v>
      </c>
      <c r="C88">
        <f>Rangliste!A88</f>
        <v>87</v>
      </c>
      <c r="D88">
        <f>Rangliste!T88</f>
        <v>103.8</v>
      </c>
      <c r="E88" t="str">
        <f>IF(Rangliste!E88="M","HE","DE")</f>
        <v>HE</v>
      </c>
      <c r="F88" t="str">
        <f>IF(Rangliste!E88="M","HD","DD")</f>
        <v>HD</v>
      </c>
      <c r="G88" t="s">
        <v>649</v>
      </c>
    </row>
    <row r="89" spans="1:7" x14ac:dyDescent="0.3">
      <c r="A89" t="str">
        <f>Rangliste!B89</f>
        <v>Pearl Panthiye Gedara</v>
      </c>
      <c r="B89">
        <f>Rangliste!F89</f>
        <v>208956</v>
      </c>
      <c r="C89">
        <f>Rangliste!A89</f>
        <v>88</v>
      </c>
      <c r="D89">
        <f>Rangliste!T89</f>
        <v>101.39999999999999</v>
      </c>
      <c r="E89" t="str">
        <f>IF(Rangliste!E89="M","HE","DE")</f>
        <v>DE</v>
      </c>
      <c r="F89" t="str">
        <f>IF(Rangliste!E89="M","HD","DD")</f>
        <v>DD</v>
      </c>
      <c r="G89" t="s">
        <v>649</v>
      </c>
    </row>
    <row r="90" spans="1:7" x14ac:dyDescent="0.3">
      <c r="A90" t="str">
        <f>Rangliste!B90</f>
        <v>Antonio Garcia Strzeletz</v>
      </c>
      <c r="B90" t="str">
        <f>Rangliste!F90</f>
        <v>112471</v>
      </c>
      <c r="C90">
        <f>Rangliste!A90</f>
        <v>89</v>
      </c>
      <c r="D90">
        <f>Rangliste!T90</f>
        <v>100.4</v>
      </c>
      <c r="E90" t="str">
        <f>IF(Rangliste!E90="M","HE","DE")</f>
        <v>HE</v>
      </c>
      <c r="F90" t="str">
        <f>IF(Rangliste!E90="M","HD","DD")</f>
        <v>HD</v>
      </c>
      <c r="G90" t="s">
        <v>649</v>
      </c>
    </row>
    <row r="91" spans="1:7" x14ac:dyDescent="0.3">
      <c r="A91" t="str">
        <f>Rangliste!B91</f>
        <v>Mia Gindulin</v>
      </c>
      <c r="B91">
        <f>Rangliste!F91</f>
        <v>26273</v>
      </c>
      <c r="C91">
        <f>Rangliste!A91</f>
        <v>90</v>
      </c>
      <c r="D91">
        <f>Rangliste!T91</f>
        <v>100</v>
      </c>
      <c r="E91" t="str">
        <f>IF(Rangliste!E91="M","HE","DE")</f>
        <v>DE</v>
      </c>
      <c r="F91" t="str">
        <f>IF(Rangliste!E91="M","HD","DD")</f>
        <v>DD</v>
      </c>
      <c r="G91" t="s">
        <v>649</v>
      </c>
    </row>
    <row r="92" spans="1:7" x14ac:dyDescent="0.3">
      <c r="A92" t="str">
        <f>Rangliste!B92</f>
        <v>Felix Österreicher</v>
      </c>
      <c r="B92" t="str">
        <f>Rangliste!F92</f>
        <v>310653</v>
      </c>
      <c r="C92">
        <f>Rangliste!A92</f>
        <v>91</v>
      </c>
      <c r="D92">
        <f>Rangliste!T92</f>
        <v>100</v>
      </c>
      <c r="E92" t="str">
        <f>IF(Rangliste!E92="M","HE","DE")</f>
        <v>HE</v>
      </c>
      <c r="F92" t="str">
        <f>IF(Rangliste!E92="M","HD","DD")</f>
        <v>HD</v>
      </c>
      <c r="G92" t="s">
        <v>649</v>
      </c>
    </row>
    <row r="93" spans="1:7" x14ac:dyDescent="0.3">
      <c r="A93" t="str">
        <f>Rangliste!B93</f>
        <v>Fabian Faller</v>
      </c>
      <c r="B93">
        <f>Rangliste!F93</f>
        <v>111229</v>
      </c>
      <c r="C93">
        <f>Rangliste!A93</f>
        <v>92</v>
      </c>
      <c r="D93">
        <f>Rangliste!T93</f>
        <v>99</v>
      </c>
      <c r="E93" t="str">
        <f>IF(Rangliste!E93="M","HE","DE")</f>
        <v>HE</v>
      </c>
      <c r="F93" t="str">
        <f>IF(Rangliste!E93="M","HD","DD")</f>
        <v>HD</v>
      </c>
      <c r="G93" t="s">
        <v>649</v>
      </c>
    </row>
    <row r="94" spans="1:7" x14ac:dyDescent="0.3">
      <c r="A94" t="str">
        <f>Rangliste!B94</f>
        <v>Lisa Gindulin</v>
      </c>
      <c r="B94">
        <f>Rangliste!F94</f>
        <v>206893</v>
      </c>
      <c r="C94">
        <f>Rangliste!A94</f>
        <v>93</v>
      </c>
      <c r="D94">
        <f>Rangliste!T94</f>
        <v>99</v>
      </c>
      <c r="E94" t="str">
        <f>IF(Rangliste!E94="M","HE","DE")</f>
        <v>DE</v>
      </c>
      <c r="F94" t="str">
        <f>IF(Rangliste!E94="M","HD","DD")</f>
        <v>DD</v>
      </c>
      <c r="G94" t="s">
        <v>649</v>
      </c>
    </row>
    <row r="95" spans="1:7" x14ac:dyDescent="0.3">
      <c r="A95" t="str">
        <f>Rangliste!B95</f>
        <v>Benjamin Nagy</v>
      </c>
      <c r="B95" t="str">
        <f>Rangliste!F95</f>
        <v>112207</v>
      </c>
      <c r="C95">
        <f>Rangliste!A95</f>
        <v>94</v>
      </c>
      <c r="D95">
        <f>Rangliste!T95</f>
        <v>98.8</v>
      </c>
      <c r="E95" t="str">
        <f>IF(Rangliste!E95="M","HE","DE")</f>
        <v>HE</v>
      </c>
      <c r="F95" t="str">
        <f>IF(Rangliste!E95="M","HD","DD")</f>
        <v>HD</v>
      </c>
      <c r="G95" t="s">
        <v>649</v>
      </c>
    </row>
    <row r="96" spans="1:7" x14ac:dyDescent="0.3">
      <c r="A96" t="str">
        <f>Rangliste!B96</f>
        <v>Yinuo Chen</v>
      </c>
      <c r="B96" t="str">
        <f>Rangliste!F96</f>
        <v>112608</v>
      </c>
      <c r="C96">
        <f>Rangliste!A96</f>
        <v>95</v>
      </c>
      <c r="D96">
        <f>Rangliste!T96</f>
        <v>98.6</v>
      </c>
      <c r="E96" t="str">
        <f>IF(Rangliste!E96="M","HE","DE")</f>
        <v>DE</v>
      </c>
      <c r="F96" t="str">
        <f>IF(Rangliste!E96="M","HD","DD")</f>
        <v>DD</v>
      </c>
      <c r="G96" t="s">
        <v>649</v>
      </c>
    </row>
    <row r="97" spans="1:7" x14ac:dyDescent="0.3">
      <c r="A97" t="str">
        <f>Rangliste!B97</f>
        <v>Yunqi Yang</v>
      </c>
      <c r="B97" t="str">
        <f>Rangliste!F97</f>
        <v>111370</v>
      </c>
      <c r="C97">
        <f>Rangliste!A97</f>
        <v>96</v>
      </c>
      <c r="D97">
        <f>Rangliste!T97</f>
        <v>98.399999999999991</v>
      </c>
      <c r="E97" t="str">
        <f>IF(Rangliste!E97="M","HE","DE")</f>
        <v>DE</v>
      </c>
      <c r="F97" t="str">
        <f>IF(Rangliste!E97="M","HD","DD")</f>
        <v>DD</v>
      </c>
      <c r="G97" t="s">
        <v>649</v>
      </c>
    </row>
    <row r="98" spans="1:7" x14ac:dyDescent="0.3">
      <c r="A98" t="str">
        <f>Rangliste!B98</f>
        <v>Louis Liu</v>
      </c>
      <c r="B98">
        <f>Rangliste!F98</f>
        <v>109708</v>
      </c>
      <c r="C98">
        <f>Rangliste!A98</f>
        <v>97</v>
      </c>
      <c r="D98">
        <f>Rangliste!T98</f>
        <v>98</v>
      </c>
      <c r="E98" t="str">
        <f>IF(Rangliste!E98="M","HE","DE")</f>
        <v>HE</v>
      </c>
      <c r="F98" t="str">
        <f>IF(Rangliste!E98="M","HD","DD")</f>
        <v>HD</v>
      </c>
      <c r="G98" t="s">
        <v>649</v>
      </c>
    </row>
    <row r="99" spans="1:7" x14ac:dyDescent="0.3">
      <c r="A99" t="str">
        <f>Rangliste!B99</f>
        <v>Maximilian Grünwald</v>
      </c>
      <c r="B99" t="str">
        <f>Rangliste!F99</f>
        <v>313517</v>
      </c>
      <c r="C99">
        <f>Rangliste!A99</f>
        <v>98</v>
      </c>
      <c r="D99">
        <f>Rangliste!T99</f>
        <v>98</v>
      </c>
      <c r="E99" t="str">
        <f>IF(Rangliste!E99="M","HE","DE")</f>
        <v>HE</v>
      </c>
      <c r="F99" t="str">
        <f>IF(Rangliste!E99="M","HD","DD")</f>
        <v>HD</v>
      </c>
      <c r="G99" t="s">
        <v>649</v>
      </c>
    </row>
    <row r="100" spans="1:7" x14ac:dyDescent="0.3">
      <c r="A100" t="str">
        <f>Rangliste!B100</f>
        <v>Dominika Sobotova</v>
      </c>
      <c r="B100">
        <f>Rangliste!F100</f>
        <v>0</v>
      </c>
      <c r="C100">
        <f>Rangliste!A100</f>
        <v>99</v>
      </c>
      <c r="D100">
        <f>Rangliste!T100</f>
        <v>97.5</v>
      </c>
      <c r="E100" t="str">
        <f>IF(Rangliste!E100="M","HE","DE")</f>
        <v>DE</v>
      </c>
      <c r="F100" t="str">
        <f>IF(Rangliste!E100="M","HD","DD")</f>
        <v>DD</v>
      </c>
      <c r="G100" t="s">
        <v>649</v>
      </c>
    </row>
    <row r="101" spans="1:7" x14ac:dyDescent="0.3">
      <c r="A101" t="str">
        <f>Rangliste!B101</f>
        <v>Mario Mitterer</v>
      </c>
      <c r="B101">
        <f>Rangliste!F101</f>
        <v>26593</v>
      </c>
      <c r="C101">
        <f>Rangliste!A101</f>
        <v>100</v>
      </c>
      <c r="D101">
        <f>Rangliste!T101</f>
        <v>97</v>
      </c>
      <c r="E101" t="str">
        <f>IF(Rangliste!E101="M","HE","DE")</f>
        <v>HE</v>
      </c>
      <c r="F101" t="str">
        <f>IF(Rangliste!E101="M","HD","DD")</f>
        <v>HD</v>
      </c>
      <c r="G101" t="s">
        <v>649</v>
      </c>
    </row>
    <row r="102" spans="1:7" x14ac:dyDescent="0.3">
      <c r="A102" t="str">
        <f>Rangliste!B102</f>
        <v>Jannik Neulinger</v>
      </c>
      <c r="B102">
        <f>Rangliste!F102</f>
        <v>26595</v>
      </c>
      <c r="C102">
        <f>Rangliste!A102</f>
        <v>101</v>
      </c>
      <c r="D102">
        <f>Rangliste!T102</f>
        <v>97</v>
      </c>
      <c r="E102" t="str">
        <f>IF(Rangliste!E102="M","HE","DE")</f>
        <v>HE</v>
      </c>
      <c r="F102" t="str">
        <f>IF(Rangliste!E102="M","HD","DD")</f>
        <v>HD</v>
      </c>
      <c r="G102" t="s">
        <v>649</v>
      </c>
    </row>
    <row r="103" spans="1:7" x14ac:dyDescent="0.3">
      <c r="A103" t="str">
        <f>Rangliste!B103</f>
        <v>Max Xia</v>
      </c>
      <c r="B103">
        <f>Rangliste!F103</f>
        <v>110727</v>
      </c>
      <c r="C103">
        <f>Rangliste!A103</f>
        <v>102</v>
      </c>
      <c r="D103">
        <f>Rangliste!T103</f>
        <v>96.5</v>
      </c>
      <c r="E103" t="str">
        <f>IF(Rangliste!E103="M","HE","DE")</f>
        <v>HE</v>
      </c>
      <c r="F103" t="str">
        <f>IF(Rangliste!E103="M","HD","DD")</f>
        <v>HD</v>
      </c>
      <c r="G103" t="s">
        <v>649</v>
      </c>
    </row>
    <row r="104" spans="1:7" x14ac:dyDescent="0.3">
      <c r="A104" t="str">
        <f>Rangliste!B104</f>
        <v>Michaela Shi</v>
      </c>
      <c r="B104">
        <f>Rangliste!F104</f>
        <v>109988</v>
      </c>
      <c r="C104">
        <f>Rangliste!A104</f>
        <v>103</v>
      </c>
      <c r="D104">
        <f>Rangliste!T104</f>
        <v>96.5</v>
      </c>
      <c r="E104" t="str">
        <f>IF(Rangliste!E104="M","HE","DE")</f>
        <v>DE</v>
      </c>
      <c r="F104" t="str">
        <f>IF(Rangliste!E104="M","HD","DD")</f>
        <v>DD</v>
      </c>
      <c r="G104" t="s">
        <v>649</v>
      </c>
    </row>
    <row r="105" spans="1:7" x14ac:dyDescent="0.3">
      <c r="A105" t="str">
        <f>Rangliste!B105</f>
        <v>Lukas Buschenreithner</v>
      </c>
      <c r="B105" t="str">
        <f>Rangliste!F105</f>
        <v>26597</v>
      </c>
      <c r="C105">
        <f>Rangliste!A105</f>
        <v>104</v>
      </c>
      <c r="D105">
        <f>Rangliste!T105</f>
        <v>95.5</v>
      </c>
      <c r="E105" t="str">
        <f>IF(Rangliste!E105="M","HE","DE")</f>
        <v>HE</v>
      </c>
      <c r="F105" t="str">
        <f>IF(Rangliste!E105="M","HD","DD")</f>
        <v>HD</v>
      </c>
      <c r="G105" t="s">
        <v>649</v>
      </c>
    </row>
    <row r="106" spans="1:7" x14ac:dyDescent="0.3">
      <c r="A106" t="str">
        <f>Rangliste!B106</f>
        <v>Tobias Lindorfer</v>
      </c>
      <c r="B106">
        <f>Rangliste!F106</f>
        <v>206894</v>
      </c>
      <c r="C106">
        <f>Rangliste!A106</f>
        <v>105</v>
      </c>
      <c r="D106">
        <f>Rangliste!T106</f>
        <v>94.5</v>
      </c>
      <c r="E106" t="str">
        <f>IF(Rangliste!E106="M","HE","DE")</f>
        <v>HE</v>
      </c>
      <c r="F106" t="str">
        <f>IF(Rangliste!E106="M","HD","DD")</f>
        <v>HD</v>
      </c>
      <c r="G106" t="s">
        <v>649</v>
      </c>
    </row>
    <row r="107" spans="1:7" x14ac:dyDescent="0.3">
      <c r="A107" t="str">
        <f>Rangliste!B107</f>
        <v>Henrik Novi</v>
      </c>
      <c r="B107">
        <f>Rangliste!F107</f>
        <v>108969</v>
      </c>
      <c r="C107">
        <f>Rangliste!A107</f>
        <v>106</v>
      </c>
      <c r="D107">
        <f>Rangliste!T107</f>
        <v>94.5</v>
      </c>
      <c r="E107" t="str">
        <f>IF(Rangliste!E107="M","HE","DE")</f>
        <v>HE</v>
      </c>
      <c r="F107" t="str">
        <f>IF(Rangliste!E107="M","HD","DD")</f>
        <v>HD</v>
      </c>
      <c r="G107" t="s">
        <v>649</v>
      </c>
    </row>
    <row r="108" spans="1:7" x14ac:dyDescent="0.3">
      <c r="A108" t="str">
        <f>Rangliste!B108</f>
        <v>Robin Schweiger</v>
      </c>
      <c r="B108" t="str">
        <f>Rangliste!F108</f>
        <v>112176</v>
      </c>
      <c r="C108">
        <f>Rangliste!A108</f>
        <v>107</v>
      </c>
      <c r="D108">
        <f>Rangliste!T108</f>
        <v>92.5</v>
      </c>
      <c r="E108" t="str">
        <f>IF(Rangliste!E108="M","HE","DE")</f>
        <v>HE</v>
      </c>
      <c r="F108" t="str">
        <f>IF(Rangliste!E108="M","HD","DD")</f>
        <v>HD</v>
      </c>
      <c r="G108" t="s">
        <v>649</v>
      </c>
    </row>
    <row r="109" spans="1:7" x14ac:dyDescent="0.3">
      <c r="A109" t="str">
        <f>Rangliste!B109</f>
        <v>Daniel Reiter</v>
      </c>
      <c r="B109" t="str">
        <f>Rangliste!F109</f>
        <v>26594</v>
      </c>
      <c r="C109">
        <f>Rangliste!A109</f>
        <v>108</v>
      </c>
      <c r="D109">
        <f>Rangliste!T109</f>
        <v>92.5</v>
      </c>
      <c r="E109" t="str">
        <f>IF(Rangliste!E109="M","HE","DE")</f>
        <v>HE</v>
      </c>
      <c r="F109" t="str">
        <f>IF(Rangliste!E109="M","HD","DD")</f>
        <v>HD</v>
      </c>
      <c r="G109" t="s">
        <v>649</v>
      </c>
    </row>
    <row r="110" spans="1:7" x14ac:dyDescent="0.3">
      <c r="A110" t="str">
        <f>Rangliste!B110</f>
        <v>Lara Burian</v>
      </c>
      <c r="B110">
        <f>Rangliste!F110</f>
        <v>900380</v>
      </c>
      <c r="C110">
        <f>Rangliste!A110</f>
        <v>109</v>
      </c>
      <c r="D110">
        <f>Rangliste!T110</f>
        <v>92</v>
      </c>
      <c r="E110" t="str">
        <f>IF(Rangliste!E110="M","HE","DE")</f>
        <v>DE</v>
      </c>
      <c r="F110" t="str">
        <f>IF(Rangliste!E110="M","HD","DD")</f>
        <v>DD</v>
      </c>
      <c r="G110" t="s">
        <v>649</v>
      </c>
    </row>
    <row r="111" spans="1:7" x14ac:dyDescent="0.3">
      <c r="A111" t="str">
        <f>Rangliste!B111</f>
        <v>Leonard Keiler</v>
      </c>
      <c r="B111" t="str">
        <f>Rangliste!F111</f>
        <v>110908</v>
      </c>
      <c r="C111">
        <f>Rangliste!A111</f>
        <v>110</v>
      </c>
      <c r="D111">
        <f>Rangliste!T111</f>
        <v>90.5</v>
      </c>
      <c r="E111" t="str">
        <f>IF(Rangliste!E111="M","HE","DE")</f>
        <v>HE</v>
      </c>
      <c r="F111" t="str">
        <f>IF(Rangliste!E111="M","HD","DD")</f>
        <v>HD</v>
      </c>
      <c r="G111" t="s">
        <v>649</v>
      </c>
    </row>
    <row r="112" spans="1:7" x14ac:dyDescent="0.3">
      <c r="A112" t="str">
        <f>Rangliste!B112</f>
        <v>Leon Wolansky</v>
      </c>
      <c r="B112">
        <f>Rangliste!F112</f>
        <v>208173</v>
      </c>
      <c r="C112">
        <f>Rangliste!A112</f>
        <v>111</v>
      </c>
      <c r="D112">
        <f>Rangliste!T112</f>
        <v>90.5</v>
      </c>
      <c r="E112" t="str">
        <f>IF(Rangliste!E112="M","HE","DE")</f>
        <v>HE</v>
      </c>
      <c r="F112" t="str">
        <f>IF(Rangliste!E112="M","HD","DD")</f>
        <v>HD</v>
      </c>
      <c r="G112" t="s">
        <v>649</v>
      </c>
    </row>
    <row r="113" spans="1:7" x14ac:dyDescent="0.3">
      <c r="A113" t="str">
        <f>Rangliste!B113</f>
        <v>Vanessa Kurz</v>
      </c>
      <c r="B113" t="str">
        <f>Rangliste!F113</f>
        <v>208655</v>
      </c>
      <c r="C113">
        <f>Rangliste!A113</f>
        <v>112</v>
      </c>
      <c r="D113">
        <f>Rangliste!T113</f>
        <v>90</v>
      </c>
      <c r="E113" t="str">
        <f>IF(Rangliste!E113="M","HE","DE")</f>
        <v>DE</v>
      </c>
      <c r="F113" t="str">
        <f>IF(Rangliste!E113="M","HD","DD")</f>
        <v>DD</v>
      </c>
      <c r="G113" t="s">
        <v>649</v>
      </c>
    </row>
    <row r="114" spans="1:7" x14ac:dyDescent="0.3">
      <c r="A114" t="str">
        <f>Rangliste!B114</f>
        <v>Kristof Süveges</v>
      </c>
      <c r="B114" t="str">
        <f>Rangliste!F114</f>
        <v>900280</v>
      </c>
      <c r="C114">
        <f>Rangliste!A114</f>
        <v>113</v>
      </c>
      <c r="D114">
        <f>Rangliste!T114</f>
        <v>89.5</v>
      </c>
      <c r="E114" t="str">
        <f>IF(Rangliste!E114="M","HE","DE")</f>
        <v>HE</v>
      </c>
      <c r="F114" t="str">
        <f>IF(Rangliste!E114="M","HD","DD")</f>
        <v>HD</v>
      </c>
      <c r="G114" t="s">
        <v>649</v>
      </c>
    </row>
    <row r="115" spans="1:7" x14ac:dyDescent="0.3">
      <c r="A115" t="str">
        <f>Rangliste!B115</f>
        <v>Elias Bauer</v>
      </c>
      <c r="B115" t="str">
        <f>Rangliste!F115</f>
        <v>26600</v>
      </c>
      <c r="C115">
        <f>Rangliste!A115</f>
        <v>114</v>
      </c>
      <c r="D115">
        <f>Rangliste!T115</f>
        <v>87.5</v>
      </c>
      <c r="E115" t="str">
        <f>IF(Rangliste!E115="M","HE","DE")</f>
        <v>HE</v>
      </c>
      <c r="F115" t="str">
        <f>IF(Rangliste!E115="M","HD","DD")</f>
        <v>HD</v>
      </c>
      <c r="G115" t="s">
        <v>649</v>
      </c>
    </row>
    <row r="116" spans="1:7" x14ac:dyDescent="0.3">
      <c r="A116" t="str">
        <f>Rangliste!B116</f>
        <v>Melanie Pichler</v>
      </c>
      <c r="B116" t="str">
        <f>Rangliste!F116</f>
        <v>110707</v>
      </c>
      <c r="C116">
        <f>Rangliste!A116</f>
        <v>115</v>
      </c>
      <c r="D116">
        <f>Rangliste!T116</f>
        <v>87</v>
      </c>
      <c r="E116" t="str">
        <f>IF(Rangliste!E116="M","HE","DE")</f>
        <v>DE</v>
      </c>
      <c r="F116" t="str">
        <f>IF(Rangliste!E116="M","HD","DD")</f>
        <v>DD</v>
      </c>
      <c r="G116" t="s">
        <v>649</v>
      </c>
    </row>
    <row r="117" spans="1:7" x14ac:dyDescent="0.3">
      <c r="A117" t="str">
        <f>Rangliste!B117</f>
        <v>Anna Gugler</v>
      </c>
      <c r="B117" t="str">
        <f>Rangliste!F117</f>
        <v>209353</v>
      </c>
      <c r="C117">
        <f>Rangliste!A117</f>
        <v>116</v>
      </c>
      <c r="D117">
        <f>Rangliste!T117</f>
        <v>86.5</v>
      </c>
      <c r="E117" t="str">
        <f>IF(Rangliste!E117="M","HE","DE")</f>
        <v>DE</v>
      </c>
      <c r="F117" t="str">
        <f>IF(Rangliste!E117="M","HD","DD")</f>
        <v>DD</v>
      </c>
      <c r="G117" t="s">
        <v>649</v>
      </c>
    </row>
    <row r="118" spans="1:7" x14ac:dyDescent="0.3">
      <c r="A118" t="str">
        <f>Rangliste!B118</f>
        <v>Vinzenz Fischlmair</v>
      </c>
      <c r="B118">
        <f>Rangliste!F118</f>
        <v>208754</v>
      </c>
      <c r="C118">
        <f>Rangliste!A118</f>
        <v>117</v>
      </c>
      <c r="D118">
        <f>Rangliste!T118</f>
        <v>86</v>
      </c>
      <c r="E118" t="str">
        <f>IF(Rangliste!E118="M","HE","DE")</f>
        <v>HE</v>
      </c>
      <c r="F118" t="str">
        <f>IF(Rangliste!E118="M","HD","DD")</f>
        <v>HD</v>
      </c>
      <c r="G118" t="s">
        <v>649</v>
      </c>
    </row>
    <row r="119" spans="1:7" x14ac:dyDescent="0.3">
      <c r="A119" t="str">
        <f>Rangliste!B119</f>
        <v>Leon Frank</v>
      </c>
      <c r="B119" t="str">
        <f>Rangliste!F119</f>
        <v>112587</v>
      </c>
      <c r="C119">
        <f>Rangliste!A119</f>
        <v>118</v>
      </c>
      <c r="D119">
        <f>Rangliste!T119</f>
        <v>85</v>
      </c>
      <c r="E119" t="str">
        <f>IF(Rangliste!E119="M","HE","DE")</f>
        <v>HE</v>
      </c>
      <c r="F119" t="str">
        <f>IF(Rangliste!E119="M","HD","DD")</f>
        <v>HD</v>
      </c>
      <c r="G119" t="s">
        <v>649</v>
      </c>
    </row>
    <row r="120" spans="1:7" x14ac:dyDescent="0.3">
      <c r="A120" t="str">
        <f>Rangliste!B120</f>
        <v>Adrian Novotny</v>
      </c>
      <c r="B120">
        <f>Rangliste!F120</f>
        <v>110789</v>
      </c>
      <c r="C120">
        <f>Rangliste!A120</f>
        <v>119</v>
      </c>
      <c r="D120">
        <f>Rangliste!T120</f>
        <v>85</v>
      </c>
      <c r="E120" t="str">
        <f>IF(Rangliste!E120="M","HE","DE")</f>
        <v>HE</v>
      </c>
      <c r="F120" t="str">
        <f>IF(Rangliste!E120="M","HD","DD")</f>
        <v>HD</v>
      </c>
      <c r="G120" t="s">
        <v>649</v>
      </c>
    </row>
    <row r="121" spans="1:7" x14ac:dyDescent="0.3">
      <c r="A121" t="str">
        <f>Rangliste!B121</f>
        <v>Felix Alt</v>
      </c>
      <c r="B121" t="str">
        <f>Rangliste!F121</f>
        <v>208876</v>
      </c>
      <c r="C121">
        <f>Rangliste!A121</f>
        <v>120</v>
      </c>
      <c r="D121">
        <f>Rangliste!T121</f>
        <v>85</v>
      </c>
      <c r="E121" t="str">
        <f>IF(Rangliste!E121="M","HE","DE")</f>
        <v>HE</v>
      </c>
      <c r="F121" t="str">
        <f>IF(Rangliste!E121="M","HD","DD")</f>
        <v>HD</v>
      </c>
      <c r="G121" t="s">
        <v>649</v>
      </c>
    </row>
    <row r="122" spans="1:7" x14ac:dyDescent="0.3">
      <c r="A122" t="str">
        <f>Rangliste!B122</f>
        <v>Julian Österreicher</v>
      </c>
      <c r="B122" t="str">
        <f>Rangliste!F122</f>
        <v>312353</v>
      </c>
      <c r="C122">
        <f>Rangliste!A122</f>
        <v>121</v>
      </c>
      <c r="D122">
        <f>Rangliste!T122</f>
        <v>85</v>
      </c>
      <c r="E122" t="str">
        <f>IF(Rangliste!E122="M","HE","DE")</f>
        <v>HE</v>
      </c>
      <c r="F122" t="str">
        <f>IF(Rangliste!E122="M","HD","DD")</f>
        <v>HD</v>
      </c>
      <c r="G122" t="s">
        <v>649</v>
      </c>
    </row>
    <row r="123" spans="1:7" x14ac:dyDescent="0.3">
      <c r="A123" t="str">
        <f>Rangliste!B123</f>
        <v>Viktoria Klein</v>
      </c>
      <c r="B123" t="str">
        <f>Rangliste!F123</f>
        <v>209333</v>
      </c>
      <c r="C123">
        <f>Rangliste!A123</f>
        <v>122</v>
      </c>
      <c r="D123">
        <f>Rangliste!T123</f>
        <v>84.5</v>
      </c>
      <c r="E123" t="str">
        <f>IF(Rangliste!E123="M","HE","DE")</f>
        <v>DE</v>
      </c>
      <c r="F123" t="str">
        <f>IF(Rangliste!E123="M","HD","DD")</f>
        <v>DD</v>
      </c>
      <c r="G123" t="s">
        <v>649</v>
      </c>
    </row>
    <row r="124" spans="1:7" x14ac:dyDescent="0.3">
      <c r="A124" t="str">
        <f>Rangliste!B124</f>
        <v>Jakob Müllner</v>
      </c>
      <c r="B124">
        <f>Rangliste!F124</f>
        <v>0</v>
      </c>
      <c r="C124">
        <f>Rangliste!A124</f>
        <v>123</v>
      </c>
      <c r="D124">
        <f>Rangliste!T124</f>
        <v>84.5</v>
      </c>
      <c r="E124" t="str">
        <f>IF(Rangliste!E124="M","HE","DE")</f>
        <v>HE</v>
      </c>
      <c r="F124" t="str">
        <f>IF(Rangliste!E124="M","HD","DD")</f>
        <v>HD</v>
      </c>
      <c r="G124" t="s">
        <v>649</v>
      </c>
    </row>
    <row r="125" spans="1:7" x14ac:dyDescent="0.3">
      <c r="A125" t="str">
        <f>Rangliste!B125</f>
        <v>Maximilian Jin</v>
      </c>
      <c r="B125" t="str">
        <f>Rangliste!F125</f>
        <v>208955</v>
      </c>
      <c r="C125">
        <f>Rangliste!A125</f>
        <v>124</v>
      </c>
      <c r="D125">
        <f>Rangliste!T125</f>
        <v>84</v>
      </c>
      <c r="E125" t="str">
        <f>IF(Rangliste!E125="M","HE","DE")</f>
        <v>HE</v>
      </c>
      <c r="F125" t="str">
        <f>IF(Rangliste!E125="M","HD","DD")</f>
        <v>HD</v>
      </c>
      <c r="G125" t="s">
        <v>649</v>
      </c>
    </row>
    <row r="126" spans="1:7" x14ac:dyDescent="0.3">
      <c r="A126" t="str">
        <f>Rangliste!B126</f>
        <v>Lola Petraschek</v>
      </c>
      <c r="B126">
        <f>Rangliste!F126</f>
        <v>209293</v>
      </c>
      <c r="C126">
        <f>Rangliste!A126</f>
        <v>125</v>
      </c>
      <c r="D126">
        <f>Rangliste!T126</f>
        <v>83.5</v>
      </c>
      <c r="E126" t="str">
        <f>IF(Rangliste!E126="M","HE","DE")</f>
        <v>DE</v>
      </c>
      <c r="F126" t="str">
        <f>IF(Rangliste!E126="M","HD","DD")</f>
        <v>DD</v>
      </c>
      <c r="G126" t="s">
        <v>649</v>
      </c>
    </row>
    <row r="127" spans="1:7" x14ac:dyDescent="0.3">
      <c r="A127" t="str">
        <f>Rangliste!B127</f>
        <v>Mátyás Palotai</v>
      </c>
      <c r="B127" t="str">
        <f>Rangliste!F127</f>
        <v>209315</v>
      </c>
      <c r="C127">
        <f>Rangliste!A127</f>
        <v>126</v>
      </c>
      <c r="D127">
        <f>Rangliste!T127</f>
        <v>83</v>
      </c>
      <c r="E127" t="str">
        <f>IF(Rangliste!E127="M","HE","DE")</f>
        <v>HE</v>
      </c>
      <c r="F127" t="str">
        <f>IF(Rangliste!E127="M","HD","DD")</f>
        <v>HD</v>
      </c>
      <c r="G127" t="s">
        <v>649</v>
      </c>
    </row>
    <row r="128" spans="1:7" x14ac:dyDescent="0.3">
      <c r="A128" t="str">
        <f>Rangliste!B128</f>
        <v>Moritz Feher</v>
      </c>
      <c r="B128">
        <f>Rangliste!F128</f>
        <v>209458</v>
      </c>
      <c r="C128">
        <f>Rangliste!A128</f>
        <v>127</v>
      </c>
      <c r="D128">
        <f>Rangliste!T128</f>
        <v>83</v>
      </c>
      <c r="E128" t="str">
        <f>IF(Rangliste!E128="M","HE","DE")</f>
        <v>HE</v>
      </c>
      <c r="F128" t="str">
        <f>IF(Rangliste!E128="M","HD","DD")</f>
        <v>HD</v>
      </c>
      <c r="G128" t="s">
        <v>649</v>
      </c>
    </row>
    <row r="129" spans="1:7" x14ac:dyDescent="0.3">
      <c r="A129" t="str">
        <f>Rangliste!B129</f>
        <v>Valentina Krenn</v>
      </c>
      <c r="B129" t="str">
        <f>Rangliste!F129</f>
        <v>111367</v>
      </c>
      <c r="C129">
        <f>Rangliste!A129</f>
        <v>128</v>
      </c>
      <c r="D129">
        <f>Rangliste!T129</f>
        <v>82.5</v>
      </c>
      <c r="E129" t="str">
        <f>IF(Rangliste!E129="M","HE","DE")</f>
        <v>DE</v>
      </c>
      <c r="F129" t="str">
        <f>IF(Rangliste!E129="M","HD","DD")</f>
        <v>DD</v>
      </c>
      <c r="G129" t="s">
        <v>649</v>
      </c>
    </row>
    <row r="130" spans="1:7" x14ac:dyDescent="0.3">
      <c r="A130" t="str">
        <f>Rangliste!B130</f>
        <v>Viktor Aleksic</v>
      </c>
      <c r="B130" t="str">
        <f>Rangliste!F130</f>
        <v>314033</v>
      </c>
      <c r="C130">
        <f>Rangliste!A130</f>
        <v>129</v>
      </c>
      <c r="D130">
        <f>Rangliste!T130</f>
        <v>82.5</v>
      </c>
      <c r="E130" t="str">
        <f>IF(Rangliste!E130="M","HE","DE")</f>
        <v>HE</v>
      </c>
      <c r="F130" t="str">
        <f>IF(Rangliste!E130="M","HD","DD")</f>
        <v>HD</v>
      </c>
      <c r="G130" t="s">
        <v>649</v>
      </c>
    </row>
    <row r="131" spans="1:7" x14ac:dyDescent="0.3">
      <c r="A131" t="str">
        <f>Rangliste!B131</f>
        <v>Alexander Wolgin</v>
      </c>
      <c r="B131">
        <f>Rangliste!F131</f>
        <v>0</v>
      </c>
      <c r="C131">
        <f>Rangliste!A131</f>
        <v>130</v>
      </c>
      <c r="D131">
        <f>Rangliste!T131</f>
        <v>82.5</v>
      </c>
      <c r="E131" t="str">
        <f>IF(Rangliste!E131="M","HE","DE")</f>
        <v>HE</v>
      </c>
      <c r="F131" t="str">
        <f>IF(Rangliste!E131="M","HD","DD")</f>
        <v>HD</v>
      </c>
      <c r="G131" t="s">
        <v>649</v>
      </c>
    </row>
    <row r="132" spans="1:7" x14ac:dyDescent="0.3">
      <c r="A132" t="str">
        <f>Rangliste!B132</f>
        <v>Marco Chen</v>
      </c>
      <c r="B132">
        <f>Rangliste!F132</f>
        <v>0</v>
      </c>
      <c r="C132">
        <f>Rangliste!A132</f>
        <v>131</v>
      </c>
      <c r="D132">
        <f>Rangliste!T132</f>
        <v>81.5</v>
      </c>
      <c r="E132" t="str">
        <f>IF(Rangliste!E132="M","HE","DE")</f>
        <v>HE</v>
      </c>
      <c r="F132" t="str">
        <f>IF(Rangliste!E132="M","HD","DD")</f>
        <v>HD</v>
      </c>
      <c r="G132" t="s">
        <v>649</v>
      </c>
    </row>
    <row r="133" spans="1:7" x14ac:dyDescent="0.3">
      <c r="A133" t="str">
        <f>Rangliste!B133</f>
        <v>Louyi Zhang</v>
      </c>
      <c r="B133" t="str">
        <f>Rangliste!F133</f>
        <v>112173</v>
      </c>
      <c r="C133">
        <f>Rangliste!A133</f>
        <v>132</v>
      </c>
      <c r="D133">
        <f>Rangliste!T133</f>
        <v>81.5</v>
      </c>
      <c r="E133" t="str">
        <f>IF(Rangliste!E133="M","HE","DE")</f>
        <v>HE</v>
      </c>
      <c r="F133" t="str">
        <f>IF(Rangliste!E133="M","HD","DD")</f>
        <v>HD</v>
      </c>
      <c r="G133" t="s">
        <v>649</v>
      </c>
    </row>
    <row r="134" spans="1:7" x14ac:dyDescent="0.3">
      <c r="A134" t="str">
        <f>Rangliste!B134</f>
        <v>Sophie Zirnwald</v>
      </c>
      <c r="B134" t="str">
        <f>Rangliste!F134</f>
        <v>112567</v>
      </c>
      <c r="C134">
        <f>Rangliste!A134</f>
        <v>133</v>
      </c>
      <c r="D134">
        <f>Rangliste!T134</f>
        <v>81</v>
      </c>
      <c r="E134" t="str">
        <f>IF(Rangliste!E134="M","HE","DE")</f>
        <v>DE</v>
      </c>
      <c r="F134" t="str">
        <f>IF(Rangliste!E134="M","HD","DD")</f>
        <v>DD</v>
      </c>
      <c r="G134" t="s">
        <v>649</v>
      </c>
    </row>
    <row r="135" spans="1:7" x14ac:dyDescent="0.3">
      <c r="A135" t="str">
        <f>Rangliste!B135</f>
        <v>Elias Reichel-Teng</v>
      </c>
      <c r="B135">
        <f>Rangliste!F135</f>
        <v>0</v>
      </c>
      <c r="C135">
        <f>Rangliste!A135</f>
        <v>134</v>
      </c>
      <c r="D135">
        <f>Rangliste!T135</f>
        <v>81</v>
      </c>
      <c r="E135" t="str">
        <f>IF(Rangliste!E135="M","HE","DE")</f>
        <v>HE</v>
      </c>
      <c r="F135" t="str">
        <f>IF(Rangliste!E135="M","HD","DD")</f>
        <v>HD</v>
      </c>
      <c r="G135" t="s">
        <v>649</v>
      </c>
    </row>
    <row r="136" spans="1:7" x14ac:dyDescent="0.3">
      <c r="A136" t="str">
        <f>Rangliste!B136</f>
        <v>Sophie Grünwald</v>
      </c>
      <c r="B136" t="str">
        <f>Rangliste!F136</f>
        <v>313514</v>
      </c>
      <c r="C136">
        <f>Rangliste!A136</f>
        <v>135</v>
      </c>
      <c r="D136">
        <f>Rangliste!T136</f>
        <v>81</v>
      </c>
      <c r="E136" t="str">
        <f>IF(Rangliste!E136="M","HE","DE")</f>
        <v>DE</v>
      </c>
      <c r="F136" t="str">
        <f>IF(Rangliste!E136="M","HD","DD")</f>
        <v>DD</v>
      </c>
      <c r="G136" t="s">
        <v>649</v>
      </c>
    </row>
    <row r="137" spans="1:7" x14ac:dyDescent="0.3">
      <c r="A137" t="str">
        <f>Rangliste!B137</f>
        <v>Julian Stöger</v>
      </c>
      <c r="B137">
        <f>Rangliste!F137</f>
        <v>112181</v>
      </c>
      <c r="C137">
        <f>Rangliste!A137</f>
        <v>136</v>
      </c>
      <c r="D137">
        <f>Rangliste!T137</f>
        <v>80.5</v>
      </c>
      <c r="E137" t="str">
        <f>IF(Rangliste!E137="M","HE","DE")</f>
        <v>HE</v>
      </c>
      <c r="F137" t="str">
        <f>IF(Rangliste!E137="M","HD","DD")</f>
        <v>HD</v>
      </c>
      <c r="G137" t="s">
        <v>649</v>
      </c>
    </row>
    <row r="138" spans="1:7" x14ac:dyDescent="0.3">
      <c r="A138" t="str">
        <f>Rangliste!B138</f>
        <v>Stella Marie Widder</v>
      </c>
      <c r="B138" t="str">
        <f>Rangliste!F138</f>
        <v>208735</v>
      </c>
      <c r="C138">
        <f>Rangliste!A138</f>
        <v>137</v>
      </c>
      <c r="D138">
        <f>Rangliste!T138</f>
        <v>80</v>
      </c>
      <c r="E138" t="str">
        <f>IF(Rangliste!E138="M","HE","DE")</f>
        <v>DE</v>
      </c>
      <c r="F138" t="str">
        <f>IF(Rangliste!E138="M","HD","DD")</f>
        <v>DD</v>
      </c>
      <c r="G138" t="s">
        <v>649</v>
      </c>
    </row>
    <row r="139" spans="1:7" x14ac:dyDescent="0.3">
      <c r="A139" t="str">
        <f>Rangliste!B139</f>
        <v>Lana Ziyue Dai</v>
      </c>
      <c r="B139" t="str">
        <f>Rangliste!F139</f>
        <v>112507</v>
      </c>
      <c r="C139">
        <f>Rangliste!A139</f>
        <v>138</v>
      </c>
      <c r="D139">
        <f>Rangliste!T139</f>
        <v>80</v>
      </c>
      <c r="E139" t="str">
        <f>IF(Rangliste!E139="M","HE","DE")</f>
        <v>DE</v>
      </c>
      <c r="F139" t="str">
        <f>IF(Rangliste!E139="M","HD","DD")</f>
        <v>DD</v>
      </c>
      <c r="G139" t="s">
        <v>649</v>
      </c>
    </row>
    <row r="140" spans="1:7" x14ac:dyDescent="0.3">
      <c r="A140" t="str">
        <f>Rangliste!B140</f>
        <v>Kevin Zheng</v>
      </c>
      <c r="B140" t="str">
        <f>Rangliste!F140</f>
        <v>208957</v>
      </c>
      <c r="C140">
        <f>Rangliste!A140</f>
        <v>139</v>
      </c>
      <c r="D140">
        <f>Rangliste!T140</f>
        <v>79</v>
      </c>
      <c r="E140" t="str">
        <f>IF(Rangliste!E140="M","HE","DE")</f>
        <v>HE</v>
      </c>
      <c r="F140" t="str">
        <f>IF(Rangliste!E140="M","HD","DD")</f>
        <v>HD</v>
      </c>
      <c r="G140" t="s">
        <v>649</v>
      </c>
    </row>
    <row r="141" spans="1:7" x14ac:dyDescent="0.3">
      <c r="A141" t="str">
        <f>Rangliste!B141</f>
        <v>Giuliana Tasotti</v>
      </c>
      <c r="B141" t="str">
        <f>Rangliste!F141</f>
        <v>112487</v>
      </c>
      <c r="C141">
        <f>Rangliste!A141</f>
        <v>140</v>
      </c>
      <c r="D141">
        <f>Rangliste!T141</f>
        <v>79</v>
      </c>
      <c r="E141" t="str">
        <f>IF(Rangliste!E141="M","HE","DE")</f>
        <v>DE</v>
      </c>
      <c r="F141" t="str">
        <f>IF(Rangliste!E141="M","HD","DD")</f>
        <v>DD</v>
      </c>
      <c r="G141" t="s">
        <v>649</v>
      </c>
    </row>
    <row r="142" spans="1:7" x14ac:dyDescent="0.3">
      <c r="A142" t="str">
        <f>Rangliste!B142</f>
        <v>Elma Duvnjak</v>
      </c>
      <c r="B142" t="str">
        <f>Rangliste!F142</f>
        <v>312835</v>
      </c>
      <c r="C142">
        <f>Rangliste!A142</f>
        <v>141</v>
      </c>
      <c r="D142">
        <f>Rangliste!T142</f>
        <v>79</v>
      </c>
      <c r="E142" t="str">
        <f>IF(Rangliste!E142="M","HE","DE")</f>
        <v>DE</v>
      </c>
      <c r="F142" t="str">
        <f>IF(Rangliste!E142="M","HD","DD")</f>
        <v>DD</v>
      </c>
      <c r="G142" t="s">
        <v>649</v>
      </c>
    </row>
    <row r="143" spans="1:7" x14ac:dyDescent="0.3">
      <c r="A143" t="str">
        <f>Rangliste!B143</f>
        <v>Florentin Ahammer</v>
      </c>
      <c r="B143" t="str">
        <f>Rangliste!F143</f>
        <v>208133</v>
      </c>
      <c r="C143">
        <f>Rangliste!A143</f>
        <v>142</v>
      </c>
      <c r="D143">
        <f>Rangliste!T143</f>
        <v>78</v>
      </c>
      <c r="E143" t="str">
        <f>IF(Rangliste!E143="M","HE","DE")</f>
        <v>HE</v>
      </c>
      <c r="F143" t="str">
        <f>IF(Rangliste!E143="M","HD","DD")</f>
        <v>HD</v>
      </c>
      <c r="G143" t="s">
        <v>649</v>
      </c>
    </row>
    <row r="144" spans="1:7" x14ac:dyDescent="0.3">
      <c r="A144" t="str">
        <f>Rangliste!B144</f>
        <v>Constantin Walzer</v>
      </c>
      <c r="B144" t="str">
        <f>Rangliste!F144</f>
        <v>111327</v>
      </c>
      <c r="C144">
        <f>Rangliste!A144</f>
        <v>143</v>
      </c>
      <c r="D144">
        <f>Rangliste!T144</f>
        <v>78</v>
      </c>
      <c r="E144" t="str">
        <f>IF(Rangliste!E144="M","HE","DE")</f>
        <v>HE</v>
      </c>
      <c r="F144" t="str">
        <f>IF(Rangliste!E144="M","HD","DD")</f>
        <v>HD</v>
      </c>
      <c r="G144" t="s">
        <v>649</v>
      </c>
    </row>
    <row r="145" spans="1:7" x14ac:dyDescent="0.3">
      <c r="A145" t="str">
        <f>Rangliste!B145</f>
        <v>Lorenz Grün</v>
      </c>
      <c r="B145" t="str">
        <f>Rangliste!F145</f>
        <v>209033</v>
      </c>
      <c r="C145">
        <f>Rangliste!A145</f>
        <v>144</v>
      </c>
      <c r="D145">
        <f>Rangliste!T145</f>
        <v>78</v>
      </c>
      <c r="E145" t="str">
        <f>IF(Rangliste!E145="M","HE","DE")</f>
        <v>HE</v>
      </c>
      <c r="F145" t="str">
        <f>IF(Rangliste!E145="M","HD","DD")</f>
        <v>HD</v>
      </c>
      <c r="G145" t="s">
        <v>649</v>
      </c>
    </row>
    <row r="146" spans="1:7" x14ac:dyDescent="0.3">
      <c r="A146" t="str">
        <f>Rangliste!B146</f>
        <v>Lana Dai</v>
      </c>
      <c r="B146">
        <f>Rangliste!F146</f>
        <v>112507</v>
      </c>
      <c r="C146">
        <f>Rangliste!A146</f>
        <v>145</v>
      </c>
      <c r="D146">
        <f>Rangliste!T146</f>
        <v>77</v>
      </c>
      <c r="E146" t="str">
        <f>IF(Rangliste!E146="M","HE","DE")</f>
        <v>DE</v>
      </c>
      <c r="F146" t="str">
        <f>IF(Rangliste!E146="M","HD","DD")</f>
        <v>DD</v>
      </c>
      <c r="G146" t="s">
        <v>649</v>
      </c>
    </row>
    <row r="147" spans="1:7" x14ac:dyDescent="0.3">
      <c r="A147" t="str">
        <f>Rangliste!B147</f>
        <v>Paul Lindorfer</v>
      </c>
      <c r="B147">
        <f>Rangliste!F147</f>
        <v>208733</v>
      </c>
      <c r="C147">
        <f>Rangliste!A147</f>
        <v>146</v>
      </c>
      <c r="D147">
        <f>Rangliste!T147</f>
        <v>76</v>
      </c>
      <c r="E147" t="str">
        <f>IF(Rangliste!E147="M","HE","DE")</f>
        <v>HE</v>
      </c>
      <c r="F147" t="str">
        <f>IF(Rangliste!E147="M","HD","DD")</f>
        <v>HD</v>
      </c>
      <c r="G147" t="s">
        <v>649</v>
      </c>
    </row>
    <row r="148" spans="1:7" x14ac:dyDescent="0.3">
      <c r="A148" t="str">
        <f>Rangliste!B148</f>
        <v>Jakob Elmer</v>
      </c>
      <c r="B148" t="str">
        <f>Rangliste!F148</f>
        <v/>
      </c>
      <c r="C148">
        <f>Rangliste!A148</f>
        <v>147</v>
      </c>
      <c r="D148">
        <f>Rangliste!T148</f>
        <v>75</v>
      </c>
      <c r="E148" t="str">
        <f>IF(Rangliste!E148="M","HE","DE")</f>
        <v>HE</v>
      </c>
      <c r="F148" t="str">
        <f>IF(Rangliste!E148="M","HD","DD")</f>
        <v>HD</v>
      </c>
      <c r="G148" t="s">
        <v>649</v>
      </c>
    </row>
    <row r="149" spans="1:7" x14ac:dyDescent="0.3">
      <c r="A149" t="str">
        <f>Rangliste!B149</f>
        <v>Emily Nistelberger</v>
      </c>
      <c r="B149" t="str">
        <f>Rangliste!F149</f>
        <v>208479</v>
      </c>
      <c r="C149">
        <f>Rangliste!A149</f>
        <v>148</v>
      </c>
      <c r="D149">
        <f>Rangliste!T149</f>
        <v>74</v>
      </c>
      <c r="E149" t="str">
        <f>IF(Rangliste!E149="M","HE","DE")</f>
        <v>DE</v>
      </c>
      <c r="F149" t="str">
        <f>IF(Rangliste!E149="M","HD","DD")</f>
        <v>DD</v>
      </c>
      <c r="G149" t="s">
        <v>649</v>
      </c>
    </row>
    <row r="150" spans="1:7" x14ac:dyDescent="0.3">
      <c r="A150" t="str">
        <f>Rangliste!B150</f>
        <v>Konrad Milleder</v>
      </c>
      <c r="B150" t="str">
        <f>Rangliste!F150</f>
        <v/>
      </c>
      <c r="C150">
        <f>Rangliste!A150</f>
        <v>149</v>
      </c>
      <c r="D150">
        <f>Rangliste!T150</f>
        <v>74</v>
      </c>
      <c r="E150" t="str">
        <f>IF(Rangliste!E150="M","HE","DE")</f>
        <v>HE</v>
      </c>
      <c r="F150" t="str">
        <f>IF(Rangliste!E150="M","HD","DD")</f>
        <v>HD</v>
      </c>
      <c r="G150" t="s">
        <v>649</v>
      </c>
    </row>
    <row r="151" spans="1:7" x14ac:dyDescent="0.3">
      <c r="A151" t="str">
        <f>Rangliste!B151</f>
        <v>Lina Tantawy</v>
      </c>
      <c r="B151">
        <f>Rangliste!F151</f>
        <v>0</v>
      </c>
      <c r="C151">
        <f>Rangliste!A151</f>
        <v>150</v>
      </c>
      <c r="D151">
        <f>Rangliste!T151</f>
        <v>73.5</v>
      </c>
      <c r="E151" t="str">
        <f>IF(Rangliste!E151="M","HE","DE")</f>
        <v>DE</v>
      </c>
      <c r="F151" t="str">
        <f>IF(Rangliste!E151="M","HD","DD")</f>
        <v>DD</v>
      </c>
      <c r="G151" t="s">
        <v>649</v>
      </c>
    </row>
    <row r="152" spans="1:7" x14ac:dyDescent="0.3">
      <c r="A152" t="str">
        <f>Rangliste!B152</f>
        <v>Emma Reiter</v>
      </c>
      <c r="B152" t="str">
        <f>Rangliste!F152</f>
        <v>208737</v>
      </c>
      <c r="C152">
        <f>Rangliste!A152</f>
        <v>151</v>
      </c>
      <c r="D152">
        <f>Rangliste!T152</f>
        <v>73</v>
      </c>
      <c r="E152" t="str">
        <f>IF(Rangliste!E152="M","HE","DE")</f>
        <v>DE</v>
      </c>
      <c r="F152" t="str">
        <f>IF(Rangliste!E152="M","HD","DD")</f>
        <v>DD</v>
      </c>
      <c r="G152" t="s">
        <v>649</v>
      </c>
    </row>
    <row r="153" spans="1:7" x14ac:dyDescent="0.3">
      <c r="A153" t="str">
        <f>Rangliste!B153</f>
        <v>Emil Pfeffer</v>
      </c>
      <c r="B153">
        <f>Rangliste!F153</f>
        <v>0</v>
      </c>
      <c r="C153">
        <f>Rangliste!A153</f>
        <v>152</v>
      </c>
      <c r="D153">
        <f>Rangliste!T153</f>
        <v>73</v>
      </c>
      <c r="E153" t="str">
        <f>IF(Rangliste!E153="M","HE","DE")</f>
        <v>HE</v>
      </c>
      <c r="F153" t="str">
        <f>IF(Rangliste!E153="M","HD","DD")</f>
        <v>HD</v>
      </c>
      <c r="G153" t="s">
        <v>649</v>
      </c>
    </row>
    <row r="154" spans="1:7" x14ac:dyDescent="0.3">
      <c r="A154" t="str">
        <f>Rangliste!B154</f>
        <v>Sebastian Steiner</v>
      </c>
      <c r="B154">
        <f>Rangliste!F154</f>
        <v>0</v>
      </c>
      <c r="C154">
        <f>Rangliste!A154</f>
        <v>153</v>
      </c>
      <c r="D154">
        <f>Rangliste!T154</f>
        <v>72</v>
      </c>
      <c r="E154" t="str">
        <f>IF(Rangliste!E154="M","HE","DE")</f>
        <v>HE</v>
      </c>
      <c r="F154" t="str">
        <f>IF(Rangliste!E154="M","HD","DD")</f>
        <v>HD</v>
      </c>
      <c r="G154" t="s">
        <v>649</v>
      </c>
    </row>
    <row r="155" spans="1:7" x14ac:dyDescent="0.3">
      <c r="A155" t="str">
        <f>Rangliste!B155</f>
        <v>Sophie Wieselthaler</v>
      </c>
      <c r="B155" t="str">
        <f>Rangliste!F155</f>
        <v>112170</v>
      </c>
      <c r="C155">
        <f>Rangliste!A155</f>
        <v>154</v>
      </c>
      <c r="D155">
        <f>Rangliste!T155</f>
        <v>72</v>
      </c>
      <c r="E155" t="str">
        <f>IF(Rangliste!E155="M","HE","DE")</f>
        <v>DE</v>
      </c>
      <c r="F155" t="str">
        <f>IF(Rangliste!E155="M","HD","DD")</f>
        <v>DD</v>
      </c>
      <c r="G155" t="s">
        <v>649</v>
      </c>
    </row>
    <row r="156" spans="1:7" x14ac:dyDescent="0.3">
      <c r="A156" t="str">
        <f>Rangliste!B156</f>
        <v>Leandra Pfendesak</v>
      </c>
      <c r="B156">
        <f>Rangliste!F156</f>
        <v>0</v>
      </c>
      <c r="C156">
        <f>Rangliste!A156</f>
        <v>155</v>
      </c>
      <c r="D156">
        <f>Rangliste!T156</f>
        <v>71</v>
      </c>
      <c r="E156" t="str">
        <f>IF(Rangliste!E156="M","HE","DE")</f>
        <v>DE</v>
      </c>
      <c r="F156" t="str">
        <f>IF(Rangliste!E156="M","HD","DD")</f>
        <v>DD</v>
      </c>
      <c r="G156" t="s">
        <v>649</v>
      </c>
    </row>
    <row r="157" spans="1:7" x14ac:dyDescent="0.3">
      <c r="A157" t="str">
        <f>Rangliste!B157</f>
        <v>Simon Elmer</v>
      </c>
      <c r="B157" t="str">
        <f>Rangliste!F157</f>
        <v>209273</v>
      </c>
      <c r="C157">
        <f>Rangliste!A157</f>
        <v>156</v>
      </c>
      <c r="D157">
        <f>Rangliste!T157</f>
        <v>71</v>
      </c>
      <c r="E157" t="str">
        <f>IF(Rangliste!E157="M","HE","DE")</f>
        <v>HE</v>
      </c>
      <c r="F157" t="str">
        <f>IF(Rangliste!E157="M","HD","DD")</f>
        <v>HD</v>
      </c>
      <c r="G157" t="s">
        <v>649</v>
      </c>
    </row>
    <row r="158" spans="1:7" x14ac:dyDescent="0.3">
      <c r="A158" t="str">
        <f>Rangliste!B158</f>
        <v>Paul Floßmann</v>
      </c>
      <c r="B158" t="str">
        <f>Rangliste!F158</f>
        <v>209313</v>
      </c>
      <c r="C158">
        <f>Rangliste!A158</f>
        <v>157</v>
      </c>
      <c r="D158">
        <f>Rangliste!T158</f>
        <v>70</v>
      </c>
      <c r="E158" t="str">
        <f>IF(Rangliste!E158="M","HE","DE")</f>
        <v>HE</v>
      </c>
      <c r="F158" t="str">
        <f>IF(Rangliste!E158="M","HD","DD")</f>
        <v>HD</v>
      </c>
      <c r="G158" t="s">
        <v>649</v>
      </c>
    </row>
    <row r="159" spans="1:7" x14ac:dyDescent="0.3">
      <c r="A159" t="str">
        <f>Rangliste!B159</f>
        <v>Philipp Bauer</v>
      </c>
      <c r="B159" t="str">
        <f>Rangliste!F159</f>
        <v>112107</v>
      </c>
      <c r="C159">
        <f>Rangliste!A159</f>
        <v>158</v>
      </c>
      <c r="D159">
        <f>Rangliste!T159</f>
        <v>69.5</v>
      </c>
      <c r="E159" t="str">
        <f>IF(Rangliste!E159="M","HE","DE")</f>
        <v>HE</v>
      </c>
      <c r="F159" t="str">
        <f>IF(Rangliste!E159="M","HD","DD")</f>
        <v>HD</v>
      </c>
      <c r="G159" t="s">
        <v>649</v>
      </c>
    </row>
    <row r="160" spans="1:7" x14ac:dyDescent="0.3">
      <c r="A160" t="str">
        <f>Rangliste!B160</f>
        <v>Randeep Sekhon</v>
      </c>
      <c r="B160" t="str">
        <f>Rangliste!F160</f>
        <v>112607</v>
      </c>
      <c r="C160">
        <f>Rangliste!A160</f>
        <v>159</v>
      </c>
      <c r="D160">
        <f>Rangliste!T160</f>
        <v>69</v>
      </c>
      <c r="E160" t="str">
        <f>IF(Rangliste!E160="M","HE","DE")</f>
        <v>HE</v>
      </c>
      <c r="F160" t="str">
        <f>IF(Rangliste!E160="M","HD","DD")</f>
        <v>HD</v>
      </c>
      <c r="G160" t="s">
        <v>649</v>
      </c>
    </row>
    <row r="161" spans="1:7" x14ac:dyDescent="0.3">
      <c r="A161" t="str">
        <f>Rangliste!B161</f>
        <v>Valentin Krug</v>
      </c>
      <c r="B161" t="str">
        <f>Rangliste!F161</f>
        <v>112180</v>
      </c>
      <c r="C161">
        <f>Rangliste!A161</f>
        <v>160</v>
      </c>
      <c r="D161">
        <f>Rangliste!T161</f>
        <v>69</v>
      </c>
      <c r="E161" t="str">
        <f>IF(Rangliste!E161="M","HE","DE")</f>
        <v>HE</v>
      </c>
      <c r="F161" t="str">
        <f>IF(Rangliste!E161="M","HD","DD")</f>
        <v>HD</v>
      </c>
      <c r="G161" t="s">
        <v>649</v>
      </c>
    </row>
    <row r="162" spans="1:7" x14ac:dyDescent="0.3">
      <c r="A162" t="str">
        <f>Rangliste!B162</f>
        <v>Vasudev Duggirala</v>
      </c>
      <c r="B162">
        <f>Rangliste!F162</f>
        <v>112668</v>
      </c>
      <c r="C162">
        <f>Rangliste!A162</f>
        <v>161</v>
      </c>
      <c r="D162">
        <f>Rangliste!T162</f>
        <v>68.5</v>
      </c>
      <c r="E162" t="str">
        <f>IF(Rangliste!E162="M","HE","DE")</f>
        <v>HE</v>
      </c>
      <c r="F162" t="str">
        <f>IF(Rangliste!E162="M","HD","DD")</f>
        <v>HD</v>
      </c>
      <c r="G162" t="s">
        <v>649</v>
      </c>
    </row>
    <row r="163" spans="1:7" x14ac:dyDescent="0.3">
      <c r="A163" t="str">
        <f>Rangliste!B163</f>
        <v>Finn Blieweis</v>
      </c>
      <c r="B163">
        <f>Rangliste!F163</f>
        <v>207973</v>
      </c>
      <c r="C163">
        <f>Rangliste!A163</f>
        <v>162</v>
      </c>
      <c r="D163">
        <f>Rangliste!T163</f>
        <v>68</v>
      </c>
      <c r="E163" t="str">
        <f>IF(Rangliste!E163="M","HE","DE")</f>
        <v>HE</v>
      </c>
      <c r="F163" t="str">
        <f>IF(Rangliste!E163="M","HD","DD")</f>
        <v>HD</v>
      </c>
      <c r="G163" t="s">
        <v>649</v>
      </c>
    </row>
    <row r="164" spans="1:7" x14ac:dyDescent="0.3">
      <c r="A164" t="str">
        <f>Rangliste!B164</f>
        <v>Levente Joó</v>
      </c>
      <c r="B164" t="str">
        <f>Rangliste!F164</f>
        <v>209314</v>
      </c>
      <c r="C164">
        <f>Rangliste!A164</f>
        <v>163</v>
      </c>
      <c r="D164">
        <f>Rangliste!T164</f>
        <v>67</v>
      </c>
      <c r="E164" t="str">
        <f>IF(Rangliste!E164="M","HE","DE")</f>
        <v>HE</v>
      </c>
      <c r="F164" t="str">
        <f>IF(Rangliste!E164="M","HD","DD")</f>
        <v>HD</v>
      </c>
      <c r="G164" t="s">
        <v>649</v>
      </c>
    </row>
    <row r="165" spans="1:7" x14ac:dyDescent="0.3">
      <c r="A165" t="str">
        <f>Rangliste!B165</f>
        <v>Elías García Strzeletz</v>
      </c>
      <c r="B165">
        <f>Rangliste!F165</f>
        <v>0</v>
      </c>
      <c r="C165">
        <f>Rangliste!A165</f>
        <v>164</v>
      </c>
      <c r="D165">
        <f>Rangliste!T165</f>
        <v>66.5</v>
      </c>
      <c r="E165" t="str">
        <f>IF(Rangliste!E165="M","HE","DE")</f>
        <v>DE</v>
      </c>
      <c r="F165" t="str">
        <f>IF(Rangliste!E165="M","HD","DD")</f>
        <v>DD</v>
      </c>
      <c r="G165" t="s">
        <v>649</v>
      </c>
    </row>
    <row r="166" spans="1:7" x14ac:dyDescent="0.3">
      <c r="A166" t="str">
        <f>Rangliste!B166</f>
        <v>Thalia Wetter</v>
      </c>
      <c r="B166" t="str">
        <f>Rangliste!F166</f>
        <v>112172</v>
      </c>
      <c r="C166">
        <f>Rangliste!A166</f>
        <v>165</v>
      </c>
      <c r="D166">
        <f>Rangliste!T166</f>
        <v>64.5</v>
      </c>
      <c r="E166" t="str">
        <f>IF(Rangliste!E166="M","HE","DE")</f>
        <v>DE</v>
      </c>
      <c r="F166" t="str">
        <f>IF(Rangliste!E166="M","HD","DD")</f>
        <v>DD</v>
      </c>
      <c r="G166" t="s">
        <v>649</v>
      </c>
    </row>
    <row r="167" spans="1:7" x14ac:dyDescent="0.3">
      <c r="A167" t="str">
        <f>Rangliste!B167</f>
        <v>Sahasra Mangena</v>
      </c>
      <c r="B167">
        <f>Rangliste!F167</f>
        <v>0</v>
      </c>
      <c r="C167">
        <f>Rangliste!A167</f>
        <v>166</v>
      </c>
      <c r="D167">
        <f>Rangliste!T167</f>
        <v>62.5</v>
      </c>
      <c r="E167" t="str">
        <f>IF(Rangliste!E167="M","HE","DE")</f>
        <v>DE</v>
      </c>
      <c r="F167" t="str">
        <f>IF(Rangliste!E167="M","HD","DD")</f>
        <v>DD</v>
      </c>
      <c r="G167" t="s">
        <v>649</v>
      </c>
    </row>
    <row r="168" spans="1:7" x14ac:dyDescent="0.3">
      <c r="A168" t="str">
        <f>Rangliste!B168</f>
        <v>Emil Kofler-Strigl</v>
      </c>
      <c r="B168" t="str">
        <f>Rangliste!F168</f>
        <v>112348</v>
      </c>
      <c r="C168">
        <f>Rangliste!A168</f>
        <v>167</v>
      </c>
      <c r="D168">
        <f>Rangliste!T168</f>
        <v>61.5</v>
      </c>
      <c r="E168" t="str">
        <f>IF(Rangliste!E168="M","HE","DE")</f>
        <v>HE</v>
      </c>
      <c r="F168" t="str">
        <f>IF(Rangliste!E168="M","HD","DD")</f>
        <v>HD</v>
      </c>
      <c r="G168" t="s">
        <v>649</v>
      </c>
    </row>
    <row r="169" spans="1:7" x14ac:dyDescent="0.3">
      <c r="A169" t="str">
        <f>Rangliste!B169</f>
        <v>Ben Holaus</v>
      </c>
      <c r="B169">
        <f>Rangliste!F169</f>
        <v>0</v>
      </c>
      <c r="C169">
        <f>Rangliste!A169</f>
        <v>168</v>
      </c>
      <c r="D169">
        <f>Rangliste!T169</f>
        <v>60.5</v>
      </c>
      <c r="E169" t="str">
        <f>IF(Rangliste!E169="M","HE","DE")</f>
        <v>HE</v>
      </c>
      <c r="F169" t="str">
        <f>IF(Rangliste!E169="M","HD","DD")</f>
        <v>HD</v>
      </c>
      <c r="G169" t="s">
        <v>649</v>
      </c>
    </row>
    <row r="170" spans="1:7" x14ac:dyDescent="0.3">
      <c r="A170" t="str">
        <f>Rangliste!B170</f>
        <v>Karl Edlinger</v>
      </c>
      <c r="B170" t="str">
        <f>Rangliste!F170</f>
        <v>112427</v>
      </c>
      <c r="C170">
        <f>Rangliste!A170</f>
        <v>169</v>
      </c>
      <c r="D170">
        <f>Rangliste!T170</f>
        <v>59.5</v>
      </c>
      <c r="E170" t="str">
        <f>IF(Rangliste!E170="M","HE","DE")</f>
        <v>HE</v>
      </c>
      <c r="F170" t="str">
        <f>IF(Rangliste!E170="M","HD","DD")</f>
        <v>HD</v>
      </c>
      <c r="G170" t="s">
        <v>649</v>
      </c>
    </row>
    <row r="171" spans="1:7" x14ac:dyDescent="0.3">
      <c r="A171" t="str">
        <f>Rangliste!B171</f>
        <v>David Orsolic</v>
      </c>
      <c r="B171" t="str">
        <f>Rangliste!F171</f>
        <v>112688</v>
      </c>
      <c r="C171">
        <f>Rangliste!A171</f>
        <v>170</v>
      </c>
      <c r="D171">
        <f>Rangliste!T171</f>
        <v>58.5</v>
      </c>
      <c r="E171" t="str">
        <f>IF(Rangliste!E171="M","HE","DE")</f>
        <v>HE</v>
      </c>
      <c r="F171" t="str">
        <f>IF(Rangliste!E171="M","HD","DD")</f>
        <v>HD</v>
      </c>
      <c r="G171" t="s">
        <v>649</v>
      </c>
    </row>
    <row r="172" spans="1:7" x14ac:dyDescent="0.3">
      <c r="A172" t="str">
        <f>Rangliste!B172</f>
        <v>Anton Edlinger</v>
      </c>
      <c r="B172" t="str">
        <f>Rangliste!F172</f>
        <v>112427</v>
      </c>
      <c r="C172">
        <f>Rangliste!A172</f>
        <v>171</v>
      </c>
      <c r="D172">
        <f>Rangliste!T172</f>
        <v>56.5</v>
      </c>
      <c r="E172" t="str">
        <f>IF(Rangliste!E172="M","HE","DE")</f>
        <v>HE</v>
      </c>
      <c r="F172" t="str">
        <f>IF(Rangliste!E172="M","HD","DD")</f>
        <v>HD</v>
      </c>
      <c r="G172" t="s">
        <v>649</v>
      </c>
    </row>
    <row r="173" spans="1:7" x14ac:dyDescent="0.3">
      <c r="A173" t="str">
        <f>Rangliste!B173</f>
        <v>Livia Novotny</v>
      </c>
      <c r="B173" t="str">
        <f>Rangliste!F173</f>
        <v>112467</v>
      </c>
      <c r="C173">
        <f>Rangliste!A173</f>
        <v>172</v>
      </c>
      <c r="D173">
        <f>Rangliste!T173</f>
        <v>54.5</v>
      </c>
      <c r="E173" t="str">
        <f>IF(Rangliste!E173="M","HE","DE")</f>
        <v>DE</v>
      </c>
      <c r="F173" t="str">
        <f>IF(Rangliste!E173="M","HD","DD")</f>
        <v>DD</v>
      </c>
      <c r="G173" t="s">
        <v>649</v>
      </c>
    </row>
    <row r="174" spans="1:7" x14ac:dyDescent="0.3">
      <c r="A174" t="str">
        <f>Rangliste!B174</f>
        <v>Ben Hollaus</v>
      </c>
      <c r="B174" t="str">
        <f>Rangliste!F174</f>
        <v>112475</v>
      </c>
      <c r="C174">
        <f>Rangliste!A174</f>
        <v>173</v>
      </c>
      <c r="D174">
        <f>Rangliste!T174</f>
        <v>53.5</v>
      </c>
      <c r="E174" t="str">
        <f>IF(Rangliste!E174="M","HE","DE")</f>
        <v>HE</v>
      </c>
      <c r="F174" t="str">
        <f>IF(Rangliste!E174="M","HD","DD")</f>
        <v>HD</v>
      </c>
      <c r="G174" t="s">
        <v>649</v>
      </c>
    </row>
    <row r="175" spans="1:7" x14ac:dyDescent="0.3">
      <c r="A175" t="str">
        <f>Rangliste!B175</f>
        <v>Juan-Facundo Le Rose</v>
      </c>
      <c r="B175">
        <f>Rangliste!F175</f>
        <v>207933</v>
      </c>
      <c r="C175">
        <f>Rangliste!A175</f>
        <v>174</v>
      </c>
      <c r="D175">
        <f>Rangliste!T175</f>
        <v>0</v>
      </c>
      <c r="E175" t="str">
        <f>IF(Rangliste!E175="M","HE","DE")</f>
        <v>HE</v>
      </c>
      <c r="F175" t="str">
        <f>IF(Rangliste!E175="M","HD","DD")</f>
        <v>HD</v>
      </c>
      <c r="G175" t="s">
        <v>649</v>
      </c>
    </row>
    <row r="176" spans="1:7" x14ac:dyDescent="0.3">
      <c r="A176" t="str">
        <f>Rangliste!B176</f>
        <v>Theodor Pap</v>
      </c>
      <c r="B176">
        <f>Rangliste!F176</f>
        <v>206736</v>
      </c>
      <c r="C176">
        <f>Rangliste!A176</f>
        <v>175</v>
      </c>
      <c r="D176">
        <f>Rangliste!T176</f>
        <v>0</v>
      </c>
      <c r="E176" t="str">
        <f>IF(Rangliste!E176="M","HE","DE")</f>
        <v>HE</v>
      </c>
      <c r="F176" t="str">
        <f>IF(Rangliste!E176="M","HD","DD")</f>
        <v>HD</v>
      </c>
      <c r="G176" t="s">
        <v>649</v>
      </c>
    </row>
    <row r="177" spans="1:7" x14ac:dyDescent="0.3">
      <c r="A177" t="str">
        <f>Rangliste!B177</f>
        <v>Georgio Khoury</v>
      </c>
      <c r="B177" t="str">
        <f>Rangliste!F177</f>
        <v>208753</v>
      </c>
      <c r="C177">
        <f>Rangliste!A177</f>
        <v>176</v>
      </c>
      <c r="D177">
        <f>Rangliste!T177</f>
        <v>0</v>
      </c>
      <c r="E177" t="str">
        <f>IF(Rangliste!E177="M","HE","DE")</f>
        <v>HE</v>
      </c>
      <c r="F177" t="str">
        <f>IF(Rangliste!E177="M","HD","DD")</f>
        <v>HD</v>
      </c>
      <c r="G177" t="s">
        <v>649</v>
      </c>
    </row>
    <row r="178" spans="1:7" x14ac:dyDescent="0.3">
      <c r="A178" t="str">
        <f>Rangliste!B178</f>
        <v>Mahdy Naiem</v>
      </c>
      <c r="B178">
        <f>Rangliste!F178</f>
        <v>209255</v>
      </c>
      <c r="C178">
        <f>Rangliste!A178</f>
        <v>177</v>
      </c>
      <c r="D178">
        <f>Rangliste!T178</f>
        <v>0</v>
      </c>
      <c r="E178" t="str">
        <f>IF(Rangliste!E178="M","HE","DE")</f>
        <v>HE</v>
      </c>
      <c r="F178" t="str">
        <f>IF(Rangliste!E178="M","HD","DD")</f>
        <v>HD</v>
      </c>
      <c r="G178" t="s">
        <v>649</v>
      </c>
    </row>
    <row r="179" spans="1:7" x14ac:dyDescent="0.3">
      <c r="A179" t="str">
        <f>Rangliste!B179</f>
        <v>Sam Lavvaf Koshyani</v>
      </c>
      <c r="B179" t="str">
        <f>Rangliste!F179</f>
        <v>208477</v>
      </c>
      <c r="C179">
        <f>Rangliste!A179</f>
        <v>178</v>
      </c>
      <c r="D179">
        <f>Rangliste!T179</f>
        <v>0</v>
      </c>
      <c r="E179" t="str">
        <f>IF(Rangliste!E179="M","HE","DE")</f>
        <v>HE</v>
      </c>
      <c r="F179" t="str">
        <f>IF(Rangliste!E179="M","HD","DD")</f>
        <v>HD</v>
      </c>
      <c r="G179" t="s">
        <v>649</v>
      </c>
    </row>
    <row r="180" spans="1:7" x14ac:dyDescent="0.3">
      <c r="A180" t="str">
        <f>Rangliste!B180</f>
        <v>Umut Ilhan</v>
      </c>
      <c r="B180" t="str">
        <f>Rangliste!F180</f>
        <v>208773</v>
      </c>
      <c r="C180">
        <f>Rangliste!A180</f>
        <v>179</v>
      </c>
      <c r="D180">
        <f>Rangliste!T180</f>
        <v>0</v>
      </c>
      <c r="E180" t="str">
        <f>IF(Rangliste!E180="M","HE","DE")</f>
        <v>HE</v>
      </c>
      <c r="F180" t="str">
        <f>IF(Rangliste!E180="M","HD","DD")</f>
        <v>HD</v>
      </c>
      <c r="G180" t="s">
        <v>649</v>
      </c>
    </row>
    <row r="181" spans="1:7" x14ac:dyDescent="0.3">
      <c r="A181" t="str">
        <f>Rangliste!B181</f>
        <v>Izel Ilhan</v>
      </c>
      <c r="B181" t="str">
        <f>Rangliste!F181</f>
        <v>208654</v>
      </c>
      <c r="C181">
        <f>Rangliste!A181</f>
        <v>180</v>
      </c>
      <c r="D181">
        <f>Rangliste!T181</f>
        <v>0</v>
      </c>
      <c r="E181" t="str">
        <f>IF(Rangliste!E181="M","HE","DE")</f>
        <v>DE</v>
      </c>
      <c r="F181" t="str">
        <f>IF(Rangliste!E181="M","HD","DD")</f>
        <v>DD</v>
      </c>
      <c r="G181" t="s">
        <v>649</v>
      </c>
    </row>
    <row r="182" spans="1:7" x14ac:dyDescent="0.3">
      <c r="A182" t="str">
        <f>Rangliste!B182</f>
        <v>Raphael Munz</v>
      </c>
      <c r="B182" t="str">
        <f>Rangliste!F182</f>
        <v>208513</v>
      </c>
      <c r="C182">
        <f>Rangliste!A182</f>
        <v>181</v>
      </c>
      <c r="D182">
        <f>Rangliste!T182</f>
        <v>0</v>
      </c>
      <c r="E182" t="str">
        <f>IF(Rangliste!E182="M","HE","DE")</f>
        <v>HE</v>
      </c>
      <c r="F182" t="str">
        <f>IF(Rangliste!E182="M","HD","DD")</f>
        <v>HD</v>
      </c>
      <c r="G182" t="s">
        <v>649</v>
      </c>
    </row>
    <row r="183" spans="1:7" x14ac:dyDescent="0.3">
      <c r="A183" t="str">
        <f>Rangliste!B183</f>
        <v>Tessa Henke</v>
      </c>
      <c r="B183" t="str">
        <f>Rangliste!F183</f>
        <v>208480</v>
      </c>
      <c r="C183">
        <f>Rangliste!A183</f>
        <v>182</v>
      </c>
      <c r="D183">
        <f>Rangliste!T183</f>
        <v>0</v>
      </c>
      <c r="E183" t="str">
        <f>IF(Rangliste!E183="M","HE","DE")</f>
        <v>DE</v>
      </c>
      <c r="F183" t="str">
        <f>IF(Rangliste!E183="M","HD","DD")</f>
        <v>DD</v>
      </c>
      <c r="G183" t="s">
        <v>649</v>
      </c>
    </row>
    <row r="184" spans="1:7" x14ac:dyDescent="0.3">
      <c r="A184" t="str">
        <f>Rangliste!B184</f>
        <v>Marlene Posch</v>
      </c>
      <c r="B184" t="str">
        <f>Rangliste!F184</f>
        <v>208713</v>
      </c>
      <c r="C184">
        <f>Rangliste!A184</f>
        <v>183</v>
      </c>
      <c r="D184">
        <f>Rangliste!T184</f>
        <v>0</v>
      </c>
      <c r="E184" t="str">
        <f>IF(Rangliste!E184="M","HE","DE")</f>
        <v>DE</v>
      </c>
      <c r="F184" t="str">
        <f>IF(Rangliste!E184="M","HD","DD")</f>
        <v>DD</v>
      </c>
      <c r="G184" t="s">
        <v>649</v>
      </c>
    </row>
    <row r="185" spans="1:7" x14ac:dyDescent="0.3">
      <c r="A185" t="str">
        <f>Rangliste!B185</f>
        <v>Aminat Ustarkhanova</v>
      </c>
      <c r="B185">
        <f>Rangliste!F185</f>
        <v>29253</v>
      </c>
      <c r="C185">
        <f>Rangliste!A185</f>
        <v>184</v>
      </c>
      <c r="D185">
        <f>Rangliste!T185</f>
        <v>0</v>
      </c>
      <c r="E185" t="str">
        <f>IF(Rangliste!E185="M","HE","DE")</f>
        <v>DE</v>
      </c>
      <c r="F185" t="str">
        <f>IF(Rangliste!E185="M","HD","DD")</f>
        <v>DD</v>
      </c>
      <c r="G185" t="s">
        <v>649</v>
      </c>
    </row>
    <row r="186" spans="1:7" x14ac:dyDescent="0.3">
      <c r="A186" t="str">
        <f>Rangliste!B186</f>
        <v>Sebastian Nachförg</v>
      </c>
      <c r="B186" t="str">
        <f>Rangliste!F186</f>
        <v>208734</v>
      </c>
      <c r="C186">
        <f>Rangliste!A186</f>
        <v>185</v>
      </c>
      <c r="D186">
        <f>Rangliste!T186</f>
        <v>0</v>
      </c>
      <c r="E186" t="str">
        <f>IF(Rangliste!E186="M","HE","DE")</f>
        <v>HE</v>
      </c>
      <c r="F186" t="str">
        <f>IF(Rangliste!E186="M","HD","DD")</f>
        <v>HD</v>
      </c>
      <c r="G186" t="s">
        <v>649</v>
      </c>
    </row>
    <row r="187" spans="1:7" x14ac:dyDescent="0.3">
      <c r="A187" t="str">
        <f>Rangliste!B187</f>
        <v>Savita Brosenbauer</v>
      </c>
      <c r="B187" t="str">
        <f>Rangliste!F187</f>
        <v>208514</v>
      </c>
      <c r="C187">
        <f>Rangliste!A187</f>
        <v>186</v>
      </c>
      <c r="D187">
        <f>Rangliste!T187</f>
        <v>0</v>
      </c>
      <c r="E187" t="str">
        <f>IF(Rangliste!E187="M","HE","DE")</f>
        <v>DE</v>
      </c>
      <c r="F187" t="str">
        <f>IF(Rangliste!E187="M","HD","DD")</f>
        <v>DD</v>
      </c>
      <c r="G187" t="s">
        <v>649</v>
      </c>
    </row>
    <row r="188" spans="1:7" x14ac:dyDescent="0.3">
      <c r="A188" t="str">
        <f>Rangliste!B188</f>
        <v>Elias Harant</v>
      </c>
      <c r="B188" t="str">
        <f>Rangliste!F188</f>
        <v>208736</v>
      </c>
      <c r="C188">
        <f>Rangliste!A188</f>
        <v>187</v>
      </c>
      <c r="D188">
        <f>Rangliste!T188</f>
        <v>0</v>
      </c>
      <c r="E188" t="str">
        <f>IF(Rangliste!E188="M","HE","DE")</f>
        <v>HE</v>
      </c>
      <c r="F188" t="str">
        <f>IF(Rangliste!E188="M","HD","DD")</f>
        <v>HD</v>
      </c>
      <c r="G188" t="s">
        <v>649</v>
      </c>
    </row>
    <row r="189" spans="1:7" x14ac:dyDescent="0.3">
      <c r="A189" t="str">
        <f>Rangliste!B189</f>
        <v>Jonas Akin</v>
      </c>
      <c r="B189">
        <f>Rangliste!F189</f>
        <v>110448</v>
      </c>
      <c r="C189">
        <f>Rangliste!A189</f>
        <v>188</v>
      </c>
      <c r="D189">
        <f>Rangliste!T189</f>
        <v>0</v>
      </c>
      <c r="E189" t="str">
        <f>IF(Rangliste!E189="M","HE","DE")</f>
        <v>HE</v>
      </c>
      <c r="F189" t="str">
        <f>IF(Rangliste!E189="M","HD","DD")</f>
        <v>HD</v>
      </c>
      <c r="G189" t="s">
        <v>649</v>
      </c>
    </row>
    <row r="190" spans="1:7" x14ac:dyDescent="0.3">
      <c r="A190" t="str">
        <f>Rangliste!B190</f>
        <v>Jaqueline Zhang</v>
      </c>
      <c r="B190">
        <f>Rangliste!F190</f>
        <v>110407</v>
      </c>
      <c r="C190">
        <f>Rangliste!A190</f>
        <v>189</v>
      </c>
      <c r="D190">
        <f>Rangliste!T190</f>
        <v>0</v>
      </c>
      <c r="E190" t="str">
        <f>IF(Rangliste!E190="M","HE","DE")</f>
        <v>DE</v>
      </c>
      <c r="F190" t="str">
        <f>IF(Rangliste!E190="M","HD","DD")</f>
        <v>DD</v>
      </c>
      <c r="G190" t="s">
        <v>649</v>
      </c>
    </row>
    <row r="191" spans="1:7" x14ac:dyDescent="0.3">
      <c r="A191" t="str">
        <f>Rangliste!B191</f>
        <v>Lukas Zhang</v>
      </c>
      <c r="B191">
        <f>Rangliste!F191</f>
        <v>110413</v>
      </c>
      <c r="C191">
        <f>Rangliste!A191</f>
        <v>190</v>
      </c>
      <c r="D191">
        <f>Rangliste!T191</f>
        <v>0</v>
      </c>
      <c r="E191" t="str">
        <f>IF(Rangliste!E191="M","HE","DE")</f>
        <v>HE</v>
      </c>
      <c r="F191" t="str">
        <f>IF(Rangliste!E191="M","HD","DD")</f>
        <v>HD</v>
      </c>
      <c r="G191" t="s">
        <v>649</v>
      </c>
    </row>
    <row r="192" spans="1:7" x14ac:dyDescent="0.3">
      <c r="A192" t="str">
        <f>Rangliste!B192</f>
        <v>Matias Zhang</v>
      </c>
      <c r="B192">
        <f>Rangliste!F192</f>
        <v>110409</v>
      </c>
      <c r="C192">
        <f>Rangliste!A192</f>
        <v>191</v>
      </c>
      <c r="D192">
        <f>Rangliste!T192</f>
        <v>0</v>
      </c>
      <c r="E192" t="str">
        <f>IF(Rangliste!E192="M","HE","DE")</f>
        <v>HE</v>
      </c>
      <c r="F192" t="str">
        <f>IF(Rangliste!E192="M","HD","DD")</f>
        <v>HD</v>
      </c>
      <c r="G192" t="s">
        <v>649</v>
      </c>
    </row>
    <row r="193" spans="1:7" x14ac:dyDescent="0.3">
      <c r="A193" t="str">
        <f>Rangliste!B193</f>
        <v>Melanie Shi</v>
      </c>
      <c r="B193">
        <f>Rangliste!F193</f>
        <v>109989</v>
      </c>
      <c r="C193">
        <f>Rangliste!A193</f>
        <v>192</v>
      </c>
      <c r="D193">
        <f>Rangliste!T193</f>
        <v>0</v>
      </c>
      <c r="E193" t="str">
        <f>IF(Rangliste!E193="M","HE","DE")</f>
        <v>DE</v>
      </c>
      <c r="F193" t="str">
        <f>IF(Rangliste!E193="M","HD","DD")</f>
        <v>DD</v>
      </c>
      <c r="G193" t="s">
        <v>649</v>
      </c>
    </row>
    <row r="194" spans="1:7" x14ac:dyDescent="0.3">
      <c r="A194" t="str">
        <f>Rangliste!B194</f>
        <v>Owen Liu</v>
      </c>
      <c r="B194">
        <f>Rangliste!F194</f>
        <v>109628</v>
      </c>
      <c r="C194">
        <f>Rangliste!A194</f>
        <v>193</v>
      </c>
      <c r="D194">
        <f>Rangliste!T194</f>
        <v>0</v>
      </c>
      <c r="E194" t="str">
        <f>IF(Rangliste!E194="M","HE","DE")</f>
        <v>HE</v>
      </c>
      <c r="F194" t="str">
        <f>IF(Rangliste!E194="M","HD","DD")</f>
        <v>HD</v>
      </c>
      <c r="G194" t="s">
        <v>649</v>
      </c>
    </row>
    <row r="195" spans="1:7" x14ac:dyDescent="0.3">
      <c r="A195" t="str">
        <f>Rangliste!B195</f>
        <v>Leon Akin</v>
      </c>
      <c r="B195">
        <f>Rangliste!F195</f>
        <v>110447</v>
      </c>
      <c r="C195">
        <f>Rangliste!A195</f>
        <v>194</v>
      </c>
      <c r="D195">
        <f>Rangliste!T195</f>
        <v>0</v>
      </c>
      <c r="E195" t="str">
        <f>IF(Rangliste!E195="M","HE","DE")</f>
        <v>HE</v>
      </c>
      <c r="F195" t="str">
        <f>IF(Rangliste!E195="M","HD","DD")</f>
        <v>HD</v>
      </c>
      <c r="G195" t="s">
        <v>649</v>
      </c>
    </row>
    <row r="196" spans="1:7" x14ac:dyDescent="0.3">
      <c r="A196" t="str">
        <f>Rangliste!B196</f>
        <v>Stefan Scheer</v>
      </c>
      <c r="B196">
        <f>Rangliste!F196</f>
        <v>108808</v>
      </c>
      <c r="C196">
        <f>Rangliste!A196</f>
        <v>195</v>
      </c>
      <c r="D196">
        <f>Rangliste!T196</f>
        <v>0</v>
      </c>
      <c r="E196" t="str">
        <f>IF(Rangliste!E196="M","HE","DE")</f>
        <v>HE</v>
      </c>
      <c r="F196" t="str">
        <f>IF(Rangliste!E196="M","HD","DD")</f>
        <v>HD</v>
      </c>
      <c r="G196" t="s">
        <v>649</v>
      </c>
    </row>
    <row r="197" spans="1:7" x14ac:dyDescent="0.3">
      <c r="A197" t="str">
        <f>Rangliste!B197</f>
        <v>Oliver Sulzbacher</v>
      </c>
      <c r="B197">
        <f>Rangliste!F197</f>
        <v>207635</v>
      </c>
      <c r="C197">
        <f>Rangliste!A197</f>
        <v>196</v>
      </c>
      <c r="D197">
        <f>Rangliste!T197</f>
        <v>0</v>
      </c>
      <c r="E197" t="str">
        <f>IF(Rangliste!E197="M","HE","DE")</f>
        <v>HE</v>
      </c>
      <c r="F197" t="str">
        <f>IF(Rangliste!E197="M","HD","DD")</f>
        <v>HD</v>
      </c>
      <c r="G197" t="s">
        <v>649</v>
      </c>
    </row>
    <row r="198" spans="1:7" x14ac:dyDescent="0.3">
      <c r="A198" t="str">
        <f>Rangliste!B198</f>
        <v>Akos Horvath</v>
      </c>
      <c r="B198">
        <f>Rangliste!F198</f>
        <v>109270</v>
      </c>
      <c r="C198">
        <f>Rangliste!A198</f>
        <v>197</v>
      </c>
      <c r="D198">
        <f>Rangliste!T198</f>
        <v>0</v>
      </c>
      <c r="E198" t="str">
        <f>IF(Rangliste!E198="M","HE","DE")</f>
        <v>HE</v>
      </c>
      <c r="F198" t="str">
        <f>IF(Rangliste!E198="M","HD","DD")</f>
        <v>HD</v>
      </c>
      <c r="G198" t="s">
        <v>649</v>
      </c>
    </row>
    <row r="199" spans="1:7" x14ac:dyDescent="0.3">
      <c r="A199" t="str">
        <f>Rangliste!B199</f>
        <v>Shan Singh Lamba</v>
      </c>
      <c r="B199">
        <f>Rangliste!F199</f>
        <v>17828</v>
      </c>
      <c r="C199">
        <f>Rangliste!A199</f>
        <v>198</v>
      </c>
      <c r="D199">
        <f>Rangliste!T199</f>
        <v>0</v>
      </c>
      <c r="E199" t="str">
        <f>IF(Rangliste!E199="M","HE","DE")</f>
        <v>HE</v>
      </c>
      <c r="F199" t="str">
        <f>IF(Rangliste!E199="M","HD","DD")</f>
        <v>HD</v>
      </c>
      <c r="G199" t="s">
        <v>649</v>
      </c>
    </row>
    <row r="200" spans="1:7" x14ac:dyDescent="0.3">
      <c r="A200" t="str">
        <f>Rangliste!B200</f>
        <v>Ryan Lan</v>
      </c>
      <c r="B200">
        <f>Rangliste!F200</f>
        <v>109610</v>
      </c>
      <c r="C200">
        <f>Rangliste!A200</f>
        <v>199</v>
      </c>
      <c r="D200">
        <f>Rangliste!T200</f>
        <v>0</v>
      </c>
      <c r="E200" t="str">
        <f>IF(Rangliste!E200="M","HE","DE")</f>
        <v>HE</v>
      </c>
      <c r="F200" t="str">
        <f>IF(Rangliste!E200="M","HD","DD")</f>
        <v>HD</v>
      </c>
      <c r="G200" t="s">
        <v>649</v>
      </c>
    </row>
    <row r="201" spans="1:7" x14ac:dyDescent="0.3">
      <c r="A201" t="str">
        <f>Rangliste!B201</f>
        <v>William Thai</v>
      </c>
      <c r="B201">
        <f>Rangliste!F201</f>
        <v>109508</v>
      </c>
      <c r="C201">
        <f>Rangliste!A201</f>
        <v>200</v>
      </c>
      <c r="D201">
        <f>Rangliste!T201</f>
        <v>0</v>
      </c>
      <c r="E201" t="str">
        <f>IF(Rangliste!E201="M","HE","DE")</f>
        <v>HE</v>
      </c>
      <c r="F201" t="str">
        <f>IF(Rangliste!E201="M","HD","DD")</f>
        <v>HD</v>
      </c>
      <c r="G201" t="s">
        <v>649</v>
      </c>
    </row>
    <row r="202" spans="1:7" x14ac:dyDescent="0.3">
      <c r="A202" t="str">
        <f>Rangliste!B202</f>
        <v>Evita Hazdra</v>
      </c>
      <c r="B202">
        <f>Rangliste!F202</f>
        <v>109987</v>
      </c>
      <c r="C202">
        <f>Rangliste!A202</f>
        <v>201</v>
      </c>
      <c r="D202">
        <f>Rangliste!T202</f>
        <v>0</v>
      </c>
      <c r="E202" t="str">
        <f>IF(Rangliste!E202="M","HE","DE")</f>
        <v>DE</v>
      </c>
      <c r="F202" t="str">
        <f>IF(Rangliste!E202="M","HD","DD")</f>
        <v>DD</v>
      </c>
      <c r="G202" t="s">
        <v>649</v>
      </c>
    </row>
    <row r="203" spans="1:7" x14ac:dyDescent="0.3">
      <c r="A203" t="str">
        <f>Rangliste!B203</f>
        <v>Philip Klien</v>
      </c>
      <c r="B203">
        <f>Rangliste!F203</f>
        <v>110408</v>
      </c>
      <c r="C203">
        <f>Rangliste!A203</f>
        <v>202</v>
      </c>
      <c r="D203">
        <f>Rangliste!T203</f>
        <v>0</v>
      </c>
      <c r="E203" t="str">
        <f>IF(Rangliste!E203="M","HE","DE")</f>
        <v>HE</v>
      </c>
      <c r="F203" t="str">
        <f>IF(Rangliste!E203="M","HD","DD")</f>
        <v>HD</v>
      </c>
      <c r="G203" t="s">
        <v>649</v>
      </c>
    </row>
    <row r="204" spans="1:7" x14ac:dyDescent="0.3">
      <c r="A204" t="str">
        <f>Rangliste!B204</f>
        <v>Matteo Luksch</v>
      </c>
      <c r="B204">
        <f>Rangliste!F204</f>
        <v>109509</v>
      </c>
      <c r="C204">
        <f>Rangliste!A204</f>
        <v>203</v>
      </c>
      <c r="D204">
        <f>Rangliste!T204</f>
        <v>0</v>
      </c>
      <c r="E204" t="str">
        <f>IF(Rangliste!E204="M","HE","DE")</f>
        <v>HE</v>
      </c>
      <c r="F204" t="str">
        <f>IF(Rangliste!E204="M","HD","DD")</f>
        <v>HD</v>
      </c>
      <c r="G204" t="s">
        <v>649</v>
      </c>
    </row>
    <row r="205" spans="1:7" x14ac:dyDescent="0.3">
      <c r="A205" t="str">
        <f>Rangliste!B205</f>
        <v>Simon Mayer</v>
      </c>
      <c r="B205">
        <f>Rangliste!F205</f>
        <v>110028</v>
      </c>
      <c r="C205">
        <f>Rangliste!A205</f>
        <v>204</v>
      </c>
      <c r="D205">
        <f>Rangliste!T205</f>
        <v>0</v>
      </c>
      <c r="E205" t="str">
        <f>IF(Rangliste!E205="M","HE","DE")</f>
        <v>HE</v>
      </c>
      <c r="F205" t="str">
        <f>IF(Rangliste!E205="M","HD","DD")</f>
        <v>HD</v>
      </c>
      <c r="G205" t="s">
        <v>649</v>
      </c>
    </row>
    <row r="206" spans="1:7" x14ac:dyDescent="0.3">
      <c r="A206" t="str">
        <f>Rangliste!B206</f>
        <v>Parth Gandhi</v>
      </c>
      <c r="B206">
        <f>Rangliste!F206</f>
        <v>110647</v>
      </c>
      <c r="C206">
        <f>Rangliste!A206</f>
        <v>205</v>
      </c>
      <c r="D206">
        <f>Rangliste!T206</f>
        <v>0</v>
      </c>
      <c r="E206" t="str">
        <f>IF(Rangliste!E206="M","HE","DE")</f>
        <v>HE</v>
      </c>
      <c r="F206" t="str">
        <f>IF(Rangliste!E206="M","HD","DD")</f>
        <v>HD</v>
      </c>
      <c r="G206" t="s">
        <v>649</v>
      </c>
    </row>
    <row r="207" spans="1:7" x14ac:dyDescent="0.3">
      <c r="A207" t="str">
        <f>Rangliste!B207</f>
        <v>Lisa Corbeletta Tang</v>
      </c>
      <c r="B207">
        <f>Rangliste!F207</f>
        <v>18087</v>
      </c>
      <c r="C207">
        <f>Rangliste!A207</f>
        <v>206</v>
      </c>
      <c r="D207">
        <f>Rangliste!T207</f>
        <v>0</v>
      </c>
      <c r="E207" t="str">
        <f>IF(Rangliste!E207="M","HE","DE")</f>
        <v>DE</v>
      </c>
      <c r="F207" t="str">
        <f>IF(Rangliste!E207="M","HD","DD")</f>
        <v>DD</v>
      </c>
      <c r="G207" t="s">
        <v>649</v>
      </c>
    </row>
    <row r="208" spans="1:7" x14ac:dyDescent="0.3">
      <c r="A208" t="str">
        <f>Rangliste!B208</f>
        <v>Mika Thomas</v>
      </c>
      <c r="B208">
        <f>Rangliste!F208</f>
        <v>109709</v>
      </c>
      <c r="C208">
        <f>Rangliste!A208</f>
        <v>207</v>
      </c>
      <c r="D208">
        <f>Rangliste!T208</f>
        <v>0</v>
      </c>
      <c r="E208" t="str">
        <f>IF(Rangliste!E208="M","HE","DE")</f>
        <v>HE</v>
      </c>
      <c r="F208" t="str">
        <f>IF(Rangliste!E208="M","HD","DD")</f>
        <v>HD</v>
      </c>
      <c r="G208" t="s">
        <v>649</v>
      </c>
    </row>
    <row r="209" spans="1:7" x14ac:dyDescent="0.3">
      <c r="A209" t="str">
        <f>Rangliste!B209</f>
        <v>Ignas Julius Neufeld</v>
      </c>
      <c r="B209">
        <f>Rangliste!F209</f>
        <v>109727</v>
      </c>
      <c r="C209">
        <f>Rangliste!A209</f>
        <v>208</v>
      </c>
      <c r="D209">
        <f>Rangliste!T209</f>
        <v>0</v>
      </c>
      <c r="E209" t="str">
        <f>IF(Rangliste!E209="M","HE","DE")</f>
        <v>HE</v>
      </c>
      <c r="F209" t="str">
        <f>IF(Rangliste!E209="M","HD","DD")</f>
        <v>HD</v>
      </c>
      <c r="G209" t="s">
        <v>649</v>
      </c>
    </row>
    <row r="210" spans="1:7" x14ac:dyDescent="0.3">
      <c r="A210" t="str">
        <f>Rangliste!B210</f>
        <v>Mathilde Spath-Dörflinger</v>
      </c>
      <c r="B210">
        <f>Rangliste!F210</f>
        <v>110410</v>
      </c>
      <c r="C210">
        <f>Rangliste!A210</f>
        <v>209</v>
      </c>
      <c r="D210">
        <f>Rangliste!T210</f>
        <v>0</v>
      </c>
      <c r="E210" t="str">
        <f>IF(Rangliste!E210="M","HE","DE")</f>
        <v>DE</v>
      </c>
      <c r="F210" t="str">
        <f>IF(Rangliste!E210="M","HD","DD")</f>
        <v>DD</v>
      </c>
      <c r="G210" t="s">
        <v>649</v>
      </c>
    </row>
    <row r="211" spans="1:7" x14ac:dyDescent="0.3">
      <c r="A211" t="str">
        <f>Rangliste!B211</f>
        <v>Antonio Shang</v>
      </c>
      <c r="B211">
        <f>Rangliste!F211</f>
        <v>109547</v>
      </c>
      <c r="C211">
        <f>Rangliste!A211</f>
        <v>210</v>
      </c>
      <c r="D211">
        <f>Rangliste!T211</f>
        <v>0</v>
      </c>
      <c r="E211" t="str">
        <f>IF(Rangliste!E211="M","HE","DE")</f>
        <v>HE</v>
      </c>
      <c r="F211" t="str">
        <f>IF(Rangliste!E211="M","HD","DD")</f>
        <v>HD</v>
      </c>
      <c r="G211" t="s">
        <v>649</v>
      </c>
    </row>
    <row r="212" spans="1:7" x14ac:dyDescent="0.3">
      <c r="A212" t="str">
        <f>Rangliste!B212</f>
        <v>Oscar Chung</v>
      </c>
      <c r="B212">
        <f>Rangliste!F212</f>
        <v>17849</v>
      </c>
      <c r="C212">
        <f>Rangliste!A212</f>
        <v>211</v>
      </c>
      <c r="D212">
        <f>Rangliste!T212</f>
        <v>0</v>
      </c>
      <c r="E212" t="str">
        <f>IF(Rangliste!E212="M","HE","DE")</f>
        <v>HE</v>
      </c>
      <c r="F212" t="str">
        <f>IF(Rangliste!E212="M","HD","DD")</f>
        <v>HD</v>
      </c>
      <c r="G212" t="s">
        <v>649</v>
      </c>
    </row>
    <row r="213" spans="1:7" x14ac:dyDescent="0.3">
      <c r="A213" t="str">
        <f>Rangliste!B213</f>
        <v>Ida Stippl-Liu</v>
      </c>
      <c r="B213">
        <f>Rangliste!F213</f>
        <v>110411</v>
      </c>
      <c r="C213">
        <f>Rangliste!A213</f>
        <v>212</v>
      </c>
      <c r="D213">
        <f>Rangliste!T213</f>
        <v>0</v>
      </c>
      <c r="E213" t="str">
        <f>IF(Rangliste!E213="M","HE","DE")</f>
        <v>DE</v>
      </c>
      <c r="F213" t="str">
        <f>IF(Rangliste!E213="M","HD","DD")</f>
        <v>DD</v>
      </c>
      <c r="G213" t="s">
        <v>649</v>
      </c>
    </row>
    <row r="214" spans="1:7" x14ac:dyDescent="0.3">
      <c r="A214" t="str">
        <f>Rangliste!B214</f>
        <v>Raphael Rodrigues</v>
      </c>
      <c r="B214">
        <f>Rangliste!F214</f>
        <v>0</v>
      </c>
      <c r="C214">
        <f>Rangliste!A214</f>
        <v>213</v>
      </c>
      <c r="D214">
        <f>Rangliste!T214</f>
        <v>0</v>
      </c>
      <c r="E214" t="str">
        <f>IF(Rangliste!E214="M","HE","DE")</f>
        <v>HE</v>
      </c>
      <c r="F214" t="str">
        <f>IF(Rangliste!E214="M","HD","DD")</f>
        <v>HD</v>
      </c>
      <c r="G214" t="s">
        <v>649</v>
      </c>
    </row>
    <row r="215" spans="1:7" x14ac:dyDescent="0.3">
      <c r="A215" t="str">
        <f>Rangliste!B215</f>
        <v>Veronica Sokhan</v>
      </c>
      <c r="B215">
        <f>Rangliste!F215</f>
        <v>110334</v>
      </c>
      <c r="C215">
        <f>Rangliste!A215</f>
        <v>214</v>
      </c>
      <c r="D215">
        <f>Rangliste!T215</f>
        <v>0</v>
      </c>
      <c r="E215" t="str">
        <f>IF(Rangliste!E215="M","HE","DE")</f>
        <v>DE</v>
      </c>
      <c r="F215" t="str">
        <f>IF(Rangliste!E215="M","HD","DD")</f>
        <v>DD</v>
      </c>
      <c r="G215" t="s">
        <v>649</v>
      </c>
    </row>
    <row r="216" spans="1:7" x14ac:dyDescent="0.3">
      <c r="A216" t="str">
        <f>Rangliste!B216</f>
        <v>Sebastian Bitter</v>
      </c>
      <c r="B216">
        <f>Rangliste!F216</f>
        <v>109647</v>
      </c>
      <c r="C216">
        <f>Rangliste!A216</f>
        <v>215</v>
      </c>
      <c r="D216">
        <f>Rangliste!T216</f>
        <v>0</v>
      </c>
      <c r="E216" t="str">
        <f>IF(Rangliste!E216="M","HE","DE")</f>
        <v>HE</v>
      </c>
      <c r="F216" t="str">
        <f>IF(Rangliste!E216="M","HD","DD")</f>
        <v>HD</v>
      </c>
      <c r="G216" t="s">
        <v>649</v>
      </c>
    </row>
    <row r="217" spans="1:7" x14ac:dyDescent="0.3">
      <c r="A217" t="str">
        <f>Rangliste!B217</f>
        <v>Oliver Liu</v>
      </c>
      <c r="B217">
        <f>Rangliste!F217</f>
        <v>109627</v>
      </c>
      <c r="C217">
        <f>Rangliste!A217</f>
        <v>216</v>
      </c>
      <c r="D217">
        <f>Rangliste!T217</f>
        <v>0</v>
      </c>
      <c r="E217" t="str">
        <f>IF(Rangliste!E217="M","HE","DE")</f>
        <v>HE</v>
      </c>
      <c r="F217" t="str">
        <f>IF(Rangliste!E217="M","HD","DD")</f>
        <v>HD</v>
      </c>
      <c r="G217" t="s">
        <v>649</v>
      </c>
    </row>
    <row r="218" spans="1:7" x14ac:dyDescent="0.3">
      <c r="A218" t="str">
        <f>Rangliste!B218</f>
        <v>Ziseon Huang</v>
      </c>
      <c r="B218">
        <f>Rangliste!F218</f>
        <v>110027</v>
      </c>
      <c r="C218">
        <f>Rangliste!A218</f>
        <v>217</v>
      </c>
      <c r="D218">
        <f>Rangliste!T218</f>
        <v>0</v>
      </c>
      <c r="E218" t="str">
        <f>IF(Rangliste!E218="M","HE","DE")</f>
        <v>HE</v>
      </c>
      <c r="F218" t="str">
        <f>IF(Rangliste!E218="M","HD","DD")</f>
        <v>HD</v>
      </c>
      <c r="G218" t="s">
        <v>649</v>
      </c>
    </row>
    <row r="219" spans="1:7" x14ac:dyDescent="0.3">
      <c r="A219" t="str">
        <f>Rangliste!B219</f>
        <v>Leonidas Schmidt</v>
      </c>
      <c r="B219">
        <f>Rangliste!F219</f>
        <v>0</v>
      </c>
      <c r="C219">
        <f>Rangliste!A219</f>
        <v>218</v>
      </c>
      <c r="D219">
        <f>Rangliste!T219</f>
        <v>0</v>
      </c>
      <c r="E219" t="str">
        <f>IF(Rangliste!E219="M","HE","DE")</f>
        <v>HE</v>
      </c>
      <c r="F219" t="str">
        <f>IF(Rangliste!E219="M","HD","DD")</f>
        <v>HD</v>
      </c>
      <c r="G219" t="s">
        <v>649</v>
      </c>
    </row>
    <row r="220" spans="1:7" x14ac:dyDescent="0.3">
      <c r="A220" t="str">
        <f>Rangliste!B220</f>
        <v>Pepe Carstensen</v>
      </c>
      <c r="B220">
        <f>Rangliste!F220</f>
        <v>110909</v>
      </c>
      <c r="C220">
        <f>Rangliste!A220</f>
        <v>219</v>
      </c>
      <c r="D220">
        <f>Rangliste!T220</f>
        <v>0</v>
      </c>
      <c r="E220" t="str">
        <f>IF(Rangliste!E220="M","HE","DE")</f>
        <v>HE</v>
      </c>
      <c r="F220" t="str">
        <f>IF(Rangliste!E220="M","HD","DD")</f>
        <v>HD</v>
      </c>
      <c r="G220" t="s">
        <v>649</v>
      </c>
    </row>
    <row r="221" spans="1:7" x14ac:dyDescent="0.3">
      <c r="A221" t="str">
        <f>Rangliste!B221</f>
        <v>Noah Staubmann</v>
      </c>
      <c r="B221">
        <f>Rangliste!F221</f>
        <v>110910</v>
      </c>
      <c r="C221">
        <f>Rangliste!A221</f>
        <v>220</v>
      </c>
      <c r="D221">
        <f>Rangliste!T221</f>
        <v>0</v>
      </c>
      <c r="E221" t="str">
        <f>IF(Rangliste!E221="M","HE","DE")</f>
        <v>HE</v>
      </c>
      <c r="F221" t="str">
        <f>IF(Rangliste!E221="M","HD","DD")</f>
        <v>HD</v>
      </c>
      <c r="G221" t="s">
        <v>649</v>
      </c>
    </row>
    <row r="222" spans="1:7" x14ac:dyDescent="0.3">
      <c r="A222" t="str">
        <f>Rangliste!B222</f>
        <v>Adrian Watzinger</v>
      </c>
      <c r="B222">
        <f>Rangliste!F222</f>
        <v>111867</v>
      </c>
      <c r="C222">
        <f>Rangliste!A222</f>
        <v>221</v>
      </c>
      <c r="D222">
        <f>Rangliste!T222</f>
        <v>0</v>
      </c>
      <c r="E222" t="str">
        <f>IF(Rangliste!E222="M","HE","DE")</f>
        <v>HE</v>
      </c>
      <c r="F222" t="str">
        <f>IF(Rangliste!E222="M","HD","DD")</f>
        <v>HD</v>
      </c>
      <c r="G222" t="s">
        <v>649</v>
      </c>
    </row>
    <row r="223" spans="1:7" x14ac:dyDescent="0.3">
      <c r="A223" t="str">
        <f>Rangliste!B223</f>
        <v>Rabir Arora</v>
      </c>
      <c r="B223">
        <f>Rangliste!F223</f>
        <v>109069</v>
      </c>
      <c r="C223">
        <f>Rangliste!A223</f>
        <v>222</v>
      </c>
      <c r="D223">
        <f>Rangliste!T223</f>
        <v>0</v>
      </c>
      <c r="E223" t="str">
        <f>IF(Rangliste!E223="M","HE","DE")</f>
        <v>HE</v>
      </c>
      <c r="F223" t="str">
        <f>IF(Rangliste!E223="M","HD","DD")</f>
        <v>HD</v>
      </c>
      <c r="G223" t="s">
        <v>649</v>
      </c>
    </row>
    <row r="224" spans="1:7" x14ac:dyDescent="0.3">
      <c r="A224" t="str">
        <f>Rangliste!B224</f>
        <v>Leon Fogel</v>
      </c>
      <c r="B224">
        <f>Rangliste!F224</f>
        <v>110414</v>
      </c>
      <c r="C224">
        <f>Rangliste!A224</f>
        <v>223</v>
      </c>
      <c r="D224">
        <f>Rangliste!T224</f>
        <v>0</v>
      </c>
      <c r="E224" t="str">
        <f>IF(Rangliste!E224="M","HE","DE")</f>
        <v>HE</v>
      </c>
      <c r="F224" t="str">
        <f>IF(Rangliste!E224="M","HD","DD")</f>
        <v>HD</v>
      </c>
      <c r="G224" t="s">
        <v>649</v>
      </c>
    </row>
    <row r="225" spans="1:7" x14ac:dyDescent="0.3">
      <c r="A225" t="str">
        <f>Rangliste!B225</f>
        <v>Matteo Shang</v>
      </c>
      <c r="B225">
        <f>Rangliste!F225</f>
        <v>109551</v>
      </c>
      <c r="C225">
        <f>Rangliste!A225</f>
        <v>224</v>
      </c>
      <c r="D225">
        <f>Rangliste!T225</f>
        <v>0</v>
      </c>
      <c r="E225" t="str">
        <f>IF(Rangliste!E225="M","HE","DE")</f>
        <v>HE</v>
      </c>
      <c r="F225" t="str">
        <f>IF(Rangliste!E225="M","HD","DD")</f>
        <v>HD</v>
      </c>
      <c r="G225" t="s">
        <v>649</v>
      </c>
    </row>
    <row r="226" spans="1:7" x14ac:dyDescent="0.3">
      <c r="A226" t="str">
        <f>Rangliste!B226</f>
        <v>Angel Villanueva</v>
      </c>
      <c r="B226" t="str">
        <f>Rangliste!F226</f>
        <v>111769</v>
      </c>
      <c r="C226">
        <f>Rangliste!A226</f>
        <v>225</v>
      </c>
      <c r="D226">
        <f>Rangliste!T226</f>
        <v>0</v>
      </c>
      <c r="E226" t="str">
        <f>IF(Rangliste!E226="M","HE","DE")</f>
        <v>DE</v>
      </c>
      <c r="F226" t="str">
        <f>IF(Rangliste!E226="M","HD","DD")</f>
        <v>DD</v>
      </c>
      <c r="G226" t="s">
        <v>649</v>
      </c>
    </row>
    <row r="227" spans="1:7" x14ac:dyDescent="0.3">
      <c r="A227" t="str">
        <f>Rangliste!B227</f>
        <v>David Filipovic</v>
      </c>
      <c r="B227">
        <f>Rangliste!F227</f>
        <v>109447</v>
      </c>
      <c r="C227">
        <f>Rangliste!A227</f>
        <v>226</v>
      </c>
      <c r="D227">
        <f>Rangliste!T227</f>
        <v>0</v>
      </c>
      <c r="E227" t="str">
        <f>IF(Rangliste!E227="M","HE","DE")</f>
        <v>HE</v>
      </c>
      <c r="F227" t="str">
        <f>IF(Rangliste!E227="M","HD","DD")</f>
        <v>HD</v>
      </c>
      <c r="G227" t="s">
        <v>649</v>
      </c>
    </row>
    <row r="228" spans="1:7" x14ac:dyDescent="0.3">
      <c r="A228" t="str">
        <f>Rangliste!B228</f>
        <v>Samuel Lehner-Wöss</v>
      </c>
      <c r="B228">
        <f>Rangliste!F228</f>
        <v>0</v>
      </c>
      <c r="C228">
        <f>Rangliste!A228</f>
        <v>227</v>
      </c>
      <c r="D228">
        <f>Rangliste!T228</f>
        <v>0</v>
      </c>
      <c r="E228" t="str">
        <f>IF(Rangliste!E228="M","HE","DE")</f>
        <v>HE</v>
      </c>
      <c r="F228" t="str">
        <f>IF(Rangliste!E228="M","HD","DD")</f>
        <v>HD</v>
      </c>
      <c r="G228" t="s">
        <v>649</v>
      </c>
    </row>
    <row r="229" spans="1:7" x14ac:dyDescent="0.3">
      <c r="A229" t="str">
        <f>Rangliste!B229</f>
        <v>Yan Zhi</v>
      </c>
      <c r="B229">
        <f>Rangliste!F229</f>
        <v>110428</v>
      </c>
      <c r="C229">
        <f>Rangliste!A229</f>
        <v>228</v>
      </c>
      <c r="D229">
        <f>Rangliste!T229</f>
        <v>0</v>
      </c>
      <c r="E229" t="str">
        <f>IF(Rangliste!E229="M","HE","DE")</f>
        <v>HE</v>
      </c>
      <c r="F229" t="str">
        <f>IF(Rangliste!E229="M","HD","DD")</f>
        <v>HD</v>
      </c>
      <c r="G229" t="s">
        <v>649</v>
      </c>
    </row>
    <row r="230" spans="1:7" x14ac:dyDescent="0.3">
      <c r="A230" t="str">
        <f>Rangliste!B230</f>
        <v>Dominik Fleck</v>
      </c>
      <c r="B230">
        <f>Rangliste!F230</f>
        <v>110907</v>
      </c>
      <c r="C230">
        <f>Rangliste!A230</f>
        <v>229</v>
      </c>
      <c r="D230">
        <f>Rangliste!T230</f>
        <v>0</v>
      </c>
      <c r="E230" t="str">
        <f>IF(Rangliste!E230="M","HE","DE")</f>
        <v>HE</v>
      </c>
      <c r="F230" t="str">
        <f>IF(Rangliste!E230="M","HD","DD")</f>
        <v>HD</v>
      </c>
      <c r="G230" t="s">
        <v>649</v>
      </c>
    </row>
    <row r="231" spans="1:7" x14ac:dyDescent="0.3">
      <c r="A231" t="str">
        <f>Rangliste!B231</f>
        <v>Irina Sigmund</v>
      </c>
      <c r="B231">
        <f>Rangliste!F231</f>
        <v>0</v>
      </c>
      <c r="C231">
        <f>Rangliste!A231</f>
        <v>230</v>
      </c>
      <c r="D231">
        <f>Rangliste!T231</f>
        <v>0</v>
      </c>
      <c r="E231" t="str">
        <f>IF(Rangliste!E231="M","HE","DE")</f>
        <v>DE</v>
      </c>
      <c r="F231" t="str">
        <f>IF(Rangliste!E231="M","HD","DD")</f>
        <v>DD</v>
      </c>
      <c r="G231" t="s">
        <v>649</v>
      </c>
    </row>
    <row r="232" spans="1:7" x14ac:dyDescent="0.3">
      <c r="A232" t="str">
        <f>Rangliste!B232</f>
        <v>Alessa Bütow</v>
      </c>
      <c r="B232">
        <f>Rangliste!F232</f>
        <v>0</v>
      </c>
      <c r="C232">
        <f>Rangliste!A232</f>
        <v>231</v>
      </c>
      <c r="D232">
        <f>Rangliste!T232</f>
        <v>0</v>
      </c>
      <c r="E232" t="str">
        <f>IF(Rangliste!E232="M","HE","DE")</f>
        <v>DE</v>
      </c>
      <c r="F232" t="str">
        <f>IF(Rangliste!E232="M","HD","DD")</f>
        <v>DD</v>
      </c>
      <c r="G232" t="s">
        <v>649</v>
      </c>
    </row>
    <row r="233" spans="1:7" x14ac:dyDescent="0.3">
      <c r="A233" t="str">
        <f>Rangliste!B233</f>
        <v>Richard Kuzica</v>
      </c>
      <c r="B233">
        <f>Rangliste!F233</f>
        <v>0</v>
      </c>
      <c r="C233">
        <f>Rangliste!A233</f>
        <v>232</v>
      </c>
      <c r="D233">
        <f>Rangliste!T233</f>
        <v>0</v>
      </c>
      <c r="E233" t="str">
        <f>IF(Rangliste!E233="M","HE","DE")</f>
        <v>HE</v>
      </c>
      <c r="F233" t="str">
        <f>IF(Rangliste!E233="M","HD","DD")</f>
        <v>HD</v>
      </c>
      <c r="G233" t="s">
        <v>649</v>
      </c>
    </row>
    <row r="234" spans="1:7" x14ac:dyDescent="0.3">
      <c r="A234" t="str">
        <f>Rangliste!B234</f>
        <v>Bastian Klinka</v>
      </c>
      <c r="B234">
        <f>Rangliste!F234</f>
        <v>26513</v>
      </c>
      <c r="C234">
        <f>Rangliste!A234</f>
        <v>233</v>
      </c>
      <c r="D234">
        <f>Rangliste!T234</f>
        <v>0</v>
      </c>
      <c r="E234" t="str">
        <f>IF(Rangliste!E234="M","HE","DE")</f>
        <v>HE</v>
      </c>
      <c r="F234" t="str">
        <f>IF(Rangliste!E234="M","HD","DD")</f>
        <v>HD</v>
      </c>
      <c r="G234" t="s">
        <v>649</v>
      </c>
    </row>
    <row r="235" spans="1:7" x14ac:dyDescent="0.3">
      <c r="A235" t="str">
        <f>Rangliste!B235</f>
        <v>Viktor Matz</v>
      </c>
      <c r="B235">
        <f>Rangliste!F235</f>
        <v>0</v>
      </c>
      <c r="C235">
        <f>Rangliste!A235</f>
        <v>234</v>
      </c>
      <c r="D235">
        <f>Rangliste!T235</f>
        <v>0</v>
      </c>
      <c r="E235" t="str">
        <f>IF(Rangliste!E235="M","HE","DE")</f>
        <v>HE</v>
      </c>
      <c r="F235" t="str">
        <f>IF(Rangliste!E235="M","HD","DD")</f>
        <v>HD</v>
      </c>
      <c r="G235" t="s">
        <v>649</v>
      </c>
    </row>
    <row r="236" spans="1:7" x14ac:dyDescent="0.3">
      <c r="A236" t="str">
        <f>Rangliste!B236</f>
        <v>Emil Eysn</v>
      </c>
      <c r="B236">
        <f>Rangliste!F236</f>
        <v>109070</v>
      </c>
      <c r="C236">
        <f>Rangliste!A236</f>
        <v>235</v>
      </c>
      <c r="D236">
        <f>Rangliste!T236</f>
        <v>0</v>
      </c>
      <c r="E236" t="str">
        <f>IF(Rangliste!E236="M","HE","DE")</f>
        <v>DE</v>
      </c>
      <c r="F236" t="str">
        <f>IF(Rangliste!E236="M","HD","DD")</f>
        <v>DD</v>
      </c>
      <c r="G236" t="s">
        <v>649</v>
      </c>
    </row>
    <row r="237" spans="1:7" x14ac:dyDescent="0.3">
      <c r="A237" t="str">
        <f>Rangliste!B237</f>
        <v>Marc Tobolski</v>
      </c>
      <c r="B237">
        <f>Rangliste!F237</f>
        <v>207074</v>
      </c>
      <c r="C237">
        <f>Rangliste!A237</f>
        <v>236</v>
      </c>
      <c r="D237">
        <f>Rangliste!T237</f>
        <v>0</v>
      </c>
      <c r="E237" t="str">
        <f>IF(Rangliste!E237="M","HE","DE")</f>
        <v>HE</v>
      </c>
      <c r="F237" t="str">
        <f>IF(Rangliste!E237="M","HD","DD")</f>
        <v>HD</v>
      </c>
      <c r="G237" t="s">
        <v>649</v>
      </c>
    </row>
    <row r="238" spans="1:7" x14ac:dyDescent="0.3">
      <c r="A238" t="str">
        <f>Rangliste!B238</f>
        <v>Lennard LOY</v>
      </c>
      <c r="B238">
        <f>Rangliste!F238</f>
        <v>108370</v>
      </c>
      <c r="C238">
        <f>Rangliste!A238</f>
        <v>237</v>
      </c>
      <c r="D238">
        <f>Rangliste!T238</f>
        <v>0</v>
      </c>
      <c r="E238" t="str">
        <f>IF(Rangliste!E238="M","HE","DE")</f>
        <v>HE</v>
      </c>
      <c r="F238" t="str">
        <f>IF(Rangliste!E238="M","HD","DD")</f>
        <v>HD</v>
      </c>
      <c r="G238" t="s">
        <v>649</v>
      </c>
    </row>
    <row r="239" spans="1:7" x14ac:dyDescent="0.3">
      <c r="A239" t="str">
        <f>Rangliste!B239</f>
        <v>Matteo Klinka</v>
      </c>
      <c r="B239">
        <f>Rangliste!F239</f>
        <v>207033</v>
      </c>
      <c r="C239">
        <f>Rangliste!A239</f>
        <v>238</v>
      </c>
      <c r="D239">
        <f>Rangliste!T239</f>
        <v>0</v>
      </c>
      <c r="E239" t="str">
        <f>IF(Rangliste!E239="M","HE","DE")</f>
        <v>HE</v>
      </c>
      <c r="F239" t="str">
        <f>IF(Rangliste!E239="M","HD","DD")</f>
        <v>HD</v>
      </c>
      <c r="G239" t="s">
        <v>649</v>
      </c>
    </row>
    <row r="240" spans="1:7" x14ac:dyDescent="0.3">
      <c r="A240" t="str">
        <f>Rangliste!B240</f>
        <v>Zuzana Krajnakova</v>
      </c>
      <c r="B240">
        <f>Rangliste!F240</f>
        <v>0</v>
      </c>
      <c r="C240">
        <f>Rangliste!A240</f>
        <v>239</v>
      </c>
      <c r="D240">
        <f>Rangliste!T240</f>
        <v>0</v>
      </c>
      <c r="E240" t="str">
        <f>IF(Rangliste!E240="M","HE","DE")</f>
        <v>DE</v>
      </c>
      <c r="F240" t="str">
        <f>IF(Rangliste!E240="M","HD","DD")</f>
        <v>DD</v>
      </c>
      <c r="G240" t="s">
        <v>649</v>
      </c>
    </row>
    <row r="241" spans="1:7" x14ac:dyDescent="0.3">
      <c r="A241" t="str">
        <f>Rangliste!B241</f>
        <v>Luca Bucek</v>
      </c>
      <c r="B241">
        <f>Rangliste!F241</f>
        <v>206833</v>
      </c>
      <c r="C241">
        <f>Rangliste!A241</f>
        <v>240</v>
      </c>
      <c r="D241">
        <f>Rangliste!T241</f>
        <v>0</v>
      </c>
      <c r="E241" t="str">
        <f>IF(Rangliste!E241="M","HE","DE")</f>
        <v>HE</v>
      </c>
      <c r="F241" t="str">
        <f>IF(Rangliste!E241="M","HD","DD")</f>
        <v>HD</v>
      </c>
      <c r="G241" t="s">
        <v>649</v>
      </c>
    </row>
    <row r="242" spans="1:7" x14ac:dyDescent="0.3">
      <c r="A242" t="str">
        <f>Rangliste!B242</f>
        <v>Carolina Palazzo</v>
      </c>
      <c r="B242">
        <f>Rangliste!F242</f>
        <v>206734</v>
      </c>
      <c r="C242">
        <f>Rangliste!A242</f>
        <v>241</v>
      </c>
      <c r="D242">
        <f>Rangliste!T242</f>
        <v>0</v>
      </c>
      <c r="E242" t="str">
        <f>IF(Rangliste!E242="M","HE","DE")</f>
        <v>DE</v>
      </c>
      <c r="F242" t="str">
        <f>IF(Rangliste!E242="M","HD","DD")</f>
        <v>DD</v>
      </c>
      <c r="G242" t="s">
        <v>649</v>
      </c>
    </row>
    <row r="243" spans="1:7" x14ac:dyDescent="0.3">
      <c r="A243" t="str">
        <f>Rangliste!B243</f>
        <v>Marc Kittler</v>
      </c>
      <c r="B243">
        <f>Rangliste!F243</f>
        <v>207353</v>
      </c>
      <c r="C243">
        <f>Rangliste!A243</f>
        <v>242</v>
      </c>
      <c r="D243">
        <f>Rangliste!T243</f>
        <v>0</v>
      </c>
      <c r="E243" t="str">
        <f>IF(Rangliste!E243="M","HE","DE")</f>
        <v>HE</v>
      </c>
      <c r="F243" t="str">
        <f>IF(Rangliste!E243="M","HD","DD")</f>
        <v>HD</v>
      </c>
      <c r="G243" t="s">
        <v>649</v>
      </c>
    </row>
    <row r="244" spans="1:7" x14ac:dyDescent="0.3">
      <c r="A244" t="str">
        <f>Rangliste!B244</f>
        <v>Julia Swoboda</v>
      </c>
      <c r="B244">
        <f>Rangliste!F244</f>
        <v>207493</v>
      </c>
      <c r="C244">
        <f>Rangliste!A244</f>
        <v>243</v>
      </c>
      <c r="D244">
        <f>Rangliste!T244</f>
        <v>0</v>
      </c>
      <c r="E244" t="str">
        <f>IF(Rangliste!E244="M","HE","DE")</f>
        <v>DE</v>
      </c>
      <c r="F244" t="str">
        <f>IF(Rangliste!E244="M","HD","DD")</f>
        <v>DD</v>
      </c>
      <c r="G244" t="s">
        <v>649</v>
      </c>
    </row>
    <row r="245" spans="1:7" x14ac:dyDescent="0.3">
      <c r="A245" t="str">
        <f>Rangliste!B245</f>
        <v>Felix Kirchberger</v>
      </c>
      <c r="B245">
        <f>Rangliste!F245</f>
        <v>207975</v>
      </c>
      <c r="C245">
        <f>Rangliste!A245</f>
        <v>244</v>
      </c>
      <c r="D245">
        <f>Rangliste!T245</f>
        <v>0</v>
      </c>
      <c r="E245" t="str">
        <f>IF(Rangliste!E245="M","HE","DE")</f>
        <v>HE</v>
      </c>
      <c r="F245" t="str">
        <f>IF(Rangliste!E245="M","HD","DD")</f>
        <v>HD</v>
      </c>
      <c r="G245" t="s">
        <v>649</v>
      </c>
    </row>
    <row r="246" spans="1:7" x14ac:dyDescent="0.3">
      <c r="A246" t="str">
        <f>Rangliste!B246</f>
        <v>Simon Stricker</v>
      </c>
      <c r="B246">
        <f>Rangliste!F246</f>
        <v>26613</v>
      </c>
      <c r="C246">
        <f>Rangliste!A246</f>
        <v>245</v>
      </c>
      <c r="D246">
        <f>Rangliste!T246</f>
        <v>0</v>
      </c>
      <c r="E246" t="str">
        <f>IF(Rangliste!E246="M","HE","DE")</f>
        <v>HE</v>
      </c>
      <c r="F246" t="str">
        <f>IF(Rangliste!E246="M","HD","DD")</f>
        <v>HD</v>
      </c>
      <c r="G246" t="s">
        <v>649</v>
      </c>
    </row>
    <row r="247" spans="1:7" x14ac:dyDescent="0.3">
      <c r="A247" t="str">
        <f>Rangliste!B247</f>
        <v>Linda Zjavková</v>
      </c>
      <c r="B247">
        <f>Rangliste!F247</f>
        <v>0</v>
      </c>
      <c r="C247">
        <f>Rangliste!A247</f>
        <v>246</v>
      </c>
      <c r="D247">
        <f>Rangliste!T247</f>
        <v>0</v>
      </c>
      <c r="E247" t="str">
        <f>IF(Rangliste!E247="M","HE","DE")</f>
        <v>DE</v>
      </c>
      <c r="F247" t="str">
        <f>IF(Rangliste!E247="M","HD","DD")</f>
        <v>DD</v>
      </c>
      <c r="G247" t="s">
        <v>649</v>
      </c>
    </row>
    <row r="248" spans="1:7" x14ac:dyDescent="0.3">
      <c r="A248" t="str">
        <f>Rangliste!B248</f>
        <v>Jonathan Schönberger</v>
      </c>
      <c r="B248">
        <f>Rangliste!F248</f>
        <v>207954</v>
      </c>
      <c r="C248">
        <f>Rangliste!A248</f>
        <v>247</v>
      </c>
      <c r="D248">
        <f>Rangliste!T248</f>
        <v>0</v>
      </c>
      <c r="E248" t="str">
        <f>IF(Rangliste!E248="M","HE","DE")</f>
        <v>HE</v>
      </c>
      <c r="F248" t="str">
        <f>IF(Rangliste!E248="M","HD","DD")</f>
        <v>HD</v>
      </c>
      <c r="G248" t="s">
        <v>649</v>
      </c>
    </row>
    <row r="249" spans="1:7" x14ac:dyDescent="0.3">
      <c r="A249" t="str">
        <f>Rangliste!B249</f>
        <v>Julia Witzelsberger</v>
      </c>
      <c r="B249">
        <f>Rangliste!F249</f>
        <v>207053</v>
      </c>
      <c r="C249">
        <f>Rangliste!A249</f>
        <v>248</v>
      </c>
      <c r="D249">
        <f>Rangliste!T249</f>
        <v>0</v>
      </c>
      <c r="E249" t="str">
        <f>IF(Rangliste!E249="M","HE","DE")</f>
        <v>DE</v>
      </c>
      <c r="F249" t="str">
        <f>IF(Rangliste!E249="M","HD","DD")</f>
        <v>DD</v>
      </c>
      <c r="G249" t="s">
        <v>649</v>
      </c>
    </row>
    <row r="250" spans="1:7" x14ac:dyDescent="0.3">
      <c r="A250" t="str">
        <f>Rangliste!B250</f>
        <v>Camilla Teufel</v>
      </c>
      <c r="B250">
        <f>Rangliste!F250</f>
        <v>110468</v>
      </c>
      <c r="C250">
        <f>Rangliste!A250</f>
        <v>249</v>
      </c>
      <c r="D250">
        <f>Rangliste!T250</f>
        <v>0</v>
      </c>
      <c r="E250" t="str">
        <f>IF(Rangliste!E250="M","HE","DE")</f>
        <v>HE</v>
      </c>
      <c r="F250" t="str">
        <f>IF(Rangliste!E250="M","HD","DD")</f>
        <v>HD</v>
      </c>
      <c r="G250" t="s">
        <v>649</v>
      </c>
    </row>
    <row r="251" spans="1:7" x14ac:dyDescent="0.3">
      <c r="A251" t="str">
        <f>Rangliste!B251</f>
        <v>Finn Petraschek</v>
      </c>
      <c r="B251">
        <f>Rangliste!F251</f>
        <v>26479</v>
      </c>
      <c r="C251">
        <f>Rangliste!A251</f>
        <v>250</v>
      </c>
      <c r="D251">
        <f>Rangliste!T251</f>
        <v>0</v>
      </c>
      <c r="E251" t="str">
        <f>IF(Rangliste!E251="M","HE","DE")</f>
        <v>HE</v>
      </c>
      <c r="F251" t="str">
        <f>IF(Rangliste!E251="M","HD","DD")</f>
        <v>HD</v>
      </c>
      <c r="G251" t="s">
        <v>649</v>
      </c>
    </row>
    <row r="252" spans="1:7" x14ac:dyDescent="0.3">
      <c r="A252" t="str">
        <f>Rangliste!B252</f>
        <v>Mariya Indyukhova</v>
      </c>
      <c r="B252" t="str">
        <f>Rangliste!F252</f>
        <v>208314</v>
      </c>
      <c r="C252">
        <f>Rangliste!A252</f>
        <v>251</v>
      </c>
      <c r="D252">
        <f>Rangliste!T252</f>
        <v>0</v>
      </c>
      <c r="E252" t="str">
        <f>IF(Rangliste!E252="M","HE","DE")</f>
        <v>DE</v>
      </c>
      <c r="F252" t="str">
        <f>IF(Rangliste!E252="M","HD","DD")</f>
        <v>DD</v>
      </c>
      <c r="G252" t="s">
        <v>649</v>
      </c>
    </row>
    <row r="253" spans="1:7" x14ac:dyDescent="0.3">
      <c r="A253" t="str">
        <f>Rangliste!B253</f>
        <v>Felix Kickinger</v>
      </c>
      <c r="B253">
        <f>Rangliste!F253</f>
        <v>0</v>
      </c>
      <c r="C253">
        <f>Rangliste!A253</f>
        <v>252</v>
      </c>
      <c r="D253">
        <f>Rangliste!T253</f>
        <v>0</v>
      </c>
      <c r="E253" t="str">
        <f>IF(Rangliste!E253="M","HE","DE")</f>
        <v>HE</v>
      </c>
      <c r="F253" t="str">
        <f>IF(Rangliste!E253="M","HD","DD")</f>
        <v>HD</v>
      </c>
      <c r="G253" t="s">
        <v>649</v>
      </c>
    </row>
    <row r="254" spans="1:7" x14ac:dyDescent="0.3">
      <c r="A254" t="str">
        <f>Rangliste!B254</f>
        <v>Florian Blümel</v>
      </c>
      <c r="B254">
        <f>Rangliste!F254</f>
        <v>0</v>
      </c>
      <c r="C254">
        <f>Rangliste!A254</f>
        <v>253</v>
      </c>
      <c r="D254">
        <f>Rangliste!T254</f>
        <v>0</v>
      </c>
      <c r="E254" t="str">
        <f>IF(Rangliste!E254="M","HE","DE")</f>
        <v>HE</v>
      </c>
      <c r="F254" t="str">
        <f>IF(Rangliste!E254="M","HD","DD")</f>
        <v>HD</v>
      </c>
      <c r="G254" t="s">
        <v>649</v>
      </c>
    </row>
    <row r="255" spans="1:7" x14ac:dyDescent="0.3">
      <c r="A255" t="str">
        <f>Rangliste!B255</f>
        <v>Levin Onukwue</v>
      </c>
      <c r="B255" t="str">
        <f>Rangliste!F255</f>
        <v>208473</v>
      </c>
      <c r="C255">
        <f>Rangliste!A255</f>
        <v>254</v>
      </c>
      <c r="D255">
        <f>Rangliste!T255</f>
        <v>0</v>
      </c>
      <c r="E255" t="str">
        <f>IF(Rangliste!E255="M","HE","DE")</f>
        <v>HE</v>
      </c>
      <c r="F255" t="str">
        <f>IF(Rangliste!E255="M","HD","DD")</f>
        <v>HD</v>
      </c>
      <c r="G255" t="s">
        <v>649</v>
      </c>
    </row>
    <row r="256" spans="1:7" x14ac:dyDescent="0.3">
      <c r="A256" t="str">
        <f>Rangliste!B256</f>
        <v>Miriam Zehndorfer</v>
      </c>
      <c r="B256" t="str">
        <f>Rangliste!F256</f>
        <v/>
      </c>
      <c r="C256">
        <f>Rangliste!A256</f>
        <v>255</v>
      </c>
      <c r="D256">
        <f>Rangliste!T256</f>
        <v>0</v>
      </c>
      <c r="E256" t="str">
        <f>IF(Rangliste!E256="M","HE","DE")</f>
        <v>DE</v>
      </c>
      <c r="F256" t="str">
        <f>IF(Rangliste!E256="M","HD","DD")</f>
        <v>DD</v>
      </c>
      <c r="G256" t="s">
        <v>649</v>
      </c>
    </row>
    <row r="257" spans="1:7" x14ac:dyDescent="0.3">
      <c r="A257" t="str">
        <f>Rangliste!B257</f>
        <v>Sophia Elisabeth Ecker</v>
      </c>
      <c r="B257" t="str">
        <f>Rangliste!F257</f>
        <v>208478</v>
      </c>
      <c r="C257">
        <f>Rangliste!A257</f>
        <v>256</v>
      </c>
      <c r="D257">
        <f>Rangliste!T257</f>
        <v>0</v>
      </c>
      <c r="E257" t="str">
        <f>IF(Rangliste!E257="M","HE","DE")</f>
        <v>DE</v>
      </c>
      <c r="F257" t="str">
        <f>IF(Rangliste!E257="M","HD","DD")</f>
        <v>DD</v>
      </c>
      <c r="G257" t="s">
        <v>649</v>
      </c>
    </row>
    <row r="258" spans="1:7" x14ac:dyDescent="0.3">
      <c r="A258" t="str">
        <f>Rangliste!B258</f>
        <v>Irma Sutekova</v>
      </c>
      <c r="B258">
        <f>Rangliste!F258</f>
        <v>0</v>
      </c>
      <c r="C258">
        <f>Rangliste!A258</f>
        <v>257</v>
      </c>
      <c r="D258">
        <f>Rangliste!T258</f>
        <v>0</v>
      </c>
      <c r="E258" t="str">
        <f>IF(Rangliste!E258="M","HE","DE")</f>
        <v>DE</v>
      </c>
      <c r="F258" t="str">
        <f>IF(Rangliste!E258="M","HD","DD")</f>
        <v>DD</v>
      </c>
      <c r="G258" t="s">
        <v>649</v>
      </c>
    </row>
    <row r="259" spans="1:7" x14ac:dyDescent="0.3">
      <c r="A259" t="str">
        <f>Rangliste!B259</f>
        <v>Andrej Sutek</v>
      </c>
      <c r="B259">
        <f>Rangliste!F259</f>
        <v>0</v>
      </c>
      <c r="C259">
        <f>Rangliste!A259</f>
        <v>258</v>
      </c>
      <c r="D259">
        <f>Rangliste!T259</f>
        <v>0</v>
      </c>
      <c r="E259" t="str">
        <f>IF(Rangliste!E259="M","HE","DE")</f>
        <v>HE</v>
      </c>
      <c r="F259" t="str">
        <f>IF(Rangliste!E259="M","HD","DD")</f>
        <v>HD</v>
      </c>
      <c r="G259" t="s">
        <v>649</v>
      </c>
    </row>
    <row r="260" spans="1:7" x14ac:dyDescent="0.3">
      <c r="A260" t="str">
        <f>Rangliste!B260</f>
        <v>Raphael Lossmann-Illiev</v>
      </c>
      <c r="B260">
        <f>Rangliste!F260</f>
        <v>0</v>
      </c>
      <c r="C260">
        <f>Rangliste!A260</f>
        <v>259</v>
      </c>
      <c r="D260">
        <f>Rangliste!T260</f>
        <v>0</v>
      </c>
      <c r="E260" t="str">
        <f>IF(Rangliste!E260="M","HE","DE")</f>
        <v>HE</v>
      </c>
      <c r="F260" t="str">
        <f>IF(Rangliste!E260="M","HD","DD")</f>
        <v>HD</v>
      </c>
      <c r="G260" t="s">
        <v>649</v>
      </c>
    </row>
    <row r="261" spans="1:7" x14ac:dyDescent="0.3">
      <c r="A261" t="str">
        <f>Rangliste!B261</f>
        <v>Katharina Lossmann-Illiev</v>
      </c>
      <c r="B261">
        <f>Rangliste!F261</f>
        <v>0</v>
      </c>
      <c r="C261">
        <f>Rangliste!A261</f>
        <v>260</v>
      </c>
      <c r="D261">
        <f>Rangliste!T261</f>
        <v>0</v>
      </c>
      <c r="E261" t="str">
        <f>IF(Rangliste!E261="M","HE","DE")</f>
        <v>DE</v>
      </c>
      <c r="F261" t="str">
        <f>IF(Rangliste!E261="M","HD","DD")</f>
        <v>DD</v>
      </c>
      <c r="G261" t="s">
        <v>649</v>
      </c>
    </row>
    <row r="262" spans="1:7" x14ac:dyDescent="0.3">
      <c r="A262" t="str">
        <f>Rangliste!B262</f>
        <v>Ferdinand Bauer</v>
      </c>
      <c r="B262">
        <f>Rangliste!F262</f>
        <v>206753</v>
      </c>
      <c r="C262">
        <f>Rangliste!A262</f>
        <v>261</v>
      </c>
      <c r="D262">
        <f>Rangliste!T262</f>
        <v>0</v>
      </c>
      <c r="E262" t="str">
        <f>IF(Rangliste!E262="M","HE","DE")</f>
        <v>HE</v>
      </c>
      <c r="F262" t="str">
        <f>IF(Rangliste!E262="M","HD","DD")</f>
        <v>HD</v>
      </c>
      <c r="G262" t="s">
        <v>649</v>
      </c>
    </row>
    <row r="263" spans="1:7" x14ac:dyDescent="0.3">
      <c r="A263" t="str">
        <f>Rangliste!B263</f>
        <v>Dorian Grundschober</v>
      </c>
      <c r="B263">
        <f>Rangliste!F263</f>
        <v>17007</v>
      </c>
      <c r="C263">
        <f>Rangliste!A263</f>
        <v>262</v>
      </c>
      <c r="D263">
        <f>Rangliste!T263</f>
        <v>0</v>
      </c>
      <c r="E263" t="str">
        <f>IF(Rangliste!E263="M","HE","DE")</f>
        <v>HE</v>
      </c>
      <c r="F263" t="str">
        <f>IF(Rangliste!E263="M","HD","DD")</f>
        <v>HD</v>
      </c>
      <c r="G263" t="s">
        <v>649</v>
      </c>
    </row>
    <row r="264" spans="1:7" x14ac:dyDescent="0.3">
      <c r="A264" t="str">
        <f>Rangliste!B264</f>
        <v>Victor Acimovic</v>
      </c>
      <c r="B264">
        <f>Rangliste!F264</f>
        <v>17011</v>
      </c>
      <c r="C264">
        <f>Rangliste!A264</f>
        <v>263</v>
      </c>
      <c r="D264">
        <f>Rangliste!T264</f>
        <v>0</v>
      </c>
      <c r="E264" t="str">
        <f>IF(Rangliste!E264="M","HE","DE")</f>
        <v>HE</v>
      </c>
      <c r="F264" t="str">
        <f>IF(Rangliste!E264="M","HD","DD")</f>
        <v>HD</v>
      </c>
      <c r="G264" t="s">
        <v>649</v>
      </c>
    </row>
    <row r="265" spans="1:7" x14ac:dyDescent="0.3">
      <c r="A265" t="str">
        <f>Rangliste!B265</f>
        <v>Romeo Sam</v>
      </c>
      <c r="B265">
        <f>Rangliste!F265</f>
        <v>109473</v>
      </c>
      <c r="C265">
        <f>Rangliste!A265</f>
        <v>264</v>
      </c>
      <c r="D265">
        <f>Rangliste!T265</f>
        <v>0</v>
      </c>
      <c r="E265" t="str">
        <f>IF(Rangliste!E265="M","HE","DE")</f>
        <v>HE</v>
      </c>
      <c r="F265" t="str">
        <f>IF(Rangliste!E265="M","HD","DD")</f>
        <v>HD</v>
      </c>
      <c r="G265" t="s">
        <v>649</v>
      </c>
    </row>
    <row r="266" spans="1:7" x14ac:dyDescent="0.3">
      <c r="A266" t="str">
        <f>Rangliste!B266</f>
        <v>Robin Sam</v>
      </c>
      <c r="B266">
        <f>Rangliste!F266</f>
        <v>109473</v>
      </c>
      <c r="C266">
        <f>Rangliste!A266</f>
        <v>265</v>
      </c>
      <c r="D266">
        <f>Rangliste!T266</f>
        <v>0</v>
      </c>
      <c r="E266" t="str">
        <f>IF(Rangliste!E266="M","HE","DE")</f>
        <v>HE</v>
      </c>
      <c r="F266" t="str">
        <f>IF(Rangliste!E266="M","HD","DD")</f>
        <v>HD</v>
      </c>
      <c r="G266" t="s">
        <v>649</v>
      </c>
    </row>
    <row r="267" spans="1:7" x14ac:dyDescent="0.3">
      <c r="A267" t="str">
        <f>Rangliste!B267</f>
        <v>Emil Hager</v>
      </c>
      <c r="B267">
        <f>Rangliste!F267</f>
        <v>110370</v>
      </c>
      <c r="C267">
        <f>Rangliste!A267</f>
        <v>266</v>
      </c>
      <c r="D267">
        <f>Rangliste!T267</f>
        <v>0</v>
      </c>
      <c r="E267" t="str">
        <f>IF(Rangliste!E267="M","HE","DE")</f>
        <v>HE</v>
      </c>
      <c r="F267" t="str">
        <f>IF(Rangliste!E267="M","HD","DD")</f>
        <v>HD</v>
      </c>
      <c r="G267" t="s">
        <v>649</v>
      </c>
    </row>
    <row r="268" spans="1:7" x14ac:dyDescent="0.3">
      <c r="A268" t="str">
        <f>Rangliste!B268</f>
        <v>Yuyang Zhang</v>
      </c>
      <c r="B268">
        <f>Rangliste!F268</f>
        <v>17030</v>
      </c>
      <c r="C268">
        <f>Rangliste!A268</f>
        <v>267</v>
      </c>
      <c r="D268">
        <f>Rangliste!T268</f>
        <v>0</v>
      </c>
      <c r="E268" t="str">
        <f>IF(Rangliste!E268="M","HE","DE")</f>
        <v>HE</v>
      </c>
      <c r="F268" t="str">
        <f>IF(Rangliste!E268="M","HD","DD")</f>
        <v>HD</v>
      </c>
      <c r="G268" t="s">
        <v>649</v>
      </c>
    </row>
    <row r="269" spans="1:7" x14ac:dyDescent="0.3">
      <c r="A269" t="str">
        <f>Rangliste!B269</f>
        <v>Benjamin Kienzl</v>
      </c>
      <c r="B269">
        <f>Rangliste!F269</f>
        <v>206815</v>
      </c>
      <c r="C269">
        <f>Rangliste!A269</f>
        <v>268</v>
      </c>
      <c r="D269">
        <f>Rangliste!T269</f>
        <v>0</v>
      </c>
      <c r="E269" t="str">
        <f>IF(Rangliste!E269="M","HE","DE")</f>
        <v>HE</v>
      </c>
      <c r="F269" t="str">
        <f>IF(Rangliste!E269="M","HD","DD")</f>
        <v>HD</v>
      </c>
      <c r="G269" t="s">
        <v>649</v>
      </c>
    </row>
    <row r="270" spans="1:7" x14ac:dyDescent="0.3">
      <c r="A270" t="str">
        <f>Rangliste!B270</f>
        <v>Christoph Fehringer</v>
      </c>
      <c r="B270" t="str">
        <f>Rangliste!F270</f>
        <v>208416</v>
      </c>
      <c r="C270">
        <f>Rangliste!A270</f>
        <v>269</v>
      </c>
      <c r="D270">
        <f>Rangliste!T270</f>
        <v>0</v>
      </c>
      <c r="E270" t="str">
        <f>IF(Rangliste!E270="M","HE","DE")</f>
        <v>HE</v>
      </c>
      <c r="F270" t="str">
        <f>IF(Rangliste!E270="M","HD","DD")</f>
        <v>HD</v>
      </c>
      <c r="G270" t="s">
        <v>649</v>
      </c>
    </row>
    <row r="271" spans="1:7" x14ac:dyDescent="0.3">
      <c r="A271" t="str">
        <f>Rangliste!B271</f>
        <v>Mia Häupl</v>
      </c>
      <c r="B271">
        <f>Rangliste!F271</f>
        <v>208193</v>
      </c>
      <c r="C271">
        <f>Rangliste!A271</f>
        <v>270</v>
      </c>
      <c r="D271">
        <f>Rangliste!T271</f>
        <v>0</v>
      </c>
      <c r="E271" t="str">
        <f>IF(Rangliste!E271="M","HE","DE")</f>
        <v>DE</v>
      </c>
      <c r="F271" t="str">
        <f>IF(Rangliste!E271="M","HD","DD")</f>
        <v>DD</v>
      </c>
      <c r="G271" t="s">
        <v>649</v>
      </c>
    </row>
    <row r="272" spans="1:7" x14ac:dyDescent="0.3">
      <c r="A272" t="str">
        <f>Rangliste!B272</f>
        <v>David Kranzmayr</v>
      </c>
      <c r="B272" t="str">
        <f>Rangliste!F272</f>
        <v>208414</v>
      </c>
      <c r="C272">
        <f>Rangliste!A272</f>
        <v>271</v>
      </c>
      <c r="D272">
        <f>Rangliste!T272</f>
        <v>0</v>
      </c>
      <c r="E272" t="str">
        <f>IF(Rangliste!E272="M","HE","DE")</f>
        <v>HE</v>
      </c>
      <c r="F272" t="str">
        <f>IF(Rangliste!E272="M","HD","DD")</f>
        <v>HD</v>
      </c>
      <c r="G272" t="s">
        <v>649</v>
      </c>
    </row>
    <row r="273" spans="1:7" x14ac:dyDescent="0.3">
      <c r="A273" t="str">
        <f>Rangliste!B273</f>
        <v>Lukas Katsionis</v>
      </c>
      <c r="B273">
        <f>Rangliste!F273</f>
        <v>110808</v>
      </c>
      <c r="C273">
        <f>Rangliste!A273</f>
        <v>272</v>
      </c>
      <c r="D273">
        <f>Rangliste!T273</f>
        <v>0</v>
      </c>
      <c r="E273" t="str">
        <f>IF(Rangliste!E273="M","HE","DE")</f>
        <v>HE</v>
      </c>
      <c r="F273" t="str">
        <f>IF(Rangliste!E273="M","HD","DD")</f>
        <v>HD</v>
      </c>
      <c r="G273" t="s">
        <v>649</v>
      </c>
    </row>
    <row r="274" spans="1:7" x14ac:dyDescent="0.3">
      <c r="A274" t="str">
        <f>Rangliste!B274</f>
        <v>Leo Gruber</v>
      </c>
      <c r="B274">
        <f>Rangliste!F274</f>
        <v>110807</v>
      </c>
      <c r="C274">
        <f>Rangliste!A274</f>
        <v>273</v>
      </c>
      <c r="D274">
        <f>Rangliste!T274</f>
        <v>0</v>
      </c>
      <c r="E274" t="str">
        <f>IF(Rangliste!E274="M","HE","DE")</f>
        <v>HE</v>
      </c>
      <c r="F274" t="str">
        <f>IF(Rangliste!E274="M","HD","DD")</f>
        <v>HD</v>
      </c>
      <c r="G274" t="s">
        <v>649</v>
      </c>
    </row>
    <row r="275" spans="1:7" x14ac:dyDescent="0.3">
      <c r="A275" t="str">
        <f>Rangliste!B275</f>
        <v>Daniel Naumescu</v>
      </c>
      <c r="B275">
        <f>Rangliste!F275</f>
        <v>109670</v>
      </c>
      <c r="C275">
        <f>Rangliste!A275</f>
        <v>274</v>
      </c>
      <c r="D275">
        <f>Rangliste!T275</f>
        <v>0</v>
      </c>
      <c r="E275" t="str">
        <f>IF(Rangliste!E275="M","HE","DE")</f>
        <v>HE</v>
      </c>
      <c r="F275" t="str">
        <f>IF(Rangliste!E275="M","HD","DD")</f>
        <v>HD</v>
      </c>
      <c r="G275" t="s">
        <v>649</v>
      </c>
    </row>
    <row r="276" spans="1:7" x14ac:dyDescent="0.3">
      <c r="A276" t="str">
        <f>Rangliste!B276</f>
        <v>Philipp Janousek</v>
      </c>
      <c r="B276">
        <f>Rangliste!F276</f>
        <v>110333</v>
      </c>
      <c r="C276">
        <f>Rangliste!A276</f>
        <v>275</v>
      </c>
      <c r="D276">
        <f>Rangliste!T276</f>
        <v>0</v>
      </c>
      <c r="E276" t="str">
        <f>IF(Rangliste!E276="M","HE","DE")</f>
        <v>HE</v>
      </c>
      <c r="F276" t="str">
        <f>IF(Rangliste!E276="M","HD","DD")</f>
        <v>HD</v>
      </c>
      <c r="G276" t="s">
        <v>649</v>
      </c>
    </row>
    <row r="277" spans="1:7" x14ac:dyDescent="0.3">
      <c r="A277" t="str">
        <f>Rangliste!B277</f>
        <v>Clemens Degischer</v>
      </c>
      <c r="B277">
        <f>Rangliste!F277</f>
        <v>110688</v>
      </c>
      <c r="C277">
        <f>Rangliste!A277</f>
        <v>276</v>
      </c>
      <c r="D277">
        <f>Rangliste!T277</f>
        <v>0</v>
      </c>
      <c r="E277" t="str">
        <f>IF(Rangliste!E277="M","HE","DE")</f>
        <v>HE</v>
      </c>
      <c r="F277" t="str">
        <f>IF(Rangliste!E277="M","HD","DD")</f>
        <v>HD</v>
      </c>
      <c r="G277" t="s">
        <v>649</v>
      </c>
    </row>
    <row r="278" spans="1:7" x14ac:dyDescent="0.3">
      <c r="A278" t="str">
        <f>Rangliste!B278</f>
        <v>Benjamin Gerula</v>
      </c>
      <c r="B278">
        <f>Rangliste!F278</f>
        <v>0</v>
      </c>
      <c r="C278">
        <f>Rangliste!A278</f>
        <v>277</v>
      </c>
      <c r="D278">
        <f>Rangliste!T278</f>
        <v>0</v>
      </c>
      <c r="E278" t="str">
        <f>IF(Rangliste!E278="M","HE","DE")</f>
        <v>HE</v>
      </c>
      <c r="F278" t="str">
        <f>IF(Rangliste!E278="M","HD","DD")</f>
        <v>HD</v>
      </c>
      <c r="G278" t="s">
        <v>649</v>
      </c>
    </row>
    <row r="279" spans="1:7" x14ac:dyDescent="0.3">
      <c r="A279" t="str">
        <f>Rangliste!B279</f>
        <v>Lilly Buchmann</v>
      </c>
      <c r="B279">
        <f>Rangliste!F279</f>
        <v>110788</v>
      </c>
      <c r="C279">
        <f>Rangliste!A279</f>
        <v>278</v>
      </c>
      <c r="D279">
        <f>Rangliste!T279</f>
        <v>0</v>
      </c>
      <c r="E279" t="str">
        <f>IF(Rangliste!E279="M","HE","DE")</f>
        <v>DE</v>
      </c>
      <c r="F279" t="str">
        <f>IF(Rangliste!E279="M","HD","DD")</f>
        <v>DD</v>
      </c>
      <c r="G279" t="s">
        <v>649</v>
      </c>
    </row>
    <row r="280" spans="1:7" x14ac:dyDescent="0.3">
      <c r="A280" t="str">
        <f>Rangliste!B280</f>
        <v>Emma Kainerstorfer</v>
      </c>
      <c r="B280">
        <f>Rangliste!F280</f>
        <v>110767</v>
      </c>
      <c r="C280">
        <f>Rangliste!A280</f>
        <v>279</v>
      </c>
      <c r="D280">
        <f>Rangliste!T280</f>
        <v>0</v>
      </c>
      <c r="E280" t="str">
        <f>IF(Rangliste!E280="M","HE","DE")</f>
        <v>DE</v>
      </c>
      <c r="F280" t="str">
        <f>IF(Rangliste!E280="M","HD","DD")</f>
        <v>DD</v>
      </c>
      <c r="G280" t="s">
        <v>649</v>
      </c>
    </row>
    <row r="281" spans="1:7" x14ac:dyDescent="0.3">
      <c r="A281" t="str">
        <f>Rangliste!B281</f>
        <v>Gerhard Justus</v>
      </c>
      <c r="B281">
        <f>Rangliste!F281</f>
        <v>0</v>
      </c>
      <c r="C281">
        <f>Rangliste!A281</f>
        <v>280</v>
      </c>
      <c r="D281">
        <f>Rangliste!T281</f>
        <v>0</v>
      </c>
      <c r="E281" t="str">
        <f>IF(Rangliste!E281="M","HE","DE")</f>
        <v>HE</v>
      </c>
      <c r="F281" t="str">
        <f>IF(Rangliste!E281="M","HD","DD")</f>
        <v>HD</v>
      </c>
      <c r="G281" t="s">
        <v>649</v>
      </c>
    </row>
    <row r="282" spans="1:7" x14ac:dyDescent="0.3">
      <c r="A282" t="str">
        <f>Rangliste!B282</f>
        <v>Nathan Pacal</v>
      </c>
      <c r="B282">
        <f>Rangliste!F282</f>
        <v>0</v>
      </c>
      <c r="C282">
        <f>Rangliste!A282</f>
        <v>281</v>
      </c>
      <c r="D282">
        <f>Rangliste!T282</f>
        <v>0</v>
      </c>
      <c r="E282" t="str">
        <f>IF(Rangliste!E282="M","HE","DE")</f>
        <v>HE</v>
      </c>
      <c r="F282" t="str">
        <f>IF(Rangliste!E282="M","HD","DD")</f>
        <v>HD</v>
      </c>
      <c r="G282" t="s">
        <v>649</v>
      </c>
    </row>
    <row r="283" spans="1:7" x14ac:dyDescent="0.3">
      <c r="A283" t="str">
        <f>Rangliste!B283</f>
        <v>Daniel Ďuračka</v>
      </c>
      <c r="B283">
        <f>Rangliste!F283</f>
        <v>0</v>
      </c>
      <c r="C283">
        <f>Rangliste!A283</f>
        <v>282</v>
      </c>
      <c r="D283">
        <f>Rangliste!T283</f>
        <v>0</v>
      </c>
      <c r="E283" t="str">
        <f>IF(Rangliste!E283="M","HE","DE")</f>
        <v>HE</v>
      </c>
      <c r="F283" t="str">
        <f>IF(Rangliste!E283="M","HD","DD")</f>
        <v>HD</v>
      </c>
      <c r="G283" t="s">
        <v>649</v>
      </c>
    </row>
    <row r="284" spans="1:7" x14ac:dyDescent="0.3">
      <c r="A284" t="str">
        <f>Rangliste!B284</f>
        <v>Patrik Stuška</v>
      </c>
      <c r="B284">
        <f>Rangliste!F284</f>
        <v>0</v>
      </c>
      <c r="C284">
        <f>Rangliste!A284</f>
        <v>283</v>
      </c>
      <c r="D284">
        <f>Rangliste!T284</f>
        <v>0</v>
      </c>
      <c r="E284" t="str">
        <f>IF(Rangliste!E284="M","HE","DE")</f>
        <v>HE</v>
      </c>
      <c r="F284" t="str">
        <f>IF(Rangliste!E284="M","HD","DD")</f>
        <v>HD</v>
      </c>
      <c r="G284" t="s">
        <v>649</v>
      </c>
    </row>
    <row r="285" spans="1:7" x14ac:dyDescent="0.3">
      <c r="A285" t="str">
        <f>Rangliste!B285</f>
        <v>Nina Sameková</v>
      </c>
      <c r="B285">
        <f>Rangliste!F285</f>
        <v>0</v>
      </c>
      <c r="C285">
        <f>Rangliste!A285</f>
        <v>284</v>
      </c>
      <c r="D285">
        <f>Rangliste!T285</f>
        <v>0</v>
      </c>
      <c r="E285" t="str">
        <f>IF(Rangliste!E285="M","HE","DE")</f>
        <v>DE</v>
      </c>
      <c r="F285" t="str">
        <f>IF(Rangliste!E285="M","HD","DD")</f>
        <v>DD</v>
      </c>
      <c r="G285" t="s">
        <v>649</v>
      </c>
    </row>
    <row r="286" spans="1:7" x14ac:dyDescent="0.3">
      <c r="A286" t="str">
        <f>Rangliste!B286</f>
        <v>Philipp Walland</v>
      </c>
      <c r="B286">
        <f>Rangliste!F286</f>
        <v>110467</v>
      </c>
      <c r="C286">
        <f>Rangliste!A286</f>
        <v>285</v>
      </c>
      <c r="D286">
        <f>Rangliste!T286</f>
        <v>0</v>
      </c>
      <c r="E286" t="str">
        <f>IF(Rangliste!E286="M","HE","DE")</f>
        <v>HE</v>
      </c>
      <c r="F286" t="str">
        <f>IF(Rangliste!E286="M","HD","DD")</f>
        <v>HD</v>
      </c>
      <c r="G286" t="s">
        <v>649</v>
      </c>
    </row>
    <row r="287" spans="1:7" x14ac:dyDescent="0.3">
      <c r="A287" t="str">
        <f>Rangliste!B287</f>
        <v>Jakub Koma</v>
      </c>
      <c r="B287">
        <f>Rangliste!F287</f>
        <v>0</v>
      </c>
      <c r="C287">
        <f>Rangliste!A287</f>
        <v>286</v>
      </c>
      <c r="D287">
        <f>Rangliste!T287</f>
        <v>0</v>
      </c>
      <c r="E287" t="str">
        <f>IF(Rangliste!E287="M","HE","DE")</f>
        <v>HE</v>
      </c>
      <c r="F287" t="str">
        <f>IF(Rangliste!E287="M","HD","DD")</f>
        <v>HD</v>
      </c>
      <c r="G287" t="s">
        <v>649</v>
      </c>
    </row>
    <row r="288" spans="1:7" x14ac:dyDescent="0.3">
      <c r="A288" t="str">
        <f>Rangliste!B288</f>
        <v>Filip Mišík</v>
      </c>
      <c r="B288">
        <f>Rangliste!F288</f>
        <v>0</v>
      </c>
      <c r="C288">
        <f>Rangliste!A288</f>
        <v>287</v>
      </c>
      <c r="D288">
        <f>Rangliste!T288</f>
        <v>0</v>
      </c>
      <c r="E288" t="str">
        <f>IF(Rangliste!E288="M","HE","DE")</f>
        <v>HE</v>
      </c>
      <c r="F288" t="str">
        <f>IF(Rangliste!E288="M","HD","DD")</f>
        <v>HD</v>
      </c>
      <c r="G288" t="s">
        <v>649</v>
      </c>
    </row>
    <row r="289" spans="1:7" x14ac:dyDescent="0.3">
      <c r="A289" t="str">
        <f>Rangliste!B289</f>
        <v>Clemens Piccardi</v>
      </c>
      <c r="B289">
        <f>Rangliste!F289</f>
        <v>109549</v>
      </c>
      <c r="C289">
        <f>Rangliste!A289</f>
        <v>288</v>
      </c>
      <c r="D289">
        <f>Rangliste!T289</f>
        <v>0</v>
      </c>
      <c r="E289" t="str">
        <f>IF(Rangliste!E289="M","HE","DE")</f>
        <v>HE</v>
      </c>
      <c r="F289" t="str">
        <f>IF(Rangliste!E289="M","HD","DD")</f>
        <v>HD</v>
      </c>
      <c r="G289" t="s">
        <v>649</v>
      </c>
    </row>
    <row r="290" spans="1:7" x14ac:dyDescent="0.3">
      <c r="A290" t="str">
        <f>Rangliste!B290</f>
        <v>Matej Koma</v>
      </c>
      <c r="B290">
        <f>Rangliste!F290</f>
        <v>0</v>
      </c>
      <c r="C290">
        <f>Rangliste!A290</f>
        <v>289</v>
      </c>
      <c r="D290">
        <f>Rangliste!T290</f>
        <v>0</v>
      </c>
      <c r="E290" t="str">
        <f>IF(Rangliste!E290="M","HE","DE")</f>
        <v>HE</v>
      </c>
      <c r="F290" t="str">
        <f>IF(Rangliste!E290="M","HD","DD")</f>
        <v>HD</v>
      </c>
      <c r="G290" t="s">
        <v>649</v>
      </c>
    </row>
    <row r="291" spans="1:7" x14ac:dyDescent="0.3">
      <c r="A291" t="str">
        <f>Rangliste!B291</f>
        <v>Karolin Radl</v>
      </c>
      <c r="B291">
        <f>Rangliste!F291</f>
        <v>109829</v>
      </c>
      <c r="C291">
        <f>Rangliste!A291</f>
        <v>290</v>
      </c>
      <c r="D291">
        <f>Rangliste!T291</f>
        <v>0</v>
      </c>
      <c r="E291" t="str">
        <f>IF(Rangliste!E291="M","HE","DE")</f>
        <v>DE</v>
      </c>
      <c r="F291" t="str">
        <f>IF(Rangliste!E291="M","HD","DD")</f>
        <v>DD</v>
      </c>
      <c r="G291" t="s">
        <v>649</v>
      </c>
    </row>
    <row r="292" spans="1:7" x14ac:dyDescent="0.3">
      <c r="A292" t="str">
        <f>Rangliste!B292</f>
        <v>Ninette Siedl-Tschepen</v>
      </c>
      <c r="B292">
        <f>Rangliste!F292</f>
        <v>108771</v>
      </c>
      <c r="C292">
        <f>Rangliste!A292</f>
        <v>291</v>
      </c>
      <c r="D292">
        <f>Rangliste!T292</f>
        <v>0</v>
      </c>
      <c r="E292" t="str">
        <f>IF(Rangliste!E292="M","HE","DE")</f>
        <v>DE</v>
      </c>
      <c r="F292" t="str">
        <f>IF(Rangliste!E292="M","HD","DD")</f>
        <v>DD</v>
      </c>
      <c r="G292" t="s">
        <v>649</v>
      </c>
    </row>
    <row r="293" spans="1:7" x14ac:dyDescent="0.3">
      <c r="A293" t="str">
        <f>Rangliste!B293</f>
        <v>Leonie Grgic</v>
      </c>
      <c r="B293">
        <f>Rangliste!F293</f>
        <v>0</v>
      </c>
      <c r="C293">
        <f>Rangliste!A293</f>
        <v>292</v>
      </c>
      <c r="D293">
        <f>Rangliste!T293</f>
        <v>0</v>
      </c>
      <c r="E293" t="str">
        <f>IF(Rangliste!E293="M","HE","DE")</f>
        <v>DE</v>
      </c>
      <c r="F293" t="str">
        <f>IF(Rangliste!E293="M","HD","DD")</f>
        <v>DD</v>
      </c>
      <c r="G293" t="s">
        <v>649</v>
      </c>
    </row>
    <row r="294" spans="1:7" x14ac:dyDescent="0.3">
      <c r="A294" t="str">
        <f>Rangliste!B294</f>
        <v>Oskar Bleyl</v>
      </c>
      <c r="B294">
        <f>Rangliste!F294</f>
        <v>0</v>
      </c>
      <c r="C294">
        <f>Rangliste!A294</f>
        <v>293</v>
      </c>
      <c r="D294">
        <f>Rangliste!T294</f>
        <v>0</v>
      </c>
      <c r="E294" t="str">
        <f>IF(Rangliste!E294="M","HE","DE")</f>
        <v>HE</v>
      </c>
      <c r="F294" t="str">
        <f>IF(Rangliste!E294="M","HD","DD")</f>
        <v>HD</v>
      </c>
      <c r="G294" t="s">
        <v>649</v>
      </c>
    </row>
    <row r="295" spans="1:7" x14ac:dyDescent="0.3">
      <c r="A295" t="str">
        <f>Rangliste!B295</f>
        <v>Laurena Grgic</v>
      </c>
      <c r="B295">
        <f>Rangliste!F295</f>
        <v>0</v>
      </c>
      <c r="C295">
        <f>Rangliste!A295</f>
        <v>294</v>
      </c>
      <c r="D295">
        <f>Rangliste!T295</f>
        <v>0</v>
      </c>
      <c r="E295" t="str">
        <f>IF(Rangliste!E295="M","HE","DE")</f>
        <v>DE</v>
      </c>
      <c r="F295" t="str">
        <f>IF(Rangliste!E295="M","HD","DD")</f>
        <v>DD</v>
      </c>
      <c r="G295" t="s">
        <v>649</v>
      </c>
    </row>
    <row r="296" spans="1:7" x14ac:dyDescent="0.3">
      <c r="A296" t="str">
        <f>Rangliste!B296</f>
        <v>Karina Busuioc</v>
      </c>
      <c r="B296">
        <f>Rangliste!F296</f>
        <v>0</v>
      </c>
      <c r="C296">
        <f>Rangliste!A296</f>
        <v>295</v>
      </c>
      <c r="D296">
        <f>Rangliste!T296</f>
        <v>0</v>
      </c>
      <c r="E296" t="str">
        <f>IF(Rangliste!E296="M","HE","DE")</f>
        <v>DE</v>
      </c>
      <c r="F296" t="str">
        <f>IF(Rangliste!E296="M","HD","DD")</f>
        <v>DD</v>
      </c>
      <c r="G296" t="s">
        <v>649</v>
      </c>
    </row>
    <row r="297" spans="1:7" x14ac:dyDescent="0.3">
      <c r="A297" t="str">
        <f>Rangliste!B297</f>
        <v>Max Fiser</v>
      </c>
      <c r="B297">
        <f>Rangliste!F297</f>
        <v>0</v>
      </c>
      <c r="C297">
        <f>Rangliste!A297</f>
        <v>296</v>
      </c>
      <c r="D297">
        <f>Rangliste!T297</f>
        <v>0</v>
      </c>
      <c r="E297" t="str">
        <f>IF(Rangliste!E297="M","HE","DE")</f>
        <v>HE</v>
      </c>
      <c r="F297" t="str">
        <f>IF(Rangliste!E297="M","HD","DD")</f>
        <v>HD</v>
      </c>
      <c r="G297" t="s">
        <v>649</v>
      </c>
    </row>
    <row r="298" spans="1:7" x14ac:dyDescent="0.3">
      <c r="A298" t="str">
        <f>Rangliste!B298</f>
        <v>Dusan Dobos</v>
      </c>
      <c r="B298">
        <f>Rangliste!F298</f>
        <v>0</v>
      </c>
      <c r="C298">
        <f>Rangliste!A298</f>
        <v>297</v>
      </c>
      <c r="D298">
        <f>Rangliste!T298</f>
        <v>0</v>
      </c>
      <c r="E298" t="str">
        <f>IF(Rangliste!E298="M","HE","DE")</f>
        <v>HE</v>
      </c>
      <c r="F298" t="str">
        <f>IF(Rangliste!E298="M","HD","DD")</f>
        <v>HD</v>
      </c>
      <c r="G298" t="s">
        <v>649</v>
      </c>
    </row>
    <row r="299" spans="1:7" x14ac:dyDescent="0.3">
      <c r="A299" t="str">
        <f>Rangliste!B299</f>
        <v>Lucia Lea Misunova</v>
      </c>
      <c r="B299">
        <f>Rangliste!F299</f>
        <v>0</v>
      </c>
      <c r="C299">
        <f>Rangliste!A299</f>
        <v>298</v>
      </c>
      <c r="D299">
        <f>Rangliste!T299</f>
        <v>0</v>
      </c>
      <c r="E299" t="str">
        <f>IF(Rangliste!E299="M","HE","DE")</f>
        <v>DE</v>
      </c>
      <c r="F299" t="str">
        <f>IF(Rangliste!E299="M","HD","DD")</f>
        <v>DD</v>
      </c>
      <c r="G299" t="s">
        <v>649</v>
      </c>
    </row>
    <row r="300" spans="1:7" x14ac:dyDescent="0.3">
      <c r="A300" t="str">
        <f>Rangliste!B300</f>
        <v>Oliver Matz</v>
      </c>
      <c r="B300">
        <f>Rangliste!F300</f>
        <v>0</v>
      </c>
      <c r="C300">
        <f>Rangliste!A300</f>
        <v>299</v>
      </c>
      <c r="D300">
        <f>Rangliste!T300</f>
        <v>0</v>
      </c>
      <c r="E300" t="str">
        <f>IF(Rangliste!E300="M","HE","DE")</f>
        <v>HE</v>
      </c>
      <c r="F300" t="str">
        <f>IF(Rangliste!E300="M","HD","DD")</f>
        <v>HD</v>
      </c>
      <c r="G300" t="s">
        <v>649</v>
      </c>
    </row>
    <row r="301" spans="1:7" x14ac:dyDescent="0.3">
      <c r="A301" t="str">
        <f>Rangliste!B301</f>
        <v>Lukas Koschtial</v>
      </c>
      <c r="B301">
        <f>Rangliste!F301</f>
        <v>110332</v>
      </c>
      <c r="C301">
        <f>Rangliste!A301</f>
        <v>300</v>
      </c>
      <c r="D301">
        <f>Rangliste!T301</f>
        <v>0</v>
      </c>
      <c r="E301" t="str">
        <f>IF(Rangliste!E301="M","HE","DE")</f>
        <v>HE</v>
      </c>
      <c r="F301" t="str">
        <f>IF(Rangliste!E301="M","HD","DD")</f>
        <v>HD</v>
      </c>
      <c r="G301" t="s">
        <v>649</v>
      </c>
    </row>
    <row r="302" spans="1:7" x14ac:dyDescent="0.3">
      <c r="A302" t="str">
        <f>Rangliste!B302</f>
        <v>Lenka Ciamporova</v>
      </c>
      <c r="B302">
        <f>Rangliste!F302</f>
        <v>0</v>
      </c>
      <c r="C302">
        <f>Rangliste!A302</f>
        <v>301</v>
      </c>
      <c r="D302">
        <f>Rangliste!T302</f>
        <v>0</v>
      </c>
      <c r="E302" t="str">
        <f>IF(Rangliste!E302="M","HE","DE")</f>
        <v>DE</v>
      </c>
      <c r="F302" t="str">
        <f>IF(Rangliste!E302="M","HD","DD")</f>
        <v>DD</v>
      </c>
      <c r="G302" t="s">
        <v>649</v>
      </c>
    </row>
    <row r="303" spans="1:7" x14ac:dyDescent="0.3">
      <c r="A303" t="str">
        <f>Rangliste!B303</f>
        <v>Ray Huang</v>
      </c>
      <c r="B303">
        <f>Rangliste!F303</f>
        <v>208073</v>
      </c>
      <c r="C303">
        <f>Rangliste!A303</f>
        <v>302</v>
      </c>
      <c r="D303">
        <f>Rangliste!T303</f>
        <v>0</v>
      </c>
      <c r="E303" t="str">
        <f>IF(Rangliste!E303="M","HE","DE")</f>
        <v>HE</v>
      </c>
      <c r="F303" t="str">
        <f>IF(Rangliste!E303="M","HD","DD")</f>
        <v>HD</v>
      </c>
      <c r="G303" t="s">
        <v>649</v>
      </c>
    </row>
    <row r="304" spans="1:7" x14ac:dyDescent="0.3">
      <c r="A304" t="str">
        <f>Rangliste!B304</f>
        <v>Changkai Liu</v>
      </c>
      <c r="B304">
        <f>Rangliste!F304</f>
        <v>110691</v>
      </c>
      <c r="C304">
        <f>Rangliste!A304</f>
        <v>303</v>
      </c>
      <c r="D304">
        <f>Rangliste!T304</f>
        <v>0</v>
      </c>
      <c r="E304" t="str">
        <f>IF(Rangliste!E304="M","HE","DE")</f>
        <v>HE</v>
      </c>
      <c r="F304" t="str">
        <f>IF(Rangliste!E304="M","HD","DD")</f>
        <v>HD</v>
      </c>
      <c r="G304" t="s">
        <v>649</v>
      </c>
    </row>
    <row r="305" spans="1:7" x14ac:dyDescent="0.3">
      <c r="A305" t="str">
        <f>Rangliste!B305</f>
        <v>Anton Dilberovic</v>
      </c>
      <c r="B305">
        <f>Rangliste!F305</f>
        <v>0</v>
      </c>
      <c r="C305">
        <f>Rangliste!A305</f>
        <v>304</v>
      </c>
      <c r="D305">
        <f>Rangliste!T305</f>
        <v>0</v>
      </c>
      <c r="E305" t="str">
        <f>IF(Rangliste!E305="M","HE","DE")</f>
        <v>HE</v>
      </c>
      <c r="F305" t="str">
        <f>IF(Rangliste!E305="M","HD","DD")</f>
        <v>HD</v>
      </c>
      <c r="G305" t="s">
        <v>649</v>
      </c>
    </row>
    <row r="306" spans="1:7" x14ac:dyDescent="0.3">
      <c r="A306" t="str">
        <f>Rangliste!B306</f>
        <v>Markus Macek</v>
      </c>
      <c r="B306">
        <f>Rangliste!F306</f>
        <v>0</v>
      </c>
      <c r="C306">
        <f>Rangliste!A306</f>
        <v>305</v>
      </c>
      <c r="D306">
        <f>Rangliste!T306</f>
        <v>0</v>
      </c>
      <c r="E306" t="str">
        <f>IF(Rangliste!E306="M","HE","DE")</f>
        <v>HE</v>
      </c>
      <c r="F306" t="str">
        <f>IF(Rangliste!E306="M","HD","DD")</f>
        <v>HD</v>
      </c>
      <c r="G306" t="s">
        <v>649</v>
      </c>
    </row>
    <row r="307" spans="1:7" x14ac:dyDescent="0.3">
      <c r="A307" t="str">
        <f>Rangliste!B307</f>
        <v>Marek Sturdik</v>
      </c>
      <c r="B307">
        <f>Rangliste!F307</f>
        <v>0</v>
      </c>
      <c r="C307">
        <f>Rangliste!A307</f>
        <v>306</v>
      </c>
      <c r="D307">
        <f>Rangliste!T307</f>
        <v>0</v>
      </c>
      <c r="E307" t="str">
        <f>IF(Rangliste!E307="M","HE","DE")</f>
        <v>HE</v>
      </c>
      <c r="F307" t="str">
        <f>IF(Rangliste!E307="M","HD","DD")</f>
        <v>HD</v>
      </c>
      <c r="G307" t="s">
        <v>649</v>
      </c>
    </row>
    <row r="308" spans="1:7" x14ac:dyDescent="0.3">
      <c r="A308" t="str">
        <f>Rangliste!B308</f>
        <v>Maximilian Damjanovic</v>
      </c>
      <c r="B308">
        <f>Rangliste!F308</f>
        <v>0</v>
      </c>
      <c r="C308">
        <f>Rangliste!A308</f>
        <v>307</v>
      </c>
      <c r="D308">
        <f>Rangliste!T308</f>
        <v>0</v>
      </c>
      <c r="E308" t="str">
        <f>IF(Rangliste!E308="M","HE","DE")</f>
        <v>HE</v>
      </c>
      <c r="F308" t="str">
        <f>IF(Rangliste!E308="M","HD","DD")</f>
        <v>HD</v>
      </c>
      <c r="G308" t="s">
        <v>649</v>
      </c>
    </row>
    <row r="309" spans="1:7" x14ac:dyDescent="0.3">
      <c r="A309" t="str">
        <f>Rangliste!B309</f>
        <v>Lorenz Kracher</v>
      </c>
      <c r="B309">
        <f>Rangliste!F309</f>
        <v>0</v>
      </c>
      <c r="C309">
        <f>Rangliste!A309</f>
        <v>308</v>
      </c>
      <c r="D309">
        <f>Rangliste!T309</f>
        <v>0</v>
      </c>
      <c r="E309" t="str">
        <f>IF(Rangliste!E309="M","HE","DE")</f>
        <v>HE</v>
      </c>
      <c r="F309" t="str">
        <f>IF(Rangliste!E309="M","HD","DD")</f>
        <v>HD</v>
      </c>
      <c r="G309" t="s">
        <v>649</v>
      </c>
    </row>
    <row r="310" spans="1:7" x14ac:dyDescent="0.3">
      <c r="A310" t="str">
        <f>Rangliste!B310</f>
        <v>Martin Senkyr</v>
      </c>
      <c r="B310">
        <f>Rangliste!F310</f>
        <v>0</v>
      </c>
      <c r="C310">
        <f>Rangliste!A310</f>
        <v>309</v>
      </c>
      <c r="D310">
        <f>Rangliste!T310</f>
        <v>0</v>
      </c>
      <c r="E310" t="str">
        <f>IF(Rangliste!E310="M","HE","DE")</f>
        <v>HE</v>
      </c>
      <c r="F310" t="str">
        <f>IF(Rangliste!E310="M","HD","DD")</f>
        <v>HD</v>
      </c>
      <c r="G310" t="s">
        <v>649</v>
      </c>
    </row>
    <row r="311" spans="1:7" x14ac:dyDescent="0.3">
      <c r="A311" t="str">
        <f>Rangliste!B311</f>
        <v>Paulina Katreniakova</v>
      </c>
      <c r="B311">
        <f>Rangliste!F311</f>
        <v>0</v>
      </c>
      <c r="C311">
        <f>Rangliste!A311</f>
        <v>310</v>
      </c>
      <c r="D311">
        <f>Rangliste!T311</f>
        <v>0</v>
      </c>
      <c r="E311" t="str">
        <f>IF(Rangliste!E311="M","HE","DE")</f>
        <v>DE</v>
      </c>
      <c r="F311" t="str">
        <f>IF(Rangliste!E311="M","HD","DD")</f>
        <v>DD</v>
      </c>
      <c r="G311" t="s">
        <v>649</v>
      </c>
    </row>
    <row r="312" spans="1:7" x14ac:dyDescent="0.3">
      <c r="A312" t="str">
        <f>Rangliste!B312</f>
        <v>Dominika Ludvigova</v>
      </c>
      <c r="B312">
        <f>Rangliste!F312</f>
        <v>0</v>
      </c>
      <c r="C312">
        <f>Rangliste!A312</f>
        <v>311</v>
      </c>
      <c r="D312">
        <f>Rangliste!T312</f>
        <v>0</v>
      </c>
      <c r="E312" t="str">
        <f>IF(Rangliste!E312="M","HE","DE")</f>
        <v>DE</v>
      </c>
      <c r="F312" t="str">
        <f>IF(Rangliste!E312="M","HD","DD")</f>
        <v>DD</v>
      </c>
      <c r="G312" t="s">
        <v>649</v>
      </c>
    </row>
    <row r="313" spans="1:7" x14ac:dyDescent="0.3">
      <c r="A313" t="str">
        <f>Rangliste!B313</f>
        <v>Teo Lepper</v>
      </c>
      <c r="B313">
        <f>Rangliste!F313</f>
        <v>109927</v>
      </c>
      <c r="C313">
        <f>Rangliste!A313</f>
        <v>312</v>
      </c>
      <c r="D313">
        <f>Rangliste!T313</f>
        <v>0</v>
      </c>
      <c r="E313" t="str">
        <f>IF(Rangliste!E313="M","HE","DE")</f>
        <v>HE</v>
      </c>
      <c r="F313" t="str">
        <f>IF(Rangliste!E313="M","HD","DD")</f>
        <v>HD</v>
      </c>
      <c r="G313" t="s">
        <v>649</v>
      </c>
    </row>
    <row r="314" spans="1:7" x14ac:dyDescent="0.3">
      <c r="A314" t="str">
        <f>Rangliste!B314</f>
        <v>Jeremy Guo Lin</v>
      </c>
      <c r="B314">
        <f>Rangliste!F314</f>
        <v>110412</v>
      </c>
      <c r="C314">
        <f>Rangliste!A314</f>
        <v>313</v>
      </c>
      <c r="D314">
        <f>Rangliste!T314</f>
        <v>0</v>
      </c>
      <c r="E314" t="str">
        <f>IF(Rangliste!E314="M","HE","DE")</f>
        <v>HE</v>
      </c>
      <c r="F314" t="str">
        <f>IF(Rangliste!E314="M","HD","DD")</f>
        <v>HD</v>
      </c>
      <c r="G314" t="s">
        <v>649</v>
      </c>
    </row>
    <row r="315" spans="1:7" x14ac:dyDescent="0.3">
      <c r="A315" t="str">
        <f>Rangliste!B315</f>
        <v>Lenz Gahleitner</v>
      </c>
      <c r="B315">
        <f>Rangliste!F315</f>
        <v>17528</v>
      </c>
      <c r="C315">
        <f>Rangliste!A315</f>
        <v>314</v>
      </c>
      <c r="D315">
        <f>Rangliste!T315</f>
        <v>0</v>
      </c>
      <c r="E315" t="str">
        <f>IF(Rangliste!E315="M","HE","DE")</f>
        <v>HE</v>
      </c>
      <c r="F315" t="str">
        <f>IF(Rangliste!E315="M","HD","DD")</f>
        <v>HD</v>
      </c>
      <c r="G315" t="s">
        <v>649</v>
      </c>
    </row>
    <row r="316" spans="1:7" x14ac:dyDescent="0.3">
      <c r="A316" t="str">
        <f>Rangliste!B316</f>
        <v>Lukas Hintersteiner</v>
      </c>
      <c r="B316">
        <f>Rangliste!F316</f>
        <v>26597</v>
      </c>
      <c r="C316">
        <f>Rangliste!A316</f>
        <v>315</v>
      </c>
      <c r="D316">
        <f>Rangliste!T316</f>
        <v>0</v>
      </c>
      <c r="E316" t="str">
        <f>IF(Rangliste!E316="M","HE","DE")</f>
        <v>HE</v>
      </c>
      <c r="F316" t="str">
        <f>IF(Rangliste!E316="M","HD","DD")</f>
        <v>HD</v>
      </c>
      <c r="G316" t="s">
        <v>649</v>
      </c>
    </row>
    <row r="317" spans="1:7" x14ac:dyDescent="0.3">
      <c r="A317" t="str">
        <f>Rangliste!B317</f>
        <v>Mahdy Rezai</v>
      </c>
      <c r="B317" t="str">
        <f>Rangliste!F317</f>
        <v/>
      </c>
      <c r="C317">
        <f>Rangliste!A317</f>
        <v>316</v>
      </c>
      <c r="D317">
        <f>Rangliste!T317</f>
        <v>0</v>
      </c>
      <c r="E317" t="str">
        <f>IF(Rangliste!E317="M","HE","DE")</f>
        <v>HE</v>
      </c>
      <c r="F317" t="str">
        <f>IF(Rangliste!E317="M","HD","DD")</f>
        <v>HD</v>
      </c>
      <c r="G317" t="s">
        <v>649</v>
      </c>
    </row>
    <row r="318" spans="1:7" x14ac:dyDescent="0.3">
      <c r="A318" t="str">
        <f>Rangliste!B318</f>
        <v>Adam Holmqvist</v>
      </c>
      <c r="B318" t="str">
        <f>Rangliste!F318</f>
        <v/>
      </c>
      <c r="C318">
        <f>Rangliste!A318</f>
        <v>317</v>
      </c>
      <c r="D318">
        <f>Rangliste!T318</f>
        <v>0</v>
      </c>
      <c r="E318" t="str">
        <f>IF(Rangliste!E318="M","HE","DE")</f>
        <v>HE</v>
      </c>
      <c r="F318" t="str">
        <f>IF(Rangliste!E318="M","HD","DD")</f>
        <v>HD</v>
      </c>
      <c r="G318" t="s">
        <v>649</v>
      </c>
    </row>
    <row r="319" spans="1:7" x14ac:dyDescent="0.3">
      <c r="A319" t="str">
        <f>Rangliste!B319</f>
        <v>Simon Lehner</v>
      </c>
      <c r="B319" t="str">
        <f>Rangliste!F319</f>
        <v/>
      </c>
      <c r="C319">
        <f>Rangliste!A319</f>
        <v>318</v>
      </c>
      <c r="D319">
        <f>Rangliste!T319</f>
        <v>0</v>
      </c>
      <c r="E319" t="str">
        <f>IF(Rangliste!E319="M","HE","DE")</f>
        <v>HE</v>
      </c>
      <c r="F319" t="str">
        <f>IF(Rangliste!E319="M","HD","DD")</f>
        <v>HD</v>
      </c>
      <c r="G319" t="s">
        <v>649</v>
      </c>
    </row>
    <row r="320" spans="1:7" x14ac:dyDescent="0.3">
      <c r="A320" t="str">
        <f>Rangliste!B320</f>
        <v>Moritz Lindenhofer-Hofinger</v>
      </c>
      <c r="B320" t="str">
        <f>Rangliste!F320</f>
        <v/>
      </c>
      <c r="C320">
        <f>Rangliste!A320</f>
        <v>319</v>
      </c>
      <c r="D320">
        <f>Rangliste!T320</f>
        <v>0</v>
      </c>
      <c r="E320" t="str">
        <f>IF(Rangliste!E320="M","HE","DE")</f>
        <v>HE</v>
      </c>
      <c r="F320" t="str">
        <f>IF(Rangliste!E320="M","HD","DD")</f>
        <v>HD</v>
      </c>
      <c r="G320" t="s">
        <v>649</v>
      </c>
    </row>
    <row r="321" spans="1:7" x14ac:dyDescent="0.3">
      <c r="A321" t="str">
        <f>Rangliste!B321</f>
        <v>Valentin Zwettler</v>
      </c>
      <c r="B321" t="str">
        <f>Rangliste!F321</f>
        <v/>
      </c>
      <c r="C321">
        <f>Rangliste!A321</f>
        <v>320</v>
      </c>
      <c r="D321">
        <f>Rangliste!T321</f>
        <v>0</v>
      </c>
      <c r="E321" t="str">
        <f>IF(Rangliste!E321="M","HE","DE")</f>
        <v>HE</v>
      </c>
      <c r="F321" t="str">
        <f>IF(Rangliste!E321="M","HD","DD")</f>
        <v>HD</v>
      </c>
      <c r="G321" t="s">
        <v>649</v>
      </c>
    </row>
    <row r="322" spans="1:7" x14ac:dyDescent="0.3">
      <c r="A322" t="str">
        <f>Rangliste!B322</f>
        <v>Jonas Schlager</v>
      </c>
      <c r="B322">
        <f>Rangliste!F322</f>
        <v>207273</v>
      </c>
      <c r="C322">
        <f>Rangliste!A322</f>
        <v>321</v>
      </c>
      <c r="D322">
        <f>Rangliste!T322</f>
        <v>0</v>
      </c>
      <c r="E322" t="str">
        <f>IF(Rangliste!E322="M","HE","DE")</f>
        <v>HE</v>
      </c>
      <c r="F322" t="str">
        <f>IF(Rangliste!E322="M","HD","DD")</f>
        <v>HD</v>
      </c>
      <c r="G322" t="s">
        <v>649</v>
      </c>
    </row>
    <row r="323" spans="1:7" x14ac:dyDescent="0.3">
      <c r="A323" t="str">
        <f>Rangliste!B323</f>
        <v>Zoey Unhold</v>
      </c>
      <c r="B323">
        <f>Rangliste!F323</f>
        <v>311894</v>
      </c>
      <c r="C323">
        <f>Rangliste!A323</f>
        <v>322</v>
      </c>
      <c r="D323">
        <f>Rangliste!T323</f>
        <v>0</v>
      </c>
      <c r="E323" t="str">
        <f>IF(Rangliste!E323="M","HE","DE")</f>
        <v>DE</v>
      </c>
      <c r="F323" t="str">
        <f>IF(Rangliste!E323="M","HD","DD")</f>
        <v>DD</v>
      </c>
      <c r="G323" t="s">
        <v>649</v>
      </c>
    </row>
    <row r="324" spans="1:7" x14ac:dyDescent="0.3">
      <c r="A324" t="str">
        <f>Rangliste!B324</f>
        <v>Sina-Marie Rieder</v>
      </c>
      <c r="B324" t="str">
        <f>Rangliste!F324</f>
        <v/>
      </c>
      <c r="C324">
        <f>Rangliste!A324</f>
        <v>323</v>
      </c>
      <c r="D324">
        <f>Rangliste!T324</f>
        <v>0</v>
      </c>
      <c r="E324" t="str">
        <f>IF(Rangliste!E324="M","HE","DE")</f>
        <v>DE</v>
      </c>
      <c r="F324" t="str">
        <f>IF(Rangliste!E324="M","HD","DD")</f>
        <v>DD</v>
      </c>
      <c r="G324" t="s">
        <v>649</v>
      </c>
    </row>
    <row r="325" spans="1:7" x14ac:dyDescent="0.3">
      <c r="A325" t="str">
        <f>Rangliste!B325</f>
        <v>Maximillian Timpel</v>
      </c>
      <c r="B325" t="str">
        <f>Rangliste!F325</f>
        <v/>
      </c>
      <c r="C325">
        <f>Rangliste!A325</f>
        <v>324</v>
      </c>
      <c r="D325">
        <f>Rangliste!T325</f>
        <v>0</v>
      </c>
      <c r="E325" t="str">
        <f>IF(Rangliste!E325="M","HE","DE")</f>
        <v>HE</v>
      </c>
      <c r="F325" t="str">
        <f>IF(Rangliste!E325="M","HD","DD")</f>
        <v>HD</v>
      </c>
      <c r="G325" t="s">
        <v>649</v>
      </c>
    </row>
    <row r="326" spans="1:7" x14ac:dyDescent="0.3">
      <c r="A326" t="str">
        <f>Rangliste!B326</f>
        <v>Paul Gérard</v>
      </c>
      <c r="B326">
        <f>Rangliste!F326</f>
        <v>311873</v>
      </c>
      <c r="C326">
        <f>Rangliste!A326</f>
        <v>325</v>
      </c>
      <c r="D326">
        <f>Rangliste!T326</f>
        <v>0</v>
      </c>
      <c r="E326" t="str">
        <f>IF(Rangliste!E326="M","HE","DE")</f>
        <v>HE</v>
      </c>
      <c r="F326" t="str">
        <f>IF(Rangliste!E326="M","HD","DD")</f>
        <v>HD</v>
      </c>
      <c r="G326" t="s">
        <v>649</v>
      </c>
    </row>
    <row r="327" spans="1:7" x14ac:dyDescent="0.3">
      <c r="A327" t="str">
        <f>Rangliste!B327</f>
        <v>Emil Sotek</v>
      </c>
      <c r="B327">
        <f>Rangliste!F327</f>
        <v>110508</v>
      </c>
      <c r="C327">
        <f>Rangliste!A327</f>
        <v>326</v>
      </c>
      <c r="D327">
        <f>Rangliste!T327</f>
        <v>0</v>
      </c>
      <c r="E327" t="str">
        <f>IF(Rangliste!E327="M","HE","DE")</f>
        <v>HE</v>
      </c>
      <c r="F327" t="str">
        <f>IF(Rangliste!E327="M","HD","DD")</f>
        <v>HD</v>
      </c>
      <c r="G327" t="s">
        <v>649</v>
      </c>
    </row>
    <row r="328" spans="1:7" x14ac:dyDescent="0.3">
      <c r="A328" t="str">
        <f>Rangliste!B328</f>
        <v>Simon Koller</v>
      </c>
      <c r="B328">
        <f>Rangliste!F328</f>
        <v>110330</v>
      </c>
      <c r="C328">
        <f>Rangliste!A328</f>
        <v>327</v>
      </c>
      <c r="D328">
        <f>Rangliste!T328</f>
        <v>0</v>
      </c>
      <c r="E328" t="str">
        <f>IF(Rangliste!E328="M","HE","DE")</f>
        <v>HE</v>
      </c>
      <c r="F328" t="str">
        <f>IF(Rangliste!E328="M","HD","DD")</f>
        <v>HD</v>
      </c>
      <c r="G328" t="s">
        <v>649</v>
      </c>
    </row>
    <row r="329" spans="1:7" x14ac:dyDescent="0.3">
      <c r="A329" t="str">
        <f>Rangliste!B329</f>
        <v>Rabia Arora</v>
      </c>
      <c r="B329">
        <f>Rangliste!F329</f>
        <v>109068</v>
      </c>
      <c r="C329">
        <f>Rangliste!A329</f>
        <v>328</v>
      </c>
      <c r="D329">
        <f>Rangliste!T329</f>
        <v>0</v>
      </c>
      <c r="E329" t="str">
        <f>IF(Rangliste!E329="M","HE","DE")</f>
        <v>HE</v>
      </c>
      <c r="F329" t="str">
        <f>IF(Rangliste!E329="M","HD","DD")</f>
        <v>HD</v>
      </c>
      <c r="G329" t="s">
        <v>649</v>
      </c>
    </row>
    <row r="330" spans="1:7" x14ac:dyDescent="0.3">
      <c r="A330" t="str">
        <f>Rangliste!B330</f>
        <v>Simon Schneider</v>
      </c>
      <c r="B330">
        <f>Rangliste!F330</f>
        <v>17047</v>
      </c>
      <c r="C330">
        <f>Rangliste!A330</f>
        <v>329</v>
      </c>
      <c r="D330">
        <f>Rangliste!T330</f>
        <v>0</v>
      </c>
      <c r="E330" t="str">
        <f>IF(Rangliste!E330="M","HE","DE")</f>
        <v>HE</v>
      </c>
      <c r="F330" t="str">
        <f>IF(Rangliste!E330="M","HD","DD")</f>
        <v>HD</v>
      </c>
      <c r="G330" t="s">
        <v>649</v>
      </c>
    </row>
    <row r="331" spans="1:7" x14ac:dyDescent="0.3">
      <c r="A331" t="str">
        <f>Rangliste!B331</f>
        <v>Diana Zauner</v>
      </c>
      <c r="B331">
        <f>Rangliste!F331</f>
        <v>0</v>
      </c>
      <c r="C331">
        <f>Rangliste!A331</f>
        <v>330</v>
      </c>
      <c r="D331">
        <f>Rangliste!T331</f>
        <v>0</v>
      </c>
      <c r="E331" t="str">
        <f>IF(Rangliste!E331="M","HE","DE")</f>
        <v>DE</v>
      </c>
      <c r="F331" t="str">
        <f>IF(Rangliste!E331="M","HD","DD")</f>
        <v>DD</v>
      </c>
      <c r="G331" t="s">
        <v>649</v>
      </c>
    </row>
    <row r="332" spans="1:7" x14ac:dyDescent="0.3">
      <c r="A332" t="str">
        <f>Rangliste!B332</f>
        <v>Corbinian Schmid</v>
      </c>
      <c r="B332">
        <f>Rangliste!F332</f>
        <v>109510</v>
      </c>
      <c r="C332">
        <f>Rangliste!A332</f>
        <v>331</v>
      </c>
      <c r="D332">
        <f>Rangliste!T332</f>
        <v>0</v>
      </c>
      <c r="E332" t="str">
        <f>IF(Rangliste!E332="M","HE","DE")</f>
        <v>HE</v>
      </c>
      <c r="F332" t="str">
        <f>IF(Rangliste!E332="M","HD","DD")</f>
        <v>HD</v>
      </c>
      <c r="G332" t="s">
        <v>649</v>
      </c>
    </row>
    <row r="333" spans="1:7" x14ac:dyDescent="0.3">
      <c r="A333" t="str">
        <f>Rangliste!B333</f>
        <v>Moe Hartleb</v>
      </c>
      <c r="B333">
        <f>Rangliste!F333</f>
        <v>110329</v>
      </c>
      <c r="C333">
        <f>Rangliste!A333</f>
        <v>332</v>
      </c>
      <c r="D333">
        <f>Rangliste!T333</f>
        <v>0</v>
      </c>
      <c r="E333" t="str">
        <f>IF(Rangliste!E333="M","HE","DE")</f>
        <v>HE</v>
      </c>
      <c r="F333" t="str">
        <f>IF(Rangliste!E333="M","HD","DD")</f>
        <v>HD</v>
      </c>
      <c r="G333" t="s">
        <v>649</v>
      </c>
    </row>
    <row r="334" spans="1:7" x14ac:dyDescent="0.3">
      <c r="A334" t="str">
        <f>Rangliste!B334</f>
        <v>Lukas Rivas-Liebmann</v>
      </c>
      <c r="B334">
        <f>Rangliste!F334</f>
        <v>110349</v>
      </c>
      <c r="C334">
        <f>Rangliste!A334</f>
        <v>333</v>
      </c>
      <c r="D334">
        <f>Rangliste!T334</f>
        <v>0</v>
      </c>
      <c r="E334" t="str">
        <f>IF(Rangliste!E334="M","HE","DE")</f>
        <v>HE</v>
      </c>
      <c r="F334" t="str">
        <f>IF(Rangliste!E334="M","HD","DD")</f>
        <v>HD</v>
      </c>
      <c r="G334" t="s">
        <v>649</v>
      </c>
    </row>
    <row r="335" spans="1:7" x14ac:dyDescent="0.3">
      <c r="A335" t="str">
        <f>Rangliste!B335</f>
        <v>Benedikt Schreiber</v>
      </c>
      <c r="B335">
        <f>Rangliste!F335</f>
        <v>0</v>
      </c>
      <c r="C335">
        <f>Rangliste!A335</f>
        <v>334</v>
      </c>
      <c r="D335">
        <f>Rangliste!T335</f>
        <v>0</v>
      </c>
      <c r="E335" t="str">
        <f>IF(Rangliste!E335="M","HE","DE")</f>
        <v>HE</v>
      </c>
      <c r="F335" t="str">
        <f>IF(Rangliste!E335="M","HD","DD")</f>
        <v>HD</v>
      </c>
      <c r="G335" t="s">
        <v>649</v>
      </c>
    </row>
    <row r="336" spans="1:7" x14ac:dyDescent="0.3">
      <c r="A336" t="str">
        <f>Rangliste!B336</f>
        <v>Chace Magsombol</v>
      </c>
      <c r="B336">
        <f>Rangliste!F336</f>
        <v>0</v>
      </c>
      <c r="C336">
        <f>Rangliste!A336</f>
        <v>335</v>
      </c>
      <c r="D336">
        <f>Rangliste!T336</f>
        <v>0</v>
      </c>
      <c r="E336" t="str">
        <f>IF(Rangliste!E336="M","HE","DE")</f>
        <v>HE</v>
      </c>
      <c r="F336" t="str">
        <f>IF(Rangliste!E336="M","HD","DD")</f>
        <v>HD</v>
      </c>
      <c r="G336" t="s">
        <v>649</v>
      </c>
    </row>
    <row r="337" spans="1:7" x14ac:dyDescent="0.3">
      <c r="A337" t="str">
        <f>Rangliste!B337</f>
        <v>Leonardo Perugini</v>
      </c>
      <c r="B337">
        <f>Rangliste!F337</f>
        <v>0</v>
      </c>
      <c r="C337">
        <f>Rangliste!A337</f>
        <v>336</v>
      </c>
      <c r="D337">
        <f>Rangliste!T337</f>
        <v>0</v>
      </c>
      <c r="E337" t="str">
        <f>IF(Rangliste!E337="M","HE","DE")</f>
        <v>HE</v>
      </c>
      <c r="F337" t="str">
        <f>IF(Rangliste!E337="M","HD","DD")</f>
        <v>HD</v>
      </c>
      <c r="G337" t="s">
        <v>649</v>
      </c>
    </row>
    <row r="338" spans="1:7" x14ac:dyDescent="0.3">
      <c r="A338" t="str">
        <f>Rangliste!B338</f>
        <v>Aurelia Krall</v>
      </c>
      <c r="B338">
        <f>Rangliste!F338</f>
        <v>110327</v>
      </c>
      <c r="C338">
        <f>Rangliste!A338</f>
        <v>337</v>
      </c>
      <c r="D338">
        <f>Rangliste!T338</f>
        <v>0</v>
      </c>
      <c r="E338" t="str">
        <f>IF(Rangliste!E338="M","HE","DE")</f>
        <v>DE</v>
      </c>
      <c r="F338" t="str">
        <f>IF(Rangliste!E338="M","HD","DD")</f>
        <v>DD</v>
      </c>
      <c r="G338" t="s">
        <v>649</v>
      </c>
    </row>
    <row r="339" spans="1:7" x14ac:dyDescent="0.3">
      <c r="A339">
        <f>Rangliste!B339</f>
        <v>0</v>
      </c>
      <c r="B339">
        <f>Rangliste!F339</f>
        <v>0</v>
      </c>
      <c r="C339">
        <f>Rangliste!A339</f>
        <v>0</v>
      </c>
      <c r="D339">
        <f>Rangliste!T339</f>
        <v>0</v>
      </c>
      <c r="E339" t="str">
        <f>IF(Rangliste!E339="M","HE","DE")</f>
        <v>DE</v>
      </c>
      <c r="F339" t="str">
        <f>IF(Rangliste!E339="M","HD","DD")</f>
        <v>DD</v>
      </c>
      <c r="G339" t="s">
        <v>649</v>
      </c>
    </row>
    <row r="340" spans="1:7" x14ac:dyDescent="0.3">
      <c r="A340">
        <f>Rangliste!B340</f>
        <v>0</v>
      </c>
      <c r="B340">
        <f>Rangliste!F340</f>
        <v>0</v>
      </c>
      <c r="C340">
        <f>Rangliste!A340</f>
        <v>0</v>
      </c>
      <c r="D340">
        <f>Rangliste!T340</f>
        <v>0</v>
      </c>
      <c r="E340" t="str">
        <f>IF(Rangliste!E340="M","HE","DE")</f>
        <v>DE</v>
      </c>
      <c r="F340" t="str">
        <f>IF(Rangliste!E340="M","HD","DD")</f>
        <v>DD</v>
      </c>
      <c r="G340" t="s">
        <v>649</v>
      </c>
    </row>
    <row r="341" spans="1:7" x14ac:dyDescent="0.3">
      <c r="A341">
        <f>Rangliste!B341</f>
        <v>0</v>
      </c>
      <c r="B341">
        <f>Rangliste!F341</f>
        <v>0</v>
      </c>
      <c r="C341">
        <f>Rangliste!A341</f>
        <v>0</v>
      </c>
      <c r="D341">
        <f>Rangliste!T341</f>
        <v>0</v>
      </c>
      <c r="E341" t="str">
        <f>IF(Rangliste!E341="M","HE","DE")</f>
        <v>DE</v>
      </c>
      <c r="F341" t="str">
        <f>IF(Rangliste!E341="M","HD","DD")</f>
        <v>DD</v>
      </c>
      <c r="G341" t="s">
        <v>649</v>
      </c>
    </row>
    <row r="342" spans="1:7" x14ac:dyDescent="0.3">
      <c r="A342">
        <f>Rangliste!B342</f>
        <v>0</v>
      </c>
      <c r="B342">
        <f>Rangliste!F342</f>
        <v>0</v>
      </c>
      <c r="C342">
        <f>Rangliste!A342</f>
        <v>0</v>
      </c>
      <c r="D342">
        <f>Rangliste!T342</f>
        <v>0</v>
      </c>
      <c r="E342" t="str">
        <f>IF(Rangliste!E342="M","HE","DE")</f>
        <v>DE</v>
      </c>
      <c r="F342" t="str">
        <f>IF(Rangliste!E342="M","HD","DD")</f>
        <v>DD</v>
      </c>
      <c r="G342" t="s">
        <v>649</v>
      </c>
    </row>
    <row r="343" spans="1:7" x14ac:dyDescent="0.3">
      <c r="A343">
        <f>Rangliste!B343</f>
        <v>0</v>
      </c>
      <c r="B343">
        <f>Rangliste!F343</f>
        <v>0</v>
      </c>
      <c r="C343">
        <f>Rangliste!A343</f>
        <v>0</v>
      </c>
      <c r="D343">
        <f>Rangliste!T343</f>
        <v>0</v>
      </c>
      <c r="E343" t="str">
        <f>IF(Rangliste!E343="M","HE","DE")</f>
        <v>DE</v>
      </c>
      <c r="F343" t="str">
        <f>IF(Rangliste!E343="M","HD","DD")</f>
        <v>DD</v>
      </c>
      <c r="G343" t="s">
        <v>649</v>
      </c>
    </row>
    <row r="344" spans="1:7" x14ac:dyDescent="0.3">
      <c r="A344">
        <f>Rangliste!B344</f>
        <v>0</v>
      </c>
      <c r="B344">
        <f>Rangliste!F344</f>
        <v>0</v>
      </c>
      <c r="C344">
        <f>Rangliste!A344</f>
        <v>0</v>
      </c>
      <c r="D344">
        <f>Rangliste!T344</f>
        <v>0</v>
      </c>
      <c r="E344" t="str">
        <f>IF(Rangliste!E344="M","HE","DE")</f>
        <v>DE</v>
      </c>
      <c r="F344" t="str">
        <f>IF(Rangliste!E344="M","HD","DD")</f>
        <v>DD</v>
      </c>
      <c r="G344" t="s">
        <v>649</v>
      </c>
    </row>
    <row r="345" spans="1:7" x14ac:dyDescent="0.3">
      <c r="A345">
        <f>Rangliste!B345</f>
        <v>0</v>
      </c>
      <c r="B345">
        <f>Rangliste!F345</f>
        <v>0</v>
      </c>
      <c r="C345">
        <f>Rangliste!A345</f>
        <v>0</v>
      </c>
      <c r="D345">
        <f>Rangliste!T345</f>
        <v>0</v>
      </c>
      <c r="E345" t="str">
        <f>IF(Rangliste!E345="M","HE","DE")</f>
        <v>DE</v>
      </c>
      <c r="F345" t="str">
        <f>IF(Rangliste!E345="M","HD","DD")</f>
        <v>DD</v>
      </c>
      <c r="G345" t="s">
        <v>649</v>
      </c>
    </row>
    <row r="346" spans="1:7" x14ac:dyDescent="0.3">
      <c r="A346">
        <f>Rangliste!B346</f>
        <v>0</v>
      </c>
      <c r="B346">
        <f>Rangliste!F346</f>
        <v>0</v>
      </c>
      <c r="C346">
        <f>Rangliste!A346</f>
        <v>0</v>
      </c>
      <c r="D346">
        <f>Rangliste!T346</f>
        <v>0</v>
      </c>
      <c r="E346" t="str">
        <f>IF(Rangliste!E346="M","HE","DE")</f>
        <v>DE</v>
      </c>
      <c r="F346" t="str">
        <f>IF(Rangliste!E346="M","HD","DD")</f>
        <v>DD</v>
      </c>
      <c r="G346" t="s">
        <v>649</v>
      </c>
    </row>
    <row r="347" spans="1:7" x14ac:dyDescent="0.3">
      <c r="A347">
        <f>Rangliste!B347</f>
        <v>0</v>
      </c>
      <c r="B347">
        <f>Rangliste!F347</f>
        <v>0</v>
      </c>
      <c r="C347">
        <f>Rangliste!A347</f>
        <v>0</v>
      </c>
      <c r="D347">
        <f>Rangliste!T347</f>
        <v>0</v>
      </c>
      <c r="E347" t="str">
        <f>IF(Rangliste!E347="M","HE","DE")</f>
        <v>DE</v>
      </c>
      <c r="F347" t="str">
        <f>IF(Rangliste!E347="M","HD","DD")</f>
        <v>DD</v>
      </c>
      <c r="G347" t="s">
        <v>649</v>
      </c>
    </row>
    <row r="348" spans="1:7" x14ac:dyDescent="0.3">
      <c r="A348">
        <f>Rangliste!B348</f>
        <v>0</v>
      </c>
      <c r="B348">
        <f>Rangliste!F348</f>
        <v>0</v>
      </c>
      <c r="C348">
        <f>Rangliste!A348</f>
        <v>0</v>
      </c>
      <c r="D348">
        <f>Rangliste!T348</f>
        <v>0</v>
      </c>
      <c r="E348" t="str">
        <f>IF(Rangliste!E348="M","HE","DE")</f>
        <v>DE</v>
      </c>
      <c r="F348" t="str">
        <f>IF(Rangliste!E348="M","HD","DD")</f>
        <v>DD</v>
      </c>
      <c r="G348" t="s">
        <v>649</v>
      </c>
    </row>
    <row r="349" spans="1:7" x14ac:dyDescent="0.3">
      <c r="A349">
        <f>Rangliste!B349</f>
        <v>0</v>
      </c>
      <c r="B349">
        <f>Rangliste!F349</f>
        <v>0</v>
      </c>
      <c r="C349">
        <f>Rangliste!A349</f>
        <v>0</v>
      </c>
      <c r="D349">
        <f>Rangliste!T349</f>
        <v>0</v>
      </c>
      <c r="E349" t="str">
        <f>IF(Rangliste!E349="M","HE","DE")</f>
        <v>DE</v>
      </c>
      <c r="F349" t="str">
        <f>IF(Rangliste!E349="M","HD","DD")</f>
        <v>DD</v>
      </c>
      <c r="G349" t="s">
        <v>649</v>
      </c>
    </row>
    <row r="350" spans="1:7" x14ac:dyDescent="0.3">
      <c r="A350">
        <f>Rangliste!B350</f>
        <v>0</v>
      </c>
      <c r="B350">
        <f>Rangliste!F350</f>
        <v>0</v>
      </c>
      <c r="C350">
        <f>Rangliste!A350</f>
        <v>0</v>
      </c>
      <c r="D350">
        <f>Rangliste!T350</f>
        <v>0</v>
      </c>
      <c r="E350" t="str">
        <f>IF(Rangliste!E350="M","HE","DE")</f>
        <v>DE</v>
      </c>
      <c r="F350" t="str">
        <f>IF(Rangliste!E350="M","HD","DD")</f>
        <v>DD</v>
      </c>
      <c r="G350" t="s">
        <v>649</v>
      </c>
    </row>
    <row r="351" spans="1:7" x14ac:dyDescent="0.3">
      <c r="A351">
        <f>Rangliste!B351</f>
        <v>0</v>
      </c>
      <c r="B351">
        <f>Rangliste!F351</f>
        <v>0</v>
      </c>
      <c r="C351">
        <f>Rangliste!A351</f>
        <v>0</v>
      </c>
      <c r="D351">
        <f>Rangliste!T351</f>
        <v>0</v>
      </c>
      <c r="E351" t="str">
        <f>IF(Rangliste!E351="M","HE","DE")</f>
        <v>DE</v>
      </c>
      <c r="F351" t="str">
        <f>IF(Rangliste!E351="M","HD","DD")</f>
        <v>DD</v>
      </c>
      <c r="G351" t="s">
        <v>649</v>
      </c>
    </row>
    <row r="352" spans="1:7" x14ac:dyDescent="0.3">
      <c r="A352">
        <f>Rangliste!B352</f>
        <v>0</v>
      </c>
      <c r="B352">
        <f>Rangliste!F352</f>
        <v>0</v>
      </c>
      <c r="C352">
        <f>Rangliste!A352</f>
        <v>0</v>
      </c>
      <c r="D352">
        <f>Rangliste!T352</f>
        <v>0</v>
      </c>
      <c r="E352" t="str">
        <f>IF(Rangliste!E352="M","HE","DE")</f>
        <v>DE</v>
      </c>
      <c r="F352" t="str">
        <f>IF(Rangliste!E352="M","HD","DD")</f>
        <v>DD</v>
      </c>
      <c r="G352" t="s">
        <v>649</v>
      </c>
    </row>
    <row r="353" spans="1:7" x14ac:dyDescent="0.3">
      <c r="A353">
        <f>Rangliste!B353</f>
        <v>0</v>
      </c>
      <c r="B353">
        <f>Rangliste!F353</f>
        <v>0</v>
      </c>
      <c r="C353">
        <f>Rangliste!A353</f>
        <v>0</v>
      </c>
      <c r="D353">
        <f>Rangliste!T353</f>
        <v>0</v>
      </c>
      <c r="E353" t="str">
        <f>IF(Rangliste!E353="M","HE","DE")</f>
        <v>DE</v>
      </c>
      <c r="F353" t="str">
        <f>IF(Rangliste!E353="M","HD","DD")</f>
        <v>DD</v>
      </c>
      <c r="G353" t="s">
        <v>649</v>
      </c>
    </row>
    <row r="354" spans="1:7" x14ac:dyDescent="0.3">
      <c r="A354">
        <f>Rangliste!B354</f>
        <v>0</v>
      </c>
      <c r="B354">
        <f>Rangliste!F354</f>
        <v>0</v>
      </c>
      <c r="C354">
        <f>Rangliste!A354</f>
        <v>0</v>
      </c>
      <c r="D354">
        <f>Rangliste!T354</f>
        <v>0</v>
      </c>
      <c r="E354" t="str">
        <f>IF(Rangliste!E354="M","HE","DE")</f>
        <v>DE</v>
      </c>
      <c r="F354" t="str">
        <f>IF(Rangliste!E354="M","HD","DD")</f>
        <v>DD</v>
      </c>
      <c r="G354" t="s">
        <v>649</v>
      </c>
    </row>
    <row r="355" spans="1:7" x14ac:dyDescent="0.3">
      <c r="A355">
        <f>Rangliste!B355</f>
        <v>0</v>
      </c>
      <c r="B355">
        <f>Rangliste!F355</f>
        <v>0</v>
      </c>
      <c r="C355">
        <f>Rangliste!A355</f>
        <v>0</v>
      </c>
      <c r="D355">
        <f>Rangliste!T355</f>
        <v>0</v>
      </c>
      <c r="E355" t="str">
        <f>IF(Rangliste!E355="M","HE","DE")</f>
        <v>DE</v>
      </c>
      <c r="F355" t="str">
        <f>IF(Rangliste!E355="M","HD","DD")</f>
        <v>DD</v>
      </c>
      <c r="G355" t="s">
        <v>649</v>
      </c>
    </row>
    <row r="356" spans="1:7" x14ac:dyDescent="0.3">
      <c r="A356">
        <f>Rangliste!B356</f>
        <v>0</v>
      </c>
      <c r="B356">
        <f>Rangliste!F356</f>
        <v>0</v>
      </c>
      <c r="C356">
        <f>Rangliste!A356</f>
        <v>0</v>
      </c>
      <c r="D356">
        <f>Rangliste!T356</f>
        <v>0</v>
      </c>
      <c r="E356" t="str">
        <f>IF(Rangliste!E356="M","HE","DE")</f>
        <v>DE</v>
      </c>
      <c r="F356" t="str">
        <f>IF(Rangliste!E356="M","HD","DD")</f>
        <v>DD</v>
      </c>
      <c r="G356" t="s">
        <v>649</v>
      </c>
    </row>
    <row r="357" spans="1:7" x14ac:dyDescent="0.3">
      <c r="A357">
        <f>Rangliste!B357</f>
        <v>0</v>
      </c>
      <c r="B357">
        <f>Rangliste!F357</f>
        <v>0</v>
      </c>
      <c r="C357">
        <f>Rangliste!A357</f>
        <v>0</v>
      </c>
      <c r="D357">
        <f>Rangliste!T357</f>
        <v>0</v>
      </c>
      <c r="E357" t="str">
        <f>IF(Rangliste!E357="M","HE","DE")</f>
        <v>DE</v>
      </c>
      <c r="F357" t="str">
        <f>IF(Rangliste!E357="M","HD","DD")</f>
        <v>DD</v>
      </c>
      <c r="G357" t="s">
        <v>649</v>
      </c>
    </row>
    <row r="358" spans="1:7" x14ac:dyDescent="0.3">
      <c r="A358">
        <f>Rangliste!B358</f>
        <v>0</v>
      </c>
      <c r="B358">
        <f>Rangliste!F358</f>
        <v>0</v>
      </c>
      <c r="C358">
        <f>Rangliste!A358</f>
        <v>0</v>
      </c>
      <c r="D358">
        <f>Rangliste!T358</f>
        <v>0</v>
      </c>
      <c r="E358" t="str">
        <f>IF(Rangliste!E358="M","HE","DE")</f>
        <v>DE</v>
      </c>
      <c r="F358" t="str">
        <f>IF(Rangliste!E358="M","HD","DD")</f>
        <v>DD</v>
      </c>
      <c r="G358" t="s">
        <v>649</v>
      </c>
    </row>
    <row r="359" spans="1:7" x14ac:dyDescent="0.3">
      <c r="A359">
        <f>Rangliste!B359</f>
        <v>0</v>
      </c>
      <c r="B359">
        <f>Rangliste!F359</f>
        <v>0</v>
      </c>
      <c r="C359">
        <f>Rangliste!A359</f>
        <v>0</v>
      </c>
      <c r="D359">
        <f>Rangliste!T359</f>
        <v>0</v>
      </c>
      <c r="E359" t="str">
        <f>IF(Rangliste!E359="M","HE","DE")</f>
        <v>DE</v>
      </c>
      <c r="F359" t="str">
        <f>IF(Rangliste!E359="M","HD","DD")</f>
        <v>DD</v>
      </c>
      <c r="G359" t="s">
        <v>649</v>
      </c>
    </row>
    <row r="360" spans="1:7" x14ac:dyDescent="0.3">
      <c r="A360">
        <f>Rangliste!B360</f>
        <v>0</v>
      </c>
      <c r="B360">
        <f>Rangliste!F360</f>
        <v>0</v>
      </c>
      <c r="C360">
        <f>Rangliste!A360</f>
        <v>0</v>
      </c>
      <c r="D360">
        <f>Rangliste!T360</f>
        <v>0</v>
      </c>
      <c r="E360" t="str">
        <f>IF(Rangliste!E360="M","HE","DE")</f>
        <v>DE</v>
      </c>
      <c r="F360" t="str">
        <f>IF(Rangliste!E360="M","HD","DD")</f>
        <v>DD</v>
      </c>
      <c r="G360" t="s">
        <v>649</v>
      </c>
    </row>
    <row r="361" spans="1:7" x14ac:dyDescent="0.3">
      <c r="A361">
        <f>Rangliste!B361</f>
        <v>0</v>
      </c>
      <c r="B361">
        <f>Rangliste!F361</f>
        <v>0</v>
      </c>
      <c r="C361">
        <f>Rangliste!A361</f>
        <v>0</v>
      </c>
      <c r="D361">
        <f>Rangliste!T361</f>
        <v>0</v>
      </c>
      <c r="E361" t="str">
        <f>IF(Rangliste!E361="M","HE","DE")</f>
        <v>DE</v>
      </c>
      <c r="F361" t="str">
        <f>IF(Rangliste!E361="M","HD","DD")</f>
        <v>DD</v>
      </c>
      <c r="G361" t="s">
        <v>649</v>
      </c>
    </row>
    <row r="362" spans="1:7" x14ac:dyDescent="0.3">
      <c r="A362">
        <f>Rangliste!B362</f>
        <v>0</v>
      </c>
      <c r="B362">
        <f>Rangliste!F362</f>
        <v>0</v>
      </c>
      <c r="C362">
        <f>Rangliste!A362</f>
        <v>0</v>
      </c>
      <c r="D362">
        <f>Rangliste!T362</f>
        <v>0</v>
      </c>
      <c r="E362" t="str">
        <f>IF(Rangliste!E362="M","HE","DE")</f>
        <v>DE</v>
      </c>
      <c r="F362" t="str">
        <f>IF(Rangliste!E362="M","HD","DD")</f>
        <v>DD</v>
      </c>
      <c r="G362" t="s">
        <v>649</v>
      </c>
    </row>
    <row r="363" spans="1:7" x14ac:dyDescent="0.3">
      <c r="A363">
        <f>Rangliste!B363</f>
        <v>0</v>
      </c>
      <c r="B363">
        <f>Rangliste!F363</f>
        <v>0</v>
      </c>
      <c r="C363">
        <f>Rangliste!A363</f>
        <v>0</v>
      </c>
      <c r="D363">
        <f>Rangliste!T363</f>
        <v>0</v>
      </c>
      <c r="E363" t="str">
        <f>IF(Rangliste!E363="M","HE","DE")</f>
        <v>DE</v>
      </c>
      <c r="F363" t="str">
        <f>IF(Rangliste!E363="M","HD","DD")</f>
        <v>DD</v>
      </c>
      <c r="G363" t="s">
        <v>649</v>
      </c>
    </row>
    <row r="364" spans="1:7" x14ac:dyDescent="0.3">
      <c r="A364">
        <f>Rangliste!B364</f>
        <v>0</v>
      </c>
      <c r="B364">
        <f>Rangliste!F364</f>
        <v>0</v>
      </c>
      <c r="C364">
        <f>Rangliste!A364</f>
        <v>0</v>
      </c>
      <c r="D364">
        <f>Rangliste!T364</f>
        <v>0</v>
      </c>
      <c r="E364" t="str">
        <f>IF(Rangliste!E364="M","HE","DE")</f>
        <v>DE</v>
      </c>
      <c r="F364" t="str">
        <f>IF(Rangliste!E364="M","HD","DD")</f>
        <v>DD</v>
      </c>
      <c r="G364" t="s">
        <v>649</v>
      </c>
    </row>
    <row r="365" spans="1:7" x14ac:dyDescent="0.3">
      <c r="A365">
        <f>Rangliste!B365</f>
        <v>0</v>
      </c>
      <c r="B365">
        <f>Rangliste!F365</f>
        <v>0</v>
      </c>
      <c r="C365">
        <f>Rangliste!A365</f>
        <v>0</v>
      </c>
      <c r="D365">
        <f>Rangliste!T365</f>
        <v>0</v>
      </c>
      <c r="E365" t="str">
        <f>IF(Rangliste!E365="M","HE","DE")</f>
        <v>DE</v>
      </c>
      <c r="F365" t="str">
        <f>IF(Rangliste!E365="M","HD","DD")</f>
        <v>DD</v>
      </c>
      <c r="G365" t="s">
        <v>649</v>
      </c>
    </row>
    <row r="366" spans="1:7" x14ac:dyDescent="0.3">
      <c r="A366">
        <f>Rangliste!B366</f>
        <v>0</v>
      </c>
      <c r="B366">
        <f>Rangliste!F366</f>
        <v>0</v>
      </c>
      <c r="C366">
        <f>Rangliste!A366</f>
        <v>0</v>
      </c>
      <c r="D366">
        <f>Rangliste!T366</f>
        <v>0</v>
      </c>
      <c r="E366" t="str">
        <f>IF(Rangliste!E366="M","HE","DE")</f>
        <v>DE</v>
      </c>
      <c r="F366" t="str">
        <f>IF(Rangliste!E366="M","HD","DD")</f>
        <v>DD</v>
      </c>
      <c r="G366" t="s">
        <v>649</v>
      </c>
    </row>
    <row r="367" spans="1:7" x14ac:dyDescent="0.3">
      <c r="A367">
        <f>Rangliste!B367</f>
        <v>0</v>
      </c>
      <c r="B367">
        <f>Rangliste!F367</f>
        <v>0</v>
      </c>
      <c r="C367">
        <f>Rangliste!A367</f>
        <v>0</v>
      </c>
      <c r="D367">
        <f>Rangliste!T367</f>
        <v>0</v>
      </c>
      <c r="E367" t="str">
        <f>IF(Rangliste!E367="M","HE","DE")</f>
        <v>DE</v>
      </c>
      <c r="F367" t="str">
        <f>IF(Rangliste!E367="M","HD","DD")</f>
        <v>DD</v>
      </c>
      <c r="G367" t="s">
        <v>649</v>
      </c>
    </row>
    <row r="368" spans="1:7" x14ac:dyDescent="0.3">
      <c r="A368">
        <f>Rangliste!B368</f>
        <v>0</v>
      </c>
      <c r="B368">
        <f>Rangliste!F368</f>
        <v>0</v>
      </c>
      <c r="C368">
        <f>Rangliste!A368</f>
        <v>0</v>
      </c>
      <c r="D368">
        <f>Rangliste!T368</f>
        <v>0</v>
      </c>
      <c r="E368" t="str">
        <f>IF(Rangliste!E368="M","HE","DE")</f>
        <v>DE</v>
      </c>
      <c r="F368" t="str">
        <f>IF(Rangliste!E368="M","HD","DD")</f>
        <v>DD</v>
      </c>
      <c r="G368" t="s">
        <v>649</v>
      </c>
    </row>
    <row r="369" spans="1:7" x14ac:dyDescent="0.3">
      <c r="A369">
        <f>Rangliste!B369</f>
        <v>0</v>
      </c>
      <c r="B369">
        <f>Rangliste!F369</f>
        <v>0</v>
      </c>
      <c r="C369">
        <f>Rangliste!A369</f>
        <v>0</v>
      </c>
      <c r="D369">
        <f>Rangliste!T369</f>
        <v>0</v>
      </c>
      <c r="E369" t="str">
        <f>IF(Rangliste!E369="M","HE","DE")</f>
        <v>DE</v>
      </c>
      <c r="F369" t="str">
        <f>IF(Rangliste!E369="M","HD","DD")</f>
        <v>DD</v>
      </c>
      <c r="G369" t="s">
        <v>649</v>
      </c>
    </row>
    <row r="370" spans="1:7" x14ac:dyDescent="0.3">
      <c r="A370">
        <f>Rangliste!B370</f>
        <v>0</v>
      </c>
      <c r="B370">
        <f>Rangliste!F370</f>
        <v>0</v>
      </c>
      <c r="C370">
        <f>Rangliste!A370</f>
        <v>0</v>
      </c>
      <c r="D370">
        <f>Rangliste!T370</f>
        <v>0</v>
      </c>
      <c r="E370" t="str">
        <f>IF(Rangliste!E370="M","HE","DE")</f>
        <v>DE</v>
      </c>
      <c r="F370" t="str">
        <f>IF(Rangliste!E370="M","HD","DD")</f>
        <v>DD</v>
      </c>
      <c r="G370" t="s">
        <v>649</v>
      </c>
    </row>
    <row r="371" spans="1:7" x14ac:dyDescent="0.3">
      <c r="A371">
        <f>Rangliste!B371</f>
        <v>0</v>
      </c>
      <c r="B371">
        <f>Rangliste!F371</f>
        <v>0</v>
      </c>
      <c r="C371">
        <f>Rangliste!A371</f>
        <v>0</v>
      </c>
      <c r="D371">
        <f>Rangliste!T371</f>
        <v>0</v>
      </c>
      <c r="E371" t="str">
        <f>IF(Rangliste!E371="M","HE","DE")</f>
        <v>DE</v>
      </c>
      <c r="F371" t="str">
        <f>IF(Rangliste!E371="M","HD","DD")</f>
        <v>DD</v>
      </c>
      <c r="G371" t="s">
        <v>649</v>
      </c>
    </row>
    <row r="372" spans="1:7" x14ac:dyDescent="0.3">
      <c r="A372">
        <f>Rangliste!B372</f>
        <v>0</v>
      </c>
      <c r="B372">
        <f>Rangliste!F372</f>
        <v>0</v>
      </c>
      <c r="C372">
        <f>Rangliste!A372</f>
        <v>0</v>
      </c>
      <c r="D372">
        <f>Rangliste!T372</f>
        <v>0</v>
      </c>
      <c r="E372" t="str">
        <f>IF(Rangliste!E372="M","HE","DE")</f>
        <v>DE</v>
      </c>
      <c r="F372" t="str">
        <f>IF(Rangliste!E372="M","HD","DD")</f>
        <v>DD</v>
      </c>
      <c r="G372" t="s">
        <v>649</v>
      </c>
    </row>
    <row r="373" spans="1:7" x14ac:dyDescent="0.3">
      <c r="A373">
        <f>Rangliste!B373</f>
        <v>0</v>
      </c>
      <c r="B373">
        <f>Rangliste!F373</f>
        <v>0</v>
      </c>
      <c r="C373">
        <f>Rangliste!A373</f>
        <v>0</v>
      </c>
      <c r="D373">
        <f>Rangliste!T373</f>
        <v>0</v>
      </c>
      <c r="E373" t="str">
        <f>IF(Rangliste!E373="M","HE","DE")</f>
        <v>DE</v>
      </c>
      <c r="F373" t="str">
        <f>IF(Rangliste!E373="M","HD","DD")</f>
        <v>DD</v>
      </c>
      <c r="G373" t="s">
        <v>649</v>
      </c>
    </row>
    <row r="374" spans="1:7" x14ac:dyDescent="0.3">
      <c r="A374">
        <f>Rangliste!B374</f>
        <v>0</v>
      </c>
      <c r="B374">
        <f>Rangliste!F374</f>
        <v>0</v>
      </c>
      <c r="C374">
        <f>Rangliste!A374</f>
        <v>0</v>
      </c>
      <c r="D374">
        <f>Rangliste!T374</f>
        <v>0</v>
      </c>
      <c r="E374" t="str">
        <f>IF(Rangliste!E374="M","HE","DE")</f>
        <v>DE</v>
      </c>
      <c r="F374" t="str">
        <f>IF(Rangliste!E374="M","HD","DD")</f>
        <v>DD</v>
      </c>
      <c r="G374" t="s">
        <v>649</v>
      </c>
    </row>
    <row r="375" spans="1:7" x14ac:dyDescent="0.3">
      <c r="A375">
        <f>Rangliste!B375</f>
        <v>0</v>
      </c>
      <c r="B375">
        <f>Rangliste!F375</f>
        <v>0</v>
      </c>
      <c r="C375">
        <f>Rangliste!A375</f>
        <v>0</v>
      </c>
      <c r="D375">
        <f>Rangliste!T375</f>
        <v>0</v>
      </c>
      <c r="E375" t="str">
        <f>IF(Rangliste!E375="M","HE","DE")</f>
        <v>DE</v>
      </c>
      <c r="F375" t="str">
        <f>IF(Rangliste!E375="M","HD","DD")</f>
        <v>DD</v>
      </c>
      <c r="G375" t="s">
        <v>649</v>
      </c>
    </row>
    <row r="376" spans="1:7" x14ac:dyDescent="0.3">
      <c r="A376">
        <f>Rangliste!B376</f>
        <v>0</v>
      </c>
      <c r="B376">
        <f>Rangliste!F376</f>
        <v>0</v>
      </c>
      <c r="C376">
        <f>Rangliste!A376</f>
        <v>0</v>
      </c>
      <c r="D376">
        <f>Rangliste!T376</f>
        <v>0</v>
      </c>
      <c r="E376" t="str">
        <f>IF(Rangliste!E376="M","HE","DE")</f>
        <v>DE</v>
      </c>
      <c r="F376" t="str">
        <f>IF(Rangliste!E376="M","HD","DD")</f>
        <v>DD</v>
      </c>
      <c r="G376" t="s">
        <v>649</v>
      </c>
    </row>
    <row r="377" spans="1:7" x14ac:dyDescent="0.3">
      <c r="A377">
        <f>Rangliste!B377</f>
        <v>0</v>
      </c>
      <c r="B377">
        <f>Rangliste!F377</f>
        <v>0</v>
      </c>
      <c r="C377">
        <f>Rangliste!A377</f>
        <v>0</v>
      </c>
      <c r="D377">
        <f>Rangliste!T377</f>
        <v>0</v>
      </c>
      <c r="E377" t="str">
        <f>IF(Rangliste!E377="M","HE","DE")</f>
        <v>DE</v>
      </c>
      <c r="F377" t="str">
        <f>IF(Rangliste!E377="M","HD","DD")</f>
        <v>DD</v>
      </c>
      <c r="G377" t="s">
        <v>649</v>
      </c>
    </row>
    <row r="378" spans="1:7" x14ac:dyDescent="0.3">
      <c r="A378">
        <f>Rangliste!B378</f>
        <v>0</v>
      </c>
      <c r="B378">
        <f>Rangliste!F378</f>
        <v>0</v>
      </c>
      <c r="C378">
        <f>Rangliste!A378</f>
        <v>0</v>
      </c>
      <c r="D378">
        <f>Rangliste!T378</f>
        <v>0</v>
      </c>
      <c r="E378" t="str">
        <f>IF(Rangliste!E378="M","HE","DE")</f>
        <v>DE</v>
      </c>
      <c r="F378" t="str">
        <f>IF(Rangliste!E378="M","HD","DD")</f>
        <v>DD</v>
      </c>
      <c r="G378" t="s">
        <v>649</v>
      </c>
    </row>
    <row r="379" spans="1:7" x14ac:dyDescent="0.3">
      <c r="A379">
        <f>Rangliste!B379</f>
        <v>0</v>
      </c>
      <c r="B379">
        <f>Rangliste!F379</f>
        <v>0</v>
      </c>
      <c r="C379">
        <f>Rangliste!A379</f>
        <v>0</v>
      </c>
      <c r="D379">
        <f>Rangliste!T379</f>
        <v>0</v>
      </c>
      <c r="E379" t="str">
        <f>IF(Rangliste!E379="M","HE","DE")</f>
        <v>DE</v>
      </c>
      <c r="F379" t="str">
        <f>IF(Rangliste!E379="M","HD","DD")</f>
        <v>DD</v>
      </c>
      <c r="G379" t="s">
        <v>649</v>
      </c>
    </row>
    <row r="380" spans="1:7" x14ac:dyDescent="0.3">
      <c r="A380">
        <f>Rangliste!B380</f>
        <v>0</v>
      </c>
      <c r="B380">
        <f>Rangliste!F380</f>
        <v>0</v>
      </c>
      <c r="C380">
        <f>Rangliste!A380</f>
        <v>0</v>
      </c>
      <c r="D380">
        <f>Rangliste!T380</f>
        <v>0</v>
      </c>
      <c r="E380" t="str">
        <f>IF(Rangliste!E380="M","HE","DE")</f>
        <v>DE</v>
      </c>
      <c r="F380" t="str">
        <f>IF(Rangliste!E380="M","HD","DD")</f>
        <v>DD</v>
      </c>
      <c r="G380" t="s">
        <v>649</v>
      </c>
    </row>
    <row r="381" spans="1:7" x14ac:dyDescent="0.3">
      <c r="A381">
        <f>Rangliste!B381</f>
        <v>0</v>
      </c>
      <c r="B381">
        <f>Rangliste!F381</f>
        <v>0</v>
      </c>
      <c r="C381">
        <f>Rangliste!A381</f>
        <v>0</v>
      </c>
      <c r="D381">
        <f>Rangliste!T381</f>
        <v>0</v>
      </c>
      <c r="E381" t="str">
        <f>IF(Rangliste!E381="M","HE","DE")</f>
        <v>DE</v>
      </c>
      <c r="F381" t="str">
        <f>IF(Rangliste!E381="M","HD","DD")</f>
        <v>DD</v>
      </c>
      <c r="G381" t="s">
        <v>649</v>
      </c>
    </row>
    <row r="382" spans="1:7" x14ac:dyDescent="0.3">
      <c r="A382">
        <f>Rangliste!B382</f>
        <v>0</v>
      </c>
      <c r="B382">
        <f>Rangliste!F382</f>
        <v>0</v>
      </c>
      <c r="C382">
        <f>Rangliste!A382</f>
        <v>0</v>
      </c>
      <c r="D382">
        <f>Rangliste!T382</f>
        <v>0</v>
      </c>
      <c r="E382" t="str">
        <f>IF(Rangliste!E382="M","HE","DE")</f>
        <v>DE</v>
      </c>
      <c r="F382" t="str">
        <f>IF(Rangliste!E382="M","HD","DD")</f>
        <v>DD</v>
      </c>
      <c r="G382" t="s">
        <v>649</v>
      </c>
    </row>
    <row r="383" spans="1:7" x14ac:dyDescent="0.3">
      <c r="A383">
        <f>Rangliste!B383</f>
        <v>0</v>
      </c>
      <c r="B383">
        <f>Rangliste!F383</f>
        <v>0</v>
      </c>
      <c r="C383">
        <f>Rangliste!A383</f>
        <v>0</v>
      </c>
      <c r="D383">
        <f>Rangliste!T383</f>
        <v>0</v>
      </c>
      <c r="E383" t="str">
        <f>IF(Rangliste!E383="M","HE","DE")</f>
        <v>DE</v>
      </c>
      <c r="F383" t="str">
        <f>IF(Rangliste!E383="M","HD","DD")</f>
        <v>DD</v>
      </c>
      <c r="G383" t="s">
        <v>649</v>
      </c>
    </row>
    <row r="384" spans="1:7" x14ac:dyDescent="0.3">
      <c r="A384">
        <f>Rangliste!B384</f>
        <v>0</v>
      </c>
      <c r="B384">
        <f>Rangliste!F384</f>
        <v>0</v>
      </c>
      <c r="C384">
        <f>Rangliste!A384</f>
        <v>0</v>
      </c>
      <c r="D384">
        <f>Rangliste!T384</f>
        <v>0</v>
      </c>
      <c r="E384" t="str">
        <f>IF(Rangliste!E384="M","HE","DE")</f>
        <v>DE</v>
      </c>
      <c r="F384" t="str">
        <f>IF(Rangliste!E384="M","HD","DD")</f>
        <v>DD</v>
      </c>
      <c r="G384" t="s">
        <v>649</v>
      </c>
    </row>
    <row r="385" spans="1:7" x14ac:dyDescent="0.3">
      <c r="A385">
        <f>Rangliste!B385</f>
        <v>0</v>
      </c>
      <c r="B385">
        <f>Rangliste!F385</f>
        <v>0</v>
      </c>
      <c r="C385">
        <f>Rangliste!A385</f>
        <v>0</v>
      </c>
      <c r="D385">
        <f>Rangliste!T385</f>
        <v>0</v>
      </c>
      <c r="E385" t="str">
        <f>IF(Rangliste!E385="M","HE","DE")</f>
        <v>DE</v>
      </c>
      <c r="F385" t="str">
        <f>IF(Rangliste!E385="M","HD","DD")</f>
        <v>DD</v>
      </c>
      <c r="G385" t="s">
        <v>649</v>
      </c>
    </row>
    <row r="386" spans="1:7" x14ac:dyDescent="0.3">
      <c r="A386">
        <f>Rangliste!B386</f>
        <v>0</v>
      </c>
      <c r="B386">
        <f>Rangliste!F386</f>
        <v>0</v>
      </c>
      <c r="C386">
        <f>Rangliste!A386</f>
        <v>0</v>
      </c>
      <c r="D386">
        <f>Rangliste!T386</f>
        <v>0</v>
      </c>
      <c r="E386" t="str">
        <f>IF(Rangliste!E386="M","HE","DE")</f>
        <v>DE</v>
      </c>
      <c r="F386" t="str">
        <f>IF(Rangliste!E386="M","HD","DD")</f>
        <v>DD</v>
      </c>
      <c r="G386" t="s">
        <v>649</v>
      </c>
    </row>
    <row r="387" spans="1:7" x14ac:dyDescent="0.3">
      <c r="A387">
        <f>Rangliste!B387</f>
        <v>0</v>
      </c>
      <c r="B387">
        <f>Rangliste!F387</f>
        <v>0</v>
      </c>
      <c r="C387">
        <f>Rangliste!A387</f>
        <v>0</v>
      </c>
      <c r="D387">
        <f>Rangliste!T387</f>
        <v>0</v>
      </c>
      <c r="E387" t="str">
        <f>IF(Rangliste!E387="M","HE","DE")</f>
        <v>DE</v>
      </c>
      <c r="F387" t="str">
        <f>IF(Rangliste!E387="M","HD","DD")</f>
        <v>DD</v>
      </c>
      <c r="G387" t="s">
        <v>649</v>
      </c>
    </row>
    <row r="388" spans="1:7" x14ac:dyDescent="0.3">
      <c r="A388">
        <f>Rangliste!B388</f>
        <v>0</v>
      </c>
      <c r="B388">
        <f>Rangliste!F388</f>
        <v>0</v>
      </c>
      <c r="C388">
        <f>Rangliste!A388</f>
        <v>0</v>
      </c>
      <c r="D388">
        <f>Rangliste!T388</f>
        <v>0</v>
      </c>
      <c r="E388" t="str">
        <f>IF(Rangliste!E388="M","HE","DE")</f>
        <v>DE</v>
      </c>
      <c r="F388" t="str">
        <f>IF(Rangliste!E388="M","HD","DD")</f>
        <v>DD</v>
      </c>
      <c r="G388" t="s">
        <v>649</v>
      </c>
    </row>
    <row r="389" spans="1:7" x14ac:dyDescent="0.3">
      <c r="A389">
        <f>Rangliste!B389</f>
        <v>0</v>
      </c>
      <c r="B389">
        <f>Rangliste!F389</f>
        <v>0</v>
      </c>
      <c r="C389">
        <f>Rangliste!A389</f>
        <v>0</v>
      </c>
      <c r="D389">
        <f>Rangliste!T389</f>
        <v>0</v>
      </c>
      <c r="E389" t="str">
        <f>IF(Rangliste!E389="M","HE","DE")</f>
        <v>DE</v>
      </c>
      <c r="F389" t="str">
        <f>IF(Rangliste!E389="M","HD","DD")</f>
        <v>DD</v>
      </c>
      <c r="G389" t="s">
        <v>649</v>
      </c>
    </row>
    <row r="390" spans="1:7" x14ac:dyDescent="0.3">
      <c r="A390">
        <f>Rangliste!B390</f>
        <v>0</v>
      </c>
      <c r="B390">
        <f>Rangliste!F390</f>
        <v>0</v>
      </c>
      <c r="C390">
        <f>Rangliste!A390</f>
        <v>0</v>
      </c>
      <c r="D390">
        <f>Rangliste!T390</f>
        <v>0</v>
      </c>
      <c r="E390" t="str">
        <f>IF(Rangliste!E390="M","HE","DE")</f>
        <v>DE</v>
      </c>
      <c r="F390" t="str">
        <f>IF(Rangliste!E390="M","HD","DD")</f>
        <v>DD</v>
      </c>
      <c r="G390" t="s">
        <v>649</v>
      </c>
    </row>
    <row r="391" spans="1:7" x14ac:dyDescent="0.3">
      <c r="A391">
        <f>Rangliste!B391</f>
        <v>0</v>
      </c>
      <c r="B391">
        <f>Rangliste!F391</f>
        <v>0</v>
      </c>
      <c r="C391">
        <f>Rangliste!A391</f>
        <v>0</v>
      </c>
      <c r="D391">
        <f>Rangliste!T391</f>
        <v>0</v>
      </c>
      <c r="E391" t="str">
        <f>IF(Rangliste!E391="M","HE","DE")</f>
        <v>DE</v>
      </c>
      <c r="F391" t="str">
        <f>IF(Rangliste!E391="M","HD","DD")</f>
        <v>DD</v>
      </c>
      <c r="G391" t="s">
        <v>649</v>
      </c>
    </row>
    <row r="392" spans="1:7" x14ac:dyDescent="0.3">
      <c r="A392">
        <f>Rangliste!B392</f>
        <v>0</v>
      </c>
      <c r="B392">
        <f>Rangliste!F392</f>
        <v>0</v>
      </c>
      <c r="C392">
        <f>Rangliste!A392</f>
        <v>0</v>
      </c>
      <c r="D392">
        <f>Rangliste!T392</f>
        <v>0</v>
      </c>
      <c r="E392" t="str">
        <f>IF(Rangliste!E392="M","HE","DE")</f>
        <v>DE</v>
      </c>
      <c r="F392" t="str">
        <f>IF(Rangliste!E392="M","HD","DD")</f>
        <v>DD</v>
      </c>
      <c r="G392" t="s">
        <v>649</v>
      </c>
    </row>
    <row r="393" spans="1:7" x14ac:dyDescent="0.3">
      <c r="A393">
        <f>Rangliste!B393</f>
        <v>0</v>
      </c>
      <c r="B393">
        <f>Rangliste!F393</f>
        <v>0</v>
      </c>
      <c r="C393">
        <f>Rangliste!A393</f>
        <v>0</v>
      </c>
      <c r="D393">
        <f>Rangliste!T393</f>
        <v>0</v>
      </c>
      <c r="E393" t="str">
        <f>IF(Rangliste!E393="M","HE","DE")</f>
        <v>DE</v>
      </c>
      <c r="F393" t="str">
        <f>IF(Rangliste!E393="M","HD","DD")</f>
        <v>DD</v>
      </c>
      <c r="G393" t="s">
        <v>649</v>
      </c>
    </row>
    <row r="394" spans="1:7" x14ac:dyDescent="0.3">
      <c r="A394">
        <f>Rangliste!B394</f>
        <v>0</v>
      </c>
      <c r="B394">
        <f>Rangliste!F394</f>
        <v>0</v>
      </c>
      <c r="C394">
        <f>Rangliste!A394</f>
        <v>0</v>
      </c>
      <c r="D394">
        <f>Rangliste!T394</f>
        <v>0</v>
      </c>
      <c r="E394" t="str">
        <f>IF(Rangliste!E394="M","HE","DE")</f>
        <v>DE</v>
      </c>
      <c r="F394" t="str">
        <f>IF(Rangliste!E394="M","HD","DD")</f>
        <v>DD</v>
      </c>
      <c r="G394" t="s">
        <v>649</v>
      </c>
    </row>
    <row r="395" spans="1:7" x14ac:dyDescent="0.3">
      <c r="A395">
        <f>Rangliste!B395</f>
        <v>0</v>
      </c>
      <c r="B395">
        <f>Rangliste!F395</f>
        <v>0</v>
      </c>
      <c r="C395">
        <f>Rangliste!A395</f>
        <v>0</v>
      </c>
      <c r="D395">
        <f>Rangliste!T395</f>
        <v>0</v>
      </c>
      <c r="E395" t="str">
        <f>IF(Rangliste!E395="M","HE","DE")</f>
        <v>DE</v>
      </c>
      <c r="F395" t="str">
        <f>IF(Rangliste!E395="M","HD","DD")</f>
        <v>DD</v>
      </c>
      <c r="G395" t="s">
        <v>649</v>
      </c>
    </row>
    <row r="396" spans="1:7" x14ac:dyDescent="0.3">
      <c r="A396">
        <f>Rangliste!B396</f>
        <v>0</v>
      </c>
      <c r="B396">
        <f>Rangliste!F396</f>
        <v>0</v>
      </c>
      <c r="C396">
        <f>Rangliste!A396</f>
        <v>0</v>
      </c>
      <c r="D396">
        <f>Rangliste!T396</f>
        <v>0</v>
      </c>
      <c r="E396" t="str">
        <f>IF(Rangliste!E396="M","HE","DE")</f>
        <v>DE</v>
      </c>
      <c r="F396" t="str">
        <f>IF(Rangliste!E396="M","HD","DD")</f>
        <v>DD</v>
      </c>
      <c r="G396" t="s">
        <v>649</v>
      </c>
    </row>
    <row r="397" spans="1:7" x14ac:dyDescent="0.3">
      <c r="A397">
        <f>Rangliste!B397</f>
        <v>0</v>
      </c>
      <c r="B397">
        <f>Rangliste!F397</f>
        <v>0</v>
      </c>
      <c r="C397">
        <f>Rangliste!A397</f>
        <v>0</v>
      </c>
      <c r="D397">
        <f>Rangliste!T397</f>
        <v>0</v>
      </c>
      <c r="E397" t="str">
        <f>IF(Rangliste!E397="M","HE","DE")</f>
        <v>DE</v>
      </c>
      <c r="F397" t="str">
        <f>IF(Rangliste!E397="M","HD","DD")</f>
        <v>DD</v>
      </c>
      <c r="G397" t="s">
        <v>649</v>
      </c>
    </row>
    <row r="398" spans="1:7" x14ac:dyDescent="0.3">
      <c r="A398">
        <f>Rangliste!B398</f>
        <v>0</v>
      </c>
      <c r="B398">
        <f>Rangliste!F398</f>
        <v>0</v>
      </c>
      <c r="C398">
        <f>Rangliste!A398</f>
        <v>0</v>
      </c>
      <c r="D398">
        <f>Rangliste!T398</f>
        <v>0</v>
      </c>
      <c r="E398" t="str">
        <f>IF(Rangliste!E398="M","HE","DE")</f>
        <v>DE</v>
      </c>
      <c r="F398" t="str">
        <f>IF(Rangliste!E398="M","HD","DD")</f>
        <v>DD</v>
      </c>
      <c r="G398" t="s">
        <v>649</v>
      </c>
    </row>
    <row r="399" spans="1:7" x14ac:dyDescent="0.3">
      <c r="A399">
        <f>Rangliste!B399</f>
        <v>0</v>
      </c>
      <c r="B399">
        <f>Rangliste!F399</f>
        <v>0</v>
      </c>
      <c r="C399">
        <f>Rangliste!A399</f>
        <v>0</v>
      </c>
      <c r="D399">
        <f>Rangliste!T399</f>
        <v>0</v>
      </c>
      <c r="E399" t="str">
        <f>IF(Rangliste!E399="M","HE","DE")</f>
        <v>DE</v>
      </c>
      <c r="F399" t="str">
        <f>IF(Rangliste!E399="M","HD","DD")</f>
        <v>DD</v>
      </c>
      <c r="G399" t="s">
        <v>649</v>
      </c>
    </row>
    <row r="400" spans="1:7" x14ac:dyDescent="0.3">
      <c r="A400">
        <f>Rangliste!B400</f>
        <v>0</v>
      </c>
      <c r="B400">
        <f>Rangliste!F400</f>
        <v>0</v>
      </c>
      <c r="C400">
        <f>Rangliste!A400</f>
        <v>0</v>
      </c>
      <c r="D400">
        <f>Rangliste!T400</f>
        <v>0</v>
      </c>
      <c r="E400" t="str">
        <f>IF(Rangliste!E400="M","HE","DE")</f>
        <v>DE</v>
      </c>
      <c r="F400" t="str">
        <f>IF(Rangliste!E400="M","HD","DD")</f>
        <v>DD</v>
      </c>
      <c r="G400" t="s">
        <v>649</v>
      </c>
    </row>
    <row r="401" spans="1:7" x14ac:dyDescent="0.3">
      <c r="A401">
        <f>Rangliste!B401</f>
        <v>0</v>
      </c>
      <c r="B401">
        <f>Rangliste!F401</f>
        <v>0</v>
      </c>
      <c r="C401">
        <f>Rangliste!A401</f>
        <v>0</v>
      </c>
      <c r="D401">
        <f>Rangliste!T401</f>
        <v>0</v>
      </c>
      <c r="E401" t="str">
        <f>IF(Rangliste!E401="M","HE","DE")</f>
        <v>DE</v>
      </c>
      <c r="F401" t="str">
        <f>IF(Rangliste!E401="M","HD","DD")</f>
        <v>DD</v>
      </c>
      <c r="G401" t="s">
        <v>649</v>
      </c>
    </row>
    <row r="402" spans="1:7" x14ac:dyDescent="0.3">
      <c r="A402">
        <f>Rangliste!B402</f>
        <v>0</v>
      </c>
      <c r="B402">
        <f>Rangliste!F402</f>
        <v>0</v>
      </c>
      <c r="C402">
        <f>Rangliste!A402</f>
        <v>0</v>
      </c>
      <c r="D402">
        <f>Rangliste!T402</f>
        <v>0</v>
      </c>
      <c r="E402" t="str">
        <f>IF(Rangliste!E402="M","HE","DE")</f>
        <v>DE</v>
      </c>
      <c r="F402" t="str">
        <f>IF(Rangliste!E402="M","HD","DD")</f>
        <v>DD</v>
      </c>
      <c r="G402" t="s">
        <v>649</v>
      </c>
    </row>
    <row r="403" spans="1:7" x14ac:dyDescent="0.3">
      <c r="A403">
        <f>Rangliste!B403</f>
        <v>0</v>
      </c>
      <c r="B403">
        <f>Rangliste!F403</f>
        <v>0</v>
      </c>
      <c r="C403">
        <f>Rangliste!A403</f>
        <v>0</v>
      </c>
      <c r="D403">
        <f>Rangliste!T403</f>
        <v>0</v>
      </c>
      <c r="E403" t="str">
        <f>IF(Rangliste!E403="M","HE","DE")</f>
        <v>DE</v>
      </c>
      <c r="F403" t="str">
        <f>IF(Rangliste!E403="M","HD","DD")</f>
        <v>DD</v>
      </c>
      <c r="G403" t="s">
        <v>649</v>
      </c>
    </row>
    <row r="404" spans="1:7" x14ac:dyDescent="0.3">
      <c r="A404">
        <f>Rangliste!B404</f>
        <v>0</v>
      </c>
      <c r="B404">
        <f>Rangliste!F404</f>
        <v>0</v>
      </c>
      <c r="C404">
        <f>Rangliste!A404</f>
        <v>0</v>
      </c>
      <c r="D404">
        <f>Rangliste!T404</f>
        <v>0</v>
      </c>
      <c r="E404" t="str">
        <f>IF(Rangliste!E404="M","HE","DE")</f>
        <v>DE</v>
      </c>
      <c r="F404" t="str">
        <f>IF(Rangliste!E404="M","HD","DD")</f>
        <v>DD</v>
      </c>
      <c r="G404" t="s">
        <v>649</v>
      </c>
    </row>
    <row r="405" spans="1:7" x14ac:dyDescent="0.3">
      <c r="A405">
        <f>Rangliste!B405</f>
        <v>0</v>
      </c>
      <c r="B405">
        <f>Rangliste!F405</f>
        <v>0</v>
      </c>
      <c r="C405">
        <f>Rangliste!A405</f>
        <v>0</v>
      </c>
      <c r="D405">
        <f>Rangliste!T405</f>
        <v>0</v>
      </c>
      <c r="E405" t="str">
        <f>IF(Rangliste!E405="M","HE","DE")</f>
        <v>DE</v>
      </c>
      <c r="F405" t="str">
        <f>IF(Rangliste!E405="M","HD","DD")</f>
        <v>DD</v>
      </c>
      <c r="G405" t="s">
        <v>649</v>
      </c>
    </row>
    <row r="406" spans="1:7" x14ac:dyDescent="0.3">
      <c r="A406">
        <f>Rangliste!B406</f>
        <v>0</v>
      </c>
      <c r="B406">
        <f>Rangliste!F406</f>
        <v>0</v>
      </c>
      <c r="C406">
        <f>Rangliste!A406</f>
        <v>0</v>
      </c>
      <c r="D406">
        <f>Rangliste!T406</f>
        <v>0</v>
      </c>
      <c r="E406" t="str">
        <f>IF(Rangliste!E406="M","HE","DE")</f>
        <v>DE</v>
      </c>
      <c r="F406" t="str">
        <f>IF(Rangliste!E406="M","HD","DD")</f>
        <v>DD</v>
      </c>
      <c r="G406" t="s">
        <v>649</v>
      </c>
    </row>
    <row r="407" spans="1:7" x14ac:dyDescent="0.3">
      <c r="A407">
        <f>Rangliste!B407</f>
        <v>0</v>
      </c>
      <c r="B407">
        <f>Rangliste!F407</f>
        <v>0</v>
      </c>
      <c r="C407">
        <f>Rangliste!A407</f>
        <v>0</v>
      </c>
      <c r="D407">
        <f>Rangliste!T407</f>
        <v>0</v>
      </c>
      <c r="E407" t="str">
        <f>IF(Rangliste!E407="M","HE","DE")</f>
        <v>DE</v>
      </c>
      <c r="F407" t="str">
        <f>IF(Rangliste!E407="M","HD","DD")</f>
        <v>DD</v>
      </c>
      <c r="G407" t="s">
        <v>649</v>
      </c>
    </row>
    <row r="408" spans="1:7" x14ac:dyDescent="0.3">
      <c r="A408">
        <f>Rangliste!B408</f>
        <v>0</v>
      </c>
      <c r="B408">
        <f>Rangliste!F408</f>
        <v>0</v>
      </c>
      <c r="C408">
        <f>Rangliste!A408</f>
        <v>0</v>
      </c>
      <c r="D408">
        <f>Rangliste!T408</f>
        <v>0</v>
      </c>
      <c r="E408" t="str">
        <f>IF(Rangliste!E408="M","HE","DE")</f>
        <v>DE</v>
      </c>
      <c r="F408" t="str">
        <f>IF(Rangliste!E408="M","HD","DD")</f>
        <v>DD</v>
      </c>
      <c r="G408" t="s">
        <v>649</v>
      </c>
    </row>
    <row r="409" spans="1:7" x14ac:dyDescent="0.3">
      <c r="A409">
        <f>Rangliste!B409</f>
        <v>0</v>
      </c>
      <c r="B409">
        <f>Rangliste!F409</f>
        <v>0</v>
      </c>
      <c r="C409">
        <f>Rangliste!A409</f>
        <v>0</v>
      </c>
      <c r="D409">
        <f>Rangliste!T409</f>
        <v>0</v>
      </c>
      <c r="E409" t="str">
        <f>IF(Rangliste!E409="M","HE","DE")</f>
        <v>DE</v>
      </c>
      <c r="F409" t="str">
        <f>IF(Rangliste!E409="M","HD","DD")</f>
        <v>DD</v>
      </c>
      <c r="G409" t="s">
        <v>649</v>
      </c>
    </row>
    <row r="410" spans="1:7" x14ac:dyDescent="0.3">
      <c r="A410">
        <f>Rangliste!B410</f>
        <v>0</v>
      </c>
      <c r="B410">
        <f>Rangliste!F410</f>
        <v>0</v>
      </c>
      <c r="C410">
        <f>Rangliste!A410</f>
        <v>0</v>
      </c>
      <c r="D410">
        <f>Rangliste!T410</f>
        <v>0</v>
      </c>
      <c r="E410" t="str">
        <f>IF(Rangliste!E410="M","HE","DE")</f>
        <v>DE</v>
      </c>
      <c r="F410" t="str">
        <f>IF(Rangliste!E410="M","HD","DD")</f>
        <v>DD</v>
      </c>
      <c r="G410" t="s">
        <v>649</v>
      </c>
    </row>
    <row r="411" spans="1:7" x14ac:dyDescent="0.3">
      <c r="A411">
        <f>Rangliste!B411</f>
        <v>0</v>
      </c>
      <c r="B411">
        <f>Rangliste!F411</f>
        <v>0</v>
      </c>
      <c r="C411">
        <f>Rangliste!A411</f>
        <v>0</v>
      </c>
      <c r="D411">
        <f>Rangliste!T411</f>
        <v>0</v>
      </c>
      <c r="E411" t="str">
        <f>IF(Rangliste!E411="M","HE","DE")</f>
        <v>DE</v>
      </c>
      <c r="F411" t="str">
        <f>IF(Rangliste!E411="M","HD","DD")</f>
        <v>DD</v>
      </c>
      <c r="G411" t="s">
        <v>649</v>
      </c>
    </row>
    <row r="412" spans="1:7" x14ac:dyDescent="0.3">
      <c r="A412">
        <f>Rangliste!B412</f>
        <v>0</v>
      </c>
      <c r="B412">
        <f>Rangliste!F412</f>
        <v>0</v>
      </c>
      <c r="C412">
        <f>Rangliste!A412</f>
        <v>0</v>
      </c>
      <c r="D412">
        <f>Rangliste!T412</f>
        <v>0</v>
      </c>
      <c r="E412" t="str">
        <f>IF(Rangliste!E412="M","HE","DE")</f>
        <v>DE</v>
      </c>
      <c r="F412" t="str">
        <f>IF(Rangliste!E412="M","HD","DD")</f>
        <v>DD</v>
      </c>
      <c r="G412" t="s">
        <v>649</v>
      </c>
    </row>
    <row r="413" spans="1:7" x14ac:dyDescent="0.3">
      <c r="A413">
        <f>Rangliste!B413</f>
        <v>0</v>
      </c>
      <c r="B413">
        <f>Rangliste!F413</f>
        <v>0</v>
      </c>
      <c r="C413">
        <f>Rangliste!A413</f>
        <v>0</v>
      </c>
      <c r="D413">
        <f>Rangliste!T413</f>
        <v>0</v>
      </c>
      <c r="E413" t="str">
        <f>IF(Rangliste!E413="M","HE","DE")</f>
        <v>DE</v>
      </c>
      <c r="F413" t="str">
        <f>IF(Rangliste!E413="M","HD","DD")</f>
        <v>DD</v>
      </c>
      <c r="G413" t="s">
        <v>649</v>
      </c>
    </row>
    <row r="414" spans="1:7" x14ac:dyDescent="0.3">
      <c r="A414">
        <f>Rangliste!B414</f>
        <v>0</v>
      </c>
      <c r="B414">
        <f>Rangliste!F414</f>
        <v>0</v>
      </c>
      <c r="C414">
        <f>Rangliste!A414</f>
        <v>0</v>
      </c>
      <c r="D414">
        <f>Rangliste!T414</f>
        <v>0</v>
      </c>
      <c r="E414" t="str">
        <f>IF(Rangliste!E414="M","HE","DE")</f>
        <v>DE</v>
      </c>
      <c r="F414" t="str">
        <f>IF(Rangliste!E414="M","HD","DD")</f>
        <v>DD</v>
      </c>
      <c r="G414" t="s">
        <v>649</v>
      </c>
    </row>
    <row r="415" spans="1:7" x14ac:dyDescent="0.3">
      <c r="A415">
        <f>Rangliste!B415</f>
        <v>0</v>
      </c>
      <c r="B415">
        <f>Rangliste!F415</f>
        <v>0</v>
      </c>
      <c r="C415">
        <f>Rangliste!A415</f>
        <v>0</v>
      </c>
      <c r="D415">
        <f>Rangliste!T415</f>
        <v>0</v>
      </c>
      <c r="E415" t="str">
        <f>IF(Rangliste!E415="M","HE","DE")</f>
        <v>DE</v>
      </c>
      <c r="F415" t="str">
        <f>IF(Rangliste!E415="M","HD","DD")</f>
        <v>DD</v>
      </c>
      <c r="G415" t="s">
        <v>649</v>
      </c>
    </row>
    <row r="416" spans="1:7" x14ac:dyDescent="0.3">
      <c r="A416">
        <f>Rangliste!B416</f>
        <v>0</v>
      </c>
      <c r="B416">
        <f>Rangliste!F416</f>
        <v>0</v>
      </c>
      <c r="C416">
        <f>Rangliste!A416</f>
        <v>0</v>
      </c>
      <c r="D416">
        <f>Rangliste!T416</f>
        <v>0</v>
      </c>
      <c r="E416" t="str">
        <f>IF(Rangliste!E416="M","HE","DE")</f>
        <v>DE</v>
      </c>
      <c r="F416" t="str">
        <f>IF(Rangliste!E416="M","HD","DD")</f>
        <v>DD</v>
      </c>
      <c r="G416" t="s">
        <v>649</v>
      </c>
    </row>
    <row r="417" spans="1:7" x14ac:dyDescent="0.3">
      <c r="A417">
        <f>Rangliste!B417</f>
        <v>0</v>
      </c>
      <c r="B417">
        <f>Rangliste!F417</f>
        <v>0</v>
      </c>
      <c r="C417">
        <f>Rangliste!A417</f>
        <v>0</v>
      </c>
      <c r="D417">
        <f>Rangliste!T417</f>
        <v>0</v>
      </c>
      <c r="E417" t="str">
        <f>IF(Rangliste!E417="M","HE","DE")</f>
        <v>DE</v>
      </c>
      <c r="F417" t="str">
        <f>IF(Rangliste!E417="M","HD","DD")</f>
        <v>DD</v>
      </c>
      <c r="G417" t="s">
        <v>649</v>
      </c>
    </row>
    <row r="418" spans="1:7" x14ac:dyDescent="0.3">
      <c r="A418">
        <f>Rangliste!B418</f>
        <v>0</v>
      </c>
      <c r="B418">
        <f>Rangliste!F418</f>
        <v>0</v>
      </c>
      <c r="C418">
        <f>Rangliste!A418</f>
        <v>0</v>
      </c>
      <c r="D418">
        <f>Rangliste!T418</f>
        <v>0</v>
      </c>
      <c r="E418" t="str">
        <f>IF(Rangliste!E418="M","HE","DE")</f>
        <v>DE</v>
      </c>
      <c r="F418" t="str">
        <f>IF(Rangliste!E418="M","HD","DD")</f>
        <v>DD</v>
      </c>
      <c r="G418" t="s">
        <v>649</v>
      </c>
    </row>
    <row r="419" spans="1:7" x14ac:dyDescent="0.3">
      <c r="A419">
        <f>Rangliste!B419</f>
        <v>0</v>
      </c>
      <c r="B419">
        <f>Rangliste!F419</f>
        <v>0</v>
      </c>
      <c r="C419">
        <f>Rangliste!A419</f>
        <v>0</v>
      </c>
      <c r="D419">
        <f>Rangliste!T419</f>
        <v>0</v>
      </c>
      <c r="E419" t="str">
        <f>IF(Rangliste!E419="M","HE","DE")</f>
        <v>DE</v>
      </c>
      <c r="F419" t="str">
        <f>IF(Rangliste!E419="M","HD","DD")</f>
        <v>DD</v>
      </c>
      <c r="G419" t="s">
        <v>649</v>
      </c>
    </row>
    <row r="420" spans="1:7" x14ac:dyDescent="0.3">
      <c r="A420">
        <f>Rangliste!B420</f>
        <v>0</v>
      </c>
      <c r="B420">
        <f>Rangliste!F420</f>
        <v>0</v>
      </c>
      <c r="C420">
        <f>Rangliste!A420</f>
        <v>0</v>
      </c>
      <c r="D420">
        <f>Rangliste!T420</f>
        <v>0</v>
      </c>
      <c r="E420" t="str">
        <f>IF(Rangliste!E420="M","HE","DE")</f>
        <v>DE</v>
      </c>
      <c r="F420" t="str">
        <f>IF(Rangliste!E420="M","HD","DD")</f>
        <v>DD</v>
      </c>
      <c r="G420" t="s">
        <v>649</v>
      </c>
    </row>
    <row r="421" spans="1:7" x14ac:dyDescent="0.3">
      <c r="A421">
        <f>Rangliste!B421</f>
        <v>0</v>
      </c>
      <c r="B421">
        <f>Rangliste!F421</f>
        <v>0</v>
      </c>
      <c r="C421">
        <f>Rangliste!A421</f>
        <v>0</v>
      </c>
      <c r="D421">
        <f>Rangliste!T421</f>
        <v>0</v>
      </c>
      <c r="E421" t="str">
        <f>IF(Rangliste!E421="M","HE","DE")</f>
        <v>DE</v>
      </c>
      <c r="F421" t="str">
        <f>IF(Rangliste!E421="M","HD","DD")</f>
        <v>DD</v>
      </c>
      <c r="G421" t="s">
        <v>649</v>
      </c>
    </row>
    <row r="422" spans="1:7" x14ac:dyDescent="0.3">
      <c r="A422">
        <f>Rangliste!B422</f>
        <v>0</v>
      </c>
      <c r="B422">
        <f>Rangliste!F422</f>
        <v>0</v>
      </c>
      <c r="C422">
        <f>Rangliste!A422</f>
        <v>0</v>
      </c>
      <c r="D422">
        <f>Rangliste!T422</f>
        <v>0</v>
      </c>
      <c r="E422" t="str">
        <f>IF(Rangliste!E422="M","HE","DE")</f>
        <v>DE</v>
      </c>
      <c r="F422" t="str">
        <f>IF(Rangliste!E422="M","HD","DD")</f>
        <v>DD</v>
      </c>
      <c r="G422" t="s">
        <v>649</v>
      </c>
    </row>
    <row r="423" spans="1:7" x14ac:dyDescent="0.3">
      <c r="A423">
        <f>Rangliste!B423</f>
        <v>0</v>
      </c>
      <c r="B423">
        <f>Rangliste!F423</f>
        <v>0</v>
      </c>
      <c r="C423">
        <f>Rangliste!A423</f>
        <v>0</v>
      </c>
      <c r="D423">
        <f>Rangliste!T423</f>
        <v>0</v>
      </c>
      <c r="E423" t="str">
        <f>IF(Rangliste!E423="M","HE","DE")</f>
        <v>DE</v>
      </c>
      <c r="F423" t="str">
        <f>IF(Rangliste!E423="M","HD","DD")</f>
        <v>DD</v>
      </c>
      <c r="G423" t="s">
        <v>649</v>
      </c>
    </row>
    <row r="424" spans="1:7" x14ac:dyDescent="0.3">
      <c r="A424">
        <f>Rangliste!B424</f>
        <v>0</v>
      </c>
      <c r="B424">
        <f>Rangliste!F424</f>
        <v>0</v>
      </c>
      <c r="C424">
        <f>Rangliste!A424</f>
        <v>0</v>
      </c>
      <c r="D424">
        <f>Rangliste!T424</f>
        <v>0</v>
      </c>
      <c r="E424" t="str">
        <f>IF(Rangliste!E424="M","HE","DE")</f>
        <v>DE</v>
      </c>
      <c r="F424" t="str">
        <f>IF(Rangliste!E424="M","HD","DD")</f>
        <v>DD</v>
      </c>
      <c r="G424" t="s">
        <v>649</v>
      </c>
    </row>
    <row r="425" spans="1:7" x14ac:dyDescent="0.3">
      <c r="A425">
        <f>Rangliste!B425</f>
        <v>0</v>
      </c>
      <c r="B425">
        <f>Rangliste!F425</f>
        <v>0</v>
      </c>
      <c r="C425">
        <f>Rangliste!A425</f>
        <v>0</v>
      </c>
      <c r="D425">
        <f>Rangliste!T425</f>
        <v>0</v>
      </c>
      <c r="E425" t="str">
        <f>IF(Rangliste!E425="M","HE","DE")</f>
        <v>DE</v>
      </c>
      <c r="F425" t="str">
        <f>IF(Rangliste!E425="M","HD","DD")</f>
        <v>DD</v>
      </c>
      <c r="G425" t="s">
        <v>649</v>
      </c>
    </row>
    <row r="426" spans="1:7" x14ac:dyDescent="0.3">
      <c r="A426">
        <f>Rangliste!B426</f>
        <v>0</v>
      </c>
      <c r="B426">
        <f>Rangliste!F426</f>
        <v>0</v>
      </c>
      <c r="C426">
        <f>Rangliste!A426</f>
        <v>0</v>
      </c>
      <c r="D426">
        <f>Rangliste!T426</f>
        <v>0</v>
      </c>
      <c r="E426" t="str">
        <f>IF(Rangliste!E426="M","HE","DE")</f>
        <v>DE</v>
      </c>
      <c r="F426" t="str">
        <f>IF(Rangliste!E426="M","HD","DD")</f>
        <v>DD</v>
      </c>
      <c r="G426" t="s">
        <v>649</v>
      </c>
    </row>
    <row r="427" spans="1:7" x14ac:dyDescent="0.3">
      <c r="A427">
        <f>Rangliste!B427</f>
        <v>0</v>
      </c>
      <c r="B427">
        <f>Rangliste!F427</f>
        <v>0</v>
      </c>
      <c r="C427">
        <f>Rangliste!A427</f>
        <v>0</v>
      </c>
      <c r="D427">
        <f>Rangliste!T427</f>
        <v>0</v>
      </c>
      <c r="E427" t="str">
        <f>IF(Rangliste!E427="M","HE","DE")</f>
        <v>DE</v>
      </c>
      <c r="F427" t="str">
        <f>IF(Rangliste!E427="M","HD","DD")</f>
        <v>DD</v>
      </c>
      <c r="G427" t="s">
        <v>649</v>
      </c>
    </row>
    <row r="428" spans="1:7" x14ac:dyDescent="0.3">
      <c r="A428">
        <f>Rangliste!B428</f>
        <v>0</v>
      </c>
      <c r="B428">
        <f>Rangliste!F428</f>
        <v>0</v>
      </c>
      <c r="C428">
        <f>Rangliste!A428</f>
        <v>0</v>
      </c>
      <c r="D428">
        <f>Rangliste!T428</f>
        <v>0</v>
      </c>
      <c r="E428" t="str">
        <f>IF(Rangliste!E428="M","HE","DE")</f>
        <v>DE</v>
      </c>
      <c r="F428" t="str">
        <f>IF(Rangliste!E428="M","HD","DD")</f>
        <v>DD</v>
      </c>
      <c r="G428" t="s">
        <v>649</v>
      </c>
    </row>
    <row r="429" spans="1:7" x14ac:dyDescent="0.3">
      <c r="A429">
        <f>Rangliste!B429</f>
        <v>0</v>
      </c>
      <c r="B429">
        <f>Rangliste!F429</f>
        <v>0</v>
      </c>
      <c r="C429">
        <f>Rangliste!A429</f>
        <v>0</v>
      </c>
      <c r="D429">
        <f>Rangliste!T429</f>
        <v>0</v>
      </c>
      <c r="E429" t="str">
        <f>IF(Rangliste!E429="M","HE","DE")</f>
        <v>DE</v>
      </c>
      <c r="F429" t="str">
        <f>IF(Rangliste!E429="M","HD","DD")</f>
        <v>DD</v>
      </c>
      <c r="G429" t="s">
        <v>649</v>
      </c>
    </row>
    <row r="430" spans="1:7" x14ac:dyDescent="0.3">
      <c r="A430">
        <f>Rangliste!B430</f>
        <v>0</v>
      </c>
      <c r="B430">
        <f>Rangliste!F430</f>
        <v>0</v>
      </c>
      <c r="C430">
        <f>Rangliste!A430</f>
        <v>0</v>
      </c>
      <c r="D430">
        <f>Rangliste!T430</f>
        <v>0</v>
      </c>
      <c r="E430" t="str">
        <f>IF(Rangliste!E430="M","HE","DE")</f>
        <v>DE</v>
      </c>
      <c r="F430" t="str">
        <f>IF(Rangliste!E430="M","HD","DD")</f>
        <v>DD</v>
      </c>
      <c r="G430" t="s">
        <v>649</v>
      </c>
    </row>
    <row r="431" spans="1:7" x14ac:dyDescent="0.3">
      <c r="A431">
        <f>Rangliste!B431</f>
        <v>0</v>
      </c>
      <c r="B431">
        <f>Rangliste!F431</f>
        <v>0</v>
      </c>
      <c r="C431">
        <f>Rangliste!A431</f>
        <v>0</v>
      </c>
      <c r="D431">
        <f>Rangliste!T431</f>
        <v>0</v>
      </c>
      <c r="E431" t="str">
        <f>IF(Rangliste!E431="M","HE","DE")</f>
        <v>DE</v>
      </c>
      <c r="F431" t="str">
        <f>IF(Rangliste!E431="M","HD","DD")</f>
        <v>DD</v>
      </c>
      <c r="G431" t="s">
        <v>649</v>
      </c>
    </row>
    <row r="432" spans="1:7" x14ac:dyDescent="0.3">
      <c r="A432">
        <f>Rangliste!B432</f>
        <v>0</v>
      </c>
      <c r="B432">
        <f>Rangliste!F432</f>
        <v>0</v>
      </c>
      <c r="C432">
        <f>Rangliste!A432</f>
        <v>0</v>
      </c>
      <c r="D432">
        <f>Rangliste!T432</f>
        <v>0</v>
      </c>
      <c r="E432" t="str">
        <f>IF(Rangliste!E432="M","HE","DE")</f>
        <v>DE</v>
      </c>
      <c r="F432" t="str">
        <f>IF(Rangliste!E432="M","HD","DD")</f>
        <v>DD</v>
      </c>
      <c r="G432" t="s">
        <v>649</v>
      </c>
    </row>
    <row r="433" spans="1:7" x14ac:dyDescent="0.3">
      <c r="A433">
        <f>Rangliste!B433</f>
        <v>0</v>
      </c>
      <c r="B433">
        <f>Rangliste!F433</f>
        <v>0</v>
      </c>
      <c r="C433">
        <f>Rangliste!A433</f>
        <v>0</v>
      </c>
      <c r="D433">
        <f>Rangliste!T433</f>
        <v>0</v>
      </c>
      <c r="E433" t="str">
        <f>IF(Rangliste!E433="M","HE","DE")</f>
        <v>DE</v>
      </c>
      <c r="F433" t="str">
        <f>IF(Rangliste!E433="M","HD","DD")</f>
        <v>DD</v>
      </c>
      <c r="G433" t="s">
        <v>649</v>
      </c>
    </row>
    <row r="434" spans="1:7" x14ac:dyDescent="0.3">
      <c r="A434">
        <f>Rangliste!B434</f>
        <v>0</v>
      </c>
      <c r="B434">
        <f>Rangliste!F434</f>
        <v>0</v>
      </c>
      <c r="C434">
        <f>Rangliste!A434</f>
        <v>0</v>
      </c>
      <c r="D434">
        <f>Rangliste!T434</f>
        <v>0</v>
      </c>
      <c r="E434" t="str">
        <f>IF(Rangliste!E434="M","HE","DE")</f>
        <v>DE</v>
      </c>
      <c r="F434" t="str">
        <f>IF(Rangliste!E434="M","HD","DD")</f>
        <v>DD</v>
      </c>
      <c r="G434" t="s">
        <v>649</v>
      </c>
    </row>
    <row r="435" spans="1:7" x14ac:dyDescent="0.3">
      <c r="A435">
        <f>Rangliste!B435</f>
        <v>0</v>
      </c>
      <c r="B435">
        <f>Rangliste!F435</f>
        <v>0</v>
      </c>
      <c r="C435">
        <f>Rangliste!A435</f>
        <v>0</v>
      </c>
      <c r="D435">
        <f>Rangliste!T435</f>
        <v>0</v>
      </c>
      <c r="E435" t="str">
        <f>IF(Rangliste!E435="M","HE","DE")</f>
        <v>DE</v>
      </c>
      <c r="F435" t="str">
        <f>IF(Rangliste!E435="M","HD","DD")</f>
        <v>DD</v>
      </c>
      <c r="G435" t="s">
        <v>649</v>
      </c>
    </row>
    <row r="436" spans="1:7" x14ac:dyDescent="0.3">
      <c r="A436">
        <f>Rangliste!B436</f>
        <v>0</v>
      </c>
      <c r="B436">
        <f>Rangliste!F436</f>
        <v>0</v>
      </c>
      <c r="C436">
        <f>Rangliste!A436</f>
        <v>0</v>
      </c>
      <c r="D436">
        <f>Rangliste!T436</f>
        <v>0</v>
      </c>
      <c r="E436" t="str">
        <f>IF(Rangliste!E436="M","HE","DE")</f>
        <v>DE</v>
      </c>
      <c r="F436" t="str">
        <f>IF(Rangliste!E436="M","HD","DD")</f>
        <v>DD</v>
      </c>
      <c r="G436" t="s">
        <v>649</v>
      </c>
    </row>
    <row r="437" spans="1:7" x14ac:dyDescent="0.3">
      <c r="A437">
        <f>Rangliste!B437</f>
        <v>0</v>
      </c>
      <c r="B437">
        <f>Rangliste!F437</f>
        <v>0</v>
      </c>
      <c r="C437">
        <f>Rangliste!A437</f>
        <v>0</v>
      </c>
      <c r="D437">
        <f>Rangliste!T437</f>
        <v>0</v>
      </c>
      <c r="E437" t="str">
        <f>IF(Rangliste!E437="M","HE","DE")</f>
        <v>DE</v>
      </c>
      <c r="F437" t="str">
        <f>IF(Rangliste!E437="M","HD","DD")</f>
        <v>DD</v>
      </c>
      <c r="G437" t="s">
        <v>649</v>
      </c>
    </row>
    <row r="438" spans="1:7" x14ac:dyDescent="0.3">
      <c r="A438">
        <f>Rangliste!B438</f>
        <v>0</v>
      </c>
      <c r="B438">
        <f>Rangliste!F438</f>
        <v>0</v>
      </c>
      <c r="C438">
        <f>Rangliste!A438</f>
        <v>0</v>
      </c>
      <c r="D438">
        <f>Rangliste!T438</f>
        <v>0</v>
      </c>
      <c r="E438" t="str">
        <f>IF(Rangliste!E438="M","HE","DE")</f>
        <v>DE</v>
      </c>
      <c r="F438" t="str">
        <f>IF(Rangliste!E438="M","HD","DD")</f>
        <v>DD</v>
      </c>
      <c r="G438" t="s">
        <v>649</v>
      </c>
    </row>
    <row r="439" spans="1:7" x14ac:dyDescent="0.3">
      <c r="A439">
        <f>Rangliste!B439</f>
        <v>0</v>
      </c>
      <c r="B439">
        <f>Rangliste!F439</f>
        <v>0</v>
      </c>
      <c r="C439">
        <f>Rangliste!A439</f>
        <v>0</v>
      </c>
      <c r="D439">
        <f>Rangliste!T439</f>
        <v>0</v>
      </c>
      <c r="E439" t="str">
        <f>IF(Rangliste!E439="M","HE","DE")</f>
        <v>DE</v>
      </c>
      <c r="F439" t="str">
        <f>IF(Rangliste!E439="M","HD","DD")</f>
        <v>DD</v>
      </c>
      <c r="G439" t="s">
        <v>649</v>
      </c>
    </row>
    <row r="440" spans="1:7" x14ac:dyDescent="0.3">
      <c r="A440">
        <f>Rangliste!B440</f>
        <v>0</v>
      </c>
      <c r="B440">
        <f>Rangliste!F440</f>
        <v>0</v>
      </c>
      <c r="C440">
        <f>Rangliste!A440</f>
        <v>0</v>
      </c>
      <c r="D440">
        <f>Rangliste!T440</f>
        <v>0</v>
      </c>
      <c r="E440" t="str">
        <f>IF(Rangliste!E440="M","HE","DE")</f>
        <v>DE</v>
      </c>
      <c r="F440" t="str">
        <f>IF(Rangliste!E440="M","HD","DD")</f>
        <v>DD</v>
      </c>
      <c r="G440" t="s">
        <v>649</v>
      </c>
    </row>
    <row r="441" spans="1:7" x14ac:dyDescent="0.3">
      <c r="A441">
        <f>Rangliste!B441</f>
        <v>0</v>
      </c>
      <c r="B441">
        <f>Rangliste!F441</f>
        <v>0</v>
      </c>
      <c r="C441">
        <f>Rangliste!A441</f>
        <v>0</v>
      </c>
      <c r="D441">
        <f>Rangliste!T441</f>
        <v>0</v>
      </c>
      <c r="E441" t="str">
        <f>IF(Rangliste!E441="M","HE","DE")</f>
        <v>DE</v>
      </c>
      <c r="F441" t="str">
        <f>IF(Rangliste!E441="M","HD","DD")</f>
        <v>DD</v>
      </c>
      <c r="G441" t="s">
        <v>649</v>
      </c>
    </row>
    <row r="442" spans="1:7" x14ac:dyDescent="0.3">
      <c r="A442">
        <f>Rangliste!B442</f>
        <v>0</v>
      </c>
      <c r="B442">
        <f>Rangliste!F442</f>
        <v>0</v>
      </c>
      <c r="C442">
        <f>Rangliste!A442</f>
        <v>0</v>
      </c>
      <c r="D442">
        <f>Rangliste!T442</f>
        <v>0</v>
      </c>
      <c r="E442" t="str">
        <f>IF(Rangliste!E442="M","HE","DE")</f>
        <v>DE</v>
      </c>
      <c r="F442" t="str">
        <f>IF(Rangliste!E442="M","HD","DD")</f>
        <v>DD</v>
      </c>
      <c r="G442" t="s">
        <v>649</v>
      </c>
    </row>
    <row r="443" spans="1:7" x14ac:dyDescent="0.3">
      <c r="A443">
        <f>Rangliste!B443</f>
        <v>0</v>
      </c>
      <c r="B443">
        <f>Rangliste!F443</f>
        <v>0</v>
      </c>
      <c r="C443">
        <f>Rangliste!A443</f>
        <v>0</v>
      </c>
      <c r="D443">
        <f>Rangliste!T443</f>
        <v>0</v>
      </c>
      <c r="E443" t="str">
        <f>IF(Rangliste!E443="M","HE","DE")</f>
        <v>DE</v>
      </c>
      <c r="F443" t="str">
        <f>IF(Rangliste!E443="M","HD","DD")</f>
        <v>DD</v>
      </c>
      <c r="G443" t="s">
        <v>649</v>
      </c>
    </row>
    <row r="444" spans="1:7" x14ac:dyDescent="0.3">
      <c r="A444">
        <f>Rangliste!B444</f>
        <v>0</v>
      </c>
      <c r="B444">
        <f>Rangliste!F444</f>
        <v>0</v>
      </c>
      <c r="C444">
        <f>Rangliste!A444</f>
        <v>0</v>
      </c>
      <c r="D444">
        <f>Rangliste!T444</f>
        <v>0</v>
      </c>
      <c r="E444" t="str">
        <f>IF(Rangliste!E444="M","HE","DE")</f>
        <v>DE</v>
      </c>
      <c r="F444" t="str">
        <f>IF(Rangliste!E444="M","HD","DD")</f>
        <v>DD</v>
      </c>
      <c r="G444" t="s">
        <v>649</v>
      </c>
    </row>
    <row r="445" spans="1:7" x14ac:dyDescent="0.3">
      <c r="A445">
        <f>Rangliste!B445</f>
        <v>0</v>
      </c>
      <c r="B445">
        <f>Rangliste!F445</f>
        <v>0</v>
      </c>
      <c r="C445">
        <f>Rangliste!A445</f>
        <v>0</v>
      </c>
      <c r="D445">
        <f>Rangliste!T445</f>
        <v>0</v>
      </c>
      <c r="E445" t="str">
        <f>IF(Rangliste!E445="M","HE","DE")</f>
        <v>DE</v>
      </c>
      <c r="F445" t="str">
        <f>IF(Rangliste!E445="M","HD","DD")</f>
        <v>DD</v>
      </c>
      <c r="G445" t="s">
        <v>649</v>
      </c>
    </row>
    <row r="446" spans="1:7" x14ac:dyDescent="0.3">
      <c r="A446">
        <f>Rangliste!B446</f>
        <v>0</v>
      </c>
      <c r="B446">
        <f>Rangliste!F446</f>
        <v>0</v>
      </c>
      <c r="C446">
        <f>Rangliste!A446</f>
        <v>0</v>
      </c>
      <c r="D446">
        <f>Rangliste!T446</f>
        <v>0</v>
      </c>
      <c r="E446" t="str">
        <f>IF(Rangliste!E446="M","HE","DE")</f>
        <v>DE</v>
      </c>
      <c r="F446" t="str">
        <f>IF(Rangliste!E446="M","HD","DD")</f>
        <v>DD</v>
      </c>
      <c r="G446" t="s">
        <v>649</v>
      </c>
    </row>
    <row r="447" spans="1:7" x14ac:dyDescent="0.3">
      <c r="A447">
        <f>Rangliste!B447</f>
        <v>0</v>
      </c>
      <c r="B447">
        <f>Rangliste!F447</f>
        <v>0</v>
      </c>
      <c r="C447">
        <f>Rangliste!A447</f>
        <v>0</v>
      </c>
      <c r="D447">
        <f>Rangliste!T447</f>
        <v>0</v>
      </c>
      <c r="E447" t="str">
        <f>IF(Rangliste!E447="M","HE","DE")</f>
        <v>DE</v>
      </c>
      <c r="F447" t="str">
        <f>IF(Rangliste!E447="M","HD","DD")</f>
        <v>DD</v>
      </c>
      <c r="G447" t="s">
        <v>649</v>
      </c>
    </row>
    <row r="448" spans="1:7" x14ac:dyDescent="0.3">
      <c r="A448">
        <f>Rangliste!B448</f>
        <v>0</v>
      </c>
      <c r="B448">
        <f>Rangliste!F448</f>
        <v>0</v>
      </c>
      <c r="C448">
        <f>Rangliste!A448</f>
        <v>0</v>
      </c>
      <c r="D448">
        <f>Rangliste!T448</f>
        <v>0</v>
      </c>
      <c r="E448" t="str">
        <f>IF(Rangliste!E448="M","HE","DE")</f>
        <v>DE</v>
      </c>
      <c r="F448" t="str">
        <f>IF(Rangliste!E448="M","HD","DD")</f>
        <v>DD</v>
      </c>
      <c r="G448" t="s">
        <v>649</v>
      </c>
    </row>
    <row r="449" spans="1:7" x14ac:dyDescent="0.3">
      <c r="A449">
        <f>Rangliste!B449</f>
        <v>0</v>
      </c>
      <c r="B449">
        <f>Rangliste!F449</f>
        <v>0</v>
      </c>
      <c r="C449">
        <f>Rangliste!A449</f>
        <v>0</v>
      </c>
      <c r="D449">
        <f>Rangliste!T449</f>
        <v>0</v>
      </c>
      <c r="E449" t="str">
        <f>IF(Rangliste!E449="M","HE","DE")</f>
        <v>DE</v>
      </c>
      <c r="F449" t="str">
        <f>IF(Rangliste!E449="M","HD","DD")</f>
        <v>DD</v>
      </c>
      <c r="G449" t="s">
        <v>649</v>
      </c>
    </row>
    <row r="450" spans="1:7" x14ac:dyDescent="0.3">
      <c r="A450">
        <f>Rangliste!B450</f>
        <v>0</v>
      </c>
      <c r="B450">
        <f>Rangliste!F450</f>
        <v>0</v>
      </c>
      <c r="C450">
        <f>Rangliste!A450</f>
        <v>0</v>
      </c>
      <c r="D450">
        <f>Rangliste!T450</f>
        <v>0</v>
      </c>
      <c r="E450" t="str">
        <f>IF(Rangliste!E450="M","HE","DE")</f>
        <v>DE</v>
      </c>
      <c r="F450" t="str">
        <f>IF(Rangliste!E450="M","HD","DD")</f>
        <v>DD</v>
      </c>
      <c r="G450" t="s">
        <v>649</v>
      </c>
    </row>
    <row r="451" spans="1:7" x14ac:dyDescent="0.3">
      <c r="A451">
        <f>Rangliste!B451</f>
        <v>0</v>
      </c>
      <c r="B451">
        <f>Rangliste!F451</f>
        <v>0</v>
      </c>
      <c r="C451">
        <f>Rangliste!A451</f>
        <v>0</v>
      </c>
      <c r="D451">
        <f>Rangliste!T451</f>
        <v>0</v>
      </c>
      <c r="E451" t="str">
        <f>IF(Rangliste!E451="M","HE","DE")</f>
        <v>DE</v>
      </c>
      <c r="F451" t="str">
        <f>IF(Rangliste!E451="M","HD","DD")</f>
        <v>DD</v>
      </c>
      <c r="G451" t="s">
        <v>649</v>
      </c>
    </row>
    <row r="452" spans="1:7" x14ac:dyDescent="0.3">
      <c r="A452">
        <f>Rangliste!B452</f>
        <v>0</v>
      </c>
      <c r="B452">
        <f>Rangliste!F452</f>
        <v>0</v>
      </c>
      <c r="C452">
        <f>Rangliste!A452</f>
        <v>0</v>
      </c>
      <c r="D452">
        <f>Rangliste!T452</f>
        <v>0</v>
      </c>
      <c r="E452" t="str">
        <f>IF(Rangliste!E452="M","HE","DE")</f>
        <v>DE</v>
      </c>
      <c r="F452" t="str">
        <f>IF(Rangliste!E452="M","HD","DD")</f>
        <v>DD</v>
      </c>
      <c r="G452" t="s">
        <v>649</v>
      </c>
    </row>
    <row r="453" spans="1:7" x14ac:dyDescent="0.3">
      <c r="A453">
        <f>Rangliste!B453</f>
        <v>0</v>
      </c>
      <c r="B453">
        <f>Rangliste!F453</f>
        <v>0</v>
      </c>
      <c r="C453">
        <f>Rangliste!A453</f>
        <v>0</v>
      </c>
      <c r="D453">
        <f>Rangliste!T453</f>
        <v>0</v>
      </c>
      <c r="E453" t="str">
        <f>IF(Rangliste!E453="M","HE","DE")</f>
        <v>DE</v>
      </c>
      <c r="F453" t="str">
        <f>IF(Rangliste!E453="M","HD","DD")</f>
        <v>DD</v>
      </c>
      <c r="G453" t="s">
        <v>649</v>
      </c>
    </row>
    <row r="454" spans="1:7" x14ac:dyDescent="0.3">
      <c r="A454">
        <f>Rangliste!B454</f>
        <v>0</v>
      </c>
      <c r="B454">
        <f>Rangliste!F454</f>
        <v>0</v>
      </c>
      <c r="C454">
        <f>Rangliste!A454</f>
        <v>0</v>
      </c>
      <c r="D454">
        <f>Rangliste!T454</f>
        <v>0</v>
      </c>
      <c r="E454" t="str">
        <f>IF(Rangliste!E454="M","HE","DE")</f>
        <v>DE</v>
      </c>
      <c r="F454" t="str">
        <f>IF(Rangliste!E454="M","HD","DD")</f>
        <v>DD</v>
      </c>
      <c r="G454" t="s">
        <v>649</v>
      </c>
    </row>
    <row r="455" spans="1:7" x14ac:dyDescent="0.3">
      <c r="A455">
        <f>Rangliste!B455</f>
        <v>0</v>
      </c>
      <c r="B455">
        <f>Rangliste!F455</f>
        <v>0</v>
      </c>
      <c r="C455">
        <f>Rangliste!A455</f>
        <v>0</v>
      </c>
      <c r="D455">
        <f>Rangliste!T455</f>
        <v>0</v>
      </c>
      <c r="E455" t="str">
        <f>IF(Rangliste!E455="M","HE","DE")</f>
        <v>DE</v>
      </c>
      <c r="F455" t="str">
        <f>IF(Rangliste!E455="M","HD","DD")</f>
        <v>DD</v>
      </c>
      <c r="G455" t="s">
        <v>649</v>
      </c>
    </row>
    <row r="456" spans="1:7" x14ac:dyDescent="0.3">
      <c r="A456">
        <f>Rangliste!B456</f>
        <v>0</v>
      </c>
      <c r="B456">
        <f>Rangliste!F456</f>
        <v>0</v>
      </c>
      <c r="C456">
        <f>Rangliste!A456</f>
        <v>0</v>
      </c>
      <c r="D456">
        <f>Rangliste!T456</f>
        <v>0</v>
      </c>
      <c r="E456" t="str">
        <f>IF(Rangliste!E456="M","HE","DE")</f>
        <v>DE</v>
      </c>
      <c r="F456" t="str">
        <f>IF(Rangliste!E456="M","HD","DD")</f>
        <v>DD</v>
      </c>
      <c r="G456" t="s">
        <v>649</v>
      </c>
    </row>
    <row r="457" spans="1:7" x14ac:dyDescent="0.3">
      <c r="A457">
        <f>Rangliste!B457</f>
        <v>0</v>
      </c>
      <c r="B457">
        <f>Rangliste!F457</f>
        <v>0</v>
      </c>
      <c r="C457">
        <f>Rangliste!A457</f>
        <v>0</v>
      </c>
      <c r="D457">
        <f>Rangliste!T457</f>
        <v>0</v>
      </c>
      <c r="E457" t="str">
        <f>IF(Rangliste!E457="M","HE","DE")</f>
        <v>DE</v>
      </c>
      <c r="F457" t="str">
        <f>IF(Rangliste!E457="M","HD","DD")</f>
        <v>DD</v>
      </c>
      <c r="G457" t="s">
        <v>649</v>
      </c>
    </row>
    <row r="458" spans="1:7" x14ac:dyDescent="0.3">
      <c r="A458">
        <f>Rangliste!B458</f>
        <v>0</v>
      </c>
      <c r="B458">
        <f>Rangliste!F458</f>
        <v>0</v>
      </c>
      <c r="C458">
        <f>Rangliste!A458</f>
        <v>0</v>
      </c>
      <c r="D458">
        <f>Rangliste!T458</f>
        <v>0</v>
      </c>
      <c r="E458" t="str">
        <f>IF(Rangliste!E458="M","HE","DE")</f>
        <v>DE</v>
      </c>
      <c r="F458" t="str">
        <f>IF(Rangliste!E458="M","HD","DD")</f>
        <v>DD</v>
      </c>
      <c r="G458" t="s">
        <v>649</v>
      </c>
    </row>
    <row r="459" spans="1:7" x14ac:dyDescent="0.3">
      <c r="A459">
        <f>Rangliste!B459</f>
        <v>0</v>
      </c>
      <c r="B459">
        <f>Rangliste!F459</f>
        <v>0</v>
      </c>
      <c r="C459">
        <f>Rangliste!A459</f>
        <v>0</v>
      </c>
      <c r="D459">
        <f>Rangliste!T459</f>
        <v>0</v>
      </c>
      <c r="E459" t="str">
        <f>IF(Rangliste!E459="M","HE","DE")</f>
        <v>DE</v>
      </c>
      <c r="F459" t="str">
        <f>IF(Rangliste!E459="M","HD","DD")</f>
        <v>DD</v>
      </c>
      <c r="G459" t="s">
        <v>649</v>
      </c>
    </row>
    <row r="460" spans="1:7" x14ac:dyDescent="0.3">
      <c r="A460">
        <f>Rangliste!B460</f>
        <v>0</v>
      </c>
      <c r="B460">
        <f>Rangliste!F460</f>
        <v>0</v>
      </c>
      <c r="C460">
        <f>Rangliste!A460</f>
        <v>0</v>
      </c>
      <c r="D460">
        <f>Rangliste!T460</f>
        <v>0</v>
      </c>
      <c r="E460" t="str">
        <f>IF(Rangliste!E460="M","HE","DE")</f>
        <v>DE</v>
      </c>
      <c r="F460" t="str">
        <f>IF(Rangliste!E460="M","HD","DD")</f>
        <v>DD</v>
      </c>
      <c r="G460" t="s">
        <v>649</v>
      </c>
    </row>
    <row r="461" spans="1:7" x14ac:dyDescent="0.3">
      <c r="A461">
        <f>Rangliste!B461</f>
        <v>0</v>
      </c>
      <c r="B461">
        <f>Rangliste!F461</f>
        <v>0</v>
      </c>
      <c r="C461">
        <f>Rangliste!A461</f>
        <v>0</v>
      </c>
      <c r="D461">
        <f>Rangliste!T461</f>
        <v>0</v>
      </c>
      <c r="E461" t="str">
        <f>IF(Rangliste!E461="M","HE","DE")</f>
        <v>DE</v>
      </c>
      <c r="F461" t="str">
        <f>IF(Rangliste!E461="M","HD","DD")</f>
        <v>DD</v>
      </c>
      <c r="G461" t="s">
        <v>649</v>
      </c>
    </row>
    <row r="462" spans="1:7" x14ac:dyDescent="0.3">
      <c r="A462">
        <f>Rangliste!B462</f>
        <v>0</v>
      </c>
      <c r="B462">
        <f>Rangliste!F462</f>
        <v>0</v>
      </c>
      <c r="C462">
        <f>Rangliste!A462</f>
        <v>0</v>
      </c>
      <c r="D462">
        <f>Rangliste!T462</f>
        <v>0</v>
      </c>
      <c r="E462" t="str">
        <f>IF(Rangliste!E462="M","HE","DE")</f>
        <v>DE</v>
      </c>
      <c r="F462" t="str">
        <f>IF(Rangliste!E462="M","HD","DD")</f>
        <v>DD</v>
      </c>
      <c r="G462" t="s">
        <v>649</v>
      </c>
    </row>
    <row r="463" spans="1:7" x14ac:dyDescent="0.3">
      <c r="A463">
        <f>Rangliste!B463</f>
        <v>0</v>
      </c>
      <c r="B463">
        <f>Rangliste!F463</f>
        <v>0</v>
      </c>
      <c r="C463">
        <f>Rangliste!A463</f>
        <v>0</v>
      </c>
      <c r="D463">
        <f>Rangliste!T463</f>
        <v>0</v>
      </c>
      <c r="E463" t="str">
        <f>IF(Rangliste!E463="M","HE","DE")</f>
        <v>DE</v>
      </c>
      <c r="F463" t="str">
        <f>IF(Rangliste!E463="M","HD","DD")</f>
        <v>DD</v>
      </c>
      <c r="G463" t="s">
        <v>649</v>
      </c>
    </row>
    <row r="464" spans="1:7" x14ac:dyDescent="0.3">
      <c r="A464">
        <f>Rangliste!B464</f>
        <v>0</v>
      </c>
      <c r="B464">
        <f>Rangliste!F464</f>
        <v>0</v>
      </c>
      <c r="C464">
        <f>Rangliste!A464</f>
        <v>0</v>
      </c>
      <c r="D464">
        <f>Rangliste!T464</f>
        <v>0</v>
      </c>
      <c r="E464" t="str">
        <f>IF(Rangliste!E464="M","HE","DE")</f>
        <v>DE</v>
      </c>
      <c r="F464" t="str">
        <f>IF(Rangliste!E464="M","HD","DD")</f>
        <v>DD</v>
      </c>
      <c r="G464" t="s">
        <v>649</v>
      </c>
    </row>
    <row r="465" spans="1:7" x14ac:dyDescent="0.3">
      <c r="A465">
        <f>Rangliste!B465</f>
        <v>0</v>
      </c>
      <c r="B465">
        <f>Rangliste!F465</f>
        <v>0</v>
      </c>
      <c r="C465">
        <f>Rangliste!A465</f>
        <v>0</v>
      </c>
      <c r="D465">
        <f>Rangliste!T465</f>
        <v>0</v>
      </c>
      <c r="E465" t="str">
        <f>IF(Rangliste!E465="M","HE","DE")</f>
        <v>DE</v>
      </c>
      <c r="F465" t="str">
        <f>IF(Rangliste!E465="M","HD","DD")</f>
        <v>DD</v>
      </c>
      <c r="G465" t="s">
        <v>649</v>
      </c>
    </row>
    <row r="466" spans="1:7" x14ac:dyDescent="0.3">
      <c r="A466">
        <f>Rangliste!B466</f>
        <v>0</v>
      </c>
      <c r="B466">
        <f>Rangliste!F466</f>
        <v>0</v>
      </c>
      <c r="C466">
        <f>Rangliste!A466</f>
        <v>0</v>
      </c>
      <c r="D466">
        <f>Rangliste!T466</f>
        <v>0</v>
      </c>
      <c r="E466" t="str">
        <f>IF(Rangliste!E466="M","HE","DE")</f>
        <v>DE</v>
      </c>
      <c r="F466" t="str">
        <f>IF(Rangliste!E466="M","HD","DD")</f>
        <v>DD</v>
      </c>
      <c r="G466" t="s">
        <v>649</v>
      </c>
    </row>
    <row r="467" spans="1:7" x14ac:dyDescent="0.3">
      <c r="A467">
        <f>Rangliste!B467</f>
        <v>0</v>
      </c>
      <c r="B467">
        <f>Rangliste!F467</f>
        <v>0</v>
      </c>
      <c r="C467">
        <f>Rangliste!A467</f>
        <v>0</v>
      </c>
      <c r="D467">
        <f>Rangliste!T467</f>
        <v>0</v>
      </c>
      <c r="E467" t="str">
        <f>IF(Rangliste!E467="M","HE","DE")</f>
        <v>DE</v>
      </c>
      <c r="F467" t="str">
        <f>IF(Rangliste!E467="M","HD","DD")</f>
        <v>DD</v>
      </c>
      <c r="G467" t="s">
        <v>649</v>
      </c>
    </row>
    <row r="468" spans="1:7" x14ac:dyDescent="0.3">
      <c r="A468">
        <f>Rangliste!B468</f>
        <v>0</v>
      </c>
      <c r="B468">
        <f>Rangliste!F468</f>
        <v>0</v>
      </c>
      <c r="C468">
        <f>Rangliste!A468</f>
        <v>0</v>
      </c>
      <c r="D468">
        <f>Rangliste!T468</f>
        <v>0</v>
      </c>
      <c r="E468" t="str">
        <f>IF(Rangliste!E468="M","HE","DE")</f>
        <v>DE</v>
      </c>
      <c r="F468" t="str">
        <f>IF(Rangliste!E468="M","HD","DD")</f>
        <v>DD</v>
      </c>
      <c r="G468" t="s">
        <v>649</v>
      </c>
    </row>
    <row r="469" spans="1:7" x14ac:dyDescent="0.3">
      <c r="A469">
        <f>Rangliste!B469</f>
        <v>0</v>
      </c>
      <c r="B469">
        <f>Rangliste!F469</f>
        <v>0</v>
      </c>
      <c r="C469">
        <f>Rangliste!A469</f>
        <v>0</v>
      </c>
      <c r="D469">
        <f>Rangliste!T469</f>
        <v>0</v>
      </c>
      <c r="E469" t="str">
        <f>IF(Rangliste!E469="M","HE","DE")</f>
        <v>DE</v>
      </c>
      <c r="F469" t="str">
        <f>IF(Rangliste!E469="M","HD","DD")</f>
        <v>DD</v>
      </c>
      <c r="G469" t="s">
        <v>649</v>
      </c>
    </row>
    <row r="470" spans="1:7" x14ac:dyDescent="0.3">
      <c r="A470">
        <f>Rangliste!B470</f>
        <v>0</v>
      </c>
      <c r="B470">
        <f>Rangliste!F470</f>
        <v>0</v>
      </c>
      <c r="C470">
        <f>Rangliste!A470</f>
        <v>0</v>
      </c>
      <c r="D470">
        <f>Rangliste!T470</f>
        <v>0</v>
      </c>
      <c r="E470" t="str">
        <f>IF(Rangliste!E470="M","HE","DE")</f>
        <v>DE</v>
      </c>
      <c r="F470" t="str">
        <f>IF(Rangliste!E470="M","HD","DD")</f>
        <v>DD</v>
      </c>
      <c r="G470" t="s">
        <v>649</v>
      </c>
    </row>
    <row r="471" spans="1:7" x14ac:dyDescent="0.3">
      <c r="A471">
        <f>Rangliste!B471</f>
        <v>0</v>
      </c>
      <c r="B471">
        <f>Rangliste!F471</f>
        <v>0</v>
      </c>
      <c r="C471">
        <f>Rangliste!A471</f>
        <v>0</v>
      </c>
      <c r="D471">
        <f>Rangliste!T471</f>
        <v>0</v>
      </c>
      <c r="E471" t="str">
        <f>IF(Rangliste!E471="M","HE","DE")</f>
        <v>DE</v>
      </c>
      <c r="F471" t="str">
        <f>IF(Rangliste!E471="M","HD","DD")</f>
        <v>DD</v>
      </c>
      <c r="G471" t="s">
        <v>649</v>
      </c>
    </row>
    <row r="472" spans="1:7" x14ac:dyDescent="0.3">
      <c r="A472">
        <f>Rangliste!B472</f>
        <v>0</v>
      </c>
      <c r="B472">
        <f>Rangliste!F472</f>
        <v>0</v>
      </c>
      <c r="C472">
        <f>Rangliste!A472</f>
        <v>0</v>
      </c>
      <c r="D472">
        <f>Rangliste!T472</f>
        <v>0</v>
      </c>
      <c r="E472" t="str">
        <f>IF(Rangliste!E472="M","HE","DE")</f>
        <v>DE</v>
      </c>
      <c r="F472" t="str">
        <f>IF(Rangliste!E472="M","HD","DD")</f>
        <v>DD</v>
      </c>
      <c r="G472" t="s">
        <v>649</v>
      </c>
    </row>
    <row r="473" spans="1:7" x14ac:dyDescent="0.3">
      <c r="A473">
        <f>Rangliste!B473</f>
        <v>0</v>
      </c>
      <c r="B473">
        <f>Rangliste!F473</f>
        <v>0</v>
      </c>
      <c r="C473">
        <f>Rangliste!A473</f>
        <v>0</v>
      </c>
      <c r="D473">
        <f>Rangliste!T473</f>
        <v>0</v>
      </c>
      <c r="E473" t="str">
        <f>IF(Rangliste!E473="M","HE","DE")</f>
        <v>DE</v>
      </c>
      <c r="F473" t="str">
        <f>IF(Rangliste!E473="M","HD","DD")</f>
        <v>DD</v>
      </c>
      <c r="G473" t="s">
        <v>649</v>
      </c>
    </row>
    <row r="474" spans="1:7" x14ac:dyDescent="0.3">
      <c r="A474">
        <f>Rangliste!B474</f>
        <v>0</v>
      </c>
      <c r="B474">
        <f>Rangliste!F474</f>
        <v>0</v>
      </c>
      <c r="C474">
        <f>Rangliste!A474</f>
        <v>0</v>
      </c>
      <c r="D474">
        <f>Rangliste!T474</f>
        <v>0</v>
      </c>
      <c r="E474" t="str">
        <f>IF(Rangliste!E474="M","HE","DE")</f>
        <v>DE</v>
      </c>
      <c r="F474" t="str">
        <f>IF(Rangliste!E474="M","HD","DD")</f>
        <v>DD</v>
      </c>
      <c r="G474" t="s">
        <v>649</v>
      </c>
    </row>
    <row r="475" spans="1:7" x14ac:dyDescent="0.3">
      <c r="A475">
        <f>Rangliste!B475</f>
        <v>0</v>
      </c>
      <c r="B475">
        <f>Rangliste!F475</f>
        <v>0</v>
      </c>
      <c r="C475">
        <f>Rangliste!A475</f>
        <v>0</v>
      </c>
      <c r="D475">
        <f>Rangliste!T475</f>
        <v>0</v>
      </c>
      <c r="E475" t="str">
        <f>IF(Rangliste!E475="M","HE","DE")</f>
        <v>DE</v>
      </c>
      <c r="F475" t="str">
        <f>IF(Rangliste!E475="M","HD","DD")</f>
        <v>DD</v>
      </c>
      <c r="G475" t="s">
        <v>649</v>
      </c>
    </row>
    <row r="476" spans="1:7" x14ac:dyDescent="0.3">
      <c r="A476">
        <f>Rangliste!B476</f>
        <v>0</v>
      </c>
      <c r="B476">
        <f>Rangliste!F476</f>
        <v>0</v>
      </c>
      <c r="C476">
        <f>Rangliste!A476</f>
        <v>0</v>
      </c>
      <c r="D476">
        <f>Rangliste!T476</f>
        <v>0</v>
      </c>
      <c r="E476" t="str">
        <f>IF(Rangliste!E476="M","HE","DE")</f>
        <v>DE</v>
      </c>
      <c r="F476" t="str">
        <f>IF(Rangliste!E476="M","HD","DD")</f>
        <v>DD</v>
      </c>
      <c r="G476" t="s">
        <v>649</v>
      </c>
    </row>
    <row r="477" spans="1:7" x14ac:dyDescent="0.3">
      <c r="A477">
        <f>Rangliste!B477</f>
        <v>0</v>
      </c>
      <c r="B477">
        <f>Rangliste!F477</f>
        <v>0</v>
      </c>
      <c r="C477">
        <f>Rangliste!A477</f>
        <v>0</v>
      </c>
      <c r="D477">
        <f>Rangliste!T477</f>
        <v>0</v>
      </c>
      <c r="E477" t="str">
        <f>IF(Rangliste!E477="M","HE","DE")</f>
        <v>DE</v>
      </c>
      <c r="F477" t="str">
        <f>IF(Rangliste!E477="M","HD","DD")</f>
        <v>DD</v>
      </c>
      <c r="G477" t="s">
        <v>649</v>
      </c>
    </row>
    <row r="478" spans="1:7" x14ac:dyDescent="0.3">
      <c r="A478">
        <f>Rangliste!B478</f>
        <v>0</v>
      </c>
      <c r="B478">
        <f>Rangliste!F478</f>
        <v>0</v>
      </c>
      <c r="C478">
        <f>Rangliste!A478</f>
        <v>0</v>
      </c>
      <c r="D478">
        <f>Rangliste!T478</f>
        <v>0</v>
      </c>
      <c r="E478" t="str">
        <f>IF(Rangliste!E478="M","HE","DE")</f>
        <v>DE</v>
      </c>
      <c r="F478" t="str">
        <f>IF(Rangliste!E478="M","HD","DD")</f>
        <v>DD</v>
      </c>
      <c r="G478" t="s">
        <v>649</v>
      </c>
    </row>
    <row r="479" spans="1:7" x14ac:dyDescent="0.3">
      <c r="A479">
        <f>Rangliste!B479</f>
        <v>0</v>
      </c>
      <c r="B479">
        <f>Rangliste!F479</f>
        <v>0</v>
      </c>
      <c r="C479">
        <f>Rangliste!A479</f>
        <v>0</v>
      </c>
      <c r="D479">
        <f>Rangliste!T479</f>
        <v>0</v>
      </c>
      <c r="E479" t="str">
        <f>IF(Rangliste!E479="M","HE","DE")</f>
        <v>DE</v>
      </c>
      <c r="F479" t="str">
        <f>IF(Rangliste!E479="M","HD","DD")</f>
        <v>DD</v>
      </c>
      <c r="G479" t="s">
        <v>649</v>
      </c>
    </row>
    <row r="480" spans="1:7" x14ac:dyDescent="0.3">
      <c r="A480">
        <f>Rangliste!B480</f>
        <v>0</v>
      </c>
      <c r="B480">
        <f>Rangliste!F480</f>
        <v>0</v>
      </c>
      <c r="C480">
        <f>Rangliste!A480</f>
        <v>0</v>
      </c>
      <c r="D480">
        <f>Rangliste!T480</f>
        <v>0</v>
      </c>
      <c r="E480" t="str">
        <f>IF(Rangliste!E480="M","HE","DE")</f>
        <v>DE</v>
      </c>
      <c r="F480" t="str">
        <f>IF(Rangliste!E480="M","HD","DD")</f>
        <v>DD</v>
      </c>
      <c r="G480" t="s">
        <v>649</v>
      </c>
    </row>
    <row r="481" spans="1:7" x14ac:dyDescent="0.3">
      <c r="A481">
        <f>Rangliste!B481</f>
        <v>0</v>
      </c>
      <c r="B481">
        <f>Rangliste!F481</f>
        <v>0</v>
      </c>
      <c r="C481">
        <f>Rangliste!A481</f>
        <v>0</v>
      </c>
      <c r="D481">
        <f>Rangliste!T481</f>
        <v>0</v>
      </c>
      <c r="E481" t="str">
        <f>IF(Rangliste!E481="M","HE","DE")</f>
        <v>DE</v>
      </c>
      <c r="F481" t="str">
        <f>IF(Rangliste!E481="M","HD","DD")</f>
        <v>DD</v>
      </c>
      <c r="G481" t="s">
        <v>649</v>
      </c>
    </row>
    <row r="482" spans="1:7" x14ac:dyDescent="0.3">
      <c r="A482">
        <f>Rangliste!B482</f>
        <v>0</v>
      </c>
      <c r="B482">
        <f>Rangliste!F482</f>
        <v>0</v>
      </c>
      <c r="C482">
        <f>Rangliste!A482</f>
        <v>0</v>
      </c>
      <c r="D482">
        <f>Rangliste!T482</f>
        <v>0</v>
      </c>
      <c r="E482" t="str">
        <f>IF(Rangliste!E482="M","HE","DE")</f>
        <v>DE</v>
      </c>
      <c r="F482" t="str">
        <f>IF(Rangliste!E482="M","HD","DD")</f>
        <v>DD</v>
      </c>
      <c r="G482" t="s">
        <v>649</v>
      </c>
    </row>
    <row r="483" spans="1:7" x14ac:dyDescent="0.3">
      <c r="A483">
        <f>Rangliste!B483</f>
        <v>0</v>
      </c>
      <c r="B483">
        <f>Rangliste!F483</f>
        <v>0</v>
      </c>
      <c r="C483">
        <f>Rangliste!A483</f>
        <v>0</v>
      </c>
      <c r="D483">
        <f>Rangliste!T483</f>
        <v>0</v>
      </c>
      <c r="E483" t="str">
        <f>IF(Rangliste!E483="M","HE","DE")</f>
        <v>DE</v>
      </c>
      <c r="F483" t="str">
        <f>IF(Rangliste!E483="M","HD","DD")</f>
        <v>DD</v>
      </c>
      <c r="G483" t="s">
        <v>649</v>
      </c>
    </row>
    <row r="484" spans="1:7" x14ac:dyDescent="0.3">
      <c r="A484">
        <f>Rangliste!B484</f>
        <v>0</v>
      </c>
      <c r="B484">
        <f>Rangliste!F484</f>
        <v>0</v>
      </c>
      <c r="C484">
        <f>Rangliste!A484</f>
        <v>0</v>
      </c>
      <c r="D484">
        <f>Rangliste!T484</f>
        <v>0</v>
      </c>
      <c r="E484" t="str">
        <f>IF(Rangliste!E484="M","HE","DE")</f>
        <v>DE</v>
      </c>
      <c r="F484" t="str">
        <f>IF(Rangliste!E484="M","HD","DD")</f>
        <v>DD</v>
      </c>
      <c r="G484" t="s">
        <v>649</v>
      </c>
    </row>
    <row r="485" spans="1:7" x14ac:dyDescent="0.3">
      <c r="A485">
        <f>Rangliste!B485</f>
        <v>0</v>
      </c>
      <c r="B485">
        <f>Rangliste!F485</f>
        <v>0</v>
      </c>
      <c r="C485">
        <f>Rangliste!A485</f>
        <v>0</v>
      </c>
      <c r="D485">
        <f>Rangliste!T485</f>
        <v>0</v>
      </c>
      <c r="E485" t="str">
        <f>IF(Rangliste!E485="M","HE","DE")</f>
        <v>DE</v>
      </c>
      <c r="F485" t="str">
        <f>IF(Rangliste!E485="M","HD","DD")</f>
        <v>DD</v>
      </c>
      <c r="G485" t="s">
        <v>649</v>
      </c>
    </row>
    <row r="486" spans="1:7" x14ac:dyDescent="0.3">
      <c r="A486">
        <f>Rangliste!B486</f>
        <v>0</v>
      </c>
      <c r="B486">
        <f>Rangliste!F486</f>
        <v>0</v>
      </c>
      <c r="C486">
        <f>Rangliste!A486</f>
        <v>0</v>
      </c>
      <c r="D486">
        <f>Rangliste!T486</f>
        <v>0</v>
      </c>
      <c r="E486" t="str">
        <f>IF(Rangliste!E486="M","HE","DE")</f>
        <v>DE</v>
      </c>
      <c r="F486" t="str">
        <f>IF(Rangliste!E486="M","HD","DD")</f>
        <v>DD</v>
      </c>
      <c r="G486" t="s">
        <v>649</v>
      </c>
    </row>
    <row r="487" spans="1:7" x14ac:dyDescent="0.3">
      <c r="A487">
        <f>Rangliste!B487</f>
        <v>0</v>
      </c>
      <c r="B487">
        <f>Rangliste!F487</f>
        <v>0</v>
      </c>
      <c r="C487">
        <f>Rangliste!A487</f>
        <v>0</v>
      </c>
      <c r="D487">
        <f>Rangliste!T487</f>
        <v>0</v>
      </c>
      <c r="E487" t="str">
        <f>IF(Rangliste!E487="M","HE","DE")</f>
        <v>DE</v>
      </c>
      <c r="F487" t="str">
        <f>IF(Rangliste!E487="M","HD","DD")</f>
        <v>DD</v>
      </c>
      <c r="G487" t="s">
        <v>649</v>
      </c>
    </row>
    <row r="488" spans="1:7" x14ac:dyDescent="0.3">
      <c r="A488">
        <f>Rangliste!B488</f>
        <v>0</v>
      </c>
      <c r="B488">
        <f>Rangliste!F488</f>
        <v>0</v>
      </c>
      <c r="C488">
        <f>Rangliste!A488</f>
        <v>0</v>
      </c>
      <c r="D488">
        <f>Rangliste!T488</f>
        <v>0</v>
      </c>
      <c r="E488" t="str">
        <f>IF(Rangliste!E488="M","HE","DE")</f>
        <v>DE</v>
      </c>
      <c r="F488" t="str">
        <f>IF(Rangliste!E488="M","HD","DD")</f>
        <v>DD</v>
      </c>
      <c r="G488" t="s">
        <v>649</v>
      </c>
    </row>
    <row r="489" spans="1:7" x14ac:dyDescent="0.3">
      <c r="A489">
        <f>Rangliste!B489</f>
        <v>0</v>
      </c>
      <c r="B489">
        <f>Rangliste!F489</f>
        <v>0</v>
      </c>
      <c r="C489">
        <f>Rangliste!A489</f>
        <v>0</v>
      </c>
      <c r="D489">
        <f>Rangliste!T489</f>
        <v>0</v>
      </c>
      <c r="E489" t="str">
        <f>IF(Rangliste!E489="M","HE","DE")</f>
        <v>DE</v>
      </c>
      <c r="F489" t="str">
        <f>IF(Rangliste!E489="M","HD","DD")</f>
        <v>DD</v>
      </c>
      <c r="G489" t="s">
        <v>649</v>
      </c>
    </row>
    <row r="490" spans="1:7" x14ac:dyDescent="0.3">
      <c r="A490">
        <f>Rangliste!B490</f>
        <v>0</v>
      </c>
      <c r="B490">
        <f>Rangliste!F490</f>
        <v>0</v>
      </c>
      <c r="C490">
        <f>Rangliste!A490</f>
        <v>0</v>
      </c>
      <c r="D490">
        <f>Rangliste!T490</f>
        <v>0</v>
      </c>
      <c r="E490" t="str">
        <f>IF(Rangliste!E490="M","HE","DE")</f>
        <v>DE</v>
      </c>
      <c r="F490" t="str">
        <f>IF(Rangliste!E490="M","HD","DD")</f>
        <v>DD</v>
      </c>
      <c r="G490" t="s">
        <v>649</v>
      </c>
    </row>
    <row r="491" spans="1:7" x14ac:dyDescent="0.3">
      <c r="A491">
        <f>Rangliste!B491</f>
        <v>0</v>
      </c>
      <c r="B491">
        <f>Rangliste!F491</f>
        <v>0</v>
      </c>
      <c r="C491">
        <f>Rangliste!A491</f>
        <v>0</v>
      </c>
      <c r="D491">
        <f>Rangliste!T491</f>
        <v>0</v>
      </c>
      <c r="E491" t="str">
        <f>IF(Rangliste!E491="M","HE","DE")</f>
        <v>DE</v>
      </c>
      <c r="F491" t="str">
        <f>IF(Rangliste!E491="M","HD","DD")</f>
        <v>DD</v>
      </c>
      <c r="G491" t="s">
        <v>649</v>
      </c>
    </row>
    <row r="492" spans="1:7" x14ac:dyDescent="0.3">
      <c r="A492">
        <f>Rangliste!B492</f>
        <v>0</v>
      </c>
      <c r="B492">
        <f>Rangliste!F492</f>
        <v>0</v>
      </c>
      <c r="C492">
        <f>Rangliste!A492</f>
        <v>0</v>
      </c>
      <c r="D492">
        <f>Rangliste!T492</f>
        <v>0</v>
      </c>
      <c r="E492" t="str">
        <f>IF(Rangliste!E492="M","HE","DE")</f>
        <v>DE</v>
      </c>
      <c r="F492" t="str">
        <f>IF(Rangliste!E492="M","HD","DD")</f>
        <v>DD</v>
      </c>
      <c r="G492" t="s">
        <v>649</v>
      </c>
    </row>
    <row r="493" spans="1:7" x14ac:dyDescent="0.3">
      <c r="A493">
        <f>Rangliste!B493</f>
        <v>0</v>
      </c>
      <c r="B493">
        <f>Rangliste!F493</f>
        <v>0</v>
      </c>
      <c r="C493">
        <f>Rangliste!A493</f>
        <v>0</v>
      </c>
      <c r="D493">
        <f>Rangliste!T493</f>
        <v>0</v>
      </c>
      <c r="E493" t="str">
        <f>IF(Rangliste!E493="M","HE","DE")</f>
        <v>DE</v>
      </c>
      <c r="F493" t="str">
        <f>IF(Rangliste!E493="M","HD","DD")</f>
        <v>DD</v>
      </c>
      <c r="G493" t="s">
        <v>649</v>
      </c>
    </row>
    <row r="494" spans="1:7" x14ac:dyDescent="0.3">
      <c r="A494">
        <f>Rangliste!B494</f>
        <v>0</v>
      </c>
      <c r="B494">
        <f>Rangliste!F494</f>
        <v>0</v>
      </c>
      <c r="C494">
        <f>Rangliste!A494</f>
        <v>0</v>
      </c>
      <c r="D494">
        <f>Rangliste!T494</f>
        <v>0</v>
      </c>
      <c r="E494" t="str">
        <f>IF(Rangliste!E494="M","HE","DE")</f>
        <v>DE</v>
      </c>
      <c r="F494" t="str">
        <f>IF(Rangliste!E494="M","HD","DD")</f>
        <v>DD</v>
      </c>
      <c r="G494" t="s">
        <v>649</v>
      </c>
    </row>
    <row r="495" spans="1:7" x14ac:dyDescent="0.3">
      <c r="A495">
        <f>Rangliste!B495</f>
        <v>0</v>
      </c>
      <c r="B495">
        <f>Rangliste!F495</f>
        <v>0</v>
      </c>
      <c r="C495">
        <f>Rangliste!A495</f>
        <v>0</v>
      </c>
      <c r="D495">
        <f>Rangliste!T495</f>
        <v>0</v>
      </c>
      <c r="E495" t="str">
        <f>IF(Rangliste!E495="M","HE","DE")</f>
        <v>DE</v>
      </c>
      <c r="F495" t="str">
        <f>IF(Rangliste!E495="M","HD","DD")</f>
        <v>DD</v>
      </c>
      <c r="G495" t="s">
        <v>649</v>
      </c>
    </row>
    <row r="496" spans="1:7" x14ac:dyDescent="0.3">
      <c r="A496">
        <f>Rangliste!B496</f>
        <v>0</v>
      </c>
      <c r="B496">
        <f>Rangliste!F496</f>
        <v>0</v>
      </c>
      <c r="C496">
        <f>Rangliste!A496</f>
        <v>0</v>
      </c>
      <c r="D496">
        <f>Rangliste!T496</f>
        <v>0</v>
      </c>
      <c r="E496" t="str">
        <f>IF(Rangliste!E496="M","HE","DE")</f>
        <v>DE</v>
      </c>
      <c r="F496" t="str">
        <f>IF(Rangliste!E496="M","HD","DD")</f>
        <v>DD</v>
      </c>
      <c r="G496" t="s">
        <v>649</v>
      </c>
    </row>
    <row r="497" spans="1:7" x14ac:dyDescent="0.3">
      <c r="A497">
        <f>Rangliste!B497</f>
        <v>0</v>
      </c>
      <c r="B497">
        <f>Rangliste!F497</f>
        <v>0</v>
      </c>
      <c r="C497">
        <f>Rangliste!A497</f>
        <v>0</v>
      </c>
      <c r="D497">
        <f>Rangliste!T497</f>
        <v>0</v>
      </c>
      <c r="E497" t="str">
        <f>IF(Rangliste!E497="M","HE","DE")</f>
        <v>DE</v>
      </c>
      <c r="F497" t="str">
        <f>IF(Rangliste!E497="M","HD","DD")</f>
        <v>DD</v>
      </c>
      <c r="G497" t="s">
        <v>649</v>
      </c>
    </row>
    <row r="498" spans="1:7" x14ac:dyDescent="0.3">
      <c r="A498">
        <f>Rangliste!B498</f>
        <v>0</v>
      </c>
      <c r="B498">
        <f>Rangliste!F498</f>
        <v>0</v>
      </c>
      <c r="C498">
        <f>Rangliste!A498</f>
        <v>0</v>
      </c>
      <c r="D498">
        <f>Rangliste!T498</f>
        <v>0</v>
      </c>
      <c r="E498" t="str">
        <f>IF(Rangliste!E498="M","HE","DE")</f>
        <v>DE</v>
      </c>
      <c r="F498" t="str">
        <f>IF(Rangliste!E498="M","HD","DD")</f>
        <v>DD</v>
      </c>
      <c r="G498" t="s">
        <v>649</v>
      </c>
    </row>
    <row r="499" spans="1:7" x14ac:dyDescent="0.3">
      <c r="A499">
        <f>Rangliste!B499</f>
        <v>0</v>
      </c>
      <c r="B499">
        <f>Rangliste!F499</f>
        <v>0</v>
      </c>
      <c r="C499">
        <f>Rangliste!A499</f>
        <v>0</v>
      </c>
      <c r="D499">
        <f>Rangliste!T499</f>
        <v>0</v>
      </c>
      <c r="E499" t="str">
        <f>IF(Rangliste!E499="M","HE","DE")</f>
        <v>DE</v>
      </c>
      <c r="F499" t="str">
        <f>IF(Rangliste!E499="M","HD","DD")</f>
        <v>DD</v>
      </c>
      <c r="G499" t="s">
        <v>649</v>
      </c>
    </row>
    <row r="500" spans="1:7" x14ac:dyDescent="0.3">
      <c r="A500">
        <f>Rangliste!B500</f>
        <v>0</v>
      </c>
      <c r="B500">
        <f>Rangliste!F500</f>
        <v>0</v>
      </c>
      <c r="C500">
        <f>Rangliste!A500</f>
        <v>0</v>
      </c>
      <c r="D500">
        <f>Rangliste!T500</f>
        <v>0</v>
      </c>
      <c r="E500" t="str">
        <f>IF(Rangliste!E500="M","HE","DE")</f>
        <v>DE</v>
      </c>
      <c r="F500" t="str">
        <f>IF(Rangliste!E500="M","HD","DD")</f>
        <v>DD</v>
      </c>
      <c r="G500" t="s">
        <v>649</v>
      </c>
    </row>
    <row r="501" spans="1:7" x14ac:dyDescent="0.3">
      <c r="A501">
        <f>Rangliste!B501</f>
        <v>0</v>
      </c>
      <c r="B501">
        <f>Rangliste!F501</f>
        <v>0</v>
      </c>
      <c r="C501">
        <f>Rangliste!A501</f>
        <v>0</v>
      </c>
      <c r="D501">
        <f>Rangliste!T501</f>
        <v>0</v>
      </c>
      <c r="E501" t="str">
        <f>IF(Rangliste!E501="M","HE","DE")</f>
        <v>DE</v>
      </c>
      <c r="F501" t="str">
        <f>IF(Rangliste!E501="M","HD","DD")</f>
        <v>DD</v>
      </c>
      <c r="G501" t="s">
        <v>649</v>
      </c>
    </row>
    <row r="502" spans="1:7" x14ac:dyDescent="0.3">
      <c r="A502">
        <f>Rangliste!B502</f>
        <v>0</v>
      </c>
      <c r="B502">
        <f>Rangliste!F502</f>
        <v>0</v>
      </c>
      <c r="C502">
        <f>Rangliste!A502</f>
        <v>0</v>
      </c>
      <c r="D502">
        <f>Rangliste!T502</f>
        <v>0</v>
      </c>
      <c r="E502" t="str">
        <f>IF(Rangliste!E502="M","HE","DE")</f>
        <v>DE</v>
      </c>
      <c r="F502" t="str">
        <f>IF(Rangliste!E502="M","HD","DD")</f>
        <v>DD</v>
      </c>
      <c r="G502" t="s">
        <v>649</v>
      </c>
    </row>
    <row r="503" spans="1:7" x14ac:dyDescent="0.3">
      <c r="A503">
        <f>Rangliste!B503</f>
        <v>0</v>
      </c>
      <c r="B503">
        <f>Rangliste!F503</f>
        <v>0</v>
      </c>
      <c r="C503">
        <f>Rangliste!A503</f>
        <v>0</v>
      </c>
      <c r="D503">
        <f>Rangliste!T503</f>
        <v>0</v>
      </c>
      <c r="E503" t="str">
        <f>IF(Rangliste!E503="M","HE","DE")</f>
        <v>DE</v>
      </c>
      <c r="F503" t="str">
        <f>IF(Rangliste!E503="M","HD","DD")</f>
        <v>DD</v>
      </c>
      <c r="G503" t="s">
        <v>649</v>
      </c>
    </row>
    <row r="504" spans="1:7" x14ac:dyDescent="0.3">
      <c r="A504">
        <f>Rangliste!B504</f>
        <v>0</v>
      </c>
      <c r="B504">
        <f>Rangliste!F504</f>
        <v>0</v>
      </c>
      <c r="C504">
        <f>Rangliste!A504</f>
        <v>0</v>
      </c>
      <c r="D504">
        <f>Rangliste!T504</f>
        <v>0</v>
      </c>
      <c r="E504" t="str">
        <f>IF(Rangliste!E504="M","HE","DE")</f>
        <v>DE</v>
      </c>
      <c r="F504" t="str">
        <f>IF(Rangliste!E504="M","HD","DD")</f>
        <v>DD</v>
      </c>
      <c r="G504" t="s">
        <v>649</v>
      </c>
    </row>
    <row r="505" spans="1:7" x14ac:dyDescent="0.3">
      <c r="A505">
        <f>Rangliste!B505</f>
        <v>0</v>
      </c>
      <c r="B505">
        <f>Rangliste!F505</f>
        <v>0</v>
      </c>
      <c r="C505">
        <f>Rangliste!A505</f>
        <v>0</v>
      </c>
      <c r="D505">
        <f>Rangliste!T505</f>
        <v>0</v>
      </c>
      <c r="E505" t="str">
        <f>IF(Rangliste!E505="M","HE","DE")</f>
        <v>DE</v>
      </c>
      <c r="F505" t="str">
        <f>IF(Rangliste!E505="M","HD","DD")</f>
        <v>DD</v>
      </c>
      <c r="G505" t="s">
        <v>649</v>
      </c>
    </row>
    <row r="506" spans="1:7" x14ac:dyDescent="0.3">
      <c r="A506">
        <f>Rangliste!B506</f>
        <v>0</v>
      </c>
      <c r="B506">
        <f>Rangliste!F506</f>
        <v>0</v>
      </c>
      <c r="C506">
        <f>Rangliste!A506</f>
        <v>0</v>
      </c>
      <c r="D506">
        <f>Rangliste!T506</f>
        <v>0</v>
      </c>
      <c r="E506" t="str">
        <f>IF(Rangliste!E506="M","HE","DE")</f>
        <v>DE</v>
      </c>
      <c r="F506" t="str">
        <f>IF(Rangliste!E506="M","HD","DD")</f>
        <v>DD</v>
      </c>
      <c r="G506" t="s">
        <v>649</v>
      </c>
    </row>
    <row r="507" spans="1:7" x14ac:dyDescent="0.3">
      <c r="A507">
        <f>Rangliste!B507</f>
        <v>0</v>
      </c>
      <c r="B507">
        <f>Rangliste!F507</f>
        <v>0</v>
      </c>
      <c r="C507">
        <f>Rangliste!A507</f>
        <v>0</v>
      </c>
      <c r="D507">
        <f>Rangliste!T507</f>
        <v>0</v>
      </c>
      <c r="E507" t="str">
        <f>IF(Rangliste!E507="M","HE","DE")</f>
        <v>DE</v>
      </c>
      <c r="F507" t="str">
        <f>IF(Rangliste!E507="M","HD","DD")</f>
        <v>DD</v>
      </c>
      <c r="G507" t="s">
        <v>649</v>
      </c>
    </row>
    <row r="508" spans="1:7" x14ac:dyDescent="0.3">
      <c r="A508">
        <f>Rangliste!B508</f>
        <v>0</v>
      </c>
      <c r="B508">
        <f>Rangliste!F508</f>
        <v>0</v>
      </c>
      <c r="C508">
        <f>Rangliste!A508</f>
        <v>0</v>
      </c>
      <c r="D508">
        <f>Rangliste!T508</f>
        <v>0</v>
      </c>
      <c r="E508" t="str">
        <f>IF(Rangliste!E508="M","HE","DE")</f>
        <v>DE</v>
      </c>
      <c r="F508" t="str">
        <f>IF(Rangliste!E508="M","HD","DD")</f>
        <v>DD</v>
      </c>
      <c r="G508" t="s">
        <v>649</v>
      </c>
    </row>
    <row r="509" spans="1:7" x14ac:dyDescent="0.3">
      <c r="A509">
        <f>Rangliste!B509</f>
        <v>0</v>
      </c>
      <c r="B509">
        <f>Rangliste!F509</f>
        <v>0</v>
      </c>
      <c r="C509">
        <f>Rangliste!A509</f>
        <v>0</v>
      </c>
      <c r="D509">
        <f>Rangliste!T509</f>
        <v>0</v>
      </c>
      <c r="E509" t="str">
        <f>IF(Rangliste!E509="M","HE","DE")</f>
        <v>DE</v>
      </c>
      <c r="F509" t="str">
        <f>IF(Rangliste!E509="M","HD","DD")</f>
        <v>DD</v>
      </c>
      <c r="G509" t="s">
        <v>649</v>
      </c>
    </row>
    <row r="510" spans="1:7" x14ac:dyDescent="0.3">
      <c r="A510">
        <f>Rangliste!B510</f>
        <v>0</v>
      </c>
      <c r="B510">
        <f>Rangliste!F510</f>
        <v>0</v>
      </c>
      <c r="C510">
        <f>Rangliste!A510</f>
        <v>0</v>
      </c>
      <c r="D510">
        <f>Rangliste!T510</f>
        <v>0</v>
      </c>
      <c r="E510" t="str">
        <f>IF(Rangliste!E510="M","HE","DE")</f>
        <v>DE</v>
      </c>
      <c r="F510" t="str">
        <f>IF(Rangliste!E510="M","HD","DD")</f>
        <v>DD</v>
      </c>
      <c r="G510" t="s">
        <v>649</v>
      </c>
    </row>
    <row r="511" spans="1:7" x14ac:dyDescent="0.3">
      <c r="A511">
        <f>Rangliste!B511</f>
        <v>0</v>
      </c>
      <c r="B511">
        <f>Rangliste!F511</f>
        <v>0</v>
      </c>
      <c r="C511">
        <f>Rangliste!A511</f>
        <v>0</v>
      </c>
      <c r="D511">
        <f>Rangliste!T511</f>
        <v>0</v>
      </c>
      <c r="E511" t="str">
        <f>IF(Rangliste!E511="M","HE","DE")</f>
        <v>DE</v>
      </c>
      <c r="F511" t="str">
        <f>IF(Rangliste!E511="M","HD","DD")</f>
        <v>DD</v>
      </c>
      <c r="G511" t="s">
        <v>649</v>
      </c>
    </row>
    <row r="512" spans="1:7" x14ac:dyDescent="0.3">
      <c r="A512">
        <f>Rangliste!B512</f>
        <v>0</v>
      </c>
      <c r="B512">
        <f>Rangliste!F512</f>
        <v>0</v>
      </c>
      <c r="C512">
        <f>Rangliste!A512</f>
        <v>0</v>
      </c>
      <c r="D512">
        <f>Rangliste!T512</f>
        <v>0</v>
      </c>
      <c r="E512" t="str">
        <f>IF(Rangliste!E512="M","HE","DE")</f>
        <v>DE</v>
      </c>
      <c r="F512" t="str">
        <f>IF(Rangliste!E512="M","HD","DD")</f>
        <v>DD</v>
      </c>
      <c r="G512" t="s">
        <v>649</v>
      </c>
    </row>
    <row r="513" spans="1:7" x14ac:dyDescent="0.3">
      <c r="A513">
        <f>Rangliste!B513</f>
        <v>0</v>
      </c>
      <c r="B513">
        <f>Rangliste!F513</f>
        <v>0</v>
      </c>
      <c r="C513">
        <f>Rangliste!A513</f>
        <v>0</v>
      </c>
      <c r="D513">
        <f>Rangliste!T513</f>
        <v>0</v>
      </c>
      <c r="E513" t="str">
        <f>IF(Rangliste!E513="M","HE","DE")</f>
        <v>DE</v>
      </c>
      <c r="F513" t="str">
        <f>IF(Rangliste!E513="M","HD","DD")</f>
        <v>DD</v>
      </c>
      <c r="G513" t="s">
        <v>649</v>
      </c>
    </row>
    <row r="514" spans="1:7" x14ac:dyDescent="0.3">
      <c r="A514">
        <f>Rangliste!B514</f>
        <v>0</v>
      </c>
      <c r="B514">
        <f>Rangliste!F514</f>
        <v>0</v>
      </c>
      <c r="C514">
        <f>Rangliste!A514</f>
        <v>0</v>
      </c>
      <c r="D514">
        <f>Rangliste!T514</f>
        <v>0</v>
      </c>
      <c r="E514" t="str">
        <f>IF(Rangliste!E514="M","HE","DE")</f>
        <v>DE</v>
      </c>
      <c r="F514" t="str">
        <f>IF(Rangliste!E514="M","HD","DD")</f>
        <v>DD</v>
      </c>
      <c r="G514" t="s">
        <v>649</v>
      </c>
    </row>
    <row r="515" spans="1:7" x14ac:dyDescent="0.3">
      <c r="A515">
        <f>Rangliste!B515</f>
        <v>0</v>
      </c>
      <c r="B515">
        <f>Rangliste!F515</f>
        <v>0</v>
      </c>
      <c r="C515">
        <f>Rangliste!A515</f>
        <v>0</v>
      </c>
      <c r="D515">
        <f>Rangliste!T515</f>
        <v>0</v>
      </c>
      <c r="E515" t="str">
        <f>IF(Rangliste!E515="M","HE","DE")</f>
        <v>DE</v>
      </c>
      <c r="F515" t="str">
        <f>IF(Rangliste!E515="M","HD","DD")</f>
        <v>DD</v>
      </c>
      <c r="G515" t="s">
        <v>649</v>
      </c>
    </row>
    <row r="516" spans="1:7" x14ac:dyDescent="0.3">
      <c r="A516">
        <f>Rangliste!B516</f>
        <v>0</v>
      </c>
      <c r="B516">
        <f>Rangliste!F516</f>
        <v>0</v>
      </c>
      <c r="C516">
        <f>Rangliste!A516</f>
        <v>0</v>
      </c>
      <c r="D516">
        <f>Rangliste!T516</f>
        <v>0</v>
      </c>
      <c r="E516" t="str">
        <f>IF(Rangliste!E516="M","HE","DE")</f>
        <v>DE</v>
      </c>
      <c r="F516" t="str">
        <f>IF(Rangliste!E516="M","HD","DD")</f>
        <v>DD</v>
      </c>
      <c r="G516" t="s">
        <v>649</v>
      </c>
    </row>
    <row r="517" spans="1:7" x14ac:dyDescent="0.3">
      <c r="A517">
        <f>Rangliste!B517</f>
        <v>0</v>
      </c>
      <c r="B517">
        <f>Rangliste!F517</f>
        <v>0</v>
      </c>
      <c r="C517">
        <f>Rangliste!A517</f>
        <v>0</v>
      </c>
      <c r="D517">
        <f>Rangliste!T517</f>
        <v>0</v>
      </c>
      <c r="E517" t="str">
        <f>IF(Rangliste!E517="M","HE","DE")</f>
        <v>DE</v>
      </c>
      <c r="F517" t="str">
        <f>IF(Rangliste!E517="M","HD","DD")</f>
        <v>DD</v>
      </c>
      <c r="G517" t="s">
        <v>649</v>
      </c>
    </row>
    <row r="518" spans="1:7" x14ac:dyDescent="0.3">
      <c r="A518">
        <f>Rangliste!B518</f>
        <v>0</v>
      </c>
      <c r="B518">
        <f>Rangliste!F518</f>
        <v>0</v>
      </c>
      <c r="C518">
        <f>Rangliste!A518</f>
        <v>0</v>
      </c>
      <c r="D518">
        <f>Rangliste!T518</f>
        <v>0</v>
      </c>
      <c r="E518" t="str">
        <f>IF(Rangliste!E518="M","HE","DE")</f>
        <v>DE</v>
      </c>
      <c r="F518" t="str">
        <f>IF(Rangliste!E518="M","HD","DD")</f>
        <v>DD</v>
      </c>
      <c r="G518" t="s">
        <v>649</v>
      </c>
    </row>
    <row r="519" spans="1:7" x14ac:dyDescent="0.3">
      <c r="A519">
        <f>Rangliste!B519</f>
        <v>0</v>
      </c>
      <c r="B519">
        <f>Rangliste!F519</f>
        <v>0</v>
      </c>
      <c r="C519">
        <f>Rangliste!A519</f>
        <v>0</v>
      </c>
      <c r="D519">
        <f>Rangliste!T519</f>
        <v>0</v>
      </c>
      <c r="E519" t="str">
        <f>IF(Rangliste!E519="M","HE","DE")</f>
        <v>DE</v>
      </c>
      <c r="F519" t="str">
        <f>IF(Rangliste!E519="M","HD","DD")</f>
        <v>DD</v>
      </c>
      <c r="G519" t="s">
        <v>649</v>
      </c>
    </row>
    <row r="520" spans="1:7" x14ac:dyDescent="0.3">
      <c r="A520">
        <f>Rangliste!B520</f>
        <v>0</v>
      </c>
      <c r="B520">
        <f>Rangliste!F520</f>
        <v>0</v>
      </c>
      <c r="C520">
        <f>Rangliste!A520</f>
        <v>0</v>
      </c>
      <c r="D520">
        <f>Rangliste!T520</f>
        <v>0</v>
      </c>
      <c r="E520" t="str">
        <f>IF(Rangliste!E520="M","HE","DE")</f>
        <v>DE</v>
      </c>
      <c r="F520" t="str">
        <f>IF(Rangliste!E520="M","HD","DD")</f>
        <v>DD</v>
      </c>
      <c r="G520" t="s">
        <v>649</v>
      </c>
    </row>
    <row r="521" spans="1:7" x14ac:dyDescent="0.3">
      <c r="A521">
        <f>Rangliste!B521</f>
        <v>0</v>
      </c>
      <c r="B521">
        <f>Rangliste!F521</f>
        <v>0</v>
      </c>
      <c r="C521">
        <f>Rangliste!A521</f>
        <v>0</v>
      </c>
      <c r="D521">
        <f>Rangliste!T521</f>
        <v>0</v>
      </c>
      <c r="E521" t="str">
        <f>IF(Rangliste!E521="M","HE","DE")</f>
        <v>DE</v>
      </c>
      <c r="F521" t="str">
        <f>IF(Rangliste!E521="M","HD","DD")</f>
        <v>DD</v>
      </c>
      <c r="G521" t="s">
        <v>649</v>
      </c>
    </row>
    <row r="522" spans="1:7" x14ac:dyDescent="0.3">
      <c r="A522">
        <f>Rangliste!B522</f>
        <v>0</v>
      </c>
      <c r="B522">
        <f>Rangliste!F522</f>
        <v>0</v>
      </c>
      <c r="C522">
        <f>Rangliste!A522</f>
        <v>0</v>
      </c>
      <c r="D522">
        <f>Rangliste!T522</f>
        <v>0</v>
      </c>
      <c r="E522" t="str">
        <f>IF(Rangliste!E522="M","HE","DE")</f>
        <v>DE</v>
      </c>
      <c r="F522" t="str">
        <f>IF(Rangliste!E522="M","HD","DD")</f>
        <v>DD</v>
      </c>
      <c r="G522" t="s">
        <v>649</v>
      </c>
    </row>
    <row r="523" spans="1:7" x14ac:dyDescent="0.3">
      <c r="A523">
        <f>Rangliste!B523</f>
        <v>0</v>
      </c>
      <c r="B523">
        <f>Rangliste!F523</f>
        <v>0</v>
      </c>
      <c r="C523">
        <f>Rangliste!A523</f>
        <v>0</v>
      </c>
      <c r="D523">
        <f>Rangliste!T523</f>
        <v>0</v>
      </c>
      <c r="E523" t="str">
        <f>IF(Rangliste!E523="M","HE","DE")</f>
        <v>DE</v>
      </c>
      <c r="F523" t="str">
        <f>IF(Rangliste!E523="M","HD","DD")</f>
        <v>DD</v>
      </c>
      <c r="G523" t="s">
        <v>649</v>
      </c>
    </row>
    <row r="524" spans="1:7" x14ac:dyDescent="0.3">
      <c r="A524">
        <f>Rangliste!B524</f>
        <v>0</v>
      </c>
      <c r="B524">
        <f>Rangliste!F524</f>
        <v>0</v>
      </c>
      <c r="C524">
        <f>Rangliste!A524</f>
        <v>0</v>
      </c>
      <c r="D524">
        <f>Rangliste!T524</f>
        <v>0</v>
      </c>
      <c r="E524" t="str">
        <f>IF(Rangliste!E524="M","HE","DE")</f>
        <v>DE</v>
      </c>
      <c r="F524" t="str">
        <f>IF(Rangliste!E524="M","HD","DD")</f>
        <v>DD</v>
      </c>
      <c r="G524" t="s">
        <v>649</v>
      </c>
    </row>
    <row r="525" spans="1:7" x14ac:dyDescent="0.3">
      <c r="A525">
        <f>Rangliste!B525</f>
        <v>0</v>
      </c>
      <c r="B525">
        <f>Rangliste!F525</f>
        <v>0</v>
      </c>
      <c r="C525">
        <f>Rangliste!A525</f>
        <v>0</v>
      </c>
      <c r="D525">
        <f>Rangliste!T525</f>
        <v>0</v>
      </c>
      <c r="E525" t="str">
        <f>IF(Rangliste!E525="M","HE","DE")</f>
        <v>DE</v>
      </c>
      <c r="F525" t="str">
        <f>IF(Rangliste!E525="M","HD","DD")</f>
        <v>DD</v>
      </c>
      <c r="G525" t="s">
        <v>649</v>
      </c>
    </row>
    <row r="526" spans="1:7" x14ac:dyDescent="0.3">
      <c r="A526">
        <f>Rangliste!B526</f>
        <v>0</v>
      </c>
      <c r="B526">
        <f>Rangliste!F526</f>
        <v>0</v>
      </c>
      <c r="C526">
        <f>Rangliste!A526</f>
        <v>0</v>
      </c>
      <c r="D526">
        <f>Rangliste!T526</f>
        <v>0</v>
      </c>
      <c r="E526" t="str">
        <f>IF(Rangliste!E526="M","HE","DE")</f>
        <v>DE</v>
      </c>
      <c r="F526" t="str">
        <f>IF(Rangliste!E526="M","HD","DD")</f>
        <v>DD</v>
      </c>
      <c r="G526" t="s">
        <v>649</v>
      </c>
    </row>
    <row r="527" spans="1:7" x14ac:dyDescent="0.3">
      <c r="A527">
        <f>Rangliste!B527</f>
        <v>0</v>
      </c>
      <c r="B527">
        <f>Rangliste!F527</f>
        <v>0</v>
      </c>
      <c r="C527">
        <f>Rangliste!A527</f>
        <v>0</v>
      </c>
      <c r="D527">
        <f>Rangliste!T527</f>
        <v>0</v>
      </c>
      <c r="E527" t="str">
        <f>IF(Rangliste!E527="M","HE","DE")</f>
        <v>DE</v>
      </c>
      <c r="F527" t="str">
        <f>IF(Rangliste!E527="M","HD","DD")</f>
        <v>DD</v>
      </c>
      <c r="G527" t="s">
        <v>649</v>
      </c>
    </row>
    <row r="528" spans="1:7" x14ac:dyDescent="0.3">
      <c r="A528">
        <f>Rangliste!B528</f>
        <v>0</v>
      </c>
      <c r="B528">
        <f>Rangliste!F528</f>
        <v>0</v>
      </c>
      <c r="C528">
        <f>Rangliste!A528</f>
        <v>0</v>
      </c>
      <c r="D528">
        <f>Rangliste!T528</f>
        <v>0</v>
      </c>
      <c r="E528" t="str">
        <f>IF(Rangliste!E528="M","HE","DE")</f>
        <v>DE</v>
      </c>
      <c r="F528" t="str">
        <f>IF(Rangliste!E528="M","HD","DD")</f>
        <v>DD</v>
      </c>
      <c r="G528" t="s">
        <v>649</v>
      </c>
    </row>
    <row r="529" spans="1:7" x14ac:dyDescent="0.3">
      <c r="A529">
        <f>Rangliste!B529</f>
        <v>0</v>
      </c>
      <c r="B529">
        <f>Rangliste!F529</f>
        <v>0</v>
      </c>
      <c r="C529">
        <f>Rangliste!A529</f>
        <v>0</v>
      </c>
      <c r="D529">
        <f>Rangliste!T529</f>
        <v>0</v>
      </c>
      <c r="E529" t="str">
        <f>IF(Rangliste!E529="M","HE","DE")</f>
        <v>DE</v>
      </c>
      <c r="F529" t="str">
        <f>IF(Rangliste!E529="M","HD","DD")</f>
        <v>DD</v>
      </c>
      <c r="G529" t="s">
        <v>649</v>
      </c>
    </row>
    <row r="530" spans="1:7" x14ac:dyDescent="0.3">
      <c r="A530">
        <f>Rangliste!B530</f>
        <v>0</v>
      </c>
      <c r="B530">
        <f>Rangliste!F530</f>
        <v>0</v>
      </c>
      <c r="C530">
        <f>Rangliste!A530</f>
        <v>0</v>
      </c>
      <c r="D530">
        <f>Rangliste!T530</f>
        <v>0</v>
      </c>
      <c r="E530" t="str">
        <f>IF(Rangliste!E530="M","HE","DE")</f>
        <v>DE</v>
      </c>
      <c r="F530" t="str">
        <f>IF(Rangliste!E530="M","HD","DD")</f>
        <v>DD</v>
      </c>
      <c r="G530" t="s">
        <v>649</v>
      </c>
    </row>
    <row r="531" spans="1:7" x14ac:dyDescent="0.3">
      <c r="A531">
        <f>Rangliste!B531</f>
        <v>0</v>
      </c>
      <c r="B531">
        <f>Rangliste!F531</f>
        <v>0</v>
      </c>
      <c r="C531">
        <f>Rangliste!A531</f>
        <v>0</v>
      </c>
      <c r="D531">
        <f>Rangliste!T531</f>
        <v>0</v>
      </c>
      <c r="E531" t="str">
        <f>IF(Rangliste!E531="M","HE","DE")</f>
        <v>DE</v>
      </c>
      <c r="F531" t="str">
        <f>IF(Rangliste!E531="M","HD","DD")</f>
        <v>DD</v>
      </c>
      <c r="G531" t="s">
        <v>649</v>
      </c>
    </row>
    <row r="532" spans="1:7" x14ac:dyDescent="0.3">
      <c r="A532">
        <f>Rangliste!B532</f>
        <v>0</v>
      </c>
      <c r="B532">
        <f>Rangliste!F532</f>
        <v>0</v>
      </c>
      <c r="C532">
        <f>Rangliste!A532</f>
        <v>0</v>
      </c>
      <c r="D532">
        <f>Rangliste!T532</f>
        <v>0</v>
      </c>
      <c r="E532" t="str">
        <f>IF(Rangliste!E532="M","HE","DE")</f>
        <v>DE</v>
      </c>
      <c r="F532" t="str">
        <f>IF(Rangliste!E532="M","HD","DD")</f>
        <v>DD</v>
      </c>
      <c r="G532" t="s">
        <v>649</v>
      </c>
    </row>
    <row r="533" spans="1:7" x14ac:dyDescent="0.3">
      <c r="A533">
        <f>Rangliste!B533</f>
        <v>0</v>
      </c>
      <c r="B533">
        <f>Rangliste!F533</f>
        <v>0</v>
      </c>
      <c r="C533">
        <f>Rangliste!A533</f>
        <v>0</v>
      </c>
      <c r="D533">
        <f>Rangliste!T533</f>
        <v>0</v>
      </c>
      <c r="E533" t="str">
        <f>IF(Rangliste!E533="M","HE","DE")</f>
        <v>DE</v>
      </c>
      <c r="F533" t="str">
        <f>IF(Rangliste!E533="M","HD","DD")</f>
        <v>DD</v>
      </c>
      <c r="G533" t="s">
        <v>649</v>
      </c>
    </row>
    <row r="534" spans="1:7" x14ac:dyDescent="0.3">
      <c r="A534">
        <f>Rangliste!B534</f>
        <v>0</v>
      </c>
      <c r="B534">
        <f>Rangliste!F534</f>
        <v>0</v>
      </c>
      <c r="C534">
        <f>Rangliste!A534</f>
        <v>0</v>
      </c>
      <c r="D534">
        <f>Rangliste!T534</f>
        <v>0</v>
      </c>
      <c r="E534" t="str">
        <f>IF(Rangliste!E534="M","HE","DE")</f>
        <v>DE</v>
      </c>
      <c r="F534" t="str">
        <f>IF(Rangliste!E534="M","HD","DD")</f>
        <v>DD</v>
      </c>
      <c r="G534" t="s">
        <v>649</v>
      </c>
    </row>
    <row r="535" spans="1:7" x14ac:dyDescent="0.3">
      <c r="A535">
        <f>Rangliste!B535</f>
        <v>0</v>
      </c>
      <c r="B535">
        <f>Rangliste!F535</f>
        <v>0</v>
      </c>
      <c r="C535">
        <f>Rangliste!A535</f>
        <v>0</v>
      </c>
      <c r="D535">
        <f>Rangliste!T535</f>
        <v>0</v>
      </c>
      <c r="E535" t="str">
        <f>IF(Rangliste!E535="M","HE","DE")</f>
        <v>DE</v>
      </c>
      <c r="F535" t="str">
        <f>IF(Rangliste!E535="M","HD","DD")</f>
        <v>DD</v>
      </c>
      <c r="G535" t="s">
        <v>649</v>
      </c>
    </row>
    <row r="536" spans="1:7" x14ac:dyDescent="0.3">
      <c r="A536">
        <f>Rangliste!B536</f>
        <v>0</v>
      </c>
      <c r="B536">
        <f>Rangliste!F536</f>
        <v>0</v>
      </c>
      <c r="C536">
        <f>Rangliste!A536</f>
        <v>0</v>
      </c>
      <c r="D536">
        <f>Rangliste!T536</f>
        <v>0</v>
      </c>
      <c r="E536" t="str">
        <f>IF(Rangliste!E536="M","HE","DE")</f>
        <v>DE</v>
      </c>
      <c r="F536" t="str">
        <f>IF(Rangliste!E536="M","HD","DD")</f>
        <v>DD</v>
      </c>
      <c r="G536" t="s">
        <v>649</v>
      </c>
    </row>
    <row r="537" spans="1:7" x14ac:dyDescent="0.3">
      <c r="A537">
        <f>Rangliste!B537</f>
        <v>0</v>
      </c>
      <c r="B537">
        <f>Rangliste!F537</f>
        <v>0</v>
      </c>
      <c r="C537">
        <f>Rangliste!A537</f>
        <v>0</v>
      </c>
      <c r="D537">
        <f>Rangliste!T537</f>
        <v>0</v>
      </c>
      <c r="E537" t="str">
        <f>IF(Rangliste!E537="M","HE","DE")</f>
        <v>DE</v>
      </c>
      <c r="F537" t="str">
        <f>IF(Rangliste!E537="M","HD","DD")</f>
        <v>DD</v>
      </c>
      <c r="G537" t="s">
        <v>649</v>
      </c>
    </row>
    <row r="538" spans="1:7" x14ac:dyDescent="0.3">
      <c r="A538">
        <f>Rangliste!B538</f>
        <v>0</v>
      </c>
      <c r="B538">
        <f>Rangliste!F538</f>
        <v>0</v>
      </c>
      <c r="C538">
        <f>Rangliste!A538</f>
        <v>0</v>
      </c>
      <c r="D538">
        <f>Rangliste!T538</f>
        <v>0</v>
      </c>
      <c r="E538" t="str">
        <f>IF(Rangliste!E538="M","HE","DE")</f>
        <v>DE</v>
      </c>
      <c r="F538" t="str">
        <f>IF(Rangliste!E538="M","HD","DD")</f>
        <v>DD</v>
      </c>
      <c r="G538" t="s">
        <v>649</v>
      </c>
    </row>
    <row r="539" spans="1:7" x14ac:dyDescent="0.3">
      <c r="A539">
        <f>Rangliste!B539</f>
        <v>0</v>
      </c>
      <c r="B539">
        <f>Rangliste!F539</f>
        <v>0</v>
      </c>
      <c r="C539">
        <f>Rangliste!A539</f>
        <v>0</v>
      </c>
      <c r="D539">
        <f>Rangliste!T539</f>
        <v>0</v>
      </c>
      <c r="E539" t="str">
        <f>IF(Rangliste!E539="M","HE","DE")</f>
        <v>DE</v>
      </c>
      <c r="F539" t="str">
        <f>IF(Rangliste!E539="M","HD","DD")</f>
        <v>DD</v>
      </c>
      <c r="G539" t="s">
        <v>649</v>
      </c>
    </row>
    <row r="540" spans="1:7" x14ac:dyDescent="0.3">
      <c r="A540">
        <f>Rangliste!B540</f>
        <v>0</v>
      </c>
      <c r="B540">
        <f>Rangliste!F540</f>
        <v>0</v>
      </c>
      <c r="C540">
        <f>Rangliste!A540</f>
        <v>0</v>
      </c>
      <c r="D540">
        <f>Rangliste!T540</f>
        <v>0</v>
      </c>
      <c r="E540" t="str">
        <f>IF(Rangliste!E540="M","HE","DE")</f>
        <v>DE</v>
      </c>
      <c r="F540" t="str">
        <f>IF(Rangliste!E540="M","HD","DD")</f>
        <v>DD</v>
      </c>
      <c r="G540" t="s">
        <v>649</v>
      </c>
    </row>
    <row r="541" spans="1:7" x14ac:dyDescent="0.3">
      <c r="A541">
        <f>Rangliste!B541</f>
        <v>0</v>
      </c>
      <c r="B541">
        <f>Rangliste!F541</f>
        <v>0</v>
      </c>
      <c r="C541">
        <f>Rangliste!A541</f>
        <v>0</v>
      </c>
      <c r="D541">
        <f>Rangliste!T541</f>
        <v>0</v>
      </c>
      <c r="E541" t="str">
        <f>IF(Rangliste!E541="M","HE","DE")</f>
        <v>DE</v>
      </c>
      <c r="F541" t="str">
        <f>IF(Rangliste!E541="M","HD","DD")</f>
        <v>DD</v>
      </c>
      <c r="G541" t="s">
        <v>649</v>
      </c>
    </row>
    <row r="542" spans="1:7" x14ac:dyDescent="0.3">
      <c r="A542">
        <f>Rangliste!B542</f>
        <v>0</v>
      </c>
      <c r="B542">
        <f>Rangliste!F542</f>
        <v>0</v>
      </c>
      <c r="C542">
        <f>Rangliste!A542</f>
        <v>0</v>
      </c>
      <c r="D542">
        <f>Rangliste!T542</f>
        <v>0</v>
      </c>
      <c r="E542" t="str">
        <f>IF(Rangliste!E542="M","HE","DE")</f>
        <v>DE</v>
      </c>
      <c r="F542" t="str">
        <f>IF(Rangliste!E542="M","HD","DD")</f>
        <v>DD</v>
      </c>
      <c r="G542" t="s">
        <v>649</v>
      </c>
    </row>
    <row r="543" spans="1:7" x14ac:dyDescent="0.3">
      <c r="A543">
        <f>Rangliste!B543</f>
        <v>0</v>
      </c>
      <c r="B543">
        <f>Rangliste!F543</f>
        <v>0</v>
      </c>
      <c r="C543">
        <f>Rangliste!A543</f>
        <v>0</v>
      </c>
      <c r="D543">
        <f>Rangliste!T543</f>
        <v>0</v>
      </c>
      <c r="E543" t="str">
        <f>IF(Rangliste!E543="M","HE","DE")</f>
        <v>DE</v>
      </c>
      <c r="F543" t="str">
        <f>IF(Rangliste!E543="M","HD","DD")</f>
        <v>DD</v>
      </c>
      <c r="G543" t="s">
        <v>649</v>
      </c>
    </row>
    <row r="544" spans="1:7" x14ac:dyDescent="0.3">
      <c r="A544">
        <f>Rangliste!B544</f>
        <v>0</v>
      </c>
      <c r="B544">
        <f>Rangliste!F544</f>
        <v>0</v>
      </c>
      <c r="C544">
        <f>Rangliste!A544</f>
        <v>0</v>
      </c>
      <c r="D544">
        <f>Rangliste!T544</f>
        <v>0</v>
      </c>
      <c r="E544" t="str">
        <f>IF(Rangliste!E544="M","HE","DE")</f>
        <v>DE</v>
      </c>
      <c r="F544" t="str">
        <f>IF(Rangliste!E544="M","HD","DD")</f>
        <v>DD</v>
      </c>
      <c r="G544" t="s">
        <v>649</v>
      </c>
    </row>
    <row r="545" spans="1:7" x14ac:dyDescent="0.3">
      <c r="A545">
        <f>Rangliste!B545</f>
        <v>0</v>
      </c>
      <c r="B545">
        <f>Rangliste!F545</f>
        <v>0</v>
      </c>
      <c r="C545">
        <f>Rangliste!A545</f>
        <v>0</v>
      </c>
      <c r="D545">
        <f>Rangliste!T545</f>
        <v>0</v>
      </c>
      <c r="E545" t="str">
        <f>IF(Rangliste!E545="M","HE","DE")</f>
        <v>DE</v>
      </c>
      <c r="F545" t="str">
        <f>IF(Rangliste!E545="M","HD","DD")</f>
        <v>DD</v>
      </c>
      <c r="G545" t="s">
        <v>649</v>
      </c>
    </row>
    <row r="546" spans="1:7" x14ac:dyDescent="0.3">
      <c r="A546">
        <f>Rangliste!B546</f>
        <v>0</v>
      </c>
      <c r="B546">
        <f>Rangliste!F546</f>
        <v>0</v>
      </c>
      <c r="C546">
        <f>Rangliste!A546</f>
        <v>0</v>
      </c>
      <c r="D546">
        <f>Rangliste!T546</f>
        <v>0</v>
      </c>
      <c r="E546" t="str">
        <f>IF(Rangliste!E546="M","HE","DE")</f>
        <v>DE</v>
      </c>
      <c r="F546" t="str">
        <f>IF(Rangliste!E546="M","HD","DD")</f>
        <v>DD</v>
      </c>
      <c r="G546" t="s">
        <v>649</v>
      </c>
    </row>
    <row r="547" spans="1:7" x14ac:dyDescent="0.3">
      <c r="A547">
        <f>Rangliste!B547</f>
        <v>0</v>
      </c>
      <c r="B547">
        <f>Rangliste!F547</f>
        <v>0</v>
      </c>
      <c r="C547">
        <f>Rangliste!A547</f>
        <v>0</v>
      </c>
      <c r="D547">
        <f>Rangliste!T547</f>
        <v>0</v>
      </c>
      <c r="E547" t="str">
        <f>IF(Rangliste!E547="M","HE","DE")</f>
        <v>DE</v>
      </c>
      <c r="F547" t="str">
        <f>IF(Rangliste!E547="M","HD","DD")</f>
        <v>DD</v>
      </c>
      <c r="G547" t="s">
        <v>649</v>
      </c>
    </row>
    <row r="548" spans="1:7" x14ac:dyDescent="0.3">
      <c r="A548">
        <f>Rangliste!B548</f>
        <v>0</v>
      </c>
      <c r="B548">
        <f>Rangliste!F548</f>
        <v>0</v>
      </c>
      <c r="C548">
        <f>Rangliste!A548</f>
        <v>0</v>
      </c>
      <c r="D548">
        <f>Rangliste!T548</f>
        <v>0</v>
      </c>
      <c r="E548" t="str">
        <f>IF(Rangliste!E548="M","HE","DE")</f>
        <v>DE</v>
      </c>
      <c r="F548" t="str">
        <f>IF(Rangliste!E548="M","HD","DD")</f>
        <v>DD</v>
      </c>
      <c r="G548" t="s">
        <v>649</v>
      </c>
    </row>
    <row r="549" spans="1:7" x14ac:dyDescent="0.3">
      <c r="A549">
        <f>Rangliste!B549</f>
        <v>0</v>
      </c>
      <c r="B549">
        <f>Rangliste!F549</f>
        <v>0</v>
      </c>
      <c r="C549">
        <f>Rangliste!A549</f>
        <v>0</v>
      </c>
      <c r="D549">
        <f>Rangliste!T549</f>
        <v>0</v>
      </c>
      <c r="E549" t="str">
        <f>IF(Rangliste!E549="M","HE","DE")</f>
        <v>DE</v>
      </c>
      <c r="F549" t="str">
        <f>IF(Rangliste!E549="M","HD","DD")</f>
        <v>DD</v>
      </c>
      <c r="G549" t="s">
        <v>649</v>
      </c>
    </row>
    <row r="550" spans="1:7" x14ac:dyDescent="0.3">
      <c r="A550">
        <f>Rangliste!B550</f>
        <v>0</v>
      </c>
      <c r="B550">
        <f>Rangliste!F550</f>
        <v>0</v>
      </c>
      <c r="C550">
        <f>Rangliste!A550</f>
        <v>0</v>
      </c>
      <c r="D550">
        <f>Rangliste!T550</f>
        <v>0</v>
      </c>
      <c r="E550" t="str">
        <f>IF(Rangliste!E550="M","HE","DE")</f>
        <v>DE</v>
      </c>
      <c r="F550" t="str">
        <f>IF(Rangliste!E550="M","HD","DD")</f>
        <v>DD</v>
      </c>
      <c r="G550" t="s">
        <v>649</v>
      </c>
    </row>
    <row r="551" spans="1:7" x14ac:dyDescent="0.3">
      <c r="A551">
        <f>Rangliste!B551</f>
        <v>0</v>
      </c>
      <c r="B551">
        <f>Rangliste!F551</f>
        <v>0</v>
      </c>
      <c r="C551">
        <f>Rangliste!A551</f>
        <v>0</v>
      </c>
      <c r="D551">
        <f>Rangliste!T551</f>
        <v>0</v>
      </c>
      <c r="E551" t="str">
        <f>IF(Rangliste!E551="M","HE","DE")</f>
        <v>DE</v>
      </c>
      <c r="F551" t="str">
        <f>IF(Rangliste!E551="M","HD","DD")</f>
        <v>DD</v>
      </c>
      <c r="G551" t="s">
        <v>649</v>
      </c>
    </row>
    <row r="552" spans="1:7" x14ac:dyDescent="0.3">
      <c r="A552">
        <f>Rangliste!B552</f>
        <v>0</v>
      </c>
      <c r="B552">
        <f>Rangliste!F552</f>
        <v>0</v>
      </c>
      <c r="C552">
        <f>Rangliste!A552</f>
        <v>0</v>
      </c>
      <c r="D552">
        <f>Rangliste!T552</f>
        <v>0</v>
      </c>
      <c r="E552" t="str">
        <f>IF(Rangliste!E552="M","HE","DE")</f>
        <v>DE</v>
      </c>
      <c r="F552" t="str">
        <f>IF(Rangliste!E552="M","HD","DD")</f>
        <v>DD</v>
      </c>
      <c r="G552" t="s">
        <v>649</v>
      </c>
    </row>
    <row r="553" spans="1:7" x14ac:dyDescent="0.3">
      <c r="A553">
        <f>Rangliste!B553</f>
        <v>0</v>
      </c>
      <c r="B553">
        <f>Rangliste!F553</f>
        <v>0</v>
      </c>
      <c r="C553">
        <f>Rangliste!A553</f>
        <v>0</v>
      </c>
      <c r="D553">
        <f>Rangliste!T553</f>
        <v>0</v>
      </c>
      <c r="E553" t="str">
        <f>IF(Rangliste!E553="M","HE","DE")</f>
        <v>DE</v>
      </c>
      <c r="F553" t="str">
        <f>IF(Rangliste!E553="M","HD","DD")</f>
        <v>DD</v>
      </c>
      <c r="G553" t="s">
        <v>649</v>
      </c>
    </row>
    <row r="554" spans="1:7" x14ac:dyDescent="0.3">
      <c r="A554">
        <f>Rangliste!B554</f>
        <v>0</v>
      </c>
      <c r="B554">
        <f>Rangliste!F554</f>
        <v>0</v>
      </c>
      <c r="C554">
        <f>Rangliste!A554</f>
        <v>0</v>
      </c>
      <c r="D554">
        <f>Rangliste!T554</f>
        <v>0</v>
      </c>
      <c r="E554" t="str">
        <f>IF(Rangliste!E554="M","HE","DE")</f>
        <v>DE</v>
      </c>
      <c r="F554" t="str">
        <f>IF(Rangliste!E554="M","HD","DD")</f>
        <v>DD</v>
      </c>
      <c r="G554" t="s">
        <v>649</v>
      </c>
    </row>
    <row r="555" spans="1:7" x14ac:dyDescent="0.3">
      <c r="A555">
        <f>Rangliste!B555</f>
        <v>0</v>
      </c>
      <c r="B555">
        <f>Rangliste!F555</f>
        <v>0</v>
      </c>
      <c r="C555">
        <f>Rangliste!A555</f>
        <v>0</v>
      </c>
      <c r="D555">
        <f>Rangliste!T555</f>
        <v>0</v>
      </c>
      <c r="E555" t="str">
        <f>IF(Rangliste!E555="M","HE","DE")</f>
        <v>DE</v>
      </c>
      <c r="F555" t="str">
        <f>IF(Rangliste!E555="M","HD","DD")</f>
        <v>DD</v>
      </c>
      <c r="G555" t="s">
        <v>649</v>
      </c>
    </row>
    <row r="556" spans="1:7" x14ac:dyDescent="0.3">
      <c r="A556">
        <f>Rangliste!B556</f>
        <v>0</v>
      </c>
      <c r="B556">
        <f>Rangliste!F556</f>
        <v>0</v>
      </c>
      <c r="C556">
        <f>Rangliste!A556</f>
        <v>0</v>
      </c>
      <c r="D556">
        <f>Rangliste!T556</f>
        <v>0</v>
      </c>
      <c r="E556" t="str">
        <f>IF(Rangliste!E556="M","HE","DE")</f>
        <v>DE</v>
      </c>
      <c r="F556" t="str">
        <f>IF(Rangliste!E556="M","HD","DD")</f>
        <v>DD</v>
      </c>
      <c r="G556" t="s">
        <v>649</v>
      </c>
    </row>
    <row r="557" spans="1:7" x14ac:dyDescent="0.3">
      <c r="A557">
        <f>Rangliste!B557</f>
        <v>0</v>
      </c>
      <c r="B557">
        <f>Rangliste!F557</f>
        <v>0</v>
      </c>
      <c r="C557">
        <f>Rangliste!A557</f>
        <v>0</v>
      </c>
      <c r="D557">
        <f>Rangliste!T557</f>
        <v>0</v>
      </c>
      <c r="E557" t="str">
        <f>IF(Rangliste!E557="M","HE","DE")</f>
        <v>DE</v>
      </c>
      <c r="F557" t="str">
        <f>IF(Rangliste!E557="M","HD","DD")</f>
        <v>DD</v>
      </c>
      <c r="G557" t="s">
        <v>649</v>
      </c>
    </row>
    <row r="558" spans="1:7" x14ac:dyDescent="0.3">
      <c r="A558">
        <f>Rangliste!B558</f>
        <v>0</v>
      </c>
      <c r="B558">
        <f>Rangliste!F558</f>
        <v>0</v>
      </c>
      <c r="C558">
        <f>Rangliste!A558</f>
        <v>0</v>
      </c>
      <c r="D558">
        <f>Rangliste!T558</f>
        <v>0</v>
      </c>
      <c r="E558" t="str">
        <f>IF(Rangliste!E558="M","HE","DE")</f>
        <v>DE</v>
      </c>
      <c r="F558" t="str">
        <f>IF(Rangliste!E558="M","HD","DD")</f>
        <v>DD</v>
      </c>
      <c r="G558" t="s">
        <v>649</v>
      </c>
    </row>
    <row r="559" spans="1:7" x14ac:dyDescent="0.3">
      <c r="A559">
        <f>Rangliste!B559</f>
        <v>0</v>
      </c>
      <c r="B559">
        <f>Rangliste!F559</f>
        <v>0</v>
      </c>
      <c r="C559">
        <f>Rangliste!A559</f>
        <v>0</v>
      </c>
      <c r="D559">
        <f>Rangliste!T559</f>
        <v>0</v>
      </c>
      <c r="E559" t="str">
        <f>IF(Rangliste!E559="M","HE","DE")</f>
        <v>DE</v>
      </c>
      <c r="F559" t="str">
        <f>IF(Rangliste!E559="M","HD","DD")</f>
        <v>DD</v>
      </c>
      <c r="G559" t="s">
        <v>649</v>
      </c>
    </row>
    <row r="560" spans="1:7" x14ac:dyDescent="0.3">
      <c r="A560">
        <f>Rangliste!B560</f>
        <v>0</v>
      </c>
      <c r="B560">
        <f>Rangliste!F560</f>
        <v>0</v>
      </c>
      <c r="C560">
        <f>Rangliste!A560</f>
        <v>0</v>
      </c>
      <c r="D560">
        <f>Rangliste!T560</f>
        <v>0</v>
      </c>
      <c r="E560" t="str">
        <f>IF(Rangliste!E560="M","HE","DE")</f>
        <v>DE</v>
      </c>
      <c r="F560" t="str">
        <f>IF(Rangliste!E560="M","HD","DD")</f>
        <v>DD</v>
      </c>
      <c r="G560" t="s">
        <v>649</v>
      </c>
    </row>
    <row r="561" spans="1:7" x14ac:dyDescent="0.3">
      <c r="A561">
        <f>Rangliste!B561</f>
        <v>0</v>
      </c>
      <c r="B561">
        <f>Rangliste!F561</f>
        <v>0</v>
      </c>
      <c r="C561">
        <f>Rangliste!A561</f>
        <v>0</v>
      </c>
      <c r="D561">
        <f>Rangliste!T561</f>
        <v>0</v>
      </c>
      <c r="E561" t="str">
        <f>IF(Rangliste!E561="M","HE","DE")</f>
        <v>DE</v>
      </c>
      <c r="F561" t="str">
        <f>IF(Rangliste!E561="M","HD","DD")</f>
        <v>DD</v>
      </c>
      <c r="G561" t="s">
        <v>649</v>
      </c>
    </row>
    <row r="562" spans="1:7" x14ac:dyDescent="0.3">
      <c r="A562">
        <f>Rangliste!B562</f>
        <v>0</v>
      </c>
      <c r="B562">
        <f>Rangliste!F562</f>
        <v>0</v>
      </c>
      <c r="C562">
        <f>Rangliste!A562</f>
        <v>0</v>
      </c>
      <c r="D562">
        <f>Rangliste!T562</f>
        <v>0</v>
      </c>
      <c r="E562" t="str">
        <f>IF(Rangliste!E562="M","HE","DE")</f>
        <v>DE</v>
      </c>
      <c r="F562" t="str">
        <f>IF(Rangliste!E562="M","HD","DD")</f>
        <v>DD</v>
      </c>
      <c r="G562" t="s">
        <v>649</v>
      </c>
    </row>
    <row r="563" spans="1:7" x14ac:dyDescent="0.3">
      <c r="A563">
        <f>Rangliste!B563</f>
        <v>0</v>
      </c>
      <c r="B563">
        <f>Rangliste!F563</f>
        <v>0</v>
      </c>
      <c r="C563">
        <f>Rangliste!A563</f>
        <v>0</v>
      </c>
      <c r="D563">
        <f>Rangliste!T563</f>
        <v>0</v>
      </c>
      <c r="E563" t="str">
        <f>IF(Rangliste!E563="M","HE","DE")</f>
        <v>DE</v>
      </c>
      <c r="F563" t="str">
        <f>IF(Rangliste!E563="M","HD","DD")</f>
        <v>DD</v>
      </c>
      <c r="G563" t="s">
        <v>649</v>
      </c>
    </row>
    <row r="564" spans="1:7" x14ac:dyDescent="0.3">
      <c r="A564">
        <f>Rangliste!B564</f>
        <v>0</v>
      </c>
      <c r="B564">
        <f>Rangliste!F564</f>
        <v>0</v>
      </c>
      <c r="C564">
        <f>Rangliste!A564</f>
        <v>0</v>
      </c>
      <c r="D564">
        <f>Rangliste!T564</f>
        <v>0</v>
      </c>
      <c r="E564" t="str">
        <f>IF(Rangliste!E564="M","HE","DE")</f>
        <v>DE</v>
      </c>
      <c r="F564" t="str">
        <f>IF(Rangliste!E564="M","HD","DD")</f>
        <v>DD</v>
      </c>
      <c r="G564" t="s">
        <v>649</v>
      </c>
    </row>
    <row r="565" spans="1:7" x14ac:dyDescent="0.3">
      <c r="A565">
        <f>Rangliste!B565</f>
        <v>0</v>
      </c>
      <c r="B565">
        <f>Rangliste!F565</f>
        <v>0</v>
      </c>
      <c r="C565">
        <f>Rangliste!A565</f>
        <v>0</v>
      </c>
      <c r="D565">
        <f>Rangliste!T565</f>
        <v>0</v>
      </c>
      <c r="E565" t="str">
        <f>IF(Rangliste!E565="M","HE","DE")</f>
        <v>DE</v>
      </c>
      <c r="F565" t="str">
        <f>IF(Rangliste!E565="M","HD","DD")</f>
        <v>DD</v>
      </c>
      <c r="G565" t="s">
        <v>649</v>
      </c>
    </row>
    <row r="566" spans="1:7" x14ac:dyDescent="0.3">
      <c r="A566">
        <f>Rangliste!B566</f>
        <v>0</v>
      </c>
      <c r="B566">
        <f>Rangliste!F566</f>
        <v>0</v>
      </c>
      <c r="C566">
        <f>Rangliste!A566</f>
        <v>0</v>
      </c>
      <c r="D566">
        <f>Rangliste!T566</f>
        <v>0</v>
      </c>
      <c r="E566" t="str">
        <f>IF(Rangliste!E566="M","HE","DE")</f>
        <v>DE</v>
      </c>
      <c r="F566" t="str">
        <f>IF(Rangliste!E566="M","HD","DD")</f>
        <v>DD</v>
      </c>
      <c r="G566" t="s">
        <v>649</v>
      </c>
    </row>
    <row r="567" spans="1:7" x14ac:dyDescent="0.3">
      <c r="A567">
        <f>Rangliste!B567</f>
        <v>0</v>
      </c>
      <c r="B567">
        <f>Rangliste!F567</f>
        <v>0</v>
      </c>
      <c r="C567">
        <f>Rangliste!A567</f>
        <v>0</v>
      </c>
      <c r="D567">
        <f>Rangliste!T567</f>
        <v>0</v>
      </c>
      <c r="E567" t="str">
        <f>IF(Rangliste!E567="M","HE","DE")</f>
        <v>DE</v>
      </c>
      <c r="F567" t="str">
        <f>IF(Rangliste!E567="M","HD","DD")</f>
        <v>DD</v>
      </c>
      <c r="G567" t="s">
        <v>649</v>
      </c>
    </row>
    <row r="568" spans="1:7" x14ac:dyDescent="0.3">
      <c r="A568">
        <f>Rangliste!B568</f>
        <v>0</v>
      </c>
      <c r="B568">
        <f>Rangliste!F568</f>
        <v>0</v>
      </c>
      <c r="C568">
        <f>Rangliste!A568</f>
        <v>0</v>
      </c>
      <c r="D568">
        <f>Rangliste!T568</f>
        <v>0</v>
      </c>
      <c r="E568" t="str">
        <f>IF(Rangliste!E568="M","HE","DE")</f>
        <v>DE</v>
      </c>
      <c r="F568" t="str">
        <f>IF(Rangliste!E568="M","HD","DD")</f>
        <v>DD</v>
      </c>
      <c r="G568" t="s">
        <v>649</v>
      </c>
    </row>
    <row r="569" spans="1:7" x14ac:dyDescent="0.3">
      <c r="A569">
        <f>Rangliste!B569</f>
        <v>0</v>
      </c>
      <c r="B569">
        <f>Rangliste!F569</f>
        <v>0</v>
      </c>
      <c r="C569">
        <f>Rangliste!A569</f>
        <v>0</v>
      </c>
      <c r="D569">
        <f>Rangliste!T569</f>
        <v>0</v>
      </c>
      <c r="E569" t="str">
        <f>IF(Rangliste!E569="M","HE","DE")</f>
        <v>DE</v>
      </c>
      <c r="F569" t="str">
        <f>IF(Rangliste!E569="M","HD","DD")</f>
        <v>DD</v>
      </c>
      <c r="G569" t="s">
        <v>649</v>
      </c>
    </row>
    <row r="570" spans="1:7" x14ac:dyDescent="0.3">
      <c r="A570">
        <f>Rangliste!B570</f>
        <v>0</v>
      </c>
      <c r="B570">
        <f>Rangliste!F570</f>
        <v>0</v>
      </c>
      <c r="C570">
        <f>Rangliste!A570</f>
        <v>0</v>
      </c>
      <c r="D570">
        <f>Rangliste!T570</f>
        <v>0</v>
      </c>
      <c r="E570" t="str">
        <f>IF(Rangliste!E570="M","HE","DE")</f>
        <v>DE</v>
      </c>
      <c r="F570" t="str">
        <f>IF(Rangliste!E570="M","HD","DD")</f>
        <v>DD</v>
      </c>
      <c r="G570" t="s">
        <v>649</v>
      </c>
    </row>
    <row r="571" spans="1:7" x14ac:dyDescent="0.3">
      <c r="A571">
        <f>Rangliste!B571</f>
        <v>0</v>
      </c>
      <c r="B571">
        <f>Rangliste!F571</f>
        <v>0</v>
      </c>
      <c r="C571">
        <f>Rangliste!A571</f>
        <v>0</v>
      </c>
      <c r="D571">
        <f>Rangliste!T571</f>
        <v>0</v>
      </c>
      <c r="E571" t="str">
        <f>IF(Rangliste!E571="M","HE","DE")</f>
        <v>DE</v>
      </c>
      <c r="F571" t="str">
        <f>IF(Rangliste!E571="M","HD","DD")</f>
        <v>DD</v>
      </c>
      <c r="G571" t="s">
        <v>649</v>
      </c>
    </row>
    <row r="572" spans="1:7" x14ac:dyDescent="0.3">
      <c r="A572">
        <f>Rangliste!B572</f>
        <v>0</v>
      </c>
      <c r="B572">
        <f>Rangliste!F572</f>
        <v>0</v>
      </c>
      <c r="C572">
        <f>Rangliste!A572</f>
        <v>0</v>
      </c>
      <c r="D572">
        <f>Rangliste!T572</f>
        <v>0</v>
      </c>
      <c r="E572" t="str">
        <f>IF(Rangliste!E572="M","HE","DE")</f>
        <v>DE</v>
      </c>
      <c r="F572" t="str">
        <f>IF(Rangliste!E572="M","HD","DD")</f>
        <v>DD</v>
      </c>
      <c r="G572" t="s">
        <v>649</v>
      </c>
    </row>
    <row r="573" spans="1:7" x14ac:dyDescent="0.3">
      <c r="A573">
        <f>Rangliste!B573</f>
        <v>0</v>
      </c>
      <c r="B573">
        <f>Rangliste!F573</f>
        <v>0</v>
      </c>
      <c r="C573">
        <f>Rangliste!A573</f>
        <v>0</v>
      </c>
      <c r="D573">
        <f>Rangliste!T573</f>
        <v>0</v>
      </c>
      <c r="E573" t="str">
        <f>IF(Rangliste!E573="M","HE","DE")</f>
        <v>DE</v>
      </c>
      <c r="F573" t="str">
        <f>IF(Rangliste!E573="M","HD","DD")</f>
        <v>DD</v>
      </c>
      <c r="G573" t="s">
        <v>649</v>
      </c>
    </row>
    <row r="574" spans="1:7" x14ac:dyDescent="0.3">
      <c r="A574">
        <f>Rangliste!B574</f>
        <v>0</v>
      </c>
      <c r="B574">
        <f>Rangliste!F574</f>
        <v>0</v>
      </c>
      <c r="C574">
        <f>Rangliste!A574</f>
        <v>0</v>
      </c>
      <c r="D574">
        <f>Rangliste!T574</f>
        <v>0</v>
      </c>
      <c r="E574" t="str">
        <f>IF(Rangliste!E574="M","HE","DE")</f>
        <v>DE</v>
      </c>
      <c r="F574" t="str">
        <f>IF(Rangliste!E574="M","HD","DD")</f>
        <v>DD</v>
      </c>
      <c r="G574" t="s">
        <v>649</v>
      </c>
    </row>
    <row r="575" spans="1:7" x14ac:dyDescent="0.3">
      <c r="A575">
        <f>Rangliste!B575</f>
        <v>0</v>
      </c>
      <c r="B575">
        <f>Rangliste!F575</f>
        <v>0</v>
      </c>
      <c r="C575">
        <f>Rangliste!A575</f>
        <v>0</v>
      </c>
      <c r="D575">
        <f>Rangliste!T575</f>
        <v>0</v>
      </c>
      <c r="E575" t="str">
        <f>IF(Rangliste!E575="M","HE","DE")</f>
        <v>DE</v>
      </c>
      <c r="F575" t="str">
        <f>IF(Rangliste!E575="M","HD","DD")</f>
        <v>DD</v>
      </c>
      <c r="G575" t="s">
        <v>649</v>
      </c>
    </row>
    <row r="576" spans="1:7" x14ac:dyDescent="0.3">
      <c r="A576">
        <f>Rangliste!B576</f>
        <v>0</v>
      </c>
      <c r="B576">
        <f>Rangliste!F576</f>
        <v>0</v>
      </c>
      <c r="C576">
        <f>Rangliste!A576</f>
        <v>0</v>
      </c>
      <c r="D576">
        <f>Rangliste!T576</f>
        <v>0</v>
      </c>
      <c r="E576" t="str">
        <f>IF(Rangliste!E576="M","HE","DE")</f>
        <v>DE</v>
      </c>
      <c r="F576" t="str">
        <f>IF(Rangliste!E576="M","HD","DD")</f>
        <v>DD</v>
      </c>
      <c r="G576" t="s">
        <v>649</v>
      </c>
    </row>
    <row r="577" spans="1:7" x14ac:dyDescent="0.3">
      <c r="A577">
        <f>Rangliste!B577</f>
        <v>0</v>
      </c>
      <c r="B577">
        <f>Rangliste!F577</f>
        <v>0</v>
      </c>
      <c r="C577">
        <f>Rangliste!A577</f>
        <v>0</v>
      </c>
      <c r="D577">
        <f>Rangliste!T577</f>
        <v>0</v>
      </c>
      <c r="E577" t="str">
        <f>IF(Rangliste!E577="M","HE","DE")</f>
        <v>DE</v>
      </c>
      <c r="F577" t="str">
        <f>IF(Rangliste!E577="M","HD","DD")</f>
        <v>DD</v>
      </c>
      <c r="G577" t="s">
        <v>649</v>
      </c>
    </row>
    <row r="578" spans="1:7" x14ac:dyDescent="0.3">
      <c r="A578">
        <f>Rangliste!B578</f>
        <v>0</v>
      </c>
      <c r="B578">
        <f>Rangliste!F578</f>
        <v>0</v>
      </c>
      <c r="C578">
        <f>Rangliste!A578</f>
        <v>0</v>
      </c>
      <c r="D578">
        <f>Rangliste!T578</f>
        <v>0</v>
      </c>
      <c r="E578" t="str">
        <f>IF(Rangliste!E578="M","HE","DE")</f>
        <v>DE</v>
      </c>
      <c r="F578" t="str">
        <f>IF(Rangliste!E578="M","HD","DD")</f>
        <v>DD</v>
      </c>
      <c r="G578" t="s">
        <v>649</v>
      </c>
    </row>
    <row r="579" spans="1:7" x14ac:dyDescent="0.3">
      <c r="A579">
        <f>Rangliste!B579</f>
        <v>0</v>
      </c>
      <c r="B579">
        <f>Rangliste!F579</f>
        <v>0</v>
      </c>
      <c r="C579">
        <f>Rangliste!A579</f>
        <v>0</v>
      </c>
      <c r="D579">
        <f>Rangliste!T579</f>
        <v>0</v>
      </c>
      <c r="E579" t="str">
        <f>IF(Rangliste!E579="M","HE","DE")</f>
        <v>DE</v>
      </c>
      <c r="F579" t="str">
        <f>IF(Rangliste!E579="M","HD","DD")</f>
        <v>DD</v>
      </c>
      <c r="G579" t="s">
        <v>649</v>
      </c>
    </row>
    <row r="580" spans="1:7" x14ac:dyDescent="0.3">
      <c r="A580">
        <f>Rangliste!B580</f>
        <v>0</v>
      </c>
      <c r="B580">
        <f>Rangliste!F580</f>
        <v>0</v>
      </c>
      <c r="C580">
        <f>Rangliste!A580</f>
        <v>0</v>
      </c>
      <c r="D580">
        <f>Rangliste!T580</f>
        <v>0</v>
      </c>
      <c r="E580" t="str">
        <f>IF(Rangliste!E580="M","HE","DE")</f>
        <v>DE</v>
      </c>
      <c r="F580" t="str">
        <f>IF(Rangliste!E580="M","HD","DD")</f>
        <v>DD</v>
      </c>
      <c r="G580" t="s">
        <v>649</v>
      </c>
    </row>
    <row r="581" spans="1:7" x14ac:dyDescent="0.3">
      <c r="A581">
        <f>Rangliste!B581</f>
        <v>0</v>
      </c>
      <c r="B581">
        <f>Rangliste!F581</f>
        <v>0</v>
      </c>
      <c r="C581">
        <f>Rangliste!A581</f>
        <v>0</v>
      </c>
      <c r="D581">
        <f>Rangliste!T581</f>
        <v>0</v>
      </c>
      <c r="E581" t="str">
        <f>IF(Rangliste!E581="M","HE","DE")</f>
        <v>DE</v>
      </c>
      <c r="F581" t="str">
        <f>IF(Rangliste!E581="M","HD","DD")</f>
        <v>DD</v>
      </c>
      <c r="G581" t="s">
        <v>649</v>
      </c>
    </row>
    <row r="582" spans="1:7" x14ac:dyDescent="0.3">
      <c r="A582">
        <f>Rangliste!B582</f>
        <v>0</v>
      </c>
      <c r="B582">
        <f>Rangliste!F582</f>
        <v>0</v>
      </c>
      <c r="C582">
        <f>Rangliste!A582</f>
        <v>0</v>
      </c>
      <c r="D582">
        <f>Rangliste!T582</f>
        <v>0</v>
      </c>
      <c r="E582" t="str">
        <f>IF(Rangliste!E582="M","HE","DE")</f>
        <v>DE</v>
      </c>
      <c r="F582" t="str">
        <f>IF(Rangliste!E582="M","HD","DD")</f>
        <v>DD</v>
      </c>
      <c r="G582" t="s">
        <v>649</v>
      </c>
    </row>
    <row r="583" spans="1:7" x14ac:dyDescent="0.3">
      <c r="A583">
        <f>Rangliste!B583</f>
        <v>0</v>
      </c>
      <c r="B583">
        <f>Rangliste!F583</f>
        <v>0</v>
      </c>
      <c r="C583">
        <f>Rangliste!A583</f>
        <v>0</v>
      </c>
      <c r="D583">
        <f>Rangliste!T583</f>
        <v>0</v>
      </c>
      <c r="E583" t="str">
        <f>IF(Rangliste!E583="M","HE","DE")</f>
        <v>DE</v>
      </c>
      <c r="F583" t="str">
        <f>IF(Rangliste!E583="M","HD","DD")</f>
        <v>DD</v>
      </c>
      <c r="G583" t="s">
        <v>649</v>
      </c>
    </row>
    <row r="584" spans="1:7" x14ac:dyDescent="0.3">
      <c r="A584">
        <f>Rangliste!B584</f>
        <v>0</v>
      </c>
      <c r="B584">
        <f>Rangliste!F584</f>
        <v>0</v>
      </c>
      <c r="C584">
        <f>Rangliste!A584</f>
        <v>0</v>
      </c>
      <c r="D584">
        <f>Rangliste!T584</f>
        <v>0</v>
      </c>
      <c r="E584" t="str">
        <f>IF(Rangliste!E584="M","HE","DE")</f>
        <v>DE</v>
      </c>
      <c r="F584" t="str">
        <f>IF(Rangliste!E584="M","HD","DD")</f>
        <v>DD</v>
      </c>
      <c r="G584" t="s">
        <v>649</v>
      </c>
    </row>
    <row r="585" spans="1:7" x14ac:dyDescent="0.3">
      <c r="A585">
        <f>Rangliste!B585</f>
        <v>0</v>
      </c>
      <c r="B585">
        <f>Rangliste!F585</f>
        <v>0</v>
      </c>
      <c r="C585">
        <f>Rangliste!A585</f>
        <v>0</v>
      </c>
      <c r="D585">
        <f>Rangliste!T585</f>
        <v>0</v>
      </c>
      <c r="E585" t="str">
        <f>IF(Rangliste!E585="M","HE","DE")</f>
        <v>DE</v>
      </c>
      <c r="F585" t="str">
        <f>IF(Rangliste!E585="M","HD","DD")</f>
        <v>DD</v>
      </c>
      <c r="G585" t="s">
        <v>649</v>
      </c>
    </row>
    <row r="586" spans="1:7" x14ac:dyDescent="0.3">
      <c r="A586">
        <f>Rangliste!B586</f>
        <v>0</v>
      </c>
      <c r="B586">
        <f>Rangliste!F586</f>
        <v>0</v>
      </c>
      <c r="C586">
        <f>Rangliste!A586</f>
        <v>0</v>
      </c>
      <c r="D586">
        <f>Rangliste!T586</f>
        <v>0</v>
      </c>
      <c r="E586" t="str">
        <f>IF(Rangliste!E586="M","HE","DE")</f>
        <v>DE</v>
      </c>
      <c r="F586" t="str">
        <f>IF(Rangliste!E586="M","HD","DD")</f>
        <v>DD</v>
      </c>
      <c r="G586" t="s">
        <v>649</v>
      </c>
    </row>
    <row r="587" spans="1:7" x14ac:dyDescent="0.3">
      <c r="A587">
        <f>Rangliste!B587</f>
        <v>0</v>
      </c>
      <c r="B587">
        <f>Rangliste!F587</f>
        <v>0</v>
      </c>
      <c r="C587">
        <f>Rangliste!A587</f>
        <v>0</v>
      </c>
      <c r="D587">
        <f>Rangliste!T587</f>
        <v>0</v>
      </c>
      <c r="E587" t="str">
        <f>IF(Rangliste!E587="M","HE","DE")</f>
        <v>DE</v>
      </c>
      <c r="F587" t="str">
        <f>IF(Rangliste!E587="M","HD","DD")</f>
        <v>DD</v>
      </c>
      <c r="G587" t="s">
        <v>649</v>
      </c>
    </row>
    <row r="588" spans="1:7" x14ac:dyDescent="0.3">
      <c r="A588">
        <f>Rangliste!B588</f>
        <v>0</v>
      </c>
      <c r="B588">
        <f>Rangliste!F588</f>
        <v>0</v>
      </c>
      <c r="C588">
        <f>Rangliste!A588</f>
        <v>0</v>
      </c>
      <c r="D588">
        <f>Rangliste!T588</f>
        <v>0</v>
      </c>
      <c r="E588" t="str">
        <f>IF(Rangliste!E588="M","HE","DE")</f>
        <v>DE</v>
      </c>
      <c r="F588" t="str">
        <f>IF(Rangliste!E588="M","HD","DD")</f>
        <v>DD</v>
      </c>
      <c r="G588" t="s">
        <v>649</v>
      </c>
    </row>
    <row r="589" spans="1:7" x14ac:dyDescent="0.3">
      <c r="A589">
        <f>Rangliste!B589</f>
        <v>0</v>
      </c>
      <c r="B589">
        <f>Rangliste!F589</f>
        <v>0</v>
      </c>
      <c r="C589">
        <f>Rangliste!A589</f>
        <v>0</v>
      </c>
      <c r="D589">
        <f>Rangliste!T589</f>
        <v>0</v>
      </c>
      <c r="E589" t="str">
        <f>IF(Rangliste!E589="M","HE","DE")</f>
        <v>DE</v>
      </c>
      <c r="F589" t="str">
        <f>IF(Rangliste!E589="M","HD","DD")</f>
        <v>DD</v>
      </c>
      <c r="G589" t="s">
        <v>649</v>
      </c>
    </row>
    <row r="590" spans="1:7" x14ac:dyDescent="0.3">
      <c r="A590">
        <f>Rangliste!B590</f>
        <v>0</v>
      </c>
      <c r="B590">
        <f>Rangliste!F590</f>
        <v>0</v>
      </c>
      <c r="C590">
        <f>Rangliste!A590</f>
        <v>0</v>
      </c>
      <c r="D590">
        <f>Rangliste!T590</f>
        <v>0</v>
      </c>
      <c r="E590" t="str">
        <f>IF(Rangliste!E590="M","HE","DE")</f>
        <v>DE</v>
      </c>
      <c r="F590" t="str">
        <f>IF(Rangliste!E590="M","HD","DD")</f>
        <v>DD</v>
      </c>
      <c r="G590" t="s">
        <v>649</v>
      </c>
    </row>
    <row r="591" spans="1:7" x14ac:dyDescent="0.3">
      <c r="A591">
        <f>Rangliste!B591</f>
        <v>0</v>
      </c>
      <c r="B591">
        <f>Rangliste!F591</f>
        <v>0</v>
      </c>
      <c r="C591">
        <f>Rangliste!A591</f>
        <v>0</v>
      </c>
      <c r="D591">
        <f>Rangliste!T591</f>
        <v>0</v>
      </c>
      <c r="E591" t="str">
        <f>IF(Rangliste!E591="M","HE","DE")</f>
        <v>DE</v>
      </c>
      <c r="F591" t="str">
        <f>IF(Rangliste!E591="M","HD","DD")</f>
        <v>DD</v>
      </c>
      <c r="G591" t="s">
        <v>649</v>
      </c>
    </row>
    <row r="592" spans="1:7" x14ac:dyDescent="0.3">
      <c r="A592">
        <f>Rangliste!B592</f>
        <v>0</v>
      </c>
      <c r="B592">
        <f>Rangliste!F592</f>
        <v>0</v>
      </c>
      <c r="C592">
        <f>Rangliste!A592</f>
        <v>0</v>
      </c>
      <c r="D592">
        <f>Rangliste!T592</f>
        <v>0</v>
      </c>
      <c r="E592" t="str">
        <f>IF(Rangliste!E592="M","HE","DE")</f>
        <v>DE</v>
      </c>
      <c r="F592" t="str">
        <f>IF(Rangliste!E592="M","HD","DD")</f>
        <v>DD</v>
      </c>
      <c r="G592" t="s">
        <v>649</v>
      </c>
    </row>
    <row r="593" spans="1:7" x14ac:dyDescent="0.3">
      <c r="A593">
        <f>Rangliste!B593</f>
        <v>0</v>
      </c>
      <c r="B593">
        <f>Rangliste!F593</f>
        <v>0</v>
      </c>
      <c r="C593">
        <f>Rangliste!A593</f>
        <v>0</v>
      </c>
      <c r="D593">
        <f>Rangliste!T593</f>
        <v>0</v>
      </c>
      <c r="E593" t="str">
        <f>IF(Rangliste!E593="M","HE","DE")</f>
        <v>DE</v>
      </c>
      <c r="F593" t="str">
        <f>IF(Rangliste!E593="M","HD","DD")</f>
        <v>DD</v>
      </c>
      <c r="G593" t="s">
        <v>649</v>
      </c>
    </row>
    <row r="594" spans="1:7" x14ac:dyDescent="0.3">
      <c r="A594">
        <f>Rangliste!B594</f>
        <v>0</v>
      </c>
      <c r="B594">
        <f>Rangliste!F594</f>
        <v>0</v>
      </c>
      <c r="C594">
        <f>Rangliste!A594</f>
        <v>0</v>
      </c>
      <c r="D594">
        <f>Rangliste!T594</f>
        <v>0</v>
      </c>
      <c r="E594" t="str">
        <f>IF(Rangliste!E594="M","HE","DE")</f>
        <v>DE</v>
      </c>
      <c r="F594" t="str">
        <f>IF(Rangliste!E594="M","HD","DD")</f>
        <v>DD</v>
      </c>
      <c r="G594" t="s">
        <v>649</v>
      </c>
    </row>
    <row r="595" spans="1:7" x14ac:dyDescent="0.3">
      <c r="A595">
        <f>Rangliste!B595</f>
        <v>0</v>
      </c>
      <c r="B595">
        <f>Rangliste!F595</f>
        <v>0</v>
      </c>
      <c r="C595">
        <f>Rangliste!A595</f>
        <v>0</v>
      </c>
      <c r="D595">
        <f>Rangliste!T595</f>
        <v>0</v>
      </c>
      <c r="E595" t="str">
        <f>IF(Rangliste!E595="M","HE","DE")</f>
        <v>DE</v>
      </c>
      <c r="F595" t="str">
        <f>IF(Rangliste!E595="M","HD","DD")</f>
        <v>DD</v>
      </c>
      <c r="G595" t="s">
        <v>649</v>
      </c>
    </row>
    <row r="596" spans="1:7" x14ac:dyDescent="0.3">
      <c r="A596">
        <f>Rangliste!B596</f>
        <v>0</v>
      </c>
      <c r="B596">
        <f>Rangliste!F596</f>
        <v>0</v>
      </c>
      <c r="C596">
        <f>Rangliste!A596</f>
        <v>0</v>
      </c>
      <c r="D596">
        <f>Rangliste!T596</f>
        <v>0</v>
      </c>
      <c r="E596" t="str">
        <f>IF(Rangliste!E596="M","HE","DE")</f>
        <v>DE</v>
      </c>
      <c r="F596" t="str">
        <f>IF(Rangliste!E596="M","HD","DD")</f>
        <v>DD</v>
      </c>
      <c r="G596" t="s">
        <v>649</v>
      </c>
    </row>
    <row r="597" spans="1:7" x14ac:dyDescent="0.3">
      <c r="A597">
        <f>Rangliste!B597</f>
        <v>0</v>
      </c>
      <c r="B597">
        <f>Rangliste!F597</f>
        <v>0</v>
      </c>
      <c r="C597">
        <f>Rangliste!A597</f>
        <v>0</v>
      </c>
      <c r="D597">
        <f>Rangliste!T597</f>
        <v>0</v>
      </c>
      <c r="E597" t="str">
        <f>IF(Rangliste!E597="M","HE","DE")</f>
        <v>DE</v>
      </c>
      <c r="F597" t="str">
        <f>IF(Rangliste!E597="M","HD","DD")</f>
        <v>DD</v>
      </c>
      <c r="G597" t="s">
        <v>649</v>
      </c>
    </row>
    <row r="598" spans="1:7" x14ac:dyDescent="0.3">
      <c r="A598">
        <f>Rangliste!B598</f>
        <v>0</v>
      </c>
      <c r="B598">
        <f>Rangliste!F598</f>
        <v>0</v>
      </c>
      <c r="C598">
        <f>Rangliste!A598</f>
        <v>0</v>
      </c>
      <c r="D598">
        <f>Rangliste!T598</f>
        <v>0</v>
      </c>
      <c r="E598" t="str">
        <f>IF(Rangliste!E598="M","HE","DE")</f>
        <v>DE</v>
      </c>
      <c r="F598" t="str">
        <f>IF(Rangliste!E598="M","HD","DD")</f>
        <v>DD</v>
      </c>
      <c r="G598" t="s">
        <v>649</v>
      </c>
    </row>
    <row r="599" spans="1:7" x14ac:dyDescent="0.3">
      <c r="A599">
        <f>Rangliste!B599</f>
        <v>0</v>
      </c>
      <c r="B599">
        <f>Rangliste!F599</f>
        <v>0</v>
      </c>
      <c r="C599">
        <f>Rangliste!A599</f>
        <v>0</v>
      </c>
      <c r="D599">
        <f>Rangliste!T599</f>
        <v>0</v>
      </c>
      <c r="E599" t="str">
        <f>IF(Rangliste!E599="M","HE","DE")</f>
        <v>DE</v>
      </c>
      <c r="F599" t="str">
        <f>IF(Rangliste!E599="M","HD","DD")</f>
        <v>DD</v>
      </c>
      <c r="G599" t="s">
        <v>649</v>
      </c>
    </row>
    <row r="600" spans="1:7" x14ac:dyDescent="0.3">
      <c r="A600">
        <f>Rangliste!B600</f>
        <v>0</v>
      </c>
      <c r="B600">
        <f>Rangliste!F600</f>
        <v>0</v>
      </c>
      <c r="C600">
        <f>Rangliste!A600</f>
        <v>0</v>
      </c>
      <c r="D600">
        <f>Rangliste!T600</f>
        <v>0</v>
      </c>
      <c r="E600" t="str">
        <f>IF(Rangliste!E600="M","HE","DE")</f>
        <v>DE</v>
      </c>
      <c r="F600" t="str">
        <f>IF(Rangliste!E600="M","HD","DD")</f>
        <v>DD</v>
      </c>
      <c r="G600" t="s">
        <v>649</v>
      </c>
    </row>
    <row r="601" spans="1:7" x14ac:dyDescent="0.3">
      <c r="A601">
        <f>Rangliste!B601</f>
        <v>0</v>
      </c>
      <c r="B601">
        <f>Rangliste!F601</f>
        <v>0</v>
      </c>
      <c r="C601">
        <f>Rangliste!A601</f>
        <v>0</v>
      </c>
      <c r="D601">
        <f>Rangliste!T601</f>
        <v>0</v>
      </c>
      <c r="E601" t="str">
        <f>IF(Rangliste!E601="M","HE","DE")</f>
        <v>DE</v>
      </c>
      <c r="F601" t="str">
        <f>IF(Rangliste!E601="M","HD","DD")</f>
        <v>DD</v>
      </c>
      <c r="G601" t="s">
        <v>649</v>
      </c>
    </row>
    <row r="602" spans="1:7" x14ac:dyDescent="0.3">
      <c r="A602">
        <f>Rangliste!B602</f>
        <v>0</v>
      </c>
      <c r="B602">
        <f>Rangliste!F602</f>
        <v>0</v>
      </c>
      <c r="C602">
        <f>Rangliste!A602</f>
        <v>0</v>
      </c>
      <c r="D602">
        <f>Rangliste!T602</f>
        <v>0</v>
      </c>
      <c r="E602" t="str">
        <f>IF(Rangliste!E602="M","HE","DE")</f>
        <v>DE</v>
      </c>
      <c r="F602" t="str">
        <f>IF(Rangliste!E602="M","HD","DD")</f>
        <v>DD</v>
      </c>
      <c r="G602" t="s">
        <v>649</v>
      </c>
    </row>
    <row r="603" spans="1:7" x14ac:dyDescent="0.3">
      <c r="A603">
        <f>Rangliste!B603</f>
        <v>0</v>
      </c>
      <c r="B603">
        <f>Rangliste!F603</f>
        <v>0</v>
      </c>
      <c r="C603">
        <f>Rangliste!A603</f>
        <v>0</v>
      </c>
      <c r="D603">
        <f>Rangliste!T603</f>
        <v>0</v>
      </c>
      <c r="E603" t="str">
        <f>IF(Rangliste!E603="M","HE","DE")</f>
        <v>DE</v>
      </c>
      <c r="F603" t="str">
        <f>IF(Rangliste!E603="M","HD","DD")</f>
        <v>DD</v>
      </c>
      <c r="G603" t="s">
        <v>649</v>
      </c>
    </row>
    <row r="604" spans="1:7" x14ac:dyDescent="0.3">
      <c r="A604">
        <f>Rangliste!B604</f>
        <v>0</v>
      </c>
      <c r="B604">
        <f>Rangliste!F604</f>
        <v>0</v>
      </c>
      <c r="C604">
        <f>Rangliste!A604</f>
        <v>0</v>
      </c>
      <c r="D604">
        <f>Rangliste!T604</f>
        <v>0</v>
      </c>
      <c r="E604" t="str">
        <f>IF(Rangliste!E604="M","HE","DE")</f>
        <v>DE</v>
      </c>
      <c r="F604" t="str">
        <f>IF(Rangliste!E604="M","HD","DD")</f>
        <v>DD</v>
      </c>
      <c r="G604" t="s">
        <v>649</v>
      </c>
    </row>
    <row r="605" spans="1:7" x14ac:dyDescent="0.3">
      <c r="A605">
        <f>Rangliste!B605</f>
        <v>0</v>
      </c>
      <c r="B605">
        <f>Rangliste!F605</f>
        <v>0</v>
      </c>
      <c r="C605">
        <f>Rangliste!A605</f>
        <v>0</v>
      </c>
      <c r="D605">
        <f>Rangliste!T605</f>
        <v>0</v>
      </c>
      <c r="E605" t="str">
        <f>IF(Rangliste!E605="M","HE","DE")</f>
        <v>DE</v>
      </c>
      <c r="F605" t="str">
        <f>IF(Rangliste!E605="M","HD","DD")</f>
        <v>DD</v>
      </c>
      <c r="G605" t="s">
        <v>649</v>
      </c>
    </row>
    <row r="606" spans="1:7" x14ac:dyDescent="0.3">
      <c r="A606">
        <f>Rangliste!B606</f>
        <v>0</v>
      </c>
      <c r="B606">
        <f>Rangliste!F606</f>
        <v>0</v>
      </c>
      <c r="C606">
        <f>Rangliste!A606</f>
        <v>0</v>
      </c>
      <c r="D606">
        <f>Rangliste!T606</f>
        <v>0</v>
      </c>
      <c r="E606" t="str">
        <f>IF(Rangliste!E606="M","HE","DE")</f>
        <v>DE</v>
      </c>
      <c r="F606" t="str">
        <f>IF(Rangliste!E606="M","HD","DD")</f>
        <v>DD</v>
      </c>
      <c r="G606" t="s">
        <v>649</v>
      </c>
    </row>
    <row r="607" spans="1:7" x14ac:dyDescent="0.3">
      <c r="A607">
        <f>Rangliste!B607</f>
        <v>0</v>
      </c>
      <c r="B607">
        <f>Rangliste!F607</f>
        <v>0</v>
      </c>
      <c r="C607">
        <f>Rangliste!A607</f>
        <v>0</v>
      </c>
      <c r="D607">
        <f>Rangliste!T607</f>
        <v>0</v>
      </c>
      <c r="E607" t="str">
        <f>IF(Rangliste!E607="M","HE","DE")</f>
        <v>DE</v>
      </c>
      <c r="F607" t="str">
        <f>IF(Rangliste!E607="M","HD","DD")</f>
        <v>DD</v>
      </c>
      <c r="G607" t="s">
        <v>649</v>
      </c>
    </row>
    <row r="608" spans="1:7" x14ac:dyDescent="0.3">
      <c r="A608">
        <f>Rangliste!B608</f>
        <v>0</v>
      </c>
      <c r="B608">
        <f>Rangliste!F608</f>
        <v>0</v>
      </c>
      <c r="C608">
        <f>Rangliste!A608</f>
        <v>0</v>
      </c>
      <c r="D608">
        <f>Rangliste!T608</f>
        <v>0</v>
      </c>
      <c r="E608" t="str">
        <f>IF(Rangliste!E608="M","HE","DE")</f>
        <v>DE</v>
      </c>
      <c r="F608" t="str">
        <f>IF(Rangliste!E608="M","HD","DD")</f>
        <v>DD</v>
      </c>
      <c r="G608" t="s">
        <v>649</v>
      </c>
    </row>
    <row r="609" spans="1:7" x14ac:dyDescent="0.3">
      <c r="A609">
        <f>Rangliste!B609</f>
        <v>0</v>
      </c>
      <c r="B609">
        <f>Rangliste!F609</f>
        <v>0</v>
      </c>
      <c r="C609">
        <f>Rangliste!A609</f>
        <v>0</v>
      </c>
      <c r="D609">
        <f>Rangliste!T609</f>
        <v>0</v>
      </c>
      <c r="E609" t="str">
        <f>IF(Rangliste!E609="M","HE","DE")</f>
        <v>DE</v>
      </c>
      <c r="F609" t="str">
        <f>IF(Rangliste!E609="M","HD","DD")</f>
        <v>DD</v>
      </c>
      <c r="G609" t="s">
        <v>649</v>
      </c>
    </row>
    <row r="610" spans="1:7" x14ac:dyDescent="0.3">
      <c r="A610">
        <f>Rangliste!B610</f>
        <v>0</v>
      </c>
      <c r="B610">
        <f>Rangliste!F610</f>
        <v>0</v>
      </c>
      <c r="C610">
        <f>Rangliste!A610</f>
        <v>0</v>
      </c>
      <c r="D610">
        <f>Rangliste!T610</f>
        <v>0</v>
      </c>
      <c r="E610" t="str">
        <f>IF(Rangliste!E610="M","HE","DE")</f>
        <v>DE</v>
      </c>
      <c r="F610" t="str">
        <f>IF(Rangliste!E610="M","HD","DD")</f>
        <v>DD</v>
      </c>
      <c r="G610" t="s">
        <v>649</v>
      </c>
    </row>
    <row r="611" spans="1:7" x14ac:dyDescent="0.3">
      <c r="A611">
        <f>Rangliste!B611</f>
        <v>0</v>
      </c>
      <c r="B611">
        <f>Rangliste!F611</f>
        <v>0</v>
      </c>
      <c r="C611">
        <f>Rangliste!A611</f>
        <v>0</v>
      </c>
      <c r="D611">
        <f>Rangliste!T611</f>
        <v>0</v>
      </c>
      <c r="E611" t="str">
        <f>IF(Rangliste!E611="M","HE","DE")</f>
        <v>DE</v>
      </c>
      <c r="F611" t="str">
        <f>IF(Rangliste!E611="M","HD","DD")</f>
        <v>DD</v>
      </c>
      <c r="G611" t="s">
        <v>649</v>
      </c>
    </row>
    <row r="612" spans="1:7" x14ac:dyDescent="0.3">
      <c r="A612">
        <f>Rangliste!B612</f>
        <v>0</v>
      </c>
      <c r="B612">
        <f>Rangliste!F612</f>
        <v>0</v>
      </c>
      <c r="C612">
        <f>Rangliste!A612</f>
        <v>0</v>
      </c>
      <c r="D612">
        <f>Rangliste!T612</f>
        <v>0</v>
      </c>
      <c r="E612" t="str">
        <f>IF(Rangliste!E612="M","HE","DE")</f>
        <v>DE</v>
      </c>
      <c r="F612" t="str">
        <f>IF(Rangliste!E612="M","HD","DD")</f>
        <v>DD</v>
      </c>
      <c r="G612" t="s">
        <v>649</v>
      </c>
    </row>
    <row r="613" spans="1:7" x14ac:dyDescent="0.3">
      <c r="A613">
        <f>Rangliste!B613</f>
        <v>0</v>
      </c>
      <c r="B613">
        <f>Rangliste!F613</f>
        <v>0</v>
      </c>
      <c r="C613">
        <f>Rangliste!A613</f>
        <v>0</v>
      </c>
      <c r="D613">
        <f>Rangliste!T613</f>
        <v>0</v>
      </c>
      <c r="E613" t="str">
        <f>IF(Rangliste!E613="M","HE","DE")</f>
        <v>DE</v>
      </c>
      <c r="F613" t="str">
        <f>IF(Rangliste!E613="M","HD","DD")</f>
        <v>DD</v>
      </c>
      <c r="G613" t="s">
        <v>649</v>
      </c>
    </row>
    <row r="614" spans="1:7" x14ac:dyDescent="0.3">
      <c r="A614">
        <f>Rangliste!B614</f>
        <v>0</v>
      </c>
      <c r="B614">
        <f>Rangliste!F614</f>
        <v>0</v>
      </c>
      <c r="C614">
        <f>Rangliste!A614</f>
        <v>0</v>
      </c>
      <c r="D614">
        <f>Rangliste!T614</f>
        <v>0</v>
      </c>
      <c r="E614" t="str">
        <f>IF(Rangliste!E614="M","HE","DE")</f>
        <v>DE</v>
      </c>
      <c r="F614" t="str">
        <f>IF(Rangliste!E614="M","HD","DD")</f>
        <v>DD</v>
      </c>
      <c r="G614" t="s">
        <v>649</v>
      </c>
    </row>
    <row r="615" spans="1:7" x14ac:dyDescent="0.3">
      <c r="A615">
        <f>Rangliste!B615</f>
        <v>0</v>
      </c>
      <c r="B615">
        <f>Rangliste!F615</f>
        <v>0</v>
      </c>
      <c r="C615">
        <f>Rangliste!A615</f>
        <v>0</v>
      </c>
      <c r="D615">
        <f>Rangliste!T615</f>
        <v>0</v>
      </c>
      <c r="E615" t="str">
        <f>IF(Rangliste!E615="M","HE","DE")</f>
        <v>DE</v>
      </c>
      <c r="F615" t="str">
        <f>IF(Rangliste!E615="M","HD","DD")</f>
        <v>DD</v>
      </c>
      <c r="G615" t="s">
        <v>649</v>
      </c>
    </row>
    <row r="616" spans="1:7" x14ac:dyDescent="0.3">
      <c r="A616">
        <f>Rangliste!B616</f>
        <v>0</v>
      </c>
      <c r="B616">
        <f>Rangliste!F616</f>
        <v>0</v>
      </c>
      <c r="C616">
        <f>Rangliste!A616</f>
        <v>0</v>
      </c>
      <c r="D616">
        <f>Rangliste!T616</f>
        <v>0</v>
      </c>
      <c r="E616" t="str">
        <f>IF(Rangliste!E616="M","HE","DE")</f>
        <v>DE</v>
      </c>
      <c r="F616" t="str">
        <f>IF(Rangliste!E616="M","HD","DD")</f>
        <v>DD</v>
      </c>
      <c r="G616" t="s">
        <v>649</v>
      </c>
    </row>
    <row r="617" spans="1:7" x14ac:dyDescent="0.3">
      <c r="A617">
        <f>Rangliste!B617</f>
        <v>0</v>
      </c>
      <c r="B617">
        <f>Rangliste!F617</f>
        <v>0</v>
      </c>
      <c r="C617">
        <f>Rangliste!A617</f>
        <v>0</v>
      </c>
      <c r="D617">
        <f>Rangliste!T617</f>
        <v>0</v>
      </c>
      <c r="E617" t="str">
        <f>IF(Rangliste!E617="M","HE","DE")</f>
        <v>DE</v>
      </c>
      <c r="F617" t="str">
        <f>IF(Rangliste!E617="M","HD","DD")</f>
        <v>DD</v>
      </c>
      <c r="G617" t="s">
        <v>649</v>
      </c>
    </row>
    <row r="618" spans="1:7" x14ac:dyDescent="0.3">
      <c r="A618">
        <f>Rangliste!B618</f>
        <v>0</v>
      </c>
      <c r="B618">
        <f>Rangliste!F618</f>
        <v>0</v>
      </c>
      <c r="C618">
        <f>Rangliste!A618</f>
        <v>0</v>
      </c>
      <c r="D618">
        <f>Rangliste!T618</f>
        <v>0</v>
      </c>
      <c r="E618" t="str">
        <f>IF(Rangliste!E618="M","HE","DE")</f>
        <v>DE</v>
      </c>
      <c r="F618" t="str">
        <f>IF(Rangliste!E618="M","HD","DD")</f>
        <v>DD</v>
      </c>
      <c r="G618" t="s">
        <v>649</v>
      </c>
    </row>
    <row r="619" spans="1:7" x14ac:dyDescent="0.3">
      <c r="A619">
        <f>Rangliste!B619</f>
        <v>0</v>
      </c>
      <c r="B619">
        <f>Rangliste!F619</f>
        <v>0</v>
      </c>
      <c r="C619">
        <f>Rangliste!A619</f>
        <v>0</v>
      </c>
      <c r="D619">
        <f>Rangliste!T619</f>
        <v>0</v>
      </c>
      <c r="E619" t="str">
        <f>IF(Rangliste!E619="M","HE","DE")</f>
        <v>DE</v>
      </c>
      <c r="F619" t="str">
        <f>IF(Rangliste!E619="M","HD","DD")</f>
        <v>DD</v>
      </c>
      <c r="G619" t="s">
        <v>649</v>
      </c>
    </row>
    <row r="620" spans="1:7" x14ac:dyDescent="0.3">
      <c r="A620">
        <f>Rangliste!B620</f>
        <v>0</v>
      </c>
      <c r="B620">
        <f>Rangliste!F620</f>
        <v>0</v>
      </c>
      <c r="C620">
        <f>Rangliste!A620</f>
        <v>0</v>
      </c>
      <c r="D620">
        <f>Rangliste!T620</f>
        <v>0</v>
      </c>
      <c r="E620" t="str">
        <f>IF(Rangliste!E620="M","HE","DE")</f>
        <v>DE</v>
      </c>
      <c r="F620" t="str">
        <f>IF(Rangliste!E620="M","HD","DD")</f>
        <v>DD</v>
      </c>
      <c r="G620" t="s">
        <v>649</v>
      </c>
    </row>
    <row r="621" spans="1:7" x14ac:dyDescent="0.3">
      <c r="A621">
        <f>Rangliste!B621</f>
        <v>0</v>
      </c>
      <c r="B621">
        <f>Rangliste!F621</f>
        <v>0</v>
      </c>
      <c r="C621">
        <f>Rangliste!A621</f>
        <v>0</v>
      </c>
      <c r="D621">
        <f>Rangliste!T621</f>
        <v>0</v>
      </c>
      <c r="E621" t="str">
        <f>IF(Rangliste!E621="M","HE","DE")</f>
        <v>DE</v>
      </c>
      <c r="F621" t="str">
        <f>IF(Rangliste!E621="M","HD","DD")</f>
        <v>DD</v>
      </c>
      <c r="G621" t="s">
        <v>649</v>
      </c>
    </row>
    <row r="622" spans="1:7" x14ac:dyDescent="0.3">
      <c r="A622">
        <f>Rangliste!B622</f>
        <v>0</v>
      </c>
      <c r="B622">
        <f>Rangliste!F622</f>
        <v>0</v>
      </c>
      <c r="C622">
        <f>Rangliste!A622</f>
        <v>0</v>
      </c>
      <c r="D622">
        <f>Rangliste!T622</f>
        <v>0</v>
      </c>
      <c r="E622" t="str">
        <f>IF(Rangliste!E622="M","HE","DE")</f>
        <v>DE</v>
      </c>
      <c r="F622" t="str">
        <f>IF(Rangliste!E622="M","HD","DD")</f>
        <v>DD</v>
      </c>
      <c r="G622" t="s">
        <v>649</v>
      </c>
    </row>
    <row r="623" spans="1:7" x14ac:dyDescent="0.3">
      <c r="A623">
        <f>Rangliste!B623</f>
        <v>0</v>
      </c>
      <c r="B623">
        <f>Rangliste!F623</f>
        <v>0</v>
      </c>
      <c r="C623">
        <f>Rangliste!A623</f>
        <v>0</v>
      </c>
      <c r="D623">
        <f>Rangliste!T623</f>
        <v>0</v>
      </c>
      <c r="E623" t="str">
        <f>IF(Rangliste!E623="M","HE","DE")</f>
        <v>DE</v>
      </c>
      <c r="F623" t="str">
        <f>IF(Rangliste!E623="M","HD","DD")</f>
        <v>DD</v>
      </c>
      <c r="G623" t="s">
        <v>649</v>
      </c>
    </row>
    <row r="624" spans="1:7" x14ac:dyDescent="0.3">
      <c r="A624">
        <f>Rangliste!B624</f>
        <v>0</v>
      </c>
      <c r="B624">
        <f>Rangliste!F624</f>
        <v>0</v>
      </c>
      <c r="C624">
        <f>Rangliste!A624</f>
        <v>0</v>
      </c>
      <c r="D624">
        <f>Rangliste!T624</f>
        <v>0</v>
      </c>
      <c r="E624" t="str">
        <f>IF(Rangliste!E624="M","HE","DE")</f>
        <v>DE</v>
      </c>
      <c r="F624" t="str">
        <f>IF(Rangliste!E624="M","HD","DD")</f>
        <v>DD</v>
      </c>
      <c r="G624" t="s">
        <v>649</v>
      </c>
    </row>
    <row r="625" spans="1:7" x14ac:dyDescent="0.3">
      <c r="A625">
        <f>Rangliste!B625</f>
        <v>0</v>
      </c>
      <c r="B625">
        <f>Rangliste!F625</f>
        <v>0</v>
      </c>
      <c r="C625">
        <f>Rangliste!A625</f>
        <v>0</v>
      </c>
      <c r="D625">
        <f>Rangliste!T625</f>
        <v>0</v>
      </c>
      <c r="E625" t="str">
        <f>IF(Rangliste!E625="M","HE","DE")</f>
        <v>DE</v>
      </c>
      <c r="F625" t="str">
        <f>IF(Rangliste!E625="M","HD","DD")</f>
        <v>DD</v>
      </c>
      <c r="G625" t="s">
        <v>649</v>
      </c>
    </row>
    <row r="626" spans="1:7" x14ac:dyDescent="0.3">
      <c r="A626">
        <f>Rangliste!B626</f>
        <v>0</v>
      </c>
      <c r="B626">
        <f>Rangliste!F626</f>
        <v>0</v>
      </c>
      <c r="C626">
        <f>Rangliste!A626</f>
        <v>0</v>
      </c>
      <c r="D626">
        <f>Rangliste!T626</f>
        <v>0</v>
      </c>
      <c r="E626" t="str">
        <f>IF(Rangliste!E626="M","HE","DE")</f>
        <v>DE</v>
      </c>
      <c r="F626" t="str">
        <f>IF(Rangliste!E626="M","HD","DD")</f>
        <v>DD</v>
      </c>
      <c r="G626" t="s">
        <v>649</v>
      </c>
    </row>
    <row r="627" spans="1:7" x14ac:dyDescent="0.3">
      <c r="A627">
        <f>Rangliste!B627</f>
        <v>0</v>
      </c>
      <c r="B627">
        <f>Rangliste!F627</f>
        <v>0</v>
      </c>
      <c r="C627">
        <f>Rangliste!A627</f>
        <v>0</v>
      </c>
      <c r="D627">
        <f>Rangliste!T627</f>
        <v>0</v>
      </c>
      <c r="E627" t="str">
        <f>IF(Rangliste!E627="M","HE","DE")</f>
        <v>DE</v>
      </c>
      <c r="F627" t="str">
        <f>IF(Rangliste!E627="M","HD","DD")</f>
        <v>DD</v>
      </c>
      <c r="G627" t="s">
        <v>649</v>
      </c>
    </row>
    <row r="628" spans="1:7" x14ac:dyDescent="0.3">
      <c r="A628">
        <f>Rangliste!B628</f>
        <v>0</v>
      </c>
      <c r="B628">
        <f>Rangliste!F628</f>
        <v>0</v>
      </c>
      <c r="C628">
        <f>Rangliste!A628</f>
        <v>0</v>
      </c>
      <c r="D628">
        <f>Rangliste!T628</f>
        <v>0</v>
      </c>
      <c r="E628" t="str">
        <f>IF(Rangliste!E628="M","HE","DE")</f>
        <v>DE</v>
      </c>
      <c r="F628" t="str">
        <f>IF(Rangliste!E628="M","HD","DD")</f>
        <v>DD</v>
      </c>
      <c r="G628" t="s">
        <v>649</v>
      </c>
    </row>
    <row r="629" spans="1:7" x14ac:dyDescent="0.3">
      <c r="A629">
        <f>Rangliste!B629</f>
        <v>0</v>
      </c>
      <c r="B629">
        <f>Rangliste!F629</f>
        <v>0</v>
      </c>
      <c r="C629">
        <f>Rangliste!A629</f>
        <v>0</v>
      </c>
      <c r="D629">
        <f>Rangliste!T629</f>
        <v>0</v>
      </c>
      <c r="E629" t="str">
        <f>IF(Rangliste!E629="M","HE","DE")</f>
        <v>DE</v>
      </c>
      <c r="F629" t="str">
        <f>IF(Rangliste!E629="M","HD","DD")</f>
        <v>DD</v>
      </c>
      <c r="G629" t="s">
        <v>649</v>
      </c>
    </row>
    <row r="630" spans="1:7" x14ac:dyDescent="0.3">
      <c r="A630">
        <f>Rangliste!B630</f>
        <v>0</v>
      </c>
      <c r="B630">
        <f>Rangliste!F630</f>
        <v>0</v>
      </c>
      <c r="C630">
        <f>Rangliste!A630</f>
        <v>0</v>
      </c>
      <c r="D630">
        <f>Rangliste!T630</f>
        <v>0</v>
      </c>
      <c r="E630" t="str">
        <f>IF(Rangliste!E630="M","HE","DE")</f>
        <v>DE</v>
      </c>
      <c r="F630" t="str">
        <f>IF(Rangliste!E630="M","HD","DD")</f>
        <v>DD</v>
      </c>
      <c r="G630" t="s">
        <v>649</v>
      </c>
    </row>
    <row r="631" spans="1:7" x14ac:dyDescent="0.3">
      <c r="A631">
        <f>Rangliste!B631</f>
        <v>0</v>
      </c>
      <c r="B631">
        <f>Rangliste!F631</f>
        <v>0</v>
      </c>
      <c r="C631">
        <f>Rangliste!A631</f>
        <v>0</v>
      </c>
      <c r="D631">
        <f>Rangliste!T631</f>
        <v>0</v>
      </c>
      <c r="E631" t="str">
        <f>IF(Rangliste!E631="M","HE","DE")</f>
        <v>DE</v>
      </c>
      <c r="F631" t="str">
        <f>IF(Rangliste!E631="M","HD","DD")</f>
        <v>DD</v>
      </c>
      <c r="G631" t="s">
        <v>649</v>
      </c>
    </row>
    <row r="632" spans="1:7" x14ac:dyDescent="0.3">
      <c r="A632">
        <f>Rangliste!B632</f>
        <v>0</v>
      </c>
      <c r="B632">
        <f>Rangliste!F632</f>
        <v>0</v>
      </c>
      <c r="C632">
        <f>Rangliste!A632</f>
        <v>0</v>
      </c>
      <c r="D632">
        <f>Rangliste!T632</f>
        <v>0</v>
      </c>
      <c r="E632" t="str">
        <f>IF(Rangliste!E632="M","HE","DE")</f>
        <v>DE</v>
      </c>
      <c r="F632" t="str">
        <f>IF(Rangliste!E632="M","HD","DD")</f>
        <v>DD</v>
      </c>
      <c r="G632" t="s">
        <v>649</v>
      </c>
    </row>
    <row r="633" spans="1:7" x14ac:dyDescent="0.3">
      <c r="A633">
        <f>Rangliste!B633</f>
        <v>0</v>
      </c>
      <c r="B633">
        <f>Rangliste!F633</f>
        <v>0</v>
      </c>
      <c r="C633">
        <f>Rangliste!A633</f>
        <v>0</v>
      </c>
      <c r="D633">
        <f>Rangliste!T633</f>
        <v>0</v>
      </c>
      <c r="E633" t="str">
        <f>IF(Rangliste!E633="M","HE","DE")</f>
        <v>DE</v>
      </c>
      <c r="F633" t="str">
        <f>IF(Rangliste!E633="M","HD","DD")</f>
        <v>DD</v>
      </c>
      <c r="G633" t="s">
        <v>649</v>
      </c>
    </row>
    <row r="634" spans="1:7" x14ac:dyDescent="0.3">
      <c r="A634">
        <f>Rangliste!B634</f>
        <v>0</v>
      </c>
      <c r="B634">
        <f>Rangliste!F634</f>
        <v>0</v>
      </c>
      <c r="C634">
        <f>Rangliste!A634</f>
        <v>0</v>
      </c>
      <c r="D634">
        <f>Rangliste!T634</f>
        <v>0</v>
      </c>
      <c r="E634" t="str">
        <f>IF(Rangliste!E634="M","HE","DE")</f>
        <v>DE</v>
      </c>
      <c r="F634" t="str">
        <f>IF(Rangliste!E634="M","HD","DD")</f>
        <v>DD</v>
      </c>
      <c r="G634" t="s">
        <v>649</v>
      </c>
    </row>
    <row r="635" spans="1:7" x14ac:dyDescent="0.3">
      <c r="A635">
        <f>Rangliste!B635</f>
        <v>0</v>
      </c>
      <c r="B635">
        <f>Rangliste!F635</f>
        <v>0</v>
      </c>
      <c r="C635">
        <f>Rangliste!A635</f>
        <v>0</v>
      </c>
      <c r="D635">
        <f>Rangliste!T635</f>
        <v>0</v>
      </c>
      <c r="E635" t="str">
        <f>IF(Rangliste!E635="M","HE","DE")</f>
        <v>DE</v>
      </c>
      <c r="F635" t="str">
        <f>IF(Rangliste!E635="M","HD","DD")</f>
        <v>DD</v>
      </c>
      <c r="G635" t="s">
        <v>649</v>
      </c>
    </row>
    <row r="636" spans="1:7" x14ac:dyDescent="0.3">
      <c r="A636">
        <f>Rangliste!B636</f>
        <v>0</v>
      </c>
      <c r="B636">
        <f>Rangliste!F636</f>
        <v>0</v>
      </c>
      <c r="C636">
        <f>Rangliste!A636</f>
        <v>0</v>
      </c>
      <c r="D636">
        <f>Rangliste!T636</f>
        <v>0</v>
      </c>
      <c r="E636" t="str">
        <f>IF(Rangliste!E636="M","HE","DE")</f>
        <v>DE</v>
      </c>
      <c r="F636" t="str">
        <f>IF(Rangliste!E636="M","HD","DD")</f>
        <v>DD</v>
      </c>
      <c r="G636" t="s">
        <v>649</v>
      </c>
    </row>
    <row r="637" spans="1:7" x14ac:dyDescent="0.3">
      <c r="A637">
        <f>Rangliste!B637</f>
        <v>0</v>
      </c>
      <c r="B637">
        <f>Rangliste!F637</f>
        <v>0</v>
      </c>
      <c r="C637">
        <f>Rangliste!A637</f>
        <v>0</v>
      </c>
      <c r="D637">
        <f>Rangliste!T637</f>
        <v>0</v>
      </c>
      <c r="E637" t="str">
        <f>IF(Rangliste!E637="M","HE","DE")</f>
        <v>DE</v>
      </c>
      <c r="F637" t="str">
        <f>IF(Rangliste!E637="M","HD","DD")</f>
        <v>DD</v>
      </c>
      <c r="G637" t="s">
        <v>649</v>
      </c>
    </row>
    <row r="638" spans="1:7" x14ac:dyDescent="0.3">
      <c r="A638">
        <f>Rangliste!B638</f>
        <v>0</v>
      </c>
      <c r="B638">
        <f>Rangliste!F638</f>
        <v>0</v>
      </c>
      <c r="C638">
        <f>Rangliste!A638</f>
        <v>0</v>
      </c>
      <c r="D638">
        <f>Rangliste!T638</f>
        <v>0</v>
      </c>
      <c r="E638" t="str">
        <f>IF(Rangliste!E638="M","HE","DE")</f>
        <v>DE</v>
      </c>
      <c r="F638" t="str">
        <f>IF(Rangliste!E638="M","HD","DD")</f>
        <v>DD</v>
      </c>
      <c r="G638" t="s">
        <v>649</v>
      </c>
    </row>
    <row r="639" spans="1:7" x14ac:dyDescent="0.3">
      <c r="A639">
        <f>Rangliste!B639</f>
        <v>0</v>
      </c>
      <c r="B639">
        <f>Rangliste!F639</f>
        <v>0</v>
      </c>
      <c r="C639">
        <f>Rangliste!A639</f>
        <v>0</v>
      </c>
      <c r="D639">
        <f>Rangliste!T639</f>
        <v>0</v>
      </c>
      <c r="E639" t="str">
        <f>IF(Rangliste!E639="M","HE","DE")</f>
        <v>DE</v>
      </c>
      <c r="F639" t="str">
        <f>IF(Rangliste!E639="M","HD","DD")</f>
        <v>DD</v>
      </c>
      <c r="G639" t="s">
        <v>649</v>
      </c>
    </row>
    <row r="640" spans="1:7" x14ac:dyDescent="0.3">
      <c r="A640">
        <f>Rangliste!B640</f>
        <v>0</v>
      </c>
      <c r="B640">
        <f>Rangliste!F640</f>
        <v>0</v>
      </c>
      <c r="C640">
        <f>Rangliste!A640</f>
        <v>0</v>
      </c>
      <c r="D640">
        <f>Rangliste!T640</f>
        <v>0</v>
      </c>
      <c r="E640" t="str">
        <f>IF(Rangliste!E640="M","HE","DE")</f>
        <v>DE</v>
      </c>
      <c r="F640" t="str">
        <f>IF(Rangliste!E640="M","HD","DD")</f>
        <v>DD</v>
      </c>
      <c r="G640" t="s">
        <v>649</v>
      </c>
    </row>
    <row r="641" spans="1:7" x14ac:dyDescent="0.3">
      <c r="A641">
        <f>Rangliste!B641</f>
        <v>0</v>
      </c>
      <c r="B641">
        <f>Rangliste!F641</f>
        <v>0</v>
      </c>
      <c r="C641">
        <f>Rangliste!A641</f>
        <v>0</v>
      </c>
      <c r="D641">
        <f>Rangliste!T641</f>
        <v>0</v>
      </c>
      <c r="E641" t="str">
        <f>IF(Rangliste!E641="M","HE","DE")</f>
        <v>DE</v>
      </c>
      <c r="F641" t="str">
        <f>IF(Rangliste!E641="M","HD","DD")</f>
        <v>DD</v>
      </c>
      <c r="G641" t="s">
        <v>649</v>
      </c>
    </row>
    <row r="642" spans="1:7" x14ac:dyDescent="0.3">
      <c r="A642">
        <f>Rangliste!B642</f>
        <v>0</v>
      </c>
      <c r="B642">
        <f>Rangliste!F642</f>
        <v>0</v>
      </c>
      <c r="C642">
        <f>Rangliste!A642</f>
        <v>0</v>
      </c>
      <c r="D642">
        <f>Rangliste!T642</f>
        <v>0</v>
      </c>
      <c r="E642" t="str">
        <f>IF(Rangliste!E642="M","HE","DE")</f>
        <v>DE</v>
      </c>
      <c r="F642" t="str">
        <f>IF(Rangliste!E642="M","HD","DD")</f>
        <v>DD</v>
      </c>
      <c r="G642" t="s">
        <v>649</v>
      </c>
    </row>
    <row r="643" spans="1:7" x14ac:dyDescent="0.3">
      <c r="A643">
        <f>Rangliste!B643</f>
        <v>0</v>
      </c>
      <c r="B643">
        <f>Rangliste!F643</f>
        <v>0</v>
      </c>
      <c r="C643">
        <f>Rangliste!A643</f>
        <v>0</v>
      </c>
      <c r="D643">
        <f>Rangliste!T643</f>
        <v>0</v>
      </c>
      <c r="E643" t="str">
        <f>IF(Rangliste!E643="M","HE","DE")</f>
        <v>DE</v>
      </c>
      <c r="F643" t="str">
        <f>IF(Rangliste!E643="M","HD","DD")</f>
        <v>DD</v>
      </c>
      <c r="G643" t="s">
        <v>649</v>
      </c>
    </row>
    <row r="644" spans="1:7" x14ac:dyDescent="0.3">
      <c r="A644">
        <f>Rangliste!B644</f>
        <v>0</v>
      </c>
      <c r="B644">
        <f>Rangliste!F644</f>
        <v>0</v>
      </c>
      <c r="C644">
        <f>Rangliste!A644</f>
        <v>0</v>
      </c>
      <c r="D644">
        <f>Rangliste!T644</f>
        <v>0</v>
      </c>
      <c r="E644" t="str">
        <f>IF(Rangliste!E644="M","HE","DE")</f>
        <v>DE</v>
      </c>
      <c r="F644" t="str">
        <f>IF(Rangliste!E644="M","HD","DD")</f>
        <v>DD</v>
      </c>
      <c r="G644" t="s">
        <v>649</v>
      </c>
    </row>
    <row r="645" spans="1:7" x14ac:dyDescent="0.3">
      <c r="A645">
        <f>Rangliste!B645</f>
        <v>0</v>
      </c>
      <c r="B645">
        <f>Rangliste!F645</f>
        <v>0</v>
      </c>
      <c r="C645">
        <f>Rangliste!A645</f>
        <v>0</v>
      </c>
      <c r="D645">
        <f>Rangliste!T645</f>
        <v>0</v>
      </c>
      <c r="E645" t="str">
        <f>IF(Rangliste!E645="M","HE","DE")</f>
        <v>DE</v>
      </c>
      <c r="F645" t="str">
        <f>IF(Rangliste!E645="M","HD","DD")</f>
        <v>DD</v>
      </c>
      <c r="G645" t="s">
        <v>649</v>
      </c>
    </row>
    <row r="646" spans="1:7" x14ac:dyDescent="0.3">
      <c r="A646">
        <f>Rangliste!B646</f>
        <v>0</v>
      </c>
      <c r="B646">
        <f>Rangliste!F646</f>
        <v>0</v>
      </c>
      <c r="C646">
        <f>Rangliste!A646</f>
        <v>0</v>
      </c>
      <c r="D646">
        <f>Rangliste!T646</f>
        <v>0</v>
      </c>
      <c r="E646" t="str">
        <f>IF(Rangliste!E646="M","HE","DE")</f>
        <v>DE</v>
      </c>
      <c r="F646" t="str">
        <f>IF(Rangliste!E646="M","HD","DD")</f>
        <v>DD</v>
      </c>
      <c r="G646" t="s">
        <v>649</v>
      </c>
    </row>
    <row r="647" spans="1:7" x14ac:dyDescent="0.3">
      <c r="A647">
        <f>Rangliste!B647</f>
        <v>0</v>
      </c>
      <c r="B647">
        <f>Rangliste!F647</f>
        <v>0</v>
      </c>
      <c r="C647">
        <f>Rangliste!A647</f>
        <v>0</v>
      </c>
      <c r="D647">
        <f>Rangliste!T647</f>
        <v>0</v>
      </c>
      <c r="E647" t="str">
        <f>IF(Rangliste!E647="M","HE","DE")</f>
        <v>DE</v>
      </c>
      <c r="F647" t="str">
        <f>IF(Rangliste!E647="M","HD","DD")</f>
        <v>DD</v>
      </c>
      <c r="G647" t="s">
        <v>649</v>
      </c>
    </row>
    <row r="648" spans="1:7" x14ac:dyDescent="0.3">
      <c r="A648">
        <f>Rangliste!B648</f>
        <v>0</v>
      </c>
      <c r="B648">
        <f>Rangliste!F648</f>
        <v>0</v>
      </c>
      <c r="C648">
        <f>Rangliste!A648</f>
        <v>0</v>
      </c>
      <c r="D648">
        <f>Rangliste!T648</f>
        <v>0</v>
      </c>
      <c r="E648" t="str">
        <f>IF(Rangliste!E648="M","HE","DE")</f>
        <v>DE</v>
      </c>
      <c r="F648" t="str">
        <f>IF(Rangliste!E648="M","HD","DD")</f>
        <v>DD</v>
      </c>
      <c r="G648" t="s">
        <v>649</v>
      </c>
    </row>
    <row r="649" spans="1:7" x14ac:dyDescent="0.3">
      <c r="A649">
        <f>Rangliste!B649</f>
        <v>0</v>
      </c>
      <c r="B649">
        <f>Rangliste!F649</f>
        <v>0</v>
      </c>
      <c r="C649">
        <f>Rangliste!A649</f>
        <v>0</v>
      </c>
      <c r="D649">
        <f>Rangliste!T649</f>
        <v>0</v>
      </c>
      <c r="E649" t="str">
        <f>IF(Rangliste!E649="M","HE","DE")</f>
        <v>DE</v>
      </c>
      <c r="F649" t="str">
        <f>IF(Rangliste!E649="M","HD","DD")</f>
        <v>DD</v>
      </c>
      <c r="G649" t="s">
        <v>649</v>
      </c>
    </row>
    <row r="650" spans="1:7" x14ac:dyDescent="0.3">
      <c r="A650">
        <f>Rangliste!B650</f>
        <v>0</v>
      </c>
      <c r="B650">
        <f>Rangliste!F650</f>
        <v>0</v>
      </c>
      <c r="C650">
        <f>Rangliste!A650</f>
        <v>0</v>
      </c>
      <c r="D650">
        <f>Rangliste!T650</f>
        <v>0</v>
      </c>
      <c r="E650" t="str">
        <f>IF(Rangliste!E650="M","HE","DE")</f>
        <v>DE</v>
      </c>
      <c r="F650" t="str">
        <f>IF(Rangliste!E650="M","HD","DD")</f>
        <v>DD</v>
      </c>
      <c r="G650" t="s">
        <v>649</v>
      </c>
    </row>
    <row r="651" spans="1:7" x14ac:dyDescent="0.3">
      <c r="A651">
        <f>Rangliste!B651</f>
        <v>0</v>
      </c>
      <c r="B651">
        <f>Rangliste!F651</f>
        <v>0</v>
      </c>
      <c r="C651">
        <f>Rangliste!A651</f>
        <v>0</v>
      </c>
      <c r="D651">
        <f>Rangliste!T651</f>
        <v>0</v>
      </c>
      <c r="E651" t="str">
        <f>IF(Rangliste!E651="M","HE","DE")</f>
        <v>DE</v>
      </c>
      <c r="F651" t="str">
        <f>IF(Rangliste!E651="M","HD","DD")</f>
        <v>DD</v>
      </c>
      <c r="G651" t="s">
        <v>649</v>
      </c>
    </row>
    <row r="652" spans="1:7" x14ac:dyDescent="0.3">
      <c r="A652">
        <f>Rangliste!B652</f>
        <v>0</v>
      </c>
      <c r="B652">
        <f>Rangliste!F652</f>
        <v>0</v>
      </c>
      <c r="C652">
        <f>Rangliste!A652</f>
        <v>0</v>
      </c>
      <c r="D652">
        <f>Rangliste!T652</f>
        <v>0</v>
      </c>
      <c r="E652" t="str">
        <f>IF(Rangliste!E652="M","HE","DE")</f>
        <v>DE</v>
      </c>
      <c r="F652" t="str">
        <f>IF(Rangliste!E652="M","HD","DD")</f>
        <v>DD</v>
      </c>
      <c r="G652" t="s">
        <v>649</v>
      </c>
    </row>
    <row r="653" spans="1:7" x14ac:dyDescent="0.3">
      <c r="A653">
        <f>Rangliste!B653</f>
        <v>0</v>
      </c>
      <c r="B653">
        <f>Rangliste!F653</f>
        <v>0</v>
      </c>
      <c r="C653">
        <f>Rangliste!A653</f>
        <v>0</v>
      </c>
      <c r="D653">
        <f>Rangliste!T653</f>
        <v>0</v>
      </c>
      <c r="E653" t="str">
        <f>IF(Rangliste!E653="M","HE","DE")</f>
        <v>DE</v>
      </c>
      <c r="F653" t="str">
        <f>IF(Rangliste!E653="M","HD","DD")</f>
        <v>DD</v>
      </c>
      <c r="G653" t="s">
        <v>649</v>
      </c>
    </row>
    <row r="654" spans="1:7" x14ac:dyDescent="0.3">
      <c r="A654">
        <f>Rangliste!B654</f>
        <v>0</v>
      </c>
      <c r="B654">
        <f>Rangliste!F654</f>
        <v>0</v>
      </c>
      <c r="C654">
        <f>Rangliste!A654</f>
        <v>0</v>
      </c>
      <c r="D654">
        <f>Rangliste!T654</f>
        <v>0</v>
      </c>
      <c r="E654" t="str">
        <f>IF(Rangliste!E654="M","HE","DE")</f>
        <v>DE</v>
      </c>
      <c r="F654" t="str">
        <f>IF(Rangliste!E654="M","HD","DD")</f>
        <v>DD</v>
      </c>
      <c r="G654" t="s">
        <v>649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2AEF-8B5E-4946-9BCB-E8B577086CB9}">
  <dimension ref="A1:E179"/>
  <sheetViews>
    <sheetView workbookViewId="0"/>
  </sheetViews>
  <sheetFormatPr defaultRowHeight="13" x14ac:dyDescent="0.3"/>
  <sheetData>
    <row r="1" spans="1:5" x14ac:dyDescent="0.3">
      <c r="A1" t="s">
        <v>1</v>
      </c>
      <c r="B1" t="s">
        <v>5</v>
      </c>
      <c r="C1" t="s">
        <v>647</v>
      </c>
      <c r="D1" t="s">
        <v>347</v>
      </c>
      <c r="E1" t="s">
        <v>648</v>
      </c>
    </row>
    <row r="2" spans="1:5" x14ac:dyDescent="0.3">
      <c r="A2" t="str">
        <f>IF(Rangliste!E2="M",Rangliste!B2)</f>
        <v>Valentin Grebien</v>
      </c>
    </row>
    <row r="3" spans="1:5" x14ac:dyDescent="0.3">
      <c r="A3" t="str">
        <f>IF(Rangliste!E3="M",Rangliste!B3)</f>
        <v>Xinjie Chen</v>
      </c>
    </row>
    <row r="4" spans="1:5" x14ac:dyDescent="0.3">
      <c r="A4" t="str">
        <f>IF(Rangliste!E4="M",Rangliste!B4)</f>
        <v>Leon Lu</v>
      </c>
    </row>
    <row r="5" spans="1:5" x14ac:dyDescent="0.3">
      <c r="A5" t="str">
        <f>IF(Rangliste!E5="M",Rangliste!B5)</f>
        <v>Sebastian Dollinger</v>
      </c>
    </row>
    <row r="6" spans="1:5" x14ac:dyDescent="0.3">
      <c r="A6" t="str">
        <f>IF(Rangliste!E6="M",Rangliste!B6)</f>
        <v>Wenzel Tiapal</v>
      </c>
    </row>
    <row r="7" spans="1:5" x14ac:dyDescent="0.3">
      <c r="A7" t="str">
        <f>IF(Rangliste!E7="M",Rangliste!B7)</f>
        <v>Samuel Nemeskal</v>
      </c>
    </row>
    <row r="8" spans="1:5" x14ac:dyDescent="0.3">
      <c r="A8" t="str">
        <f>IF(Rangliste!E8="M",Rangliste!B8)</f>
        <v>Philipp Grebien</v>
      </c>
    </row>
    <row r="9" spans="1:5" x14ac:dyDescent="0.3">
      <c r="A9" t="str">
        <f>IF(Rangliste!E9="M",Rangliste!B9)</f>
        <v>Valentin Schefcik</v>
      </c>
    </row>
    <row r="10" spans="1:5" x14ac:dyDescent="0.3">
      <c r="A10" t="b">
        <f>IF(Rangliste!E10="M",Rangliste!B10)</f>
        <v>0</v>
      </c>
    </row>
    <row r="11" spans="1:5" x14ac:dyDescent="0.3">
      <c r="A11" t="str">
        <f>IF(Rangliste!E11="M",Rangliste!B11)</f>
        <v>Felix Sztatecsny</v>
      </c>
    </row>
    <row r="12" spans="1:5" x14ac:dyDescent="0.3">
      <c r="A12" t="b">
        <f>IF(Rangliste!E12="M",Rangliste!B12)</f>
        <v>0</v>
      </c>
    </row>
    <row r="13" spans="1:5" x14ac:dyDescent="0.3">
      <c r="A13" t="b">
        <f>IF(Rangliste!E13="M",Rangliste!B13)</f>
        <v>0</v>
      </c>
    </row>
    <row r="14" spans="1:5" x14ac:dyDescent="0.3">
      <c r="A14" t="b">
        <f>IF(Rangliste!E14="M",Rangliste!B14)</f>
        <v>0</v>
      </c>
    </row>
    <row r="15" spans="1:5" x14ac:dyDescent="0.3">
      <c r="A15" t="b">
        <f>IF(Rangliste!E15="M",Rangliste!B15)</f>
        <v>0</v>
      </c>
    </row>
    <row r="16" spans="1:5" x14ac:dyDescent="0.3">
      <c r="A16" t="str">
        <f>IF(Rangliste!E16="M",Rangliste!B16)</f>
        <v>Levin Anderwald</v>
      </c>
    </row>
    <row r="17" spans="1:1" x14ac:dyDescent="0.3">
      <c r="A17" t="str">
        <f>IF(Rangliste!E17="M",Rangliste!B17)</f>
        <v>Jacob Chen</v>
      </c>
    </row>
    <row r="18" spans="1:1" x14ac:dyDescent="0.3">
      <c r="A18" t="str">
        <f>IF(Rangliste!E18="M",Rangliste!B18)</f>
        <v>Rafael Markus Gálos</v>
      </c>
    </row>
    <row r="19" spans="1:1" x14ac:dyDescent="0.3">
      <c r="A19" t="b">
        <f>IF(Rangliste!E19="M",Rangliste!B19)</f>
        <v>0</v>
      </c>
    </row>
    <row r="20" spans="1:1" x14ac:dyDescent="0.3">
      <c r="A20" t="str">
        <f>IF(Rangliste!E20="M",Rangliste!B20)</f>
        <v>Alvin Huang</v>
      </c>
    </row>
    <row r="21" spans="1:1" x14ac:dyDescent="0.3">
      <c r="A21" t="str">
        <f>IF(Rangliste!E21="M",Rangliste!B21)</f>
        <v>Boen Yan</v>
      </c>
    </row>
    <row r="22" spans="1:1" x14ac:dyDescent="0.3">
      <c r="A22" t="b">
        <f>IF(Rangliste!E22="M",Rangliste!B22)</f>
        <v>0</v>
      </c>
    </row>
    <row r="23" spans="1:1" x14ac:dyDescent="0.3">
      <c r="A23" t="b">
        <f>IF(Rangliste!E23="M",Rangliste!B23)</f>
        <v>0</v>
      </c>
    </row>
    <row r="24" spans="1:1" x14ac:dyDescent="0.3">
      <c r="A24" t="str">
        <f>IF(Rangliste!E24="M",Rangliste!B24)</f>
        <v>Marco Papp</v>
      </c>
    </row>
    <row r="25" spans="1:1" x14ac:dyDescent="0.3">
      <c r="A25" t="str">
        <f>IF(Rangliste!E25="M",Rangliste!B25)</f>
        <v>Christoph Fessl</v>
      </c>
    </row>
    <row r="26" spans="1:1" x14ac:dyDescent="0.3">
      <c r="A26" t="str">
        <f>IF(Rangliste!E26="M",Rangliste!B26)</f>
        <v>Golsamin Harandi</v>
      </c>
    </row>
    <row r="27" spans="1:1" x14ac:dyDescent="0.3">
      <c r="A27" t="str">
        <f>IF(Rangliste!E27="M",Rangliste!B27)</f>
        <v>Dario Kasser</v>
      </c>
    </row>
    <row r="28" spans="1:1" x14ac:dyDescent="0.3">
      <c r="A28" t="str">
        <f>IF(Rangliste!E28="M",Rangliste!B28)</f>
        <v>Louis Mayer</v>
      </c>
    </row>
    <row r="29" spans="1:1" x14ac:dyDescent="0.3">
      <c r="A29" t="str">
        <f>IF(Rangliste!E29="M",Rangliste!B29)</f>
        <v>Hector Recalde</v>
      </c>
    </row>
    <row r="30" spans="1:1" x14ac:dyDescent="0.3">
      <c r="A30" t="str">
        <f>IF(Rangliste!E30="M",Rangliste!B30)</f>
        <v>Tobias Gerner</v>
      </c>
    </row>
    <row r="31" spans="1:1" x14ac:dyDescent="0.3">
      <c r="A31" t="str">
        <f>IF(Rangliste!E31="M",Rangliste!B31)</f>
        <v>Elias Reisinger</v>
      </c>
    </row>
    <row r="32" spans="1:1" x14ac:dyDescent="0.3">
      <c r="A32" t="str">
        <f>IF(Rangliste!E32="M",Rangliste!B32)</f>
        <v>Terrence Chen</v>
      </c>
    </row>
    <row r="33" spans="1:1" x14ac:dyDescent="0.3">
      <c r="A33" t="str">
        <f>IF(Rangliste!E33="M",Rangliste!B33)</f>
        <v>Tobias Quiroga</v>
      </c>
    </row>
    <row r="34" spans="1:1" x14ac:dyDescent="0.3">
      <c r="A34" t="b">
        <f>IF(Rangliste!E34="M",Rangliste!B34)</f>
        <v>0</v>
      </c>
    </row>
    <row r="35" spans="1:1" x14ac:dyDescent="0.3">
      <c r="A35" t="str">
        <f>IF(Rangliste!E35="M",Rangliste!B35)</f>
        <v>Matthias Fessl</v>
      </c>
    </row>
    <row r="36" spans="1:1" x14ac:dyDescent="0.3">
      <c r="A36" t="str">
        <f>IF(Rangliste!E36="M",Rangliste!B36)</f>
        <v>Joachim Zeilerbauer</v>
      </c>
    </row>
    <row r="37" spans="1:1" x14ac:dyDescent="0.3">
      <c r="A37" t="str">
        <f>IF(Rangliste!E37="M",Rangliste!B37)</f>
        <v>Faraz Ahmed</v>
      </c>
    </row>
    <row r="38" spans="1:1" x14ac:dyDescent="0.3">
      <c r="A38" t="str">
        <f>IF(Rangliste!E38="M",Rangliste!B38)</f>
        <v>Kiril Barthel</v>
      </c>
    </row>
    <row r="39" spans="1:1" x14ac:dyDescent="0.3">
      <c r="A39" t="str">
        <f>IF(Rangliste!E39="M",Rangliste!B39)</f>
        <v>Moritz Köstl</v>
      </c>
    </row>
    <row r="40" spans="1:1" x14ac:dyDescent="0.3">
      <c r="A40" t="str">
        <f>IF(Rangliste!E40="M",Rangliste!B40)</f>
        <v>Aleksandar Zaharieski</v>
      </c>
    </row>
    <row r="41" spans="1:1" x14ac:dyDescent="0.3">
      <c r="A41" t="str">
        <f>IF(Rangliste!E41="M",Rangliste!B41)</f>
        <v>Felix Rädle</v>
      </c>
    </row>
    <row r="42" spans="1:1" x14ac:dyDescent="0.3">
      <c r="A42" t="str">
        <f>IF(Rangliste!E42="M",Rangliste!B42)</f>
        <v>Rafael Burian</v>
      </c>
    </row>
    <row r="43" spans="1:1" x14ac:dyDescent="0.3">
      <c r="A43" t="str">
        <f>IF(Rangliste!E43="M",Rangliste!B43)</f>
        <v>Maximilian Wegenstein</v>
      </c>
    </row>
    <row r="44" spans="1:1" x14ac:dyDescent="0.3">
      <c r="A44" t="str">
        <f>IF(Rangliste!E44="M",Rangliste!B44)</f>
        <v>Dimitrij Wolgin</v>
      </c>
    </row>
    <row r="45" spans="1:1" x14ac:dyDescent="0.3">
      <c r="A45" t="str">
        <f>IF(Rangliste!E45="M",Rangliste!B45)</f>
        <v>Julian Taferl</v>
      </c>
    </row>
    <row r="46" spans="1:1" x14ac:dyDescent="0.3">
      <c r="A46" t="str">
        <f>IF(Rangliste!E46="M",Rangliste!B46)</f>
        <v>Josua Zeilerbauer</v>
      </c>
    </row>
    <row r="47" spans="1:1" x14ac:dyDescent="0.3">
      <c r="A47" t="str">
        <f>IF(Rangliste!E47="M",Rangliste!B47)</f>
        <v>Felix Lamplmaier</v>
      </c>
    </row>
    <row r="48" spans="1:1" x14ac:dyDescent="0.3">
      <c r="A48" t="str">
        <f>IF(Rangliste!E48="M",Rangliste!B48)</f>
        <v>Emil Fathulla</v>
      </c>
    </row>
    <row r="49" spans="1:1" x14ac:dyDescent="0.3">
      <c r="A49" t="str">
        <f>IF(Rangliste!E49="M",Rangliste!B49)</f>
        <v>Leon Hausmann</v>
      </c>
    </row>
    <row r="50" spans="1:1" x14ac:dyDescent="0.3">
      <c r="A50" t="str">
        <f>IF(Rangliste!E50="M",Rangliste!B50)</f>
        <v>Clemens Braun</v>
      </c>
    </row>
    <row r="51" spans="1:1" x14ac:dyDescent="0.3">
      <c r="A51" t="str">
        <f>IF(Rangliste!E51="M",Rangliste!B51)</f>
        <v>Ilian Reisinger</v>
      </c>
    </row>
    <row r="52" spans="1:1" x14ac:dyDescent="0.3">
      <c r="A52" t="b">
        <f>IF(Rangliste!E52="M",Rangliste!B52)</f>
        <v>0</v>
      </c>
    </row>
    <row r="53" spans="1:1" x14ac:dyDescent="0.3">
      <c r="A53" t="str">
        <f>IF(Rangliste!E53="M",Rangliste!B53)</f>
        <v>Wolfgang Scheifinger</v>
      </c>
    </row>
    <row r="54" spans="1:1" x14ac:dyDescent="0.3">
      <c r="A54" t="str">
        <f>IF(Rangliste!E54="M",Rangliste!B54)</f>
        <v>Alen Sosyan</v>
      </c>
    </row>
    <row r="55" spans="1:1" x14ac:dyDescent="0.3">
      <c r="A55" t="str">
        <f>IF(Rangliste!E55="M",Rangliste!B55)</f>
        <v>Ziqi Li</v>
      </c>
    </row>
    <row r="56" spans="1:1" x14ac:dyDescent="0.3">
      <c r="A56" t="str">
        <f>IF(Rangliste!E56="M",Rangliste!B56)</f>
        <v>Oscar Hsu</v>
      </c>
    </row>
    <row r="57" spans="1:1" x14ac:dyDescent="0.3">
      <c r="A57" t="str">
        <f>IF(Rangliste!E57="M",Rangliste!B57)</f>
        <v>Zhenhui Tang</v>
      </c>
    </row>
    <row r="58" spans="1:1" x14ac:dyDescent="0.3">
      <c r="A58" t="str">
        <f>IF(Rangliste!E58="M",Rangliste!B58)</f>
        <v>Matthias Trimmel</v>
      </c>
    </row>
    <row r="59" spans="1:1" x14ac:dyDescent="0.3">
      <c r="A59" t="str">
        <f>IF(Rangliste!E59="M",Rangliste!B59)</f>
        <v>Ricky Chen</v>
      </c>
    </row>
    <row r="60" spans="1:1" x14ac:dyDescent="0.3">
      <c r="A60" t="str">
        <f>IF(Rangliste!E60="M",Rangliste!B60)</f>
        <v>Frederik Braun</v>
      </c>
    </row>
    <row r="61" spans="1:1" x14ac:dyDescent="0.3">
      <c r="A61" t="str">
        <f>IF(Rangliste!E61="M",Rangliste!B61)</f>
        <v>Mustafa Hussaini</v>
      </c>
    </row>
    <row r="62" spans="1:1" x14ac:dyDescent="0.3">
      <c r="A62" t="str">
        <f>IF(Rangliste!E62="M",Rangliste!B62)</f>
        <v>Agam Singh</v>
      </c>
    </row>
    <row r="63" spans="1:1" x14ac:dyDescent="0.3">
      <c r="A63" t="str">
        <f>IF(Rangliste!E63="M",Rangliste!B63)</f>
        <v>Liam Hammer</v>
      </c>
    </row>
    <row r="64" spans="1:1" x14ac:dyDescent="0.3">
      <c r="A64" t="b">
        <f>IF(Rangliste!E64="M",Rangliste!B64)</f>
        <v>0</v>
      </c>
    </row>
    <row r="65" spans="1:1" x14ac:dyDescent="0.3">
      <c r="A65" t="str">
        <f>IF(Rangliste!E65="M",Rangliste!B65)</f>
        <v>Robin Schwaiger</v>
      </c>
    </row>
    <row r="66" spans="1:1" x14ac:dyDescent="0.3">
      <c r="A66" t="str">
        <f>IF(Rangliste!E66="M",Rangliste!B66)</f>
        <v>Simon Walter</v>
      </c>
    </row>
    <row r="67" spans="1:1" x14ac:dyDescent="0.3">
      <c r="A67" t="b">
        <f>IF(Rangliste!E67="M",Rangliste!B67)</f>
        <v>0</v>
      </c>
    </row>
    <row r="68" spans="1:1" x14ac:dyDescent="0.3">
      <c r="A68" t="str">
        <f>IF(Rangliste!E68="M",Rangliste!B68)</f>
        <v>Alexander Huang</v>
      </c>
    </row>
    <row r="69" spans="1:1" x14ac:dyDescent="0.3">
      <c r="A69" t="str">
        <f>IF(Rangliste!E69="M",Rangliste!B69)</f>
        <v>Luis Burker</v>
      </c>
    </row>
    <row r="70" spans="1:1" x14ac:dyDescent="0.3">
      <c r="A70" t="str">
        <f>IF(Rangliste!E70="M",Rangliste!B70)</f>
        <v>Aron Massl</v>
      </c>
    </row>
    <row r="71" spans="1:1" x14ac:dyDescent="0.3">
      <c r="A71" t="str">
        <f>IF(Rangliste!E71="M",Rangliste!B71)</f>
        <v>Alexander Zadera</v>
      </c>
    </row>
    <row r="72" spans="1:1" x14ac:dyDescent="0.3">
      <c r="A72" t="b">
        <f>IF(Rangliste!E72="M",Rangliste!B72)</f>
        <v>0</v>
      </c>
    </row>
    <row r="73" spans="1:1" x14ac:dyDescent="0.3">
      <c r="A73" t="str">
        <f>IF(Rangliste!E73="M",Rangliste!B73)</f>
        <v>Vito Eisenhardt</v>
      </c>
    </row>
    <row r="74" spans="1:1" x14ac:dyDescent="0.3">
      <c r="A74" t="str">
        <f>IF(Rangliste!E74="M",Rangliste!B74)</f>
        <v>Martin Müller</v>
      </c>
    </row>
    <row r="75" spans="1:1" x14ac:dyDescent="0.3">
      <c r="A75" t="str">
        <f>IF(Rangliste!E75="M",Rangliste!B75)</f>
        <v>Haorui Qu</v>
      </c>
    </row>
    <row r="76" spans="1:1" x14ac:dyDescent="0.3">
      <c r="A76" t="str">
        <f>IF(Rangliste!E76="M",Rangliste!B76)</f>
        <v>Tim Loy</v>
      </c>
    </row>
    <row r="77" spans="1:1" x14ac:dyDescent="0.3">
      <c r="A77" t="b">
        <f>IF(Rangliste!E77="M",Rangliste!B77)</f>
        <v>0</v>
      </c>
    </row>
    <row r="78" spans="1:1" x14ac:dyDescent="0.3">
      <c r="A78" t="b">
        <f>IF(Rangliste!E78="M",Rangliste!B78)</f>
        <v>0</v>
      </c>
    </row>
    <row r="79" spans="1:1" x14ac:dyDescent="0.3">
      <c r="A79" t="str">
        <f>IF(Rangliste!E79="M",Rangliste!B79)</f>
        <v>Vihaan Vishal Sharma</v>
      </c>
    </row>
    <row r="80" spans="1:1" x14ac:dyDescent="0.3">
      <c r="A80" t="str">
        <f>IF(Rangliste!E80="M",Rangliste!B80)</f>
        <v>Leonhard Keiler</v>
      </c>
    </row>
    <row r="81" spans="1:1" x14ac:dyDescent="0.3">
      <c r="A81" t="b">
        <f>IF(Rangliste!E81="M",Rangliste!B81)</f>
        <v>0</v>
      </c>
    </row>
    <row r="82" spans="1:1" x14ac:dyDescent="0.3">
      <c r="A82" t="str">
        <f>IF(Rangliste!E82="M",Rangliste!B82)</f>
        <v>Tim Jeitler</v>
      </c>
    </row>
    <row r="83" spans="1:1" x14ac:dyDescent="0.3">
      <c r="A83" t="str">
        <f>IF(Rangliste!E83="M",Rangliste!B83)</f>
        <v>Agampreet Singh</v>
      </c>
    </row>
    <row r="84" spans="1:1" x14ac:dyDescent="0.3">
      <c r="A84" t="str">
        <f>IF(Rangliste!E84="M",Rangliste!B84)</f>
        <v>Paul Khaylo</v>
      </c>
    </row>
    <row r="85" spans="1:1" x14ac:dyDescent="0.3">
      <c r="A85" t="str">
        <f>IF(Rangliste!E85="M",Rangliste!B85)</f>
        <v>Fabian Müller</v>
      </c>
    </row>
    <row r="86" spans="1:1" x14ac:dyDescent="0.3">
      <c r="A86" t="b">
        <f>IF(Rangliste!E86="M",Rangliste!B86)</f>
        <v>0</v>
      </c>
    </row>
    <row r="87" spans="1:1" x14ac:dyDescent="0.3">
      <c r="A87" t="b">
        <f>IF(Rangliste!E87="M",Rangliste!B87)</f>
        <v>0</v>
      </c>
    </row>
    <row r="88" spans="1:1" x14ac:dyDescent="0.3">
      <c r="A88" t="str">
        <f>IF(Rangliste!E88="M",Rangliste!B88)</f>
        <v>Anton Baier</v>
      </c>
    </row>
    <row r="89" spans="1:1" x14ac:dyDescent="0.3">
      <c r="A89" t="b">
        <f>IF(Rangliste!E89="M",Rangliste!B89)</f>
        <v>0</v>
      </c>
    </row>
    <row r="90" spans="1:1" x14ac:dyDescent="0.3">
      <c r="A90" t="str">
        <f>IF(Rangliste!E90="M",Rangliste!B90)</f>
        <v>Antonio Garcia Strzeletz</v>
      </c>
    </row>
    <row r="91" spans="1:1" x14ac:dyDescent="0.3">
      <c r="A91" t="b">
        <f>IF(Rangliste!E91="M",Rangliste!B91)</f>
        <v>0</v>
      </c>
    </row>
    <row r="92" spans="1:1" x14ac:dyDescent="0.3">
      <c r="A92" t="str">
        <f>IF(Rangliste!E92="M",Rangliste!B92)</f>
        <v>Felix Österreicher</v>
      </c>
    </row>
    <row r="93" spans="1:1" x14ac:dyDescent="0.3">
      <c r="A93" t="str">
        <f>IF(Rangliste!E93="M",Rangliste!B93)</f>
        <v>Fabian Faller</v>
      </c>
    </row>
    <row r="94" spans="1:1" x14ac:dyDescent="0.3">
      <c r="A94" t="b">
        <f>IF(Rangliste!E94="M",Rangliste!B94)</f>
        <v>0</v>
      </c>
    </row>
    <row r="95" spans="1:1" x14ac:dyDescent="0.3">
      <c r="A95" t="str">
        <f>IF(Rangliste!E95="M",Rangliste!B95)</f>
        <v>Benjamin Nagy</v>
      </c>
    </row>
    <row r="96" spans="1:1" x14ac:dyDescent="0.3">
      <c r="A96" t="b">
        <f>IF(Rangliste!E96="M",Rangliste!B96)</f>
        <v>0</v>
      </c>
    </row>
    <row r="97" spans="1:1" x14ac:dyDescent="0.3">
      <c r="A97" t="b">
        <f>IF(Rangliste!E97="M",Rangliste!B97)</f>
        <v>0</v>
      </c>
    </row>
    <row r="98" spans="1:1" x14ac:dyDescent="0.3">
      <c r="A98" t="str">
        <f>IF(Rangliste!E98="M",Rangliste!B98)</f>
        <v>Louis Liu</v>
      </c>
    </row>
    <row r="99" spans="1:1" x14ac:dyDescent="0.3">
      <c r="A99" t="str">
        <f>IF(Rangliste!E99="M",Rangliste!B99)</f>
        <v>Maximilian Grünwald</v>
      </c>
    </row>
    <row r="100" spans="1:1" x14ac:dyDescent="0.3">
      <c r="A100" t="b">
        <f>IF(Rangliste!E100="M",Rangliste!B100)</f>
        <v>0</v>
      </c>
    </row>
    <row r="101" spans="1:1" x14ac:dyDescent="0.3">
      <c r="A101" t="str">
        <f>IF(Rangliste!E101="M",Rangliste!B101)</f>
        <v>Mario Mitterer</v>
      </c>
    </row>
    <row r="102" spans="1:1" x14ac:dyDescent="0.3">
      <c r="A102" t="str">
        <f>IF(Rangliste!E102="M",Rangliste!B102)</f>
        <v>Jannik Neulinger</v>
      </c>
    </row>
    <row r="103" spans="1:1" x14ac:dyDescent="0.3">
      <c r="A103" t="str">
        <f>IF(Rangliste!E103="M",Rangliste!B103)</f>
        <v>Max Xia</v>
      </c>
    </row>
    <row r="104" spans="1:1" x14ac:dyDescent="0.3">
      <c r="A104" t="b">
        <f>IF(Rangliste!E104="M",Rangliste!B104)</f>
        <v>0</v>
      </c>
    </row>
    <row r="105" spans="1:1" x14ac:dyDescent="0.3">
      <c r="A105" t="str">
        <f>IF(Rangliste!E105="M",Rangliste!B105)</f>
        <v>Lukas Buschenreithner</v>
      </c>
    </row>
    <row r="106" spans="1:1" x14ac:dyDescent="0.3">
      <c r="A106" t="str">
        <f>IF(Rangliste!E106="M",Rangliste!B106)</f>
        <v>Tobias Lindorfer</v>
      </c>
    </row>
    <row r="107" spans="1:1" x14ac:dyDescent="0.3">
      <c r="A107" t="str">
        <f>IF(Rangliste!E107="M",Rangliste!B107)</f>
        <v>Henrik Novi</v>
      </c>
    </row>
    <row r="108" spans="1:1" x14ac:dyDescent="0.3">
      <c r="A108" t="str">
        <f>IF(Rangliste!E108="M",Rangliste!B108)</f>
        <v>Robin Schweiger</v>
      </c>
    </row>
    <row r="109" spans="1:1" x14ac:dyDescent="0.3">
      <c r="A109" t="str">
        <f>IF(Rangliste!E109="M",Rangliste!B109)</f>
        <v>Daniel Reiter</v>
      </c>
    </row>
    <row r="110" spans="1:1" x14ac:dyDescent="0.3">
      <c r="A110" t="b">
        <f>IF(Rangliste!E110="M",Rangliste!B110)</f>
        <v>0</v>
      </c>
    </row>
    <row r="111" spans="1:1" x14ac:dyDescent="0.3">
      <c r="A111" t="str">
        <f>IF(Rangliste!E111="M",Rangliste!B111)</f>
        <v>Leonard Keiler</v>
      </c>
    </row>
    <row r="112" spans="1:1" x14ac:dyDescent="0.3">
      <c r="A112" t="str">
        <f>IF(Rangliste!E112="M",Rangliste!B112)</f>
        <v>Leon Wolansky</v>
      </c>
    </row>
    <row r="113" spans="1:1" x14ac:dyDescent="0.3">
      <c r="A113" t="b">
        <f>IF(Rangliste!E113="M",Rangliste!B113)</f>
        <v>0</v>
      </c>
    </row>
    <row r="114" spans="1:1" x14ac:dyDescent="0.3">
      <c r="A114" t="str">
        <f>IF(Rangliste!E114="M",Rangliste!B114)</f>
        <v>Kristof Süveges</v>
      </c>
    </row>
    <row r="115" spans="1:1" x14ac:dyDescent="0.3">
      <c r="A115" t="str">
        <f>IF(Rangliste!E115="M",Rangliste!B115)</f>
        <v>Elias Bauer</v>
      </c>
    </row>
    <row r="116" spans="1:1" x14ac:dyDescent="0.3">
      <c r="A116" t="b">
        <f>IF(Rangliste!E116="M",Rangliste!B116)</f>
        <v>0</v>
      </c>
    </row>
    <row r="117" spans="1:1" x14ac:dyDescent="0.3">
      <c r="A117" t="b">
        <f>IF(Rangliste!E117="M",Rangliste!B117)</f>
        <v>0</v>
      </c>
    </row>
    <row r="118" spans="1:1" x14ac:dyDescent="0.3">
      <c r="A118" t="str">
        <f>IF(Rangliste!E118="M",Rangliste!B118)</f>
        <v>Vinzenz Fischlmair</v>
      </c>
    </row>
    <row r="119" spans="1:1" x14ac:dyDescent="0.3">
      <c r="A119" t="str">
        <f>IF(Rangliste!E119="M",Rangliste!B119)</f>
        <v>Leon Frank</v>
      </c>
    </row>
    <row r="120" spans="1:1" x14ac:dyDescent="0.3">
      <c r="A120" t="str">
        <f>IF(Rangliste!E120="M",Rangliste!B120)</f>
        <v>Adrian Novotny</v>
      </c>
    </row>
    <row r="121" spans="1:1" x14ac:dyDescent="0.3">
      <c r="A121" t="str">
        <f>IF(Rangliste!E121="M",Rangliste!B121)</f>
        <v>Felix Alt</v>
      </c>
    </row>
    <row r="122" spans="1:1" x14ac:dyDescent="0.3">
      <c r="A122" t="str">
        <f>IF(Rangliste!E122="M",Rangliste!B122)</f>
        <v>Julian Österreicher</v>
      </c>
    </row>
    <row r="123" spans="1:1" x14ac:dyDescent="0.3">
      <c r="A123" t="b">
        <f>IF(Rangliste!E123="M",Rangliste!B123)</f>
        <v>0</v>
      </c>
    </row>
    <row r="124" spans="1:1" x14ac:dyDescent="0.3">
      <c r="A124" t="str">
        <f>IF(Rangliste!E124="M",Rangliste!B124)</f>
        <v>Jakob Müllner</v>
      </c>
    </row>
    <row r="125" spans="1:1" x14ac:dyDescent="0.3">
      <c r="A125" t="str">
        <f>IF(Rangliste!E125="M",Rangliste!B125)</f>
        <v>Maximilian Jin</v>
      </c>
    </row>
    <row r="126" spans="1:1" x14ac:dyDescent="0.3">
      <c r="A126" t="b">
        <f>IF(Rangliste!E126="M",Rangliste!B126)</f>
        <v>0</v>
      </c>
    </row>
    <row r="127" spans="1:1" x14ac:dyDescent="0.3">
      <c r="A127" t="str">
        <f>IF(Rangliste!E127="M",Rangliste!B127)</f>
        <v>Mátyás Palotai</v>
      </c>
    </row>
    <row r="128" spans="1:1" x14ac:dyDescent="0.3">
      <c r="A128" t="str">
        <f>IF(Rangliste!E128="M",Rangliste!B128)</f>
        <v>Moritz Feher</v>
      </c>
    </row>
    <row r="129" spans="1:1" x14ac:dyDescent="0.3">
      <c r="A129" t="b">
        <f>IF(Rangliste!E129="M",Rangliste!B129)</f>
        <v>0</v>
      </c>
    </row>
    <row r="130" spans="1:1" x14ac:dyDescent="0.3">
      <c r="A130" t="str">
        <f>IF(Rangliste!E130="M",Rangliste!B130)</f>
        <v>Viktor Aleksic</v>
      </c>
    </row>
    <row r="131" spans="1:1" x14ac:dyDescent="0.3">
      <c r="A131" t="str">
        <f>IF(Rangliste!E131="M",Rangliste!B131)</f>
        <v>Alexander Wolgin</v>
      </c>
    </row>
    <row r="132" spans="1:1" x14ac:dyDescent="0.3">
      <c r="A132" t="str">
        <f>IF(Rangliste!E132="M",Rangliste!B132)</f>
        <v>Marco Chen</v>
      </c>
    </row>
    <row r="133" spans="1:1" x14ac:dyDescent="0.3">
      <c r="A133" t="str">
        <f>IF(Rangliste!E133="M",Rangliste!B133)</f>
        <v>Louyi Zhang</v>
      </c>
    </row>
    <row r="134" spans="1:1" x14ac:dyDescent="0.3">
      <c r="A134" t="b">
        <f>IF(Rangliste!E134="M",Rangliste!B134)</f>
        <v>0</v>
      </c>
    </row>
    <row r="135" spans="1:1" x14ac:dyDescent="0.3">
      <c r="A135" t="str">
        <f>IF(Rangliste!E135="M",Rangliste!B135)</f>
        <v>Elias Reichel-Teng</v>
      </c>
    </row>
    <row r="136" spans="1:1" x14ac:dyDescent="0.3">
      <c r="A136" t="b">
        <f>IF(Rangliste!E136="M",Rangliste!B136)</f>
        <v>0</v>
      </c>
    </row>
    <row r="137" spans="1:1" x14ac:dyDescent="0.3">
      <c r="A137" t="str">
        <f>IF(Rangliste!E137="M",Rangliste!B137)</f>
        <v>Julian Stöger</v>
      </c>
    </row>
    <row r="138" spans="1:1" x14ac:dyDescent="0.3">
      <c r="A138" t="b">
        <f>IF(Rangliste!E138="M",Rangliste!B138)</f>
        <v>0</v>
      </c>
    </row>
    <row r="139" spans="1:1" x14ac:dyDescent="0.3">
      <c r="A139" t="b">
        <f>IF(Rangliste!E139="M",Rangliste!B139)</f>
        <v>0</v>
      </c>
    </row>
    <row r="140" spans="1:1" x14ac:dyDescent="0.3">
      <c r="A140" t="str">
        <f>IF(Rangliste!E140="M",Rangliste!B140)</f>
        <v>Kevin Zheng</v>
      </c>
    </row>
    <row r="141" spans="1:1" x14ac:dyDescent="0.3">
      <c r="A141" t="b">
        <f>IF(Rangliste!E141="M",Rangliste!B141)</f>
        <v>0</v>
      </c>
    </row>
    <row r="142" spans="1:1" x14ac:dyDescent="0.3">
      <c r="A142" t="b">
        <f>IF(Rangliste!E142="M",Rangliste!B142)</f>
        <v>0</v>
      </c>
    </row>
    <row r="143" spans="1:1" x14ac:dyDescent="0.3">
      <c r="A143" t="str">
        <f>IF(Rangliste!E143="M",Rangliste!B143)</f>
        <v>Florentin Ahammer</v>
      </c>
    </row>
    <row r="144" spans="1:1" x14ac:dyDescent="0.3">
      <c r="A144" t="str">
        <f>IF(Rangliste!E144="M",Rangliste!B144)</f>
        <v>Constantin Walzer</v>
      </c>
    </row>
    <row r="145" spans="1:1" x14ac:dyDescent="0.3">
      <c r="A145" t="str">
        <f>IF(Rangliste!E145="M",Rangliste!B145)</f>
        <v>Lorenz Grün</v>
      </c>
    </row>
    <row r="146" spans="1:1" x14ac:dyDescent="0.3">
      <c r="A146" t="b">
        <f>IF(Rangliste!E146="M",Rangliste!B146)</f>
        <v>0</v>
      </c>
    </row>
    <row r="147" spans="1:1" x14ac:dyDescent="0.3">
      <c r="A147" t="str">
        <f>IF(Rangliste!E147="M",Rangliste!B147)</f>
        <v>Paul Lindorfer</v>
      </c>
    </row>
    <row r="148" spans="1:1" x14ac:dyDescent="0.3">
      <c r="A148" t="str">
        <f>IF(Rangliste!E148="M",Rangliste!B148)</f>
        <v>Jakob Elmer</v>
      </c>
    </row>
    <row r="149" spans="1:1" x14ac:dyDescent="0.3">
      <c r="A149" t="b">
        <f>IF(Rangliste!E149="M",Rangliste!B149)</f>
        <v>0</v>
      </c>
    </row>
    <row r="150" spans="1:1" x14ac:dyDescent="0.3">
      <c r="A150" t="str">
        <f>IF(Rangliste!E150="M",Rangliste!B150)</f>
        <v>Konrad Milleder</v>
      </c>
    </row>
    <row r="151" spans="1:1" x14ac:dyDescent="0.3">
      <c r="A151" t="b">
        <f>IF(Rangliste!E151="M",Rangliste!B151)</f>
        <v>0</v>
      </c>
    </row>
    <row r="152" spans="1:1" x14ac:dyDescent="0.3">
      <c r="A152" t="b">
        <f>IF(Rangliste!E152="M",Rangliste!B152)</f>
        <v>0</v>
      </c>
    </row>
    <row r="153" spans="1:1" x14ac:dyDescent="0.3">
      <c r="A153" t="str">
        <f>IF(Rangliste!E153="M",Rangliste!B153)</f>
        <v>Emil Pfeffer</v>
      </c>
    </row>
    <row r="154" spans="1:1" x14ac:dyDescent="0.3">
      <c r="A154" t="str">
        <f>IF(Rangliste!E154="M",Rangliste!B154)</f>
        <v>Sebastian Steiner</v>
      </c>
    </row>
    <row r="155" spans="1:1" x14ac:dyDescent="0.3">
      <c r="A155" t="b">
        <f>IF(Rangliste!E155="M",Rangliste!B155)</f>
        <v>0</v>
      </c>
    </row>
    <row r="156" spans="1:1" x14ac:dyDescent="0.3">
      <c r="A156" t="b">
        <f>IF(Rangliste!E156="M",Rangliste!B156)</f>
        <v>0</v>
      </c>
    </row>
    <row r="157" spans="1:1" x14ac:dyDescent="0.3">
      <c r="A157" t="str">
        <f>IF(Rangliste!E157="M",Rangliste!B157)</f>
        <v>Simon Elmer</v>
      </c>
    </row>
    <row r="158" spans="1:1" x14ac:dyDescent="0.3">
      <c r="A158" t="str">
        <f>IF(Rangliste!E158="M",Rangliste!B158)</f>
        <v>Paul Floßmann</v>
      </c>
    </row>
    <row r="159" spans="1:1" x14ac:dyDescent="0.3">
      <c r="A159" t="str">
        <f>IF(Rangliste!E159="M",Rangliste!B159)</f>
        <v>Philipp Bauer</v>
      </c>
    </row>
    <row r="160" spans="1:1" x14ac:dyDescent="0.3">
      <c r="A160" t="str">
        <f>IF(Rangliste!E160="M",Rangliste!B160)</f>
        <v>Randeep Sekhon</v>
      </c>
    </row>
    <row r="161" spans="1:1" x14ac:dyDescent="0.3">
      <c r="A161" t="str">
        <f>IF(Rangliste!E161="M",Rangliste!B161)</f>
        <v>Valentin Krug</v>
      </c>
    </row>
    <row r="162" spans="1:1" x14ac:dyDescent="0.3">
      <c r="A162" t="str">
        <f>IF(Rangliste!E162="M",Rangliste!B162)</f>
        <v>Vasudev Duggirala</v>
      </c>
    </row>
    <row r="163" spans="1:1" x14ac:dyDescent="0.3">
      <c r="A163" t="str">
        <f>IF(Rangliste!E163="M",Rangliste!B163)</f>
        <v>Finn Blieweis</v>
      </c>
    </row>
    <row r="164" spans="1:1" x14ac:dyDescent="0.3">
      <c r="A164" t="str">
        <f>IF(Rangliste!E164="M",Rangliste!B164)</f>
        <v>Levente Joó</v>
      </c>
    </row>
    <row r="165" spans="1:1" x14ac:dyDescent="0.3">
      <c r="A165" t="b">
        <f>IF(Rangliste!E165="M",Rangliste!B165)</f>
        <v>0</v>
      </c>
    </row>
    <row r="166" spans="1:1" x14ac:dyDescent="0.3">
      <c r="A166" t="b">
        <f>IF(Rangliste!E166="M",Rangliste!B166)</f>
        <v>0</v>
      </c>
    </row>
    <row r="167" spans="1:1" x14ac:dyDescent="0.3">
      <c r="A167" t="b">
        <f>IF(Rangliste!E167="M",Rangliste!B167)</f>
        <v>0</v>
      </c>
    </row>
    <row r="168" spans="1:1" x14ac:dyDescent="0.3">
      <c r="A168" t="str">
        <f>IF(Rangliste!E168="M",Rangliste!B168)</f>
        <v>Emil Kofler-Strigl</v>
      </c>
    </row>
    <row r="169" spans="1:1" x14ac:dyDescent="0.3">
      <c r="A169" t="str">
        <f>IF(Rangliste!E169="M",Rangliste!B169)</f>
        <v>Ben Holaus</v>
      </c>
    </row>
    <row r="170" spans="1:1" x14ac:dyDescent="0.3">
      <c r="A170" t="str">
        <f>IF(Rangliste!E170="M",Rangliste!B170)</f>
        <v>Karl Edlinger</v>
      </c>
    </row>
    <row r="171" spans="1:1" x14ac:dyDescent="0.3">
      <c r="A171" t="str">
        <f>IF(Rangliste!E171="M",Rangliste!B171)</f>
        <v>David Orsolic</v>
      </c>
    </row>
    <row r="172" spans="1:1" x14ac:dyDescent="0.3">
      <c r="A172" t="str">
        <f>IF(Rangliste!E172="M",Rangliste!B172)</f>
        <v>Anton Edlinger</v>
      </c>
    </row>
    <row r="173" spans="1:1" x14ac:dyDescent="0.3">
      <c r="A173" t="b">
        <f>IF(Rangliste!E173="M",Rangliste!B173)</f>
        <v>0</v>
      </c>
    </row>
    <row r="174" spans="1:1" x14ac:dyDescent="0.3">
      <c r="A174" t="str">
        <f>IF(Rangliste!E174="M",Rangliste!B174)</f>
        <v>Ben Hollaus</v>
      </c>
    </row>
    <row r="175" spans="1:1" x14ac:dyDescent="0.3">
      <c r="A175" t="str">
        <f>IF(Rangliste!E175="M",Rangliste!B175)</f>
        <v>Juan-Facundo Le Rose</v>
      </c>
    </row>
    <row r="176" spans="1:1" x14ac:dyDescent="0.3">
      <c r="A176" t="str">
        <f>IF(Rangliste!E176="M",Rangliste!B176)</f>
        <v>Theodor Pap</v>
      </c>
    </row>
    <row r="177" spans="1:1" x14ac:dyDescent="0.3">
      <c r="A177" t="str">
        <f>IF(Rangliste!E177="M",Rangliste!B177)</f>
        <v>Georgio Khoury</v>
      </c>
    </row>
    <row r="178" spans="1:1" x14ac:dyDescent="0.3">
      <c r="A178" t="str">
        <f>IF(Rangliste!E178="M",Rangliste!B178)</f>
        <v>Mahdy Naiem</v>
      </c>
    </row>
    <row r="179" spans="1:1" x14ac:dyDescent="0.3">
      <c r="A179" t="str">
        <f>IF(Rangliste!E179="M",Rangliste!B179)</f>
        <v>Sam Lavvaf Koshyani</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91D1-8759-42B9-981C-3DD67B18A99A}">
  <dimension ref="A1"/>
  <sheetViews>
    <sheetView workbookViewId="0"/>
  </sheetViews>
  <sheetFormatPr defaultRowHeight="13"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P1000"/>
  <sheetViews>
    <sheetView workbookViewId="0">
      <selection sqref="A1:O1"/>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5" width="10.69921875" customWidth="1"/>
    <col min="16" max="16" width="11.59765625" customWidth="1"/>
  </cols>
  <sheetData>
    <row r="1" spans="1:16" ht="20" x14ac:dyDescent="0.4">
      <c r="A1" s="111" t="s">
        <v>345</v>
      </c>
      <c r="B1" s="112"/>
      <c r="C1" s="112"/>
      <c r="D1" s="112"/>
      <c r="E1" s="112"/>
      <c r="F1" s="112"/>
      <c r="G1" s="112"/>
      <c r="H1" s="112"/>
      <c r="I1" s="112"/>
      <c r="J1" s="112"/>
      <c r="K1" s="112"/>
      <c r="L1" s="112"/>
      <c r="M1" s="112"/>
      <c r="N1" s="112"/>
      <c r="O1" s="113"/>
      <c r="P1" s="26">
        <v>45921</v>
      </c>
    </row>
    <row r="2" spans="1:16"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6" ht="12.75" customHeight="1" x14ac:dyDescent="0.3">
      <c r="A3" s="30">
        <v>1</v>
      </c>
      <c r="B3" s="31" t="s">
        <v>30</v>
      </c>
      <c r="C3" s="30">
        <f>Punkte!D6</f>
        <v>200</v>
      </c>
      <c r="E3" s="30">
        <v>1</v>
      </c>
      <c r="F3" s="31" t="s">
        <v>85</v>
      </c>
      <c r="G3" s="30">
        <f>IF(ISNA(VLOOKUP(ROUND(COUNTA(B3:B34)*Offset,0),A3:C34,3,FALSE)-1)=TRUE,177,VLOOKUP(ROUND(COUNTA(B3:B34)*Offset,0),A3:C34,3,FALSE)-1)</f>
        <v>195</v>
      </c>
      <c r="I3" s="30">
        <v>1</v>
      </c>
      <c r="J3" s="32" t="s">
        <v>139</v>
      </c>
      <c r="K3" s="30">
        <f>IF(ISNA(VLOOKUP(ROUND(COUNTA(F3:F34)*Offset,0),E3:G34,3,FALSE)-1)=TRUE,154,VLOOKUP(ROUND(COUNTA(F3:F34)*Offset,0),E3:G34,3,FALSE)-1)</f>
        <v>184</v>
      </c>
      <c r="M3" s="30">
        <v>1</v>
      </c>
      <c r="N3" s="33" t="s">
        <v>159</v>
      </c>
      <c r="O3" s="30">
        <f>IF(ISNA(VLOOKUP(ROUND(COUNTA(J3:J34)*Offset,0),I3:K34,3,FALSE)-1)=TRUE,131,VLOOKUP(ROUND(COUNTA(J3:J34)*Offset,0),I3:K34,3,FALSE)-1)</f>
        <v>171</v>
      </c>
    </row>
    <row r="4" spans="1:16" ht="12.75" customHeight="1" x14ac:dyDescent="0.3">
      <c r="A4" s="34">
        <v>2</v>
      </c>
      <c r="B4" s="35" t="s">
        <v>77</v>
      </c>
      <c r="C4" s="34">
        <f t="shared" ref="C4:C18" si="0">C3-2</f>
        <v>198</v>
      </c>
      <c r="E4" s="34">
        <v>2</v>
      </c>
      <c r="F4" s="35" t="s">
        <v>58</v>
      </c>
      <c r="G4" s="34">
        <f t="shared" ref="G4:G18" si="1">G3-2</f>
        <v>193</v>
      </c>
      <c r="I4" s="34">
        <v>2</v>
      </c>
      <c r="J4" s="35" t="s">
        <v>297</v>
      </c>
      <c r="K4" s="34">
        <f t="shared" ref="K4:K18" si="2">K3-2</f>
        <v>182</v>
      </c>
      <c r="M4" s="34">
        <v>2</v>
      </c>
      <c r="N4" s="29" t="s">
        <v>302</v>
      </c>
      <c r="O4" s="34">
        <f t="shared" ref="O4:O18" si="3">O3-2</f>
        <v>169</v>
      </c>
    </row>
    <row r="5" spans="1:16" ht="12.75" customHeight="1" x14ac:dyDescent="0.3">
      <c r="A5" s="34">
        <v>3</v>
      </c>
      <c r="B5" s="16" t="s">
        <v>82</v>
      </c>
      <c r="C5" s="34">
        <f t="shared" si="0"/>
        <v>196</v>
      </c>
      <c r="E5" s="34">
        <v>3</v>
      </c>
      <c r="F5" s="16" t="s">
        <v>207</v>
      </c>
      <c r="G5" s="34">
        <f t="shared" si="1"/>
        <v>191</v>
      </c>
      <c r="I5" s="34">
        <v>3</v>
      </c>
      <c r="J5" s="35" t="s">
        <v>298</v>
      </c>
      <c r="K5" s="34">
        <f t="shared" si="2"/>
        <v>180</v>
      </c>
      <c r="M5" s="34">
        <v>3</v>
      </c>
      <c r="N5" s="29" t="s">
        <v>303</v>
      </c>
      <c r="O5" s="34">
        <f t="shared" si="3"/>
        <v>167</v>
      </c>
    </row>
    <row r="6" spans="1:16" ht="12.75" customHeight="1" x14ac:dyDescent="0.3">
      <c r="A6" s="34">
        <v>4</v>
      </c>
      <c r="B6" s="16" t="s">
        <v>95</v>
      </c>
      <c r="C6" s="34">
        <f t="shared" si="0"/>
        <v>194</v>
      </c>
      <c r="E6" s="34">
        <v>4</v>
      </c>
      <c r="F6" s="16" t="s">
        <v>88</v>
      </c>
      <c r="G6" s="34">
        <f t="shared" si="1"/>
        <v>189</v>
      </c>
      <c r="I6" s="34">
        <v>4</v>
      </c>
      <c r="J6" s="35" t="s">
        <v>145</v>
      </c>
      <c r="K6" s="34">
        <f t="shared" si="2"/>
        <v>178</v>
      </c>
      <c r="M6" s="34">
        <v>4</v>
      </c>
      <c r="N6" s="29" t="s">
        <v>304</v>
      </c>
      <c r="O6" s="34">
        <f t="shared" si="3"/>
        <v>165</v>
      </c>
    </row>
    <row r="7" spans="1:16" ht="12.75" customHeight="1" x14ac:dyDescent="0.3">
      <c r="A7" s="34">
        <v>5</v>
      </c>
      <c r="B7" s="16"/>
      <c r="C7" s="34">
        <f t="shared" si="0"/>
        <v>192</v>
      </c>
      <c r="E7" s="34">
        <v>5</v>
      </c>
      <c r="F7" s="16" t="s">
        <v>295</v>
      </c>
      <c r="G7" s="34">
        <f t="shared" si="1"/>
        <v>187</v>
      </c>
      <c r="I7" s="34">
        <v>5</v>
      </c>
      <c r="J7" s="35" t="s">
        <v>121</v>
      </c>
      <c r="K7" s="34">
        <f t="shared" si="2"/>
        <v>176</v>
      </c>
      <c r="M7" s="34">
        <v>5</v>
      </c>
      <c r="N7" s="29" t="s">
        <v>247</v>
      </c>
      <c r="O7" s="34">
        <f t="shared" si="3"/>
        <v>163</v>
      </c>
    </row>
    <row r="8" spans="1:16" ht="12.75" customHeight="1" x14ac:dyDescent="0.3">
      <c r="A8" s="34">
        <v>6</v>
      </c>
      <c r="B8" s="16"/>
      <c r="C8" s="34">
        <f t="shared" si="0"/>
        <v>190</v>
      </c>
      <c r="E8" s="34">
        <v>6</v>
      </c>
      <c r="F8" s="16" t="s">
        <v>45</v>
      </c>
      <c r="G8" s="34">
        <f t="shared" si="1"/>
        <v>185</v>
      </c>
      <c r="I8" s="34">
        <v>6</v>
      </c>
      <c r="J8" s="35" t="s">
        <v>300</v>
      </c>
      <c r="K8" s="34">
        <f t="shared" si="2"/>
        <v>174</v>
      </c>
      <c r="M8" s="34">
        <v>6</v>
      </c>
      <c r="N8" s="29" t="s">
        <v>306</v>
      </c>
      <c r="O8" s="34">
        <f t="shared" si="3"/>
        <v>161</v>
      </c>
    </row>
    <row r="9" spans="1:16" ht="12.75" customHeight="1" x14ac:dyDescent="0.3">
      <c r="A9" s="34">
        <v>7</v>
      </c>
      <c r="B9" s="16"/>
      <c r="C9" s="34">
        <f t="shared" si="0"/>
        <v>188</v>
      </c>
      <c r="E9" s="34">
        <v>7</v>
      </c>
      <c r="F9" s="16" t="s">
        <v>119</v>
      </c>
      <c r="G9" s="34">
        <f t="shared" si="1"/>
        <v>183</v>
      </c>
      <c r="I9" s="34">
        <v>7</v>
      </c>
      <c r="J9" s="35" t="s">
        <v>170</v>
      </c>
      <c r="K9" s="34">
        <f t="shared" si="2"/>
        <v>172</v>
      </c>
      <c r="M9" s="34">
        <v>7</v>
      </c>
      <c r="N9" s="29" t="s">
        <v>250</v>
      </c>
      <c r="O9" s="34">
        <f t="shared" si="3"/>
        <v>159</v>
      </c>
    </row>
    <row r="10" spans="1:16" ht="12.75" customHeight="1" x14ac:dyDescent="0.3">
      <c r="A10" s="34">
        <v>8</v>
      </c>
      <c r="B10" s="35"/>
      <c r="C10" s="34">
        <f t="shared" si="0"/>
        <v>186</v>
      </c>
      <c r="E10" s="34">
        <v>8</v>
      </c>
      <c r="F10" s="35" t="s">
        <v>66</v>
      </c>
      <c r="G10" s="34">
        <f t="shared" si="1"/>
        <v>181</v>
      </c>
      <c r="I10" s="34">
        <v>8</v>
      </c>
      <c r="J10" s="35" t="s">
        <v>91</v>
      </c>
      <c r="K10" s="34">
        <f t="shared" si="2"/>
        <v>170</v>
      </c>
      <c r="M10" s="34">
        <v>8</v>
      </c>
      <c r="N10" s="29" t="s">
        <v>246</v>
      </c>
      <c r="O10" s="34">
        <f t="shared" si="3"/>
        <v>157</v>
      </c>
    </row>
    <row r="11" spans="1:16" ht="12.75" customHeight="1" x14ac:dyDescent="0.3">
      <c r="A11" s="34">
        <v>9</v>
      </c>
      <c r="B11" s="16"/>
      <c r="C11" s="34">
        <f t="shared" si="0"/>
        <v>184</v>
      </c>
      <c r="E11" s="34">
        <v>9</v>
      </c>
      <c r="F11" s="16"/>
      <c r="G11" s="34">
        <f t="shared" si="1"/>
        <v>179</v>
      </c>
      <c r="I11" s="34">
        <v>9</v>
      </c>
      <c r="J11" s="35" t="s">
        <v>243</v>
      </c>
      <c r="K11" s="34">
        <f t="shared" si="2"/>
        <v>168</v>
      </c>
      <c r="M11" s="34">
        <v>9</v>
      </c>
      <c r="N11" s="29" t="s">
        <v>307</v>
      </c>
      <c r="O11" s="34">
        <f t="shared" si="3"/>
        <v>155</v>
      </c>
    </row>
    <row r="12" spans="1:16" ht="12.75" customHeight="1" x14ac:dyDescent="0.3">
      <c r="A12" s="34">
        <v>10</v>
      </c>
      <c r="B12" s="16"/>
      <c r="C12" s="34">
        <f t="shared" si="0"/>
        <v>182</v>
      </c>
      <c r="E12" s="34">
        <v>10</v>
      </c>
      <c r="F12" s="16"/>
      <c r="G12" s="34">
        <f t="shared" si="1"/>
        <v>177</v>
      </c>
      <c r="I12" s="34">
        <v>10</v>
      </c>
      <c r="J12" s="35"/>
      <c r="K12" s="34">
        <f t="shared" si="2"/>
        <v>166</v>
      </c>
      <c r="M12" s="34">
        <v>10</v>
      </c>
      <c r="N12" s="29" t="s">
        <v>308</v>
      </c>
      <c r="O12" s="34">
        <f t="shared" si="3"/>
        <v>153</v>
      </c>
    </row>
    <row r="13" spans="1:16" ht="12.75" customHeight="1" x14ac:dyDescent="0.3">
      <c r="A13" s="34">
        <v>11</v>
      </c>
      <c r="B13" s="16"/>
      <c r="C13" s="34">
        <f t="shared" si="0"/>
        <v>180</v>
      </c>
      <c r="E13" s="34">
        <v>11</v>
      </c>
      <c r="F13" s="16"/>
      <c r="G13" s="34">
        <f t="shared" si="1"/>
        <v>175</v>
      </c>
      <c r="I13" s="34">
        <v>11</v>
      </c>
      <c r="J13" s="35"/>
      <c r="K13" s="34">
        <f t="shared" si="2"/>
        <v>164</v>
      </c>
      <c r="M13" s="34">
        <v>11</v>
      </c>
      <c r="N13" s="29" t="s">
        <v>309</v>
      </c>
      <c r="O13" s="34">
        <f t="shared" si="3"/>
        <v>151</v>
      </c>
    </row>
    <row r="14" spans="1:16" ht="12.75" customHeight="1" x14ac:dyDescent="0.3">
      <c r="A14" s="34">
        <v>12</v>
      </c>
      <c r="B14" s="35"/>
      <c r="C14" s="34">
        <f t="shared" si="0"/>
        <v>178</v>
      </c>
      <c r="E14" s="34">
        <v>12</v>
      </c>
      <c r="F14" s="35"/>
      <c r="G14" s="34">
        <f t="shared" si="1"/>
        <v>173</v>
      </c>
      <c r="I14" s="34">
        <v>12</v>
      </c>
      <c r="J14" s="35"/>
      <c r="K14" s="34">
        <f t="shared" si="2"/>
        <v>162</v>
      </c>
      <c r="M14" s="34">
        <v>12</v>
      </c>
      <c r="N14" s="29" t="s">
        <v>311</v>
      </c>
      <c r="O14" s="34">
        <f t="shared" si="3"/>
        <v>149</v>
      </c>
    </row>
    <row r="15" spans="1:16" ht="12.75" customHeight="1" x14ac:dyDescent="0.3">
      <c r="A15" s="34">
        <v>13</v>
      </c>
      <c r="B15" s="35"/>
      <c r="C15" s="34">
        <f t="shared" si="0"/>
        <v>176</v>
      </c>
      <c r="E15" s="34">
        <v>13</v>
      </c>
      <c r="F15" s="35"/>
      <c r="G15" s="34">
        <f t="shared" si="1"/>
        <v>171</v>
      </c>
      <c r="I15" s="34">
        <v>13</v>
      </c>
      <c r="J15" s="35"/>
      <c r="K15" s="34">
        <f t="shared" si="2"/>
        <v>160</v>
      </c>
      <c r="M15" s="34">
        <v>13</v>
      </c>
      <c r="N15" s="29" t="s">
        <v>313</v>
      </c>
      <c r="O15" s="34">
        <f t="shared" si="3"/>
        <v>147</v>
      </c>
    </row>
    <row r="16" spans="1:16" ht="12.75" customHeight="1" x14ac:dyDescent="0.3">
      <c r="A16" s="34">
        <v>14</v>
      </c>
      <c r="B16" s="16"/>
      <c r="C16" s="34">
        <f t="shared" si="0"/>
        <v>174</v>
      </c>
      <c r="E16" s="34">
        <v>14</v>
      </c>
      <c r="F16" s="35"/>
      <c r="G16" s="34">
        <f t="shared" si="1"/>
        <v>169</v>
      </c>
      <c r="I16" s="34">
        <v>14</v>
      </c>
      <c r="J16" s="35"/>
      <c r="K16" s="34">
        <f t="shared" si="2"/>
        <v>158</v>
      </c>
      <c r="M16" s="34">
        <v>14</v>
      </c>
      <c r="N16" s="35" t="s">
        <v>314</v>
      </c>
      <c r="O16" s="34">
        <f t="shared" si="3"/>
        <v>145</v>
      </c>
    </row>
    <row r="17" spans="1:15" ht="12.75" customHeight="1" x14ac:dyDescent="0.3">
      <c r="A17" s="34">
        <v>15</v>
      </c>
      <c r="B17" s="16"/>
      <c r="C17" s="34">
        <f t="shared" si="0"/>
        <v>172</v>
      </c>
      <c r="E17" s="34">
        <v>15</v>
      </c>
      <c r="F17" s="35"/>
      <c r="G17" s="34">
        <f t="shared" si="1"/>
        <v>167</v>
      </c>
      <c r="I17" s="34">
        <v>15</v>
      </c>
      <c r="J17" s="35"/>
      <c r="K17" s="34">
        <f t="shared" si="2"/>
        <v>156</v>
      </c>
      <c r="M17" s="34">
        <v>15</v>
      </c>
      <c r="N17" s="35"/>
      <c r="O17" s="34">
        <f t="shared" si="3"/>
        <v>143</v>
      </c>
    </row>
    <row r="18" spans="1:15" ht="12.75" customHeight="1" x14ac:dyDescent="0.3">
      <c r="A18" s="27">
        <v>16</v>
      </c>
      <c r="B18" s="28"/>
      <c r="C18" s="27">
        <f t="shared" si="0"/>
        <v>170</v>
      </c>
      <c r="E18" s="27">
        <v>16</v>
      </c>
      <c r="F18" s="28"/>
      <c r="G18" s="27">
        <f t="shared" si="1"/>
        <v>165</v>
      </c>
      <c r="I18" s="27">
        <v>16</v>
      </c>
      <c r="J18" s="28"/>
      <c r="K18" s="27">
        <f t="shared" si="2"/>
        <v>154</v>
      </c>
      <c r="M18" s="27">
        <v>16</v>
      </c>
      <c r="N18" s="28"/>
      <c r="O18" s="27">
        <f t="shared" si="3"/>
        <v>141</v>
      </c>
    </row>
    <row r="19" spans="1:15" ht="12.75" customHeight="1" x14ac:dyDescent="0.3"/>
    <row r="20" spans="1:15" ht="12.75" customHeight="1" x14ac:dyDescent="0.3"/>
    <row r="21" spans="1:15" ht="12.75" customHeight="1" x14ac:dyDescent="0.3"/>
    <row r="22" spans="1:15" ht="12.75" customHeight="1" x14ac:dyDescent="0.3"/>
    <row r="23" spans="1:15" ht="12.75" customHeight="1" x14ac:dyDescent="0.3"/>
    <row r="24" spans="1:15" ht="12.75" customHeight="1" x14ac:dyDescent="0.3"/>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7">
    <cfRule type="expression" dxfId="40" priority="1">
      <formula>IF($W5="",FALSE,$V5="")</formula>
    </cfRule>
  </conditionalFormatting>
  <conditionalFormatting sqref="J5">
    <cfRule type="expression" dxfId="39" priority="2">
      <formula>IF($C5="",FALSE,$B5="")</formula>
    </cfRule>
  </conditionalFormatting>
  <pageMargins left="0.7" right="0.7"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4.69921875" customWidth="1"/>
    <col min="6" max="8" width="6.3984375" customWidth="1"/>
    <col min="9" max="9" width="6.3984375" hidden="1" customWidth="1"/>
    <col min="10" max="11" width="5.59765625" customWidth="1"/>
    <col min="12" max="12" width="10.59765625" hidden="1" customWidth="1"/>
    <col min="13" max="26" width="10.59765625" customWidth="1"/>
  </cols>
  <sheetData>
    <row r="1" spans="1:12" ht="31.5" customHeight="1" x14ac:dyDescent="0.3">
      <c r="A1" s="114" t="s">
        <v>351</v>
      </c>
      <c r="B1" s="115"/>
      <c r="C1" s="115"/>
      <c r="D1" s="115"/>
      <c r="E1" s="115"/>
      <c r="F1" s="115"/>
      <c r="G1" s="115"/>
      <c r="H1" s="116"/>
      <c r="I1" s="36"/>
      <c r="J1" s="120" t="s">
        <v>352</v>
      </c>
      <c r="K1" s="121"/>
    </row>
    <row r="2" spans="1:12" ht="19.5" customHeight="1" x14ac:dyDescent="0.3">
      <c r="A2" s="117"/>
      <c r="B2" s="118"/>
      <c r="C2" s="118"/>
      <c r="D2" s="118"/>
      <c r="E2" s="118"/>
      <c r="F2" s="118"/>
      <c r="G2" s="118"/>
      <c r="H2" s="119"/>
      <c r="I2" s="36"/>
      <c r="J2" s="122">
        <f ca="1">TODAY()</f>
        <v>46250</v>
      </c>
      <c r="K2" s="121"/>
    </row>
    <row r="3" spans="1:12" ht="32.25" customHeight="1" x14ac:dyDescent="0.3">
      <c r="A3" s="37" t="s">
        <v>353</v>
      </c>
      <c r="B3" s="37" t="s">
        <v>354</v>
      </c>
      <c r="C3" s="38" t="s">
        <v>1</v>
      </c>
      <c r="D3" s="38" t="s">
        <v>2</v>
      </c>
      <c r="E3" s="37" t="s">
        <v>6</v>
      </c>
      <c r="F3" s="39" t="str">
        <f>Rangliste!H1</f>
        <v>WBV 1</v>
      </c>
      <c r="G3" s="39" t="str">
        <f>Rangliste!I1</f>
        <v>WBV 2</v>
      </c>
      <c r="H3" s="39" t="str">
        <f>Rangliste!J1</f>
        <v>WBV 3</v>
      </c>
      <c r="I3" s="40">
        <v>2023</v>
      </c>
      <c r="J3" s="37" t="s">
        <v>355</v>
      </c>
      <c r="K3" s="37" t="s">
        <v>356</v>
      </c>
    </row>
    <row r="4" spans="1:12" ht="12.75" customHeight="1" x14ac:dyDescent="0.3">
      <c r="A4" s="15" t="s">
        <v>357</v>
      </c>
      <c r="B4" s="15" t="e">
        <f>IF(ISBLANK(VLOOKUP(C4,Rangliste!$B$10:$T$77,3,FALSE))=TRUE,"",VLOOKUP(C4,Rangliste!$B$10:$T$77,3,FALSE))</f>
        <v>#N/A</v>
      </c>
      <c r="C4" s="16" t="s">
        <v>358</v>
      </c>
      <c r="D4" s="16" t="e">
        <f>IF(ISBLANK(VLOOKUP(C4,Rangliste!$B$10:$T$77,2,FALSE))=TRUE,"",VLOOKUP(C4,Rangliste!$B$10:$T$77,2,FALSE))</f>
        <v>#N/A</v>
      </c>
      <c r="E4" s="41" t="e">
        <f>VLOOKUP(C4,Rangliste!$B$10:$T$77,4,FALSE)</f>
        <v>#N/A</v>
      </c>
      <c r="F4" s="15" t="e">
        <f t="shared" ref="F4:F2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2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27"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v>0</v>
      </c>
      <c r="J4" s="15" t="e">
        <f t="shared" ref="J4:J27" si="3">MIN(F4:H4)</f>
        <v>#REF!</v>
      </c>
      <c r="K4" s="42" t="e">
        <f t="shared" ref="K4:K18" si="4">IF(COUNTIF(F4:H4,0)=3,I4,IF(COUNTIF(F4:H4,0)=2,IF(OR(L4="A",L4="B"),SUM(F4:H4)*1.65,SUM(F4:H4)-J4),SUM(F4:H4)-J4))</f>
        <v>#REF!</v>
      </c>
      <c r="L4" s="43" t="e">
        <f t="shared" ref="L4:L18" si="5">IF(MAX(F4:H4)&lt;=85,"Einsteiger",IF(MAX(F4:H4)&lt;=108,"E",IF(MAX(F4:H4)&lt;=131,"D",IF(MAX(F4:H4)&lt;=154,"C",IF(MAX(F4:H4)&lt;=177,"B","A")))))</f>
        <v>#REF!</v>
      </c>
    </row>
    <row r="5" spans="1:12" ht="12.75" customHeight="1" x14ac:dyDescent="0.3">
      <c r="A5" s="15" t="s">
        <v>359</v>
      </c>
      <c r="B5" s="15" t="e">
        <f>IF(ISBLANK(VLOOKUP(C5,Rangliste!$B$10:$T$77,3,FALSE))=TRUE,"",VLOOKUP(C5,Rangliste!$B$10:$T$77,3,FALSE))</f>
        <v>#N/A</v>
      </c>
      <c r="C5" s="16" t="s">
        <v>360</v>
      </c>
      <c r="D5" s="16" t="e">
        <f>IF(ISBLANK(VLOOKUP(C5,Rangliste!$B$10:$T$77,2,FALSE))=TRUE,"",VLOOKUP(C5,Rangliste!$B$10:$T$77,2,FALSE))</f>
        <v>#N/A</v>
      </c>
      <c r="E5" s="41" t="e">
        <f>VLOOKUP(C5,Rangliste!$B$10:$T$77,4,FALSE)</f>
        <v>#N/A</v>
      </c>
      <c r="F5" s="15" t="e">
        <f t="shared" si="0"/>
        <v>#REF!</v>
      </c>
      <c r="G5" s="15" t="e">
        <f t="shared" si="1"/>
        <v>#REF!</v>
      </c>
      <c r="H5" s="15" t="e">
        <f t="shared" si="2"/>
        <v>#REF!</v>
      </c>
      <c r="I5" s="15">
        <v>0</v>
      </c>
      <c r="J5" s="15" t="e">
        <f t="shared" si="3"/>
        <v>#REF!</v>
      </c>
      <c r="K5" s="42" t="e">
        <f t="shared" si="4"/>
        <v>#REF!</v>
      </c>
      <c r="L5" s="43" t="e">
        <f t="shared" si="5"/>
        <v>#REF!</v>
      </c>
    </row>
    <row r="6" spans="1:12" ht="12.75" customHeight="1" x14ac:dyDescent="0.3">
      <c r="A6" s="15" t="s">
        <v>361</v>
      </c>
      <c r="B6" s="15" t="e">
        <f>IF(ISBLANK(VLOOKUP(C6,Rangliste!$B$10:$T$77,3,FALSE))=TRUE,"",VLOOKUP(C6,Rangliste!$B$10:$T$77,3,FALSE))</f>
        <v>#N/A</v>
      </c>
      <c r="C6" s="16" t="s">
        <v>362</v>
      </c>
      <c r="D6" s="16" t="e">
        <f>IF(ISBLANK(VLOOKUP(C6,Rangliste!$B$10:$T$77,2,FALSE))=TRUE,"",VLOOKUP(C6,Rangliste!$B$10:$T$77,2,FALSE))</f>
        <v>#N/A</v>
      </c>
      <c r="E6" s="41" t="e">
        <f>VLOOKUP(C6,Rangliste!$B$10:$T$77,4,FALSE)</f>
        <v>#N/A</v>
      </c>
      <c r="F6" s="15" t="e">
        <f t="shared" si="0"/>
        <v>#REF!</v>
      </c>
      <c r="G6" s="15" t="e">
        <f t="shared" si="1"/>
        <v>#REF!</v>
      </c>
      <c r="H6" s="15" t="e">
        <f t="shared" si="2"/>
        <v>#REF!</v>
      </c>
      <c r="I6" s="15">
        <v>0</v>
      </c>
      <c r="J6" s="15" t="e">
        <f t="shared" si="3"/>
        <v>#REF!</v>
      </c>
      <c r="K6" s="42" t="e">
        <f t="shared" si="4"/>
        <v>#REF!</v>
      </c>
      <c r="L6" s="43" t="e">
        <f t="shared" si="5"/>
        <v>#REF!</v>
      </c>
    </row>
    <row r="7" spans="1:12" ht="12.75" customHeight="1" x14ac:dyDescent="0.3">
      <c r="A7" s="15" t="s">
        <v>363</v>
      </c>
      <c r="B7" s="15" t="e">
        <f>IF(ISBLANK(VLOOKUP(C7,Rangliste!$B$10:$T$77,3,FALSE))=TRUE,"",VLOOKUP(C7,Rangliste!$B$10:$T$77,3,FALSE))</f>
        <v>#N/A</v>
      </c>
      <c r="C7" s="16" t="s">
        <v>364</v>
      </c>
      <c r="D7" s="16" t="e">
        <f>IF(ISBLANK(VLOOKUP(C7,Rangliste!$B$10:$T$77,2,FALSE))=TRUE,"",VLOOKUP(C7,Rangliste!$B$10:$T$77,2,FALSE))</f>
        <v>#N/A</v>
      </c>
      <c r="E7" s="41" t="e">
        <f>VLOOKUP(C7,Rangliste!$B$10:$T$77,4,FALSE)</f>
        <v>#N/A</v>
      </c>
      <c r="F7" s="15" t="e">
        <f t="shared" si="0"/>
        <v>#REF!</v>
      </c>
      <c r="G7" s="15" t="e">
        <f t="shared" si="1"/>
        <v>#REF!</v>
      </c>
      <c r="H7" s="15" t="e">
        <f t="shared" si="2"/>
        <v>#REF!</v>
      </c>
      <c r="I7" s="15">
        <v>0</v>
      </c>
      <c r="J7" s="15" t="e">
        <f t="shared" si="3"/>
        <v>#REF!</v>
      </c>
      <c r="K7" s="42" t="e">
        <f t="shared" si="4"/>
        <v>#REF!</v>
      </c>
      <c r="L7" s="43" t="e">
        <f t="shared" si="5"/>
        <v>#REF!</v>
      </c>
    </row>
    <row r="8" spans="1:12" ht="12.75" customHeight="1" x14ac:dyDescent="0.3">
      <c r="A8" s="15" t="s">
        <v>365</v>
      </c>
      <c r="B8" s="15" t="e">
        <f>IF(ISBLANK(VLOOKUP(C8,Rangliste!$B$10:$T$77,3,FALSE))=TRUE,"",VLOOKUP(C8,Rangliste!$B$10:$T$77,3,FALSE))</f>
        <v>#N/A</v>
      </c>
      <c r="C8" s="43" t="s">
        <v>366</v>
      </c>
      <c r="D8" s="16" t="e">
        <f>IF(ISBLANK(VLOOKUP(C8,Rangliste!$B$10:$T$77,2,FALSE))=TRUE,"",VLOOKUP(C8,Rangliste!$B$10:$T$77,2,FALSE))</f>
        <v>#N/A</v>
      </c>
      <c r="E8" s="41" t="e">
        <f>VLOOKUP(C8,Rangliste!$B$10:$T$77,4,FALSE)</f>
        <v>#N/A</v>
      </c>
      <c r="F8" s="15" t="e">
        <f t="shared" si="0"/>
        <v>#REF!</v>
      </c>
      <c r="G8" s="15" t="e">
        <f t="shared" si="1"/>
        <v>#REF!</v>
      </c>
      <c r="H8" s="15" t="e">
        <f t="shared" si="2"/>
        <v>#REF!</v>
      </c>
      <c r="I8" s="15">
        <v>0</v>
      </c>
      <c r="J8" s="15" t="e">
        <f t="shared" si="3"/>
        <v>#REF!</v>
      </c>
      <c r="K8" s="42" t="e">
        <f t="shared" si="4"/>
        <v>#REF!</v>
      </c>
      <c r="L8" s="43" t="e">
        <f t="shared" si="5"/>
        <v>#REF!</v>
      </c>
    </row>
    <row r="9" spans="1:12" ht="12.75" customHeight="1" x14ac:dyDescent="0.3">
      <c r="A9" s="15" t="s">
        <v>367</v>
      </c>
      <c r="B9" s="15" t="e">
        <f>IF(ISBLANK(VLOOKUP(C9,Rangliste!$B$10:$T$77,3,FALSE))=TRUE,"",VLOOKUP(C9,Rangliste!$B$10:$T$77,3,FALSE))</f>
        <v>#N/A</v>
      </c>
      <c r="C9" s="16" t="s">
        <v>368</v>
      </c>
      <c r="D9" s="16" t="e">
        <f>IF(ISBLANK(VLOOKUP(C9,Rangliste!$B$10:$T$77,2,FALSE))=TRUE,"",VLOOKUP(C9,Rangliste!$B$10:$T$77,2,FALSE))</f>
        <v>#N/A</v>
      </c>
      <c r="E9" s="41" t="e">
        <f>VLOOKUP(C9,Rangliste!$B$10:$T$77,4,FALSE)</f>
        <v>#N/A</v>
      </c>
      <c r="F9" s="15" t="e">
        <f t="shared" si="0"/>
        <v>#REF!</v>
      </c>
      <c r="G9" s="15" t="e">
        <f t="shared" si="1"/>
        <v>#REF!</v>
      </c>
      <c r="H9" s="15" t="e">
        <f t="shared" si="2"/>
        <v>#REF!</v>
      </c>
      <c r="I9" s="15">
        <v>0</v>
      </c>
      <c r="J9" s="15" t="e">
        <f t="shared" si="3"/>
        <v>#REF!</v>
      </c>
      <c r="K9" s="42" t="e">
        <f t="shared" si="4"/>
        <v>#REF!</v>
      </c>
      <c r="L9" s="43" t="e">
        <f t="shared" si="5"/>
        <v>#REF!</v>
      </c>
    </row>
    <row r="10" spans="1:12" ht="12.75" customHeight="1" x14ac:dyDescent="0.3">
      <c r="A10" s="15" t="s">
        <v>369</v>
      </c>
      <c r="B10" s="15" t="e">
        <f>IF(ISBLANK(VLOOKUP(C10,Rangliste!$B$10:$T$77,3,FALSE))=TRUE,"",VLOOKUP(C10,Rangliste!$B$10:$T$77,3,FALSE))</f>
        <v>#N/A</v>
      </c>
      <c r="C10" s="16" t="s">
        <v>370</v>
      </c>
      <c r="D10" s="16" t="e">
        <f>IF(ISBLANK(VLOOKUP(C10,Rangliste!$B$10:$T$77,2,FALSE))=TRUE,"",VLOOKUP(C10,Rangliste!$B$10:$T$77,2,FALSE))</f>
        <v>#N/A</v>
      </c>
      <c r="E10" s="41" t="e">
        <f>VLOOKUP(C10,Rangliste!$B$10:$T$77,4,FALSE)</f>
        <v>#N/A</v>
      </c>
      <c r="F10" s="15" t="e">
        <f t="shared" si="0"/>
        <v>#REF!</v>
      </c>
      <c r="G10" s="15" t="e">
        <f t="shared" si="1"/>
        <v>#REF!</v>
      </c>
      <c r="H10" s="15" t="e">
        <f t="shared" si="2"/>
        <v>#REF!</v>
      </c>
      <c r="I10" s="15">
        <v>0</v>
      </c>
      <c r="J10" s="15" t="e">
        <f t="shared" si="3"/>
        <v>#REF!</v>
      </c>
      <c r="K10" s="42" t="e">
        <f t="shared" si="4"/>
        <v>#REF!</v>
      </c>
      <c r="L10" s="43" t="e">
        <f t="shared" si="5"/>
        <v>#REF!</v>
      </c>
    </row>
    <row r="11" spans="1:12" ht="12.75" customHeight="1" x14ac:dyDescent="0.3">
      <c r="A11" s="15" t="s">
        <v>371</v>
      </c>
      <c r="B11" s="15" t="e">
        <f>IF(ISBLANK(VLOOKUP(C11,Rangliste!$B$10:$T$77,3,FALSE))=TRUE,"",VLOOKUP(C11,Rangliste!$B$10:$T$77,3,FALSE))</f>
        <v>#N/A</v>
      </c>
      <c r="C11" s="16" t="s">
        <v>372</v>
      </c>
      <c r="D11" s="16" t="e">
        <f>IF(ISBLANK(VLOOKUP(C11,Rangliste!$B$10:$T$77,2,FALSE))=TRUE,"",VLOOKUP(C11,Rangliste!$B$10:$T$77,2,FALSE))</f>
        <v>#N/A</v>
      </c>
      <c r="E11" s="41" t="e">
        <f>VLOOKUP(C11,Rangliste!$B$10:$T$77,4,FALSE)</f>
        <v>#N/A</v>
      </c>
      <c r="F11" s="15" t="e">
        <f t="shared" si="0"/>
        <v>#REF!</v>
      </c>
      <c r="G11" s="15" t="e">
        <f t="shared" si="1"/>
        <v>#REF!</v>
      </c>
      <c r="H11" s="15" t="e">
        <f t="shared" si="2"/>
        <v>#REF!</v>
      </c>
      <c r="I11" s="15">
        <v>0</v>
      </c>
      <c r="J11" s="15" t="e">
        <f t="shared" si="3"/>
        <v>#REF!</v>
      </c>
      <c r="K11" s="42" t="e">
        <f t="shared" si="4"/>
        <v>#REF!</v>
      </c>
      <c r="L11" s="43" t="e">
        <f t="shared" si="5"/>
        <v>#REF!</v>
      </c>
    </row>
    <row r="12" spans="1:12" ht="12.75" customHeight="1" x14ac:dyDescent="0.3">
      <c r="A12" s="15" t="s">
        <v>373</v>
      </c>
      <c r="B12" s="15" t="e">
        <f>IF(ISBLANK(VLOOKUP(C12,Rangliste!$B$10:$T$77,3,FALSE))=TRUE,"",VLOOKUP(C12,Rangliste!$B$10:$T$77,3,FALSE))</f>
        <v>#N/A</v>
      </c>
      <c r="C12" s="16" t="s">
        <v>374</v>
      </c>
      <c r="D12" s="16" t="e">
        <f>IF(ISBLANK(VLOOKUP(C12,Rangliste!$B$10:$T$77,2,FALSE))=TRUE,"",VLOOKUP(C12,Rangliste!$B$10:$T$77,2,FALSE))</f>
        <v>#N/A</v>
      </c>
      <c r="E12" s="41" t="e">
        <f>VLOOKUP(C12,Rangliste!$B$10:$T$77,4,FALSE)</f>
        <v>#N/A</v>
      </c>
      <c r="F12" s="15" t="e">
        <f t="shared" si="0"/>
        <v>#REF!</v>
      </c>
      <c r="G12" s="15" t="e">
        <f t="shared" si="1"/>
        <v>#REF!</v>
      </c>
      <c r="H12" s="15" t="e">
        <f t="shared" si="2"/>
        <v>#REF!</v>
      </c>
      <c r="I12" s="15">
        <v>0</v>
      </c>
      <c r="J12" s="15" t="e">
        <f t="shared" si="3"/>
        <v>#REF!</v>
      </c>
      <c r="K12" s="42" t="e">
        <f t="shared" si="4"/>
        <v>#REF!</v>
      </c>
      <c r="L12" s="43" t="e">
        <f t="shared" si="5"/>
        <v>#REF!</v>
      </c>
    </row>
    <row r="13" spans="1:12" ht="12.75" customHeight="1" x14ac:dyDescent="0.3">
      <c r="A13" s="15" t="s">
        <v>375</v>
      </c>
      <c r="B13" s="15" t="e">
        <f>IF(ISBLANK(VLOOKUP(C13,Rangliste!$B$10:$T$77,3,FALSE))=TRUE,"",VLOOKUP(C13,Rangliste!$B$10:$T$77,3,FALSE))</f>
        <v>#N/A</v>
      </c>
      <c r="C13" s="21" t="s">
        <v>376</v>
      </c>
      <c r="D13" s="16" t="e">
        <f>IF(ISBLANK(VLOOKUP(C13,Rangliste!$B$10:$T$77,2,FALSE))=TRUE,"",VLOOKUP(C13,Rangliste!$B$10:$T$77,2,FALSE))</f>
        <v>#N/A</v>
      </c>
      <c r="E13" s="41" t="e">
        <f>VLOOKUP(C13,Rangliste!$B$10:$T$77,4,FALSE)</f>
        <v>#N/A</v>
      </c>
      <c r="F13" s="15" t="e">
        <f t="shared" si="0"/>
        <v>#REF!</v>
      </c>
      <c r="G13" s="15" t="e">
        <f t="shared" si="1"/>
        <v>#REF!</v>
      </c>
      <c r="H13" s="15" t="e">
        <f t="shared" si="2"/>
        <v>#REF!</v>
      </c>
      <c r="I13" s="15">
        <v>0</v>
      </c>
      <c r="J13" s="15" t="e">
        <f t="shared" si="3"/>
        <v>#REF!</v>
      </c>
      <c r="K13" s="42" t="e">
        <f t="shared" si="4"/>
        <v>#REF!</v>
      </c>
      <c r="L13" s="43" t="e">
        <f t="shared" si="5"/>
        <v>#REF!</v>
      </c>
    </row>
    <row r="14" spans="1:12" ht="12.75" customHeight="1" x14ac:dyDescent="0.3">
      <c r="A14" s="15" t="s">
        <v>377</v>
      </c>
      <c r="B14" s="15" t="e">
        <f>IF(ISBLANK(VLOOKUP(C14,Rangliste!$B$10:$T$77,3,FALSE))=TRUE,"",VLOOKUP(C14,Rangliste!$B$10:$T$77,3,FALSE))</f>
        <v>#N/A</v>
      </c>
      <c r="C14" s="43" t="s">
        <v>378</v>
      </c>
      <c r="D14" s="16" t="e">
        <f>IF(ISBLANK(VLOOKUP(C14,Rangliste!$B$10:$T$77,2,FALSE))=TRUE,"",VLOOKUP(C14,Rangliste!$B$10:$T$77,2,FALSE))</f>
        <v>#N/A</v>
      </c>
      <c r="E14" s="41" t="e">
        <f>VLOOKUP(C14,Rangliste!$B$10:$T$77,4,FALSE)</f>
        <v>#N/A</v>
      </c>
      <c r="F14" s="15" t="e">
        <f t="shared" si="0"/>
        <v>#REF!</v>
      </c>
      <c r="G14" s="15" t="e">
        <f t="shared" si="1"/>
        <v>#REF!</v>
      </c>
      <c r="H14" s="15" t="e">
        <f t="shared" si="2"/>
        <v>#REF!</v>
      </c>
      <c r="I14" s="15">
        <v>0</v>
      </c>
      <c r="J14" s="15" t="e">
        <f t="shared" si="3"/>
        <v>#REF!</v>
      </c>
      <c r="K14" s="42" t="e">
        <f t="shared" si="4"/>
        <v>#REF!</v>
      </c>
      <c r="L14" s="43" t="e">
        <f t="shared" si="5"/>
        <v>#REF!</v>
      </c>
    </row>
    <row r="15" spans="1:12" ht="12.75" customHeight="1" x14ac:dyDescent="0.3">
      <c r="A15" s="15" t="s">
        <v>379</v>
      </c>
      <c r="B15" s="15" t="e">
        <f>IF(ISBLANK(VLOOKUP(C15,Rangliste!$B$10:$T$77,3,FALSE))=TRUE,"",VLOOKUP(C15,Rangliste!$B$10:$T$77,3,FALSE))</f>
        <v>#N/A</v>
      </c>
      <c r="C15" s="21" t="s">
        <v>380</v>
      </c>
      <c r="D15" s="16" t="e">
        <f>IF(ISBLANK(VLOOKUP(C15,Rangliste!$B$10:$T$77,2,FALSE))=TRUE,"",VLOOKUP(C15,Rangliste!$B$10:$T$77,2,FALSE))</f>
        <v>#N/A</v>
      </c>
      <c r="E15" s="41" t="e">
        <f>VLOOKUP(C15,Rangliste!$B$10:$T$77,4,FALSE)</f>
        <v>#N/A</v>
      </c>
      <c r="F15" s="15" t="e">
        <f t="shared" si="0"/>
        <v>#REF!</v>
      </c>
      <c r="G15" s="15" t="e">
        <f t="shared" si="1"/>
        <v>#REF!</v>
      </c>
      <c r="H15" s="15" t="e">
        <f t="shared" si="2"/>
        <v>#REF!</v>
      </c>
      <c r="I15" s="15">
        <v>0</v>
      </c>
      <c r="J15" s="15" t="e">
        <f t="shared" si="3"/>
        <v>#REF!</v>
      </c>
      <c r="K15" s="42" t="e">
        <f t="shared" si="4"/>
        <v>#REF!</v>
      </c>
      <c r="L15" s="43" t="e">
        <f t="shared" si="5"/>
        <v>#REF!</v>
      </c>
    </row>
    <row r="16" spans="1:12" ht="12.75" customHeight="1" x14ac:dyDescent="0.3">
      <c r="A16" s="15" t="s">
        <v>381</v>
      </c>
      <c r="B16" s="15" t="e">
        <f>IF(ISBLANK(VLOOKUP(C16,Rangliste!$B$10:$T$77,3,FALSE))=TRUE,"",VLOOKUP(C16,Rangliste!$B$10:$T$77,3,FALSE))</f>
        <v>#N/A</v>
      </c>
      <c r="C16" s="16" t="s">
        <v>382</v>
      </c>
      <c r="D16" s="16" t="e">
        <f>IF(ISBLANK(VLOOKUP(C16,Rangliste!$B$10:$T$77,2,FALSE))=TRUE,"",VLOOKUP(C16,Rangliste!$B$10:$T$77,2,FALSE))</f>
        <v>#N/A</v>
      </c>
      <c r="E16" s="41" t="e">
        <f>VLOOKUP(C16,Rangliste!$B$10:$T$77,4,FALSE)</f>
        <v>#N/A</v>
      </c>
      <c r="F16" s="15" t="e">
        <f t="shared" si="0"/>
        <v>#REF!</v>
      </c>
      <c r="G16" s="15" t="e">
        <f t="shared" si="1"/>
        <v>#REF!</v>
      </c>
      <c r="H16" s="15" t="e">
        <f t="shared" si="2"/>
        <v>#REF!</v>
      </c>
      <c r="I16" s="15">
        <v>0</v>
      </c>
      <c r="J16" s="15" t="e">
        <f t="shared" si="3"/>
        <v>#REF!</v>
      </c>
      <c r="K16" s="42" t="e">
        <f t="shared" si="4"/>
        <v>#REF!</v>
      </c>
      <c r="L16" s="43" t="e">
        <f t="shared" si="5"/>
        <v>#REF!</v>
      </c>
    </row>
    <row r="17" spans="1:12" ht="12.75" customHeight="1" x14ac:dyDescent="0.3">
      <c r="A17" s="15" t="s">
        <v>383</v>
      </c>
      <c r="B17" s="15" t="e">
        <f>IF(ISBLANK(VLOOKUP(C17,Rangliste!$B$10:$T$77,3,FALSE))=TRUE,"",VLOOKUP(C17,Rangliste!$B$10:$T$77,3,FALSE))</f>
        <v>#N/A</v>
      </c>
      <c r="C17" s="16" t="s">
        <v>384</v>
      </c>
      <c r="D17" s="16" t="e">
        <f>IF(ISBLANK(VLOOKUP(C17,Rangliste!$B$10:$T$77,2,FALSE))=TRUE,"",VLOOKUP(C17,Rangliste!$B$10:$T$77,2,FALSE))</f>
        <v>#N/A</v>
      </c>
      <c r="E17" s="41" t="e">
        <f>VLOOKUP(C17,Rangliste!$B$10:$T$77,4,FALSE)</f>
        <v>#N/A</v>
      </c>
      <c r="F17" s="15" t="e">
        <f t="shared" si="0"/>
        <v>#REF!</v>
      </c>
      <c r="G17" s="15" t="e">
        <f t="shared" si="1"/>
        <v>#REF!</v>
      </c>
      <c r="H17" s="15" t="e">
        <f t="shared" si="2"/>
        <v>#REF!</v>
      </c>
      <c r="I17" s="15">
        <v>0</v>
      </c>
      <c r="J17" s="15" t="e">
        <f t="shared" si="3"/>
        <v>#REF!</v>
      </c>
      <c r="K17" s="42" t="e">
        <f t="shared" si="4"/>
        <v>#REF!</v>
      </c>
      <c r="L17" s="43" t="e">
        <f t="shared" si="5"/>
        <v>#REF!</v>
      </c>
    </row>
    <row r="18" spans="1:12" ht="12.75" customHeight="1" x14ac:dyDescent="0.3">
      <c r="A18" s="15" t="s">
        <v>385</v>
      </c>
      <c r="B18" s="15" t="e">
        <f>IF(ISBLANK(VLOOKUP(C18,Rangliste!$B$10:$T$77,3,FALSE))=TRUE,"",VLOOKUP(C18,Rangliste!$B$10:$T$77,3,FALSE))</f>
        <v>#N/A</v>
      </c>
      <c r="C18" s="21" t="s">
        <v>386</v>
      </c>
      <c r="D18" s="16" t="e">
        <f>IF(ISBLANK(VLOOKUP(C18,Rangliste!$B$10:$T$77,2,FALSE))=TRUE,"",VLOOKUP(C18,Rangliste!$B$10:$T$77,2,FALSE))</f>
        <v>#N/A</v>
      </c>
      <c r="E18" s="41" t="e">
        <f>VLOOKUP(C18,Rangliste!$B$10:$T$77,4,FALSE)</f>
        <v>#N/A</v>
      </c>
      <c r="F18" s="15" t="e">
        <f t="shared" si="0"/>
        <v>#REF!</v>
      </c>
      <c r="G18" s="15" t="e">
        <f t="shared" si="1"/>
        <v>#REF!</v>
      </c>
      <c r="H18" s="15" t="e">
        <f t="shared" si="2"/>
        <v>#REF!</v>
      </c>
      <c r="I18" s="15">
        <v>0</v>
      </c>
      <c r="J18" s="15" t="e">
        <f t="shared" si="3"/>
        <v>#REF!</v>
      </c>
      <c r="K18" s="42" t="e">
        <f t="shared" si="4"/>
        <v>#REF!</v>
      </c>
      <c r="L18" s="43" t="e">
        <f t="shared" si="5"/>
        <v>#REF!</v>
      </c>
    </row>
    <row r="19" spans="1:12" ht="12.75" customHeight="1" x14ac:dyDescent="0.3">
      <c r="A19" s="44" t="s">
        <v>387</v>
      </c>
      <c r="B19" s="44" t="e">
        <f>IF(ISBLANK(VLOOKUP(C19,Rangliste!$B$10:$T$77,3,FALSE))=TRUE,"",VLOOKUP(C19,Rangliste!$B$10:$T$77,3,FALSE))</f>
        <v>#REF!</v>
      </c>
      <c r="C19" s="45" t="e">
        <f>IF(AND(ISBLANK(#REF!),ISBLANK(#REF!),ISBLANK(#REF!))=TRUE,"",IF(AND(#REF!&gt;#REF!,#REF!&gt;#REF!),#REF!,IF(AND(#REF!&gt;#REF!,#REF!&gt;#REF!),#REF!,IF(AND(#REF!&gt;#REF!,#REF!&gt;#REF!),#REF!,FALSE))))</f>
        <v>#REF!</v>
      </c>
      <c r="D19" s="46" t="e">
        <f>IF(AND(ISBLANK(#REF!),ISBLANK(#REF!),ISBLANK(#REF!))=TRUE,"",VLOOKUP($C$19,Rangliste!$B:$T,2,FALSE))</f>
        <v>#REF!</v>
      </c>
      <c r="E19" s="47" t="e">
        <f>VLOOKUP(C19,Rangliste!$B$10:$T$77,4,FALSE)</f>
        <v>#REF!</v>
      </c>
      <c r="F19" s="47" t="e">
        <f t="shared" si="0"/>
        <v>#REF!</v>
      </c>
      <c r="G19" s="47" t="e">
        <f t="shared" si="1"/>
        <v>#REF!</v>
      </c>
      <c r="H19" s="47" t="e">
        <f t="shared" si="2"/>
        <v>#REF!</v>
      </c>
      <c r="I19" s="47" t="s">
        <v>388</v>
      </c>
      <c r="J19" s="44" t="e">
        <f t="shared" si="3"/>
        <v>#REF!</v>
      </c>
      <c r="K19" s="44" t="e">
        <f t="shared" ref="K19:K27" si="6">IF(COUNTIF(F19:H19,0)=3,I19,IF(COUNTIF(F19:H19,0)=2,IF(OR(M19="A",M19="B"),SUM(F19:H19)*1.65,SUM(F19:H19)-J19),SUM(F19:H19)-J19))</f>
        <v>#REF!</v>
      </c>
    </row>
    <row r="20" spans="1:12" ht="12.75" customHeight="1" x14ac:dyDescent="0.3">
      <c r="A20" s="15" t="s">
        <v>389</v>
      </c>
      <c r="B20" s="15" t="e">
        <f>IF(ISBLANK('B Rangliste'!B4)=TRUE,"",'B Rangliste'!B4)</f>
        <v>#N/A</v>
      </c>
      <c r="C20" s="21" t="str">
        <f>'B Rangliste'!C4</f>
        <v>Sebastian Leberbauer</v>
      </c>
      <c r="D20" s="21" t="e">
        <f>'B Rangliste'!D4</f>
        <v>#N/A</v>
      </c>
      <c r="E20" s="22" t="e">
        <f>IF(ISBLANK(VLOOKUP(C20,Rangliste!$B$10:$T$76,4,FALSE))=TRUE,"",VLOOKUP(C20,Rangliste!$B$10:$T$76,4,FALSE))</f>
        <v>#N/A</v>
      </c>
      <c r="F20" s="15" t="e">
        <f t="shared" si="0"/>
        <v>#REF!</v>
      </c>
      <c r="G20" s="15" t="e">
        <f t="shared" si="1"/>
        <v>#REF!</v>
      </c>
      <c r="H20" s="15" t="e">
        <f t="shared" si="2"/>
        <v>#REF!</v>
      </c>
      <c r="I20" s="15">
        <v>0</v>
      </c>
      <c r="J20" s="15" t="e">
        <f t="shared" si="3"/>
        <v>#REF!</v>
      </c>
      <c r="K20" s="42" t="e">
        <f t="shared" si="6"/>
        <v>#REF!</v>
      </c>
    </row>
    <row r="21" spans="1:12" ht="12.75" customHeight="1" x14ac:dyDescent="0.3">
      <c r="A21" s="15" t="s">
        <v>389</v>
      </c>
      <c r="B21" s="15" t="e">
        <f>IF(ISBLANK('B Rangliste'!B5)=TRUE,"",'B Rangliste'!B5)</f>
        <v>#N/A</v>
      </c>
      <c r="C21" s="21" t="str">
        <f>'B Rangliste'!C5</f>
        <v>Philipp Gintersdorfer</v>
      </c>
      <c r="D21" s="21" t="e">
        <f>'B Rangliste'!D5</f>
        <v>#N/A</v>
      </c>
      <c r="E21" s="22" t="e">
        <f>IF(ISBLANK(VLOOKUP(C21,Rangliste!$B$10:$T$76,4,FALSE))=TRUE,"",VLOOKUP(C21,Rangliste!$B$10:$T$76,4,FALSE))</f>
        <v>#N/A</v>
      </c>
      <c r="F21" s="15" t="e">
        <f t="shared" si="0"/>
        <v>#REF!</v>
      </c>
      <c r="G21" s="15" t="e">
        <f t="shared" si="1"/>
        <v>#REF!</v>
      </c>
      <c r="H21" s="15" t="e">
        <f t="shared" si="2"/>
        <v>#REF!</v>
      </c>
      <c r="I21" s="15">
        <v>0</v>
      </c>
      <c r="J21" s="15" t="e">
        <f t="shared" si="3"/>
        <v>#REF!</v>
      </c>
      <c r="K21" s="42" t="e">
        <f t="shared" si="6"/>
        <v>#REF!</v>
      </c>
    </row>
    <row r="22" spans="1:12" ht="12.75" customHeight="1" x14ac:dyDescent="0.3">
      <c r="A22" s="15" t="s">
        <v>389</v>
      </c>
      <c r="B22" s="15" t="e">
        <f>IF(ISBLANK('B Rangliste'!B6)=TRUE,"",'B Rangliste'!B6)</f>
        <v>#N/A</v>
      </c>
      <c r="C22" s="21" t="str">
        <f>'B Rangliste'!C6</f>
        <v>Jona Haueis</v>
      </c>
      <c r="D22" s="21" t="e">
        <f>'B Rangliste'!D6</f>
        <v>#N/A</v>
      </c>
      <c r="E22" s="22" t="e">
        <f>IF(ISBLANK(VLOOKUP(C22,Rangliste!$B$10:$T$76,4,FALSE))=TRUE,"",VLOOKUP(C22,Rangliste!$B$10:$T$76,4,FALSE))</f>
        <v>#N/A</v>
      </c>
      <c r="F22" s="15" t="e">
        <f t="shared" si="0"/>
        <v>#REF!</v>
      </c>
      <c r="G22" s="15" t="e">
        <f t="shared" si="1"/>
        <v>#REF!</v>
      </c>
      <c r="H22" s="15" t="e">
        <f t="shared" si="2"/>
        <v>#REF!</v>
      </c>
      <c r="I22" s="15">
        <v>0</v>
      </c>
      <c r="J22" s="15" t="e">
        <f t="shared" si="3"/>
        <v>#REF!</v>
      </c>
      <c r="K22" s="42" t="e">
        <f t="shared" si="6"/>
        <v>#REF!</v>
      </c>
    </row>
    <row r="23" spans="1:12" ht="12.75" customHeight="1" x14ac:dyDescent="0.3">
      <c r="A23" s="15" t="s">
        <v>389</v>
      </c>
      <c r="B23" s="15" t="e">
        <f>IF(ISBLANK('B Rangliste'!B7)=TRUE,"",'B Rangliste'!B7)</f>
        <v>#N/A</v>
      </c>
      <c r="C23" s="21" t="str">
        <f>'B Rangliste'!C7</f>
        <v>Tobias Preiner</v>
      </c>
      <c r="D23" s="21" t="e">
        <f>'B Rangliste'!D7</f>
        <v>#N/A</v>
      </c>
      <c r="E23" s="22" t="e">
        <f>IF(ISBLANK(VLOOKUP(C23,Rangliste!$B$10:$T$76,4,FALSE))=TRUE,"",VLOOKUP(C23,Rangliste!$B$10:$T$76,4,FALSE))</f>
        <v>#N/A</v>
      </c>
      <c r="F23" s="15" t="e">
        <f t="shared" si="0"/>
        <v>#REF!</v>
      </c>
      <c r="G23" s="15" t="e">
        <f t="shared" si="1"/>
        <v>#REF!</v>
      </c>
      <c r="H23" s="15" t="e">
        <f t="shared" si="2"/>
        <v>#REF!</v>
      </c>
      <c r="I23" s="15">
        <v>0</v>
      </c>
      <c r="J23" s="15" t="e">
        <f t="shared" si="3"/>
        <v>#REF!</v>
      </c>
      <c r="K23" s="42" t="e">
        <f t="shared" si="6"/>
        <v>#REF!</v>
      </c>
    </row>
    <row r="24" spans="1:12" ht="12.75" customHeight="1" x14ac:dyDescent="0.3">
      <c r="A24" s="15" t="s">
        <v>389</v>
      </c>
      <c r="B24" s="15" t="e">
        <f>IF(ISBLANK('B Rangliste'!B8)=TRUE,"",'B Rangliste'!B8)</f>
        <v>#N/A</v>
      </c>
      <c r="C24" s="21" t="str">
        <f>'B Rangliste'!C8</f>
        <v>Erwin Dinh</v>
      </c>
      <c r="D24" s="21" t="e">
        <f>'B Rangliste'!D8</f>
        <v>#N/A</v>
      </c>
      <c r="E24" s="22" t="e">
        <f>IF(ISBLANK(VLOOKUP(C24,Rangliste!$B$10:$T$76,4,FALSE))=TRUE,"",VLOOKUP(C24,Rangliste!$B$10:$T$76,4,FALSE))</f>
        <v>#N/A</v>
      </c>
      <c r="F24" s="15" t="e">
        <f t="shared" si="0"/>
        <v>#REF!</v>
      </c>
      <c r="G24" s="15" t="e">
        <f t="shared" si="1"/>
        <v>#REF!</v>
      </c>
      <c r="H24" s="15" t="e">
        <f t="shared" si="2"/>
        <v>#REF!</v>
      </c>
      <c r="I24" s="15">
        <v>0</v>
      </c>
      <c r="J24" s="15" t="e">
        <f t="shared" si="3"/>
        <v>#REF!</v>
      </c>
      <c r="K24" s="42" t="e">
        <f t="shared" si="6"/>
        <v>#REF!</v>
      </c>
    </row>
    <row r="25" spans="1:12" ht="12.75" customHeight="1" x14ac:dyDescent="0.3">
      <c r="A25" s="15" t="s">
        <v>389</v>
      </c>
      <c r="B25" s="15" t="e">
        <f>IF(ISBLANK('B Rangliste'!B9)=TRUE,"",'B Rangliste'!B9)</f>
        <v>#N/A</v>
      </c>
      <c r="C25" s="21" t="str">
        <f>'B Rangliste'!C9</f>
        <v>Tobias Boehm</v>
      </c>
      <c r="D25" s="21" t="e">
        <f>'B Rangliste'!D9</f>
        <v>#N/A</v>
      </c>
      <c r="E25" s="22" t="e">
        <f>IF(ISBLANK(VLOOKUP(C25,Rangliste!$B$10:$T$76,4,FALSE))=TRUE,"",VLOOKUP(C25,Rangliste!$B$10:$T$76,4,FALSE))</f>
        <v>#N/A</v>
      </c>
      <c r="F25" s="15" t="e">
        <f t="shared" si="0"/>
        <v>#REF!</v>
      </c>
      <c r="G25" s="15" t="e">
        <f t="shared" si="1"/>
        <v>#REF!</v>
      </c>
      <c r="H25" s="15" t="e">
        <f t="shared" si="2"/>
        <v>#REF!</v>
      </c>
      <c r="I25" s="15">
        <v>0</v>
      </c>
      <c r="J25" s="15" t="e">
        <f t="shared" si="3"/>
        <v>#REF!</v>
      </c>
      <c r="K25" s="42" t="e">
        <f t="shared" si="6"/>
        <v>#REF!</v>
      </c>
    </row>
    <row r="26" spans="1:12" ht="12.75" customHeight="1" x14ac:dyDescent="0.3">
      <c r="A26" s="15" t="s">
        <v>389</v>
      </c>
      <c r="B26" s="15" t="e">
        <f>IF(ISBLANK('B Rangliste'!B10)=TRUE,"",'B Rangliste'!B10)</f>
        <v>#N/A</v>
      </c>
      <c r="C26" s="21" t="str">
        <f>'B Rangliste'!C10</f>
        <v>Tobias Murhammer</v>
      </c>
      <c r="D26" s="21" t="e">
        <f>'B Rangliste'!D10</f>
        <v>#N/A</v>
      </c>
      <c r="E26" s="22" t="e">
        <f>IF(ISBLANK(VLOOKUP(C26,Rangliste!$B$10:$T$76,4,FALSE))=TRUE,"",VLOOKUP(C26,Rangliste!$B$10:$T$76,4,FALSE))</f>
        <v>#N/A</v>
      </c>
      <c r="F26" s="15" t="e">
        <f t="shared" si="0"/>
        <v>#REF!</v>
      </c>
      <c r="G26" s="15" t="e">
        <f t="shared" si="1"/>
        <v>#REF!</v>
      </c>
      <c r="H26" s="15" t="e">
        <f t="shared" si="2"/>
        <v>#REF!</v>
      </c>
      <c r="I26" s="15">
        <v>0</v>
      </c>
      <c r="J26" s="15" t="e">
        <f t="shared" si="3"/>
        <v>#REF!</v>
      </c>
      <c r="K26" s="42" t="e">
        <f t="shared" si="6"/>
        <v>#REF!</v>
      </c>
    </row>
    <row r="27" spans="1:12" ht="12.75" customHeight="1" x14ac:dyDescent="0.3">
      <c r="A27" s="15" t="s">
        <v>389</v>
      </c>
      <c r="B27" s="15" t="e">
        <f>IF(ISBLANK('B Rangliste'!B11)=TRUE,"",'B Rangliste'!B11)</f>
        <v>#N/A</v>
      </c>
      <c r="C27" s="21" t="str">
        <f>'B Rangliste'!C11</f>
        <v>Tobias Hartog</v>
      </c>
      <c r="D27" s="21" t="e">
        <f>'B Rangliste'!D11</f>
        <v>#N/A</v>
      </c>
      <c r="E27" s="22" t="e">
        <f>IF(ISBLANK(VLOOKUP(C27,Rangliste!$B$10:$T$76,4,FALSE))=TRUE,"",VLOOKUP(C27,Rangliste!$B$10:$T$76,4,FALSE))</f>
        <v>#N/A</v>
      </c>
      <c r="F27" s="15" t="e">
        <f t="shared" si="0"/>
        <v>#REF!</v>
      </c>
      <c r="G27" s="15" t="e">
        <f t="shared" si="1"/>
        <v>#REF!</v>
      </c>
      <c r="H27" s="15" t="e">
        <f t="shared" si="2"/>
        <v>#REF!</v>
      </c>
      <c r="I27" s="15">
        <v>0</v>
      </c>
      <c r="J27" s="15" t="e">
        <f t="shared" si="3"/>
        <v>#REF!</v>
      </c>
      <c r="K27" s="42" t="e">
        <f t="shared" si="6"/>
        <v>#REF!</v>
      </c>
    </row>
    <row r="28" spans="1:12" ht="12.75" customHeight="1" x14ac:dyDescent="0.3">
      <c r="A28" s="15"/>
      <c r="B28" s="16"/>
      <c r="C28" s="16"/>
      <c r="D28" s="16"/>
      <c r="E28" s="16"/>
      <c r="F28" s="16"/>
      <c r="G28" s="16"/>
      <c r="H28" s="16"/>
      <c r="I28" s="16"/>
      <c r="J28" s="16"/>
      <c r="K28" s="16"/>
    </row>
    <row r="29" spans="1:12" ht="12.75" customHeight="1" x14ac:dyDescent="0.3">
      <c r="A29" s="15"/>
      <c r="B29" s="15"/>
      <c r="C29" s="16"/>
      <c r="E29" s="41"/>
      <c r="F29" s="15"/>
      <c r="G29" s="15"/>
      <c r="H29" s="15"/>
      <c r="I29" s="15"/>
      <c r="J29" s="15"/>
      <c r="K29" s="42"/>
    </row>
    <row r="30" spans="1:12" ht="12.75" customHeight="1" x14ac:dyDescent="0.3">
      <c r="A30" s="15"/>
      <c r="B30" s="15"/>
      <c r="C30" s="16"/>
      <c r="D30" s="35"/>
      <c r="E30" s="41"/>
      <c r="F30" s="15"/>
      <c r="G30" s="15"/>
      <c r="H30" s="15"/>
      <c r="I30" s="15"/>
      <c r="J30" s="15"/>
      <c r="K30" s="42"/>
    </row>
    <row r="31" spans="1:12" ht="12.75" customHeight="1" x14ac:dyDescent="0.3"/>
    <row r="32" spans="1:12" ht="12.75" customHeight="1" x14ac:dyDescent="0.3">
      <c r="A32" s="15"/>
      <c r="B32" s="15"/>
      <c r="C32" s="48" t="str">
        <f>IF(COUNTA(A4:A25)=COUNT(B4:B25),"","Spieler muss beim nächsten Einzel-RLT ÖBV-Mitglied sein")</f>
        <v>Spieler muss beim nächsten Einzel-RLT ÖBV-Mitglied sein</v>
      </c>
      <c r="D32" s="35"/>
      <c r="E32" s="41"/>
      <c r="F32" s="15"/>
      <c r="G32" s="15"/>
      <c r="H32" s="15"/>
      <c r="I32" s="15"/>
      <c r="J32" s="15"/>
      <c r="K32" s="42"/>
    </row>
    <row r="33" spans="1:26" ht="12.75" customHeight="1" x14ac:dyDescent="0.3">
      <c r="A33" s="15"/>
      <c r="B33" s="15"/>
      <c r="C33" s="49" t="str">
        <f>IF(COUNTA(A4:A27)=COUNT(E4:E27),"","Jahrgang bekannt geben")</f>
        <v>Jahrgang bekannt geben</v>
      </c>
      <c r="D33" s="21"/>
      <c r="E33" s="41"/>
      <c r="F33" s="15"/>
      <c r="G33" s="15"/>
      <c r="H33" s="15"/>
      <c r="I33" s="15"/>
      <c r="J33" s="15"/>
      <c r="K33" s="42"/>
    </row>
    <row r="34" spans="1:26" ht="12.75" customHeight="1" x14ac:dyDescent="0.3">
      <c r="A34" s="15"/>
      <c r="B34" s="15"/>
      <c r="C34" s="16"/>
      <c r="D34" s="35"/>
      <c r="E34" s="41"/>
      <c r="F34" s="15"/>
      <c r="G34" s="15"/>
      <c r="H34" s="15"/>
      <c r="I34" s="15"/>
      <c r="J34" s="15"/>
      <c r="K34" s="42"/>
    </row>
    <row r="35" spans="1:26" ht="12.75" customHeight="1" x14ac:dyDescent="0.3">
      <c r="A35" s="15"/>
      <c r="B35" s="15"/>
      <c r="C35" s="16"/>
      <c r="D35" s="16"/>
      <c r="E35" s="22"/>
      <c r="F35" s="15"/>
      <c r="G35" s="15"/>
      <c r="H35" s="15"/>
      <c r="I35" s="15"/>
      <c r="J35" s="15"/>
      <c r="K35" s="20"/>
    </row>
    <row r="36" spans="1:26" ht="12.75" customHeight="1" x14ac:dyDescent="0.3">
      <c r="A36" s="15"/>
      <c r="B36" s="15"/>
      <c r="C36" s="16"/>
      <c r="D36" s="16"/>
      <c r="E36" s="41"/>
      <c r="F36" s="15"/>
      <c r="G36" s="15"/>
      <c r="H36" s="15"/>
      <c r="I36" s="15"/>
      <c r="J36" s="15"/>
      <c r="K36" s="42"/>
    </row>
    <row r="37" spans="1:26" ht="12.75" customHeight="1" x14ac:dyDescent="0.3">
      <c r="A37" s="15"/>
      <c r="B37" s="15"/>
      <c r="D37" s="16"/>
      <c r="E37" s="41"/>
      <c r="F37" s="15"/>
      <c r="G37" s="15"/>
      <c r="H37" s="15"/>
      <c r="I37" s="15"/>
      <c r="J37" s="15"/>
      <c r="K37" s="42"/>
    </row>
    <row r="38" spans="1:26" ht="12.75" customHeight="1" x14ac:dyDescent="0.3">
      <c r="A38" s="15"/>
      <c r="B38" s="15"/>
      <c r="D38" s="15"/>
      <c r="E38" s="15"/>
      <c r="F38" s="15"/>
      <c r="G38" s="15"/>
      <c r="H38" s="15"/>
      <c r="I38" s="15"/>
      <c r="J38" s="15"/>
      <c r="K38" s="15"/>
    </row>
    <row r="39" spans="1:26" ht="12.75" customHeight="1" x14ac:dyDescent="0.3">
      <c r="A39" s="15"/>
      <c r="B39" s="15"/>
      <c r="C39" s="15"/>
      <c r="D39" s="15"/>
      <c r="E39" s="15"/>
      <c r="F39" s="15"/>
      <c r="G39" s="15"/>
      <c r="H39" s="15"/>
      <c r="I39" s="15"/>
      <c r="J39" s="15"/>
      <c r="K39" s="15"/>
    </row>
    <row r="40" spans="1:26" ht="18" customHeight="1" x14ac:dyDescent="0.35">
      <c r="A40" s="123" t="s">
        <v>390</v>
      </c>
      <c r="B40" s="124"/>
      <c r="C40" s="124"/>
      <c r="D40" s="124"/>
      <c r="E40" s="124"/>
      <c r="F40" s="124"/>
      <c r="G40" s="124"/>
      <c r="H40" s="124"/>
      <c r="I40" s="124"/>
      <c r="J40" s="124"/>
      <c r="K40" s="125"/>
      <c r="L40" s="50"/>
      <c r="M40" s="50"/>
      <c r="N40" s="50"/>
      <c r="O40" s="50"/>
      <c r="P40" s="50"/>
      <c r="R40" s="50"/>
      <c r="S40" s="50"/>
      <c r="T40" s="50"/>
      <c r="U40" s="50"/>
      <c r="V40" s="50"/>
      <c r="W40" s="50"/>
      <c r="X40" s="50"/>
      <c r="Y40" s="50"/>
      <c r="Z40" s="50"/>
    </row>
    <row r="41" spans="1:26" ht="12.75" customHeight="1" x14ac:dyDescent="0.3">
      <c r="A41" s="126" t="s">
        <v>391</v>
      </c>
      <c r="B41" s="127"/>
      <c r="C41" s="127"/>
      <c r="D41" s="127"/>
      <c r="E41" s="127"/>
      <c r="F41" s="127"/>
      <c r="G41" s="127"/>
      <c r="H41" s="127"/>
      <c r="I41" s="127"/>
      <c r="J41" s="127"/>
      <c r="K41" s="128"/>
    </row>
    <row r="42" spans="1:26" ht="12.75" customHeight="1" x14ac:dyDescent="0.3">
      <c r="A42" s="129"/>
      <c r="B42" s="127"/>
      <c r="C42" s="127"/>
      <c r="D42" s="127"/>
      <c r="E42" s="127"/>
      <c r="F42" s="127"/>
      <c r="G42" s="127"/>
      <c r="H42" s="127"/>
      <c r="I42" s="127"/>
      <c r="J42" s="127"/>
      <c r="K42" s="128"/>
    </row>
    <row r="43" spans="1:26" ht="12.75" customHeight="1" x14ac:dyDescent="0.3">
      <c r="A43" s="129"/>
      <c r="B43" s="127"/>
      <c r="C43" s="127"/>
      <c r="D43" s="127"/>
      <c r="E43" s="127"/>
      <c r="F43" s="127"/>
      <c r="G43" s="127"/>
      <c r="H43" s="127"/>
      <c r="I43" s="127"/>
      <c r="J43" s="127"/>
      <c r="K43" s="128"/>
    </row>
    <row r="44" spans="1:26" ht="12.75" customHeight="1" x14ac:dyDescent="0.3">
      <c r="A44" s="129"/>
      <c r="B44" s="127"/>
      <c r="C44" s="127"/>
      <c r="D44" s="127"/>
      <c r="E44" s="127"/>
      <c r="F44" s="127"/>
      <c r="G44" s="127"/>
      <c r="H44" s="127"/>
      <c r="I44" s="127"/>
      <c r="J44" s="127"/>
      <c r="K44" s="128"/>
    </row>
    <row r="45" spans="1:26" ht="12.75" customHeight="1" x14ac:dyDescent="0.3">
      <c r="A45" s="129"/>
      <c r="B45" s="127"/>
      <c r="C45" s="127"/>
      <c r="D45" s="127"/>
      <c r="E45" s="127"/>
      <c r="F45" s="127"/>
      <c r="G45" s="127"/>
      <c r="H45" s="127"/>
      <c r="I45" s="127"/>
      <c r="J45" s="127"/>
      <c r="K45" s="128"/>
    </row>
    <row r="46" spans="1:26" ht="12.75" customHeight="1" x14ac:dyDescent="0.3">
      <c r="A46" s="129"/>
      <c r="B46" s="127"/>
      <c r="C46" s="127"/>
      <c r="D46" s="127"/>
      <c r="E46" s="127"/>
      <c r="F46" s="127"/>
      <c r="G46" s="127"/>
      <c r="H46" s="127"/>
      <c r="I46" s="127"/>
      <c r="J46" s="127"/>
      <c r="K46" s="128"/>
    </row>
    <row r="47" spans="1:26" ht="12.75" customHeight="1" x14ac:dyDescent="0.3">
      <c r="A47" s="129"/>
      <c r="B47" s="127"/>
      <c r="C47" s="127"/>
      <c r="D47" s="127"/>
      <c r="E47" s="127"/>
      <c r="F47" s="127"/>
      <c r="G47" s="127"/>
      <c r="H47" s="127"/>
      <c r="I47" s="127"/>
      <c r="J47" s="127"/>
      <c r="K47" s="128"/>
    </row>
    <row r="48" spans="1:26" ht="12.75" customHeight="1" x14ac:dyDescent="0.3">
      <c r="A48" s="129"/>
      <c r="B48" s="127"/>
      <c r="C48" s="127"/>
      <c r="D48" s="127"/>
      <c r="E48" s="127"/>
      <c r="F48" s="127"/>
      <c r="G48" s="127"/>
      <c r="H48" s="127"/>
      <c r="I48" s="127"/>
      <c r="J48" s="127"/>
      <c r="K48" s="128"/>
    </row>
    <row r="49" spans="1:11" ht="12.75" customHeight="1" x14ac:dyDescent="0.3">
      <c r="A49" s="129"/>
      <c r="B49" s="127"/>
      <c r="C49" s="127"/>
      <c r="D49" s="127"/>
      <c r="E49" s="127"/>
      <c r="F49" s="127"/>
      <c r="G49" s="127"/>
      <c r="H49" s="127"/>
      <c r="I49" s="127"/>
      <c r="J49" s="127"/>
      <c r="K49" s="128"/>
    </row>
    <row r="50" spans="1:11" ht="12.75" customHeight="1" x14ac:dyDescent="0.3">
      <c r="A50" s="129"/>
      <c r="B50" s="127"/>
      <c r="C50" s="127"/>
      <c r="D50" s="127"/>
      <c r="E50" s="127"/>
      <c r="F50" s="127"/>
      <c r="G50" s="127"/>
      <c r="H50" s="127"/>
      <c r="I50" s="127"/>
      <c r="J50" s="127"/>
      <c r="K50" s="128"/>
    </row>
    <row r="51" spans="1:11" ht="12.75" customHeight="1" x14ac:dyDescent="0.3">
      <c r="A51" s="130"/>
      <c r="B51" s="131"/>
      <c r="C51" s="131"/>
      <c r="D51" s="131"/>
      <c r="E51" s="131"/>
      <c r="F51" s="131"/>
      <c r="G51" s="131"/>
      <c r="H51" s="131"/>
      <c r="I51" s="131"/>
      <c r="J51" s="131"/>
      <c r="K51" s="132"/>
    </row>
    <row r="52" spans="1:11" ht="12.75" customHeight="1" x14ac:dyDescent="0.3"/>
    <row r="53" spans="1:11" ht="12.75" customHeight="1" x14ac:dyDescent="0.3"/>
    <row r="54" spans="1:11" ht="12.75" customHeight="1" x14ac:dyDescent="0.3"/>
    <row r="55" spans="1:11" ht="12.75" customHeight="1" x14ac:dyDescent="0.3"/>
    <row r="56" spans="1:11" ht="12.75" customHeight="1" x14ac:dyDescent="0.3"/>
    <row r="57" spans="1:11" ht="12.75" customHeight="1" x14ac:dyDescent="0.3"/>
    <row r="58" spans="1:11" ht="12.75" customHeight="1" x14ac:dyDescent="0.3"/>
    <row r="59" spans="1:11" ht="12.75" customHeight="1" x14ac:dyDescent="0.3"/>
    <row r="60" spans="1:11" ht="12.75" customHeight="1" x14ac:dyDescent="0.3"/>
    <row r="61" spans="1:11" ht="12.75" customHeight="1" x14ac:dyDescent="0.3"/>
    <row r="62" spans="1:11" ht="12.75" customHeight="1" x14ac:dyDescent="0.3"/>
    <row r="63" spans="1:11" ht="12.75" customHeight="1" x14ac:dyDescent="0.3"/>
    <row r="64" spans="1:11"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1:H2"/>
    <mergeCell ref="J1:K1"/>
    <mergeCell ref="J2:K2"/>
    <mergeCell ref="A40:K40"/>
    <mergeCell ref="A41:K51"/>
  </mergeCells>
  <conditionalFormatting sqref="C19:D27">
    <cfRule type="expression" dxfId="38" priority="1">
      <formula>IF($C19="",FALSE,$B19="")</formula>
    </cfRule>
  </conditionalFormatting>
  <conditionalFormatting sqref="D4:D18">
    <cfRule type="expression" dxfId="37" priority="2">
      <formula>IF($B4="",FALSE,#REF!="")</formula>
    </cfRule>
    <cfRule type="expression" dxfId="36" priority="3">
      <formula>IF($C4="",FALSE,$E4="")</formula>
    </cfRule>
  </conditionalFormatting>
  <conditionalFormatting sqref="D19 D20:E27">
    <cfRule type="expression" dxfId="35" priority="4">
      <formula>IF($D19="",FALSE,$E19="")</formula>
    </cfRule>
  </conditionalFormatting>
  <conditionalFormatting sqref="E4:E19">
    <cfRule type="expression" dxfId="34" priority="5">
      <formula>IF($D4="",FALSE,$E4="")</formula>
    </cfRule>
  </conditionalFormatting>
  <conditionalFormatting sqref="F19:I19">
    <cfRule type="expression" dxfId="33" priority="6">
      <formula>IF($D19="",FALSE,$E19="")</formula>
    </cfRule>
  </conditionalFormatting>
  <pageMargins left="0.51181102362204722" right="0.51181102362204722" top="0.74803149606299213" bottom="0.74803149606299213"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4.69921875" customWidth="1"/>
    <col min="6" max="8" width="6.3984375" customWidth="1"/>
    <col min="9" max="9" width="6.3984375" hidden="1" customWidth="1"/>
    <col min="10" max="11" width="5.59765625" customWidth="1"/>
    <col min="12" max="12" width="10.59765625" hidden="1" customWidth="1"/>
  </cols>
  <sheetData>
    <row r="1" spans="1:12" ht="31.5" customHeight="1" x14ac:dyDescent="0.3">
      <c r="A1" s="114" t="s">
        <v>392</v>
      </c>
      <c r="B1" s="115"/>
      <c r="C1" s="115"/>
      <c r="D1" s="115"/>
      <c r="E1" s="115"/>
      <c r="F1" s="115"/>
      <c r="G1" s="115"/>
      <c r="H1" s="116"/>
      <c r="I1" s="36"/>
      <c r="J1" s="120" t="s">
        <v>352</v>
      </c>
      <c r="K1" s="121"/>
    </row>
    <row r="2" spans="1:12" ht="19.5" customHeight="1" x14ac:dyDescent="0.3">
      <c r="A2" s="117"/>
      <c r="B2" s="118"/>
      <c r="C2" s="118"/>
      <c r="D2" s="118"/>
      <c r="E2" s="118"/>
      <c r="F2" s="118"/>
      <c r="G2" s="118"/>
      <c r="H2" s="119"/>
      <c r="I2" s="36"/>
      <c r="J2" s="122">
        <f ca="1">TODAY()</f>
        <v>46250</v>
      </c>
      <c r="K2" s="121"/>
    </row>
    <row r="3" spans="1:12" ht="32.25" customHeight="1" x14ac:dyDescent="0.3">
      <c r="A3" s="37" t="s">
        <v>353</v>
      </c>
      <c r="B3" s="37" t="s">
        <v>354</v>
      </c>
      <c r="C3" s="38" t="s">
        <v>1</v>
      </c>
      <c r="D3" s="38" t="s">
        <v>2</v>
      </c>
      <c r="E3" s="37" t="s">
        <v>6</v>
      </c>
      <c r="F3" s="39" t="str">
        <f>Rangliste!H1</f>
        <v>WBV 1</v>
      </c>
      <c r="G3" s="39" t="str">
        <f>Rangliste!I1</f>
        <v>WBV 2</v>
      </c>
      <c r="H3" s="39" t="str">
        <f>Rangliste!J1</f>
        <v>WBV 3</v>
      </c>
      <c r="I3" s="40">
        <v>2023</v>
      </c>
      <c r="J3" s="37" t="s">
        <v>355</v>
      </c>
      <c r="K3" s="37" t="s">
        <v>356</v>
      </c>
    </row>
    <row r="4" spans="1:12" ht="12.75" customHeight="1" x14ac:dyDescent="0.3">
      <c r="A4" s="15" t="s">
        <v>357</v>
      </c>
      <c r="B4" s="15" t="e">
        <f>IF(ISBLANK(VLOOKUP(C4,Rangliste!$B$10:$T$77,3,FALSE))=TRUE,"",VLOOKUP(C4,Rangliste!$B$10:$T$77,3,FALSE))</f>
        <v>#N/A</v>
      </c>
      <c r="C4" s="21" t="s">
        <v>393</v>
      </c>
      <c r="D4" s="21" t="e">
        <f>IF(ISBLANK(VLOOKUP(C4,Rangliste!$B$10:$T$77,2,FALSE))=TRUE,"",VLOOKUP(C4,Rangliste!$B$10:$T$77,2,FALSE))</f>
        <v>#N/A</v>
      </c>
      <c r="E4" s="22" t="e">
        <f>IF(ISBLANK(VLOOKUP(C4,Rangliste!$B$10:$T$77,4,FALSE))=TRUE,"",VLOOKUP(C4,Rangliste!$B$10:$T$77,4,FALSE))</f>
        <v>#N/A</v>
      </c>
      <c r="F4" s="15" t="e">
        <f t="shared" ref="F4:F2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2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27"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v>0</v>
      </c>
      <c r="J4" s="15" t="e">
        <f t="shared" ref="J4:J27" si="3">MIN(F4:H4)</f>
        <v>#REF!</v>
      </c>
      <c r="K4" s="42" t="e">
        <f t="shared" ref="K4:K27" si="4">IF(COUNTIF(F4:H4,0)=3,I4,IF(COUNTIF(F4:H4,0)=2,IF(OR(L4="A",L4="B"),SUM(F4:H4)*1.65,SUM(F4:H4)-J4),SUM(F4:H4)-J4))</f>
        <v>#REF!</v>
      </c>
      <c r="L4" s="43" t="e">
        <f t="shared" ref="L4:L27" si="5">IF(MAX(F4:H4)&lt;=85,"Einsteiger",IF(MAX(F4:H4)&lt;=108,"E",IF(MAX(F4:H4)&lt;=131,"D",IF(MAX(F4:H4)&lt;=154,"C",IF(MAX(F4:H4)&lt;=177,"B","A")))))</f>
        <v>#REF!</v>
      </c>
    </row>
    <row r="5" spans="1:12" ht="12.75" customHeight="1" x14ac:dyDescent="0.3">
      <c r="A5" s="15" t="s">
        <v>359</v>
      </c>
      <c r="B5" s="15" t="e">
        <f>IF(ISBLANK(VLOOKUP(C5,Rangliste!$B$10:$T$77,3,FALSE))=TRUE,"",VLOOKUP(C5,Rangliste!$B$10:$T$77,3,FALSE))</f>
        <v>#N/A</v>
      </c>
      <c r="C5" s="21" t="s">
        <v>394</v>
      </c>
      <c r="D5" s="21" t="e">
        <f>IF(ISBLANK(VLOOKUP(C5,Rangliste!$B$10:$T$77,2,FALSE))=TRUE,"",VLOOKUP(C5,Rangliste!$B$10:$T$77,2,FALSE))</f>
        <v>#N/A</v>
      </c>
      <c r="E5" s="22" t="e">
        <f>IF(ISBLANK(VLOOKUP(C5,Rangliste!$B$10:$T$77,4,FALSE))=TRUE,"",VLOOKUP(C5,Rangliste!$B$10:$T$77,4,FALSE))</f>
        <v>#N/A</v>
      </c>
      <c r="F5" s="15" t="e">
        <f t="shared" si="0"/>
        <v>#REF!</v>
      </c>
      <c r="G5" s="15" t="e">
        <f t="shared" si="1"/>
        <v>#REF!</v>
      </c>
      <c r="H5" s="15" t="e">
        <f t="shared" si="2"/>
        <v>#REF!</v>
      </c>
      <c r="I5" s="15">
        <v>0</v>
      </c>
      <c r="J5" s="15" t="e">
        <f t="shared" si="3"/>
        <v>#REF!</v>
      </c>
      <c r="K5" s="42" t="e">
        <f t="shared" si="4"/>
        <v>#REF!</v>
      </c>
      <c r="L5" s="43" t="e">
        <f t="shared" si="5"/>
        <v>#REF!</v>
      </c>
    </row>
    <row r="6" spans="1:12" ht="12.75" customHeight="1" x14ac:dyDescent="0.3">
      <c r="A6" s="15" t="s">
        <v>361</v>
      </c>
      <c r="B6" s="15" t="e">
        <f>IF(ISBLANK(VLOOKUP(C6,Rangliste!$B$10:$T$77,3,FALSE))=TRUE,"",VLOOKUP(C6,Rangliste!$B$10:$T$77,3,FALSE))</f>
        <v>#N/A</v>
      </c>
      <c r="C6" s="21" t="s">
        <v>395</v>
      </c>
      <c r="D6" s="21" t="e">
        <f>IF(ISBLANK(VLOOKUP(C6,Rangliste!$B$10:$T$77,2,FALSE))=TRUE,"",VLOOKUP(C6,Rangliste!$B$10:$T$77,2,FALSE))</f>
        <v>#N/A</v>
      </c>
      <c r="E6" s="22" t="e">
        <f>IF(ISBLANK(VLOOKUP(C6,Rangliste!$B$10:$T$77,4,FALSE))=TRUE,"",VLOOKUP(C6,Rangliste!$B$10:$T$77,4,FALSE))</f>
        <v>#N/A</v>
      </c>
      <c r="F6" s="15" t="e">
        <f t="shared" si="0"/>
        <v>#REF!</v>
      </c>
      <c r="G6" s="15" t="e">
        <f t="shared" si="1"/>
        <v>#REF!</v>
      </c>
      <c r="H6" s="15" t="e">
        <f t="shared" si="2"/>
        <v>#REF!</v>
      </c>
      <c r="I6" s="15">
        <v>0</v>
      </c>
      <c r="J6" s="15" t="e">
        <f t="shared" si="3"/>
        <v>#REF!</v>
      </c>
      <c r="K6" s="42" t="e">
        <f t="shared" si="4"/>
        <v>#REF!</v>
      </c>
      <c r="L6" s="43" t="e">
        <f t="shared" si="5"/>
        <v>#REF!</v>
      </c>
    </row>
    <row r="7" spans="1:12" ht="12.75" customHeight="1" x14ac:dyDescent="0.3">
      <c r="A7" s="15" t="s">
        <v>363</v>
      </c>
      <c r="B7" s="15" t="e">
        <f>IF(ISBLANK(VLOOKUP(C7,Rangliste!$B$10:$T$77,3,FALSE))=TRUE,"",VLOOKUP(C7,Rangliste!$B$10:$T$77,3,FALSE))</f>
        <v>#N/A</v>
      </c>
      <c r="C7" s="21" t="s">
        <v>396</v>
      </c>
      <c r="D7" s="21" t="e">
        <f>IF(ISBLANK(VLOOKUP(C7,Rangliste!$B$10:$T$77,2,FALSE))=TRUE,"",VLOOKUP(C7,Rangliste!$B$10:$T$77,2,FALSE))</f>
        <v>#N/A</v>
      </c>
      <c r="E7" s="22" t="e">
        <f>IF(ISBLANK(VLOOKUP(C7,Rangliste!$B$10:$T$77,4,FALSE))=TRUE,"",VLOOKUP(C7,Rangliste!$B$10:$T$77,4,FALSE))</f>
        <v>#N/A</v>
      </c>
      <c r="F7" s="15" t="e">
        <f t="shared" si="0"/>
        <v>#REF!</v>
      </c>
      <c r="G7" s="15" t="e">
        <f t="shared" si="1"/>
        <v>#REF!</v>
      </c>
      <c r="H7" s="15" t="e">
        <f t="shared" si="2"/>
        <v>#REF!</v>
      </c>
      <c r="I7" s="15">
        <v>0</v>
      </c>
      <c r="J7" s="15" t="e">
        <f t="shared" si="3"/>
        <v>#REF!</v>
      </c>
      <c r="K7" s="42" t="e">
        <f t="shared" si="4"/>
        <v>#REF!</v>
      </c>
      <c r="L7" s="43" t="e">
        <f t="shared" si="5"/>
        <v>#REF!</v>
      </c>
    </row>
    <row r="8" spans="1:12" ht="12.75" customHeight="1" x14ac:dyDescent="0.3">
      <c r="A8" s="15" t="s">
        <v>365</v>
      </c>
      <c r="B8" s="15" t="e">
        <f>IF(ISBLANK(VLOOKUP(C8,Rangliste!$B$10:$T$77,3,FALSE))=TRUE,"",VLOOKUP(C8,Rangliste!$B$10:$T$77,3,FALSE))</f>
        <v>#N/A</v>
      </c>
      <c r="C8" s="21" t="s">
        <v>397</v>
      </c>
      <c r="D8" s="21" t="e">
        <f>IF(ISBLANK(VLOOKUP(C8,Rangliste!$B$10:$T$77,2,FALSE))=TRUE,"",VLOOKUP(C8,Rangliste!$B$10:$T$77,2,FALSE))</f>
        <v>#N/A</v>
      </c>
      <c r="E8" s="22" t="e">
        <f>IF(ISBLANK(VLOOKUP(C8,Rangliste!$B$10:$T$77,4,FALSE))=TRUE,"",VLOOKUP(C8,Rangliste!$B$10:$T$77,4,FALSE))</f>
        <v>#N/A</v>
      </c>
      <c r="F8" s="51" t="e">
        <f t="shared" si="0"/>
        <v>#REF!</v>
      </c>
      <c r="G8" s="15" t="e">
        <f t="shared" si="1"/>
        <v>#REF!</v>
      </c>
      <c r="H8" s="15" t="e">
        <f t="shared" si="2"/>
        <v>#REF!</v>
      </c>
      <c r="I8" s="15">
        <v>0</v>
      </c>
      <c r="J8" s="15" t="e">
        <f t="shared" si="3"/>
        <v>#REF!</v>
      </c>
      <c r="K8" s="42" t="e">
        <f t="shared" si="4"/>
        <v>#REF!</v>
      </c>
      <c r="L8" s="43" t="e">
        <f t="shared" si="5"/>
        <v>#REF!</v>
      </c>
    </row>
    <row r="9" spans="1:12" ht="12.75" customHeight="1" x14ac:dyDescent="0.3">
      <c r="A9" s="15" t="s">
        <v>367</v>
      </c>
      <c r="B9" s="15" t="e">
        <f>IF(ISBLANK(VLOOKUP(C9,Rangliste!$B$10:$T$77,3,FALSE))=TRUE,"",VLOOKUP(C9,Rangliste!$B$10:$T$77,3,FALSE))</f>
        <v>#N/A</v>
      </c>
      <c r="C9" s="21" t="s">
        <v>398</v>
      </c>
      <c r="D9" s="21" t="e">
        <f>IF(ISBLANK(VLOOKUP(C9,Rangliste!$B$10:$T$77,2,FALSE))=TRUE,"",VLOOKUP(C9,Rangliste!$B$10:$T$77,2,FALSE))</f>
        <v>#N/A</v>
      </c>
      <c r="E9" s="22" t="e">
        <f>IF(ISBLANK(VLOOKUP(C9,Rangliste!$B$10:$T$77,4,FALSE))=TRUE,"",VLOOKUP(C9,Rangliste!$B$10:$T$77,4,FALSE))</f>
        <v>#N/A</v>
      </c>
      <c r="F9" s="15" t="e">
        <f t="shared" si="0"/>
        <v>#REF!</v>
      </c>
      <c r="G9" s="15" t="e">
        <f t="shared" si="1"/>
        <v>#REF!</v>
      </c>
      <c r="H9" s="15" t="e">
        <f t="shared" si="2"/>
        <v>#REF!</v>
      </c>
      <c r="I9" s="15">
        <v>0</v>
      </c>
      <c r="J9" s="15" t="e">
        <f t="shared" si="3"/>
        <v>#REF!</v>
      </c>
      <c r="K9" s="42" t="e">
        <f t="shared" si="4"/>
        <v>#REF!</v>
      </c>
      <c r="L9" s="43" t="e">
        <f t="shared" si="5"/>
        <v>#REF!</v>
      </c>
    </row>
    <row r="10" spans="1:12" ht="12.75" customHeight="1" x14ac:dyDescent="0.3">
      <c r="A10" s="15" t="s">
        <v>369</v>
      </c>
      <c r="B10" s="15" t="e">
        <f>IF(ISBLANK(VLOOKUP(C10,Rangliste!$B$10:$T$77,3,FALSE))=TRUE,"",VLOOKUP(C10,Rangliste!$B$10:$T$77,3,FALSE))</f>
        <v>#N/A</v>
      </c>
      <c r="C10" s="21" t="s">
        <v>399</v>
      </c>
      <c r="D10" s="21" t="e">
        <f>IF(ISBLANK(VLOOKUP(C10,Rangliste!$B$10:$T$77,2,FALSE))=TRUE,"",VLOOKUP(C10,Rangliste!$B$10:$T$77,2,FALSE))</f>
        <v>#N/A</v>
      </c>
      <c r="E10" s="22" t="e">
        <f>IF(ISBLANK(VLOOKUP(C10,Rangliste!$B$10:$T$77,4,FALSE))=TRUE,"",VLOOKUP(C10,Rangliste!$B$10:$T$77,4,FALSE))</f>
        <v>#N/A</v>
      </c>
      <c r="F10" s="15" t="e">
        <f t="shared" si="0"/>
        <v>#REF!</v>
      </c>
      <c r="G10" s="15" t="e">
        <f t="shared" si="1"/>
        <v>#REF!</v>
      </c>
      <c r="H10" s="15" t="e">
        <f t="shared" si="2"/>
        <v>#REF!</v>
      </c>
      <c r="I10" s="15">
        <v>0</v>
      </c>
      <c r="J10" s="15" t="e">
        <f t="shared" si="3"/>
        <v>#REF!</v>
      </c>
      <c r="K10" s="42" t="e">
        <f t="shared" si="4"/>
        <v>#REF!</v>
      </c>
      <c r="L10" s="43" t="e">
        <f t="shared" si="5"/>
        <v>#REF!</v>
      </c>
    </row>
    <row r="11" spans="1:12" ht="12.75" customHeight="1" x14ac:dyDescent="0.3">
      <c r="A11" s="15" t="s">
        <v>371</v>
      </c>
      <c r="B11" s="15" t="e">
        <f>IF(ISBLANK(VLOOKUP(C11,Rangliste!$B$10:$T$77,3,FALSE))=TRUE,"",VLOOKUP(C11,Rangliste!$B$10:$T$77,3,FALSE))</f>
        <v>#N/A</v>
      </c>
      <c r="C11" s="21" t="s">
        <v>400</v>
      </c>
      <c r="D11" s="21" t="e">
        <f>IF(ISBLANK(VLOOKUP(C11,Rangliste!$B$10:$T$77,2,FALSE))=TRUE,"",VLOOKUP(C11,Rangliste!$B$10:$T$77,2,FALSE))</f>
        <v>#N/A</v>
      </c>
      <c r="E11" s="22" t="e">
        <f>IF(ISBLANK(VLOOKUP(C11,Rangliste!$B$10:$T$77,4,FALSE))=TRUE,"",VLOOKUP(C11,Rangliste!$B$10:$T$77,4,FALSE))</f>
        <v>#N/A</v>
      </c>
      <c r="F11" s="15" t="e">
        <f t="shared" si="0"/>
        <v>#REF!</v>
      </c>
      <c r="G11" s="51" t="e">
        <f t="shared" si="1"/>
        <v>#REF!</v>
      </c>
      <c r="H11" s="15" t="e">
        <f t="shared" si="2"/>
        <v>#REF!</v>
      </c>
      <c r="I11" s="15">
        <v>0</v>
      </c>
      <c r="J11" s="15" t="e">
        <f t="shared" si="3"/>
        <v>#REF!</v>
      </c>
      <c r="K11" s="42" t="e">
        <f t="shared" si="4"/>
        <v>#REF!</v>
      </c>
      <c r="L11" s="43" t="e">
        <f t="shared" si="5"/>
        <v>#REF!</v>
      </c>
    </row>
    <row r="12" spans="1:12" ht="12.75" customHeight="1" x14ac:dyDescent="0.3">
      <c r="A12" s="15" t="s">
        <v>373</v>
      </c>
      <c r="B12" s="15" t="e">
        <f>IF(ISBLANK(VLOOKUP(C12,Rangliste!$B$10:$T$77,3,FALSE))=TRUE,"",VLOOKUP(C12,Rangliste!$B$10:$T$77,3,FALSE))</f>
        <v>#N/A</v>
      </c>
      <c r="C12" s="16" t="s">
        <v>401</v>
      </c>
      <c r="D12" s="21" t="e">
        <f>IF(ISBLANK(VLOOKUP(C12,Rangliste!$B$10:$T$77,2,FALSE))=TRUE,"",VLOOKUP(C12,Rangliste!$B$10:$T$77,2,FALSE))</f>
        <v>#N/A</v>
      </c>
      <c r="E12" s="22" t="e">
        <f>IF(ISBLANK(VLOOKUP(C12,Rangliste!$B$10:$T$77,4,FALSE))=TRUE,"",VLOOKUP(C12,Rangliste!$B$10:$T$77,4,FALSE))</f>
        <v>#N/A</v>
      </c>
      <c r="F12" s="15" t="e">
        <f t="shared" si="0"/>
        <v>#REF!</v>
      </c>
      <c r="G12" s="15" t="e">
        <f t="shared" si="1"/>
        <v>#REF!</v>
      </c>
      <c r="H12" s="51" t="e">
        <f t="shared" si="2"/>
        <v>#REF!</v>
      </c>
      <c r="I12" s="15">
        <v>0</v>
      </c>
      <c r="J12" s="15" t="e">
        <f t="shared" si="3"/>
        <v>#REF!</v>
      </c>
      <c r="K12" s="42" t="e">
        <f t="shared" si="4"/>
        <v>#REF!</v>
      </c>
      <c r="L12" s="43" t="e">
        <f t="shared" si="5"/>
        <v>#REF!</v>
      </c>
    </row>
    <row r="13" spans="1:12" ht="12.75" customHeight="1" x14ac:dyDescent="0.3">
      <c r="A13" s="15" t="s">
        <v>375</v>
      </c>
      <c r="B13" s="15" t="e">
        <f>IF(ISBLANK(VLOOKUP(C13,Rangliste!$B$10:$T$77,3,FALSE))=TRUE,"",VLOOKUP(C13,Rangliste!$B$10:$T$77,3,FALSE))</f>
        <v>#N/A</v>
      </c>
      <c r="C13" s="21" t="s">
        <v>402</v>
      </c>
      <c r="D13" s="21" t="e">
        <f>IF(ISBLANK(VLOOKUP(C13,Rangliste!$B$10:$T$77,2,FALSE))=TRUE,"",VLOOKUP(C13,Rangliste!$B$10:$T$77,2,FALSE))</f>
        <v>#N/A</v>
      </c>
      <c r="E13" s="22" t="e">
        <f>IF(ISBLANK(VLOOKUP(C13,Rangliste!$B$10:$T$77,4,FALSE))=TRUE,"",VLOOKUP(C13,Rangliste!$B$10:$T$77,4,FALSE))</f>
        <v>#N/A</v>
      </c>
      <c r="F13" s="51" t="e">
        <f t="shared" si="0"/>
        <v>#REF!</v>
      </c>
      <c r="G13" s="15" t="e">
        <f t="shared" si="1"/>
        <v>#REF!</v>
      </c>
      <c r="H13" s="51" t="e">
        <f t="shared" si="2"/>
        <v>#REF!</v>
      </c>
      <c r="I13" s="15">
        <v>0</v>
      </c>
      <c r="J13" s="15" t="e">
        <f t="shared" si="3"/>
        <v>#REF!</v>
      </c>
      <c r="K13" s="42" t="e">
        <f t="shared" si="4"/>
        <v>#REF!</v>
      </c>
      <c r="L13" s="43" t="e">
        <f t="shared" si="5"/>
        <v>#REF!</v>
      </c>
    </row>
    <row r="14" spans="1:12" ht="12.75" customHeight="1" x14ac:dyDescent="0.3">
      <c r="A14" s="15" t="s">
        <v>377</v>
      </c>
      <c r="B14" s="15" t="e">
        <f>IF(ISBLANK(VLOOKUP(C14,Rangliste!$B$10:$T$77,3,FALSE))=TRUE,"",VLOOKUP(C14,Rangliste!$B$10:$T$77,3,FALSE))</f>
        <v>#N/A</v>
      </c>
      <c r="C14" s="16" t="s">
        <v>403</v>
      </c>
      <c r="D14" s="21" t="e">
        <f>IF(ISBLANK(VLOOKUP(C14,Rangliste!$B$10:$T$77,2,FALSE))=TRUE,"",VLOOKUP(C14,Rangliste!$B$10:$T$77,2,FALSE))</f>
        <v>#N/A</v>
      </c>
      <c r="E14" s="22" t="e">
        <f>IF(ISBLANK(VLOOKUP(C14,Rangliste!$B$10:$T$77,4,FALSE))=TRUE,"",VLOOKUP(C14,Rangliste!$B$10:$T$77,4,FALSE))</f>
        <v>#N/A</v>
      </c>
      <c r="F14" s="15" t="e">
        <f t="shared" si="0"/>
        <v>#REF!</v>
      </c>
      <c r="G14" s="15" t="e">
        <f t="shared" si="1"/>
        <v>#REF!</v>
      </c>
      <c r="H14" s="51" t="e">
        <f t="shared" si="2"/>
        <v>#REF!</v>
      </c>
      <c r="I14" s="15">
        <v>0</v>
      </c>
      <c r="J14" s="15" t="e">
        <f t="shared" si="3"/>
        <v>#REF!</v>
      </c>
      <c r="K14" s="42" t="e">
        <f t="shared" si="4"/>
        <v>#REF!</v>
      </c>
      <c r="L14" s="43" t="e">
        <f t="shared" si="5"/>
        <v>#REF!</v>
      </c>
    </row>
    <row r="15" spans="1:12" ht="12.75" customHeight="1" x14ac:dyDescent="0.3">
      <c r="A15" s="15" t="s">
        <v>379</v>
      </c>
      <c r="B15" s="15" t="e">
        <f>IF(ISBLANK(VLOOKUP(C15,Rangliste!$B$10:$T$77,3,FALSE))=TRUE,"",VLOOKUP(C15,Rangliste!$B$10:$T$77,3,FALSE))</f>
        <v>#N/A</v>
      </c>
      <c r="C15" s="21" t="s">
        <v>404</v>
      </c>
      <c r="D15" s="21" t="e">
        <f>IF(ISBLANK(VLOOKUP(C15,Rangliste!$B$10:$T$77,2,FALSE))=TRUE,"",VLOOKUP(C15,Rangliste!$B$10:$T$77,2,FALSE))</f>
        <v>#N/A</v>
      </c>
      <c r="E15" s="22" t="e">
        <f>IF(ISBLANK(VLOOKUP(C15,Rangliste!$B$10:$T$77,4,FALSE))=TRUE,"",VLOOKUP(C15,Rangliste!$B$10:$T$77,4,FALSE))</f>
        <v>#N/A</v>
      </c>
      <c r="F15" s="15" t="e">
        <f t="shared" si="0"/>
        <v>#REF!</v>
      </c>
      <c r="G15" s="15" t="e">
        <f t="shared" si="1"/>
        <v>#REF!</v>
      </c>
      <c r="H15" s="15" t="e">
        <f t="shared" si="2"/>
        <v>#REF!</v>
      </c>
      <c r="I15" s="15">
        <v>0</v>
      </c>
      <c r="J15" s="15" t="e">
        <f t="shared" si="3"/>
        <v>#REF!</v>
      </c>
      <c r="K15" s="42" t="e">
        <f t="shared" si="4"/>
        <v>#REF!</v>
      </c>
      <c r="L15" s="43" t="e">
        <f t="shared" si="5"/>
        <v>#REF!</v>
      </c>
    </row>
    <row r="16" spans="1:12" ht="12.75" customHeight="1" x14ac:dyDescent="0.3">
      <c r="A16" s="15" t="s">
        <v>381</v>
      </c>
      <c r="B16" s="15" t="e">
        <f>IF(ISBLANK(VLOOKUP(C16,Rangliste!$B$10:$T$77,3,FALSE))=TRUE,"",VLOOKUP(C16,Rangliste!$B$10:$T$77,3,FALSE))</f>
        <v>#N/A</v>
      </c>
      <c r="C16" s="16" t="s">
        <v>405</v>
      </c>
      <c r="D16" s="21" t="e">
        <f>IF(ISBLANK(VLOOKUP(C16,Rangliste!$B$10:$T$77,2,FALSE))=TRUE,"",VLOOKUP(C16,Rangliste!$B$10:$T$77,2,FALSE))</f>
        <v>#N/A</v>
      </c>
      <c r="E16" s="22" t="e">
        <f>IF(ISBLANK(VLOOKUP(C16,Rangliste!$B$10:$T$77,4,FALSE))=TRUE,"",VLOOKUP(C16,Rangliste!$B$10:$T$77,4,FALSE))</f>
        <v>#N/A</v>
      </c>
      <c r="F16" s="15" t="e">
        <f t="shared" si="0"/>
        <v>#REF!</v>
      </c>
      <c r="G16" s="15" t="e">
        <f t="shared" si="1"/>
        <v>#REF!</v>
      </c>
      <c r="H16" s="15" t="e">
        <f t="shared" si="2"/>
        <v>#REF!</v>
      </c>
      <c r="I16" s="15">
        <v>0</v>
      </c>
      <c r="J16" s="15" t="e">
        <f t="shared" si="3"/>
        <v>#REF!</v>
      </c>
      <c r="K16" s="42" t="e">
        <f t="shared" si="4"/>
        <v>#REF!</v>
      </c>
      <c r="L16" s="43" t="e">
        <f t="shared" si="5"/>
        <v>#REF!</v>
      </c>
    </row>
    <row r="17" spans="1:12" ht="12.75" customHeight="1" x14ac:dyDescent="0.3">
      <c r="A17" s="15" t="s">
        <v>383</v>
      </c>
      <c r="B17" s="15" t="e">
        <f>IF(ISBLANK(VLOOKUP(C17,Rangliste!$B$10:$T$77,3,FALSE))=TRUE,"",VLOOKUP(C17,Rangliste!$B$10:$T$77,3,FALSE))</f>
        <v>#N/A</v>
      </c>
      <c r="C17" s="16" t="s">
        <v>406</v>
      </c>
      <c r="D17" s="21" t="e">
        <f>IF(ISBLANK(VLOOKUP(C17,Rangliste!$B$10:$T$77,2,FALSE))=TRUE,"",VLOOKUP(C17,Rangliste!$B$10:$T$77,2,FALSE))</f>
        <v>#N/A</v>
      </c>
      <c r="E17" s="22" t="e">
        <f>IF(ISBLANK(VLOOKUP(C17,Rangliste!$B$10:$T$77,4,FALSE))=TRUE,"",VLOOKUP(C17,Rangliste!$B$10:$T$77,4,FALSE))</f>
        <v>#N/A</v>
      </c>
      <c r="F17" s="15" t="e">
        <f t="shared" si="0"/>
        <v>#REF!</v>
      </c>
      <c r="G17" s="15" t="e">
        <f t="shared" si="1"/>
        <v>#REF!</v>
      </c>
      <c r="H17" s="15" t="e">
        <f t="shared" si="2"/>
        <v>#REF!</v>
      </c>
      <c r="I17" s="15">
        <v>0</v>
      </c>
      <c r="J17" s="15" t="e">
        <f t="shared" si="3"/>
        <v>#REF!</v>
      </c>
      <c r="K17" s="42" t="e">
        <f t="shared" si="4"/>
        <v>#REF!</v>
      </c>
      <c r="L17" s="43" t="e">
        <f t="shared" si="5"/>
        <v>#REF!</v>
      </c>
    </row>
    <row r="18" spans="1:12" ht="12.75" customHeight="1" x14ac:dyDescent="0.3">
      <c r="A18" s="15" t="s">
        <v>385</v>
      </c>
      <c r="B18" s="15" t="e">
        <f>IF(ISBLANK(VLOOKUP(C18,Rangliste!$B$10:$T$77,3,FALSE))=TRUE,"",VLOOKUP(C18,Rangliste!$B$10:$T$77,3,FALSE))</f>
        <v>#N/A</v>
      </c>
      <c r="C18" s="21" t="s">
        <v>407</v>
      </c>
      <c r="D18" s="21" t="e">
        <f>IF(ISBLANK(VLOOKUP(C18,Rangliste!$B$10:$T$77,2,FALSE))=TRUE,"",VLOOKUP(C18,Rangliste!$B$10:$T$77,2,FALSE))</f>
        <v>#N/A</v>
      </c>
      <c r="E18" s="22" t="e">
        <f>IF(ISBLANK(VLOOKUP(C18,Rangliste!$B$10:$T$77,4,FALSE))=TRUE,"",VLOOKUP(C18,Rangliste!$B$10:$T$77,4,FALSE))</f>
        <v>#N/A</v>
      </c>
      <c r="F18" s="15" t="e">
        <f t="shared" si="0"/>
        <v>#REF!</v>
      </c>
      <c r="G18" s="15" t="e">
        <f t="shared" si="1"/>
        <v>#REF!</v>
      </c>
      <c r="H18" s="51" t="e">
        <f t="shared" si="2"/>
        <v>#REF!</v>
      </c>
      <c r="I18" s="15">
        <v>0</v>
      </c>
      <c r="J18" s="15" t="e">
        <f t="shared" si="3"/>
        <v>#REF!</v>
      </c>
      <c r="K18" s="42" t="e">
        <f t="shared" si="4"/>
        <v>#REF!</v>
      </c>
      <c r="L18" s="43" t="e">
        <f t="shared" si="5"/>
        <v>#REF!</v>
      </c>
    </row>
    <row r="19" spans="1:12" ht="12.75" customHeight="1" x14ac:dyDescent="0.3">
      <c r="A19" s="44" t="s">
        <v>408</v>
      </c>
      <c r="B19" s="44" t="e">
        <f>IF(ISBLANK(VLOOKUP(C19,Rangliste!$B$10:$T$77,3,FALSE))=TRUE,"",VLOOKUP(C19,Rangliste!$B$10:$T$77,3,FALSE))</f>
        <v>#REF!</v>
      </c>
      <c r="C19" s="45" t="e">
        <f>IF(AND(ISBLANK(#REF!),ISBLANK(#REF!),ISBLANK(#REF!))=TRUE,"",IF(AND(#REF!&gt;#REF!,#REF!&gt;#REF!),#REF!,IF(AND(#REF!&gt;#REF!,#REF!&gt;#REF!),#REF!,IF(AND(#REF!&gt;#REF!,#REF!&gt;#REF!),#REF!,FALSE))))</f>
        <v>#REF!</v>
      </c>
      <c r="D19" s="46" t="e">
        <f>IF(ISBLANK(VLOOKUP(C19,Rangliste!$B$10:$T$77,2,FALSE))=TRUE,"",VLOOKUP(C19,Rangliste!$B$10:$T$77,2,FALSE))</f>
        <v>#REF!</v>
      </c>
      <c r="E19" s="52" t="e">
        <f>IF(ISBLANK(VLOOKUP(C19,Rangliste!$B$10:$T$77,4,FALSE))=TRUE,"",VLOOKUP(C19,Rangliste!$B$10:$T$77,4,FALSE))</f>
        <v>#REF!</v>
      </c>
      <c r="F19" s="52" t="e">
        <f t="shared" si="0"/>
        <v>#REF!</v>
      </c>
      <c r="G19" s="52" t="e">
        <f t="shared" si="1"/>
        <v>#REF!</v>
      </c>
      <c r="H19" s="52" t="e">
        <f t="shared" si="2"/>
        <v>#REF!</v>
      </c>
      <c r="I19" s="52" t="s">
        <v>388</v>
      </c>
      <c r="J19" s="44" t="e">
        <f t="shared" si="3"/>
        <v>#REF!</v>
      </c>
      <c r="K19" s="53" t="e">
        <f t="shared" si="4"/>
        <v>#REF!</v>
      </c>
      <c r="L19" s="43" t="e">
        <f t="shared" si="5"/>
        <v>#REF!</v>
      </c>
    </row>
    <row r="20" spans="1:12" ht="12.75" customHeight="1" x14ac:dyDescent="0.3">
      <c r="A20" s="15" t="s">
        <v>389</v>
      </c>
      <c r="B20" s="15" t="e">
        <f>IF(ISBLANK('C Rangliste'!B4)=TRUE,"",'C Rangliste'!B4)</f>
        <v>#N/A</v>
      </c>
      <c r="C20" s="16" t="str">
        <f>'C Rangliste'!C4</f>
        <v>Elias Hoffelner</v>
      </c>
      <c r="D20" s="21" t="e">
        <f>IF(ISBLANK(VLOOKUP(C20,Rangliste!$B$10:$T$77,2,FALSE))=TRUE,"",VLOOKUP(C20,Rangliste!$B$10:$T$77,2,FALSE))</f>
        <v>#N/A</v>
      </c>
      <c r="E20" s="22" t="e">
        <f>IF(ISBLANK(VLOOKUP(C20,Rangliste!$B$10:$T$77,4,FALSE))=TRUE,"",VLOOKUP(C20,Rangliste!$B$10:$T$77,4,FALSE))</f>
        <v>#N/A</v>
      </c>
      <c r="F20" s="15" t="e">
        <f t="shared" si="0"/>
        <v>#REF!</v>
      </c>
      <c r="G20" s="15" t="e">
        <f t="shared" si="1"/>
        <v>#REF!</v>
      </c>
      <c r="H20" s="15" t="e">
        <f t="shared" si="2"/>
        <v>#REF!</v>
      </c>
      <c r="I20" s="15">
        <v>0</v>
      </c>
      <c r="J20" s="15" t="e">
        <f t="shared" si="3"/>
        <v>#REF!</v>
      </c>
      <c r="K20" s="42" t="e">
        <f t="shared" si="4"/>
        <v>#REF!</v>
      </c>
      <c r="L20" s="43" t="e">
        <f t="shared" si="5"/>
        <v>#REF!</v>
      </c>
    </row>
    <row r="21" spans="1:12" ht="12.75" customHeight="1" x14ac:dyDescent="0.3">
      <c r="A21" s="15" t="s">
        <v>389</v>
      </c>
      <c r="B21" s="15" t="e">
        <f>IF(ISBLANK('C Rangliste'!B5)=TRUE,"",'C Rangliste'!B5)</f>
        <v>#N/A</v>
      </c>
      <c r="C21" s="16" t="str">
        <f>'C Rangliste'!C5</f>
        <v>Florian Steininger</v>
      </c>
      <c r="D21" s="21" t="e">
        <f>IF(ISBLANK(VLOOKUP(C21,Rangliste!$B$10:$T$77,2,FALSE))=TRUE,"",VLOOKUP(C21,Rangliste!$B$10:$T$77,2,FALSE))</f>
        <v>#N/A</v>
      </c>
      <c r="E21" s="22" t="e">
        <f>IF(ISBLANK(VLOOKUP(C21,Rangliste!$B$10:$T$77,4,FALSE))=TRUE,"",VLOOKUP(C21,Rangliste!$B$10:$T$77,4,FALSE))</f>
        <v>#N/A</v>
      </c>
      <c r="F21" s="15" t="e">
        <f t="shared" si="0"/>
        <v>#REF!</v>
      </c>
      <c r="G21" s="51" t="e">
        <f t="shared" si="1"/>
        <v>#REF!</v>
      </c>
      <c r="H21" s="15" t="e">
        <f t="shared" si="2"/>
        <v>#REF!</v>
      </c>
      <c r="I21" s="15">
        <v>0</v>
      </c>
      <c r="J21" s="15" t="e">
        <f t="shared" si="3"/>
        <v>#REF!</v>
      </c>
      <c r="K21" s="42" t="e">
        <f t="shared" si="4"/>
        <v>#REF!</v>
      </c>
      <c r="L21" s="43" t="e">
        <f t="shared" si="5"/>
        <v>#REF!</v>
      </c>
    </row>
    <row r="22" spans="1:12" ht="12.75" customHeight="1" x14ac:dyDescent="0.3">
      <c r="A22" s="15" t="s">
        <v>389</v>
      </c>
      <c r="B22" s="15" t="e">
        <f>IF(ISBLANK('C Rangliste'!B6)=TRUE,"",'C Rangliste'!B6)</f>
        <v>#N/A</v>
      </c>
      <c r="C22" s="16" t="str">
        <f>'C Rangliste'!C6</f>
        <v>Sebastian Rainer</v>
      </c>
      <c r="D22" s="21" t="e">
        <f>IF(ISBLANK(VLOOKUP(C22,Rangliste!$B$10:$T$77,2,FALSE))=TRUE,"",VLOOKUP(C22,Rangliste!$B$10:$T$77,2,FALSE))</f>
        <v>#N/A</v>
      </c>
      <c r="E22" s="22" t="e">
        <f>IF(ISBLANK(VLOOKUP(C22,Rangliste!$B$10:$T$77,4,FALSE))=TRUE,"",VLOOKUP(C22,Rangliste!$B$10:$T$77,4,FALSE))</f>
        <v>#N/A</v>
      </c>
      <c r="F22" s="15" t="e">
        <f t="shared" si="0"/>
        <v>#REF!</v>
      </c>
      <c r="G22" s="15" t="e">
        <f t="shared" si="1"/>
        <v>#REF!</v>
      </c>
      <c r="H22" s="15" t="e">
        <f t="shared" si="2"/>
        <v>#REF!</v>
      </c>
      <c r="I22" s="15">
        <v>0</v>
      </c>
      <c r="J22" s="15" t="e">
        <f t="shared" si="3"/>
        <v>#REF!</v>
      </c>
      <c r="K22" s="42" t="e">
        <f t="shared" si="4"/>
        <v>#REF!</v>
      </c>
      <c r="L22" s="43" t="e">
        <f t="shared" si="5"/>
        <v>#REF!</v>
      </c>
    </row>
    <row r="23" spans="1:12" ht="12.75" customHeight="1" x14ac:dyDescent="0.3">
      <c r="A23" s="15" t="s">
        <v>389</v>
      </c>
      <c r="B23" s="15" t="e">
        <f>IF(ISBLANK('C Rangliste'!B7)=TRUE,"",'C Rangliste'!B7)</f>
        <v>#N/A</v>
      </c>
      <c r="C23" s="16" t="str">
        <f>'C Rangliste'!C7</f>
        <v>Jakob Schlögl</v>
      </c>
      <c r="D23" s="21" t="e">
        <f>IF(ISBLANK(VLOOKUP(C23,Rangliste!$B$10:$T$77,2,FALSE))=TRUE,"",VLOOKUP(C23,Rangliste!$B$10:$T$77,2,FALSE))</f>
        <v>#N/A</v>
      </c>
      <c r="E23" s="22" t="e">
        <f>IF(ISBLANK(VLOOKUP(C23,Rangliste!$B$10:$T$77,4,FALSE))=TRUE,"",VLOOKUP(C23,Rangliste!$B$10:$T$77,4,FALSE))</f>
        <v>#N/A</v>
      </c>
      <c r="F23" s="51" t="e">
        <f t="shared" si="0"/>
        <v>#REF!</v>
      </c>
      <c r="G23" s="15" t="e">
        <f t="shared" si="1"/>
        <v>#REF!</v>
      </c>
      <c r="H23" s="15" t="e">
        <f t="shared" si="2"/>
        <v>#REF!</v>
      </c>
      <c r="I23" s="15">
        <v>0</v>
      </c>
      <c r="J23" s="15" t="e">
        <f t="shared" si="3"/>
        <v>#REF!</v>
      </c>
      <c r="K23" s="42" t="e">
        <f t="shared" si="4"/>
        <v>#REF!</v>
      </c>
      <c r="L23" s="43" t="e">
        <f t="shared" si="5"/>
        <v>#REF!</v>
      </c>
    </row>
    <row r="24" spans="1:12" ht="12.75" customHeight="1" x14ac:dyDescent="0.3">
      <c r="A24" s="15" t="s">
        <v>389</v>
      </c>
      <c r="B24" s="15" t="e">
        <f>IF(ISBLANK('C Rangliste'!B8)=TRUE,"",'C Rangliste'!B8)</f>
        <v>#N/A</v>
      </c>
      <c r="C24" s="16" t="str">
        <f>'C Rangliste'!C8</f>
        <v>Noris Reindl</v>
      </c>
      <c r="D24" s="21" t="e">
        <f>IF(ISBLANK(VLOOKUP(C24,Rangliste!$B$10:$T$77,2,FALSE))=TRUE,"",VLOOKUP(C24,Rangliste!$B$10:$T$77,2,FALSE))</f>
        <v>#N/A</v>
      </c>
      <c r="E24" s="22" t="e">
        <f>IF(ISBLANK(VLOOKUP(C24,Rangliste!$B$10:$T$77,4,FALSE))=TRUE,"",VLOOKUP(C24,Rangliste!$B$10:$T$77,4,FALSE))</f>
        <v>#N/A</v>
      </c>
      <c r="F24" s="15" t="e">
        <f t="shared" si="0"/>
        <v>#REF!</v>
      </c>
      <c r="G24" s="15" t="e">
        <f t="shared" si="1"/>
        <v>#REF!</v>
      </c>
      <c r="H24" s="15" t="e">
        <f t="shared" si="2"/>
        <v>#REF!</v>
      </c>
      <c r="I24" s="15">
        <v>0</v>
      </c>
      <c r="J24" s="15" t="e">
        <f t="shared" si="3"/>
        <v>#REF!</v>
      </c>
      <c r="K24" s="42" t="e">
        <f t="shared" si="4"/>
        <v>#REF!</v>
      </c>
      <c r="L24" s="43" t="e">
        <f t="shared" si="5"/>
        <v>#REF!</v>
      </c>
    </row>
    <row r="25" spans="1:12" ht="12.75" customHeight="1" x14ac:dyDescent="0.3">
      <c r="A25" s="15" t="s">
        <v>389</v>
      </c>
      <c r="B25" s="15" t="e">
        <f>IF(ISBLANK('C Rangliste'!B9)=TRUE,"",'C Rangliste'!B9)</f>
        <v>#N/A</v>
      </c>
      <c r="C25" s="16" t="str">
        <f>'C Rangliste'!C9</f>
        <v>Niklas Haydn</v>
      </c>
      <c r="D25" s="21" t="e">
        <f>IF(ISBLANK(VLOOKUP(C25,Rangliste!$B$10:$T$77,2,FALSE))=TRUE,"",VLOOKUP(C25,Rangliste!$B$10:$T$77,2,FALSE))</f>
        <v>#N/A</v>
      </c>
      <c r="E25" s="22" t="e">
        <f>IF(ISBLANK(VLOOKUP(C25,Rangliste!$B$10:$T$77,4,FALSE))=TRUE,"",VLOOKUP(C25,Rangliste!$B$10:$T$77,4,FALSE))</f>
        <v>#N/A</v>
      </c>
      <c r="F25" s="15" t="e">
        <f t="shared" si="0"/>
        <v>#REF!</v>
      </c>
      <c r="G25" s="15" t="e">
        <f t="shared" si="1"/>
        <v>#REF!</v>
      </c>
      <c r="H25" s="15" t="e">
        <f t="shared" si="2"/>
        <v>#REF!</v>
      </c>
      <c r="I25" s="15">
        <v>0</v>
      </c>
      <c r="J25" s="15" t="e">
        <f t="shared" si="3"/>
        <v>#REF!</v>
      </c>
      <c r="K25" s="42" t="e">
        <f t="shared" si="4"/>
        <v>#REF!</v>
      </c>
      <c r="L25" s="43" t="e">
        <f t="shared" si="5"/>
        <v>#REF!</v>
      </c>
    </row>
    <row r="26" spans="1:12" ht="12.75" customHeight="1" x14ac:dyDescent="0.3">
      <c r="A26" s="15" t="s">
        <v>389</v>
      </c>
      <c r="B26" s="15" t="e">
        <f>IF(ISBLANK('C Rangliste'!B10)=TRUE,"",'C Rangliste'!B10)</f>
        <v>#N/A</v>
      </c>
      <c r="C26" s="16" t="str">
        <f>'C Rangliste'!C10</f>
        <v>Maximilian Wellinger</v>
      </c>
      <c r="D26" s="21" t="e">
        <f>IF(ISBLANK(VLOOKUP(C26,Rangliste!$B$10:$T$77,2,FALSE))=TRUE,"",VLOOKUP(C26,Rangliste!$B$10:$T$77,2,FALSE))</f>
        <v>#N/A</v>
      </c>
      <c r="E26" s="22" t="e">
        <f>IF(ISBLANK(VLOOKUP(C26,Rangliste!$B$10:$T$77,4,FALSE))=TRUE,"",VLOOKUP(C26,Rangliste!$B$10:$T$77,4,FALSE))</f>
        <v>#N/A</v>
      </c>
      <c r="F26" s="15" t="e">
        <f t="shared" si="0"/>
        <v>#REF!</v>
      </c>
      <c r="G26" s="15" t="e">
        <f t="shared" si="1"/>
        <v>#REF!</v>
      </c>
      <c r="H26" s="15" t="e">
        <f t="shared" si="2"/>
        <v>#REF!</v>
      </c>
      <c r="I26" s="15">
        <v>0</v>
      </c>
      <c r="J26" s="15" t="e">
        <f t="shared" si="3"/>
        <v>#REF!</v>
      </c>
      <c r="K26" s="42" t="e">
        <f t="shared" si="4"/>
        <v>#REF!</v>
      </c>
      <c r="L26" s="43" t="e">
        <f t="shared" si="5"/>
        <v>#REF!</v>
      </c>
    </row>
    <row r="27" spans="1:12" ht="12.75" customHeight="1" x14ac:dyDescent="0.3">
      <c r="A27" s="15" t="s">
        <v>389</v>
      </c>
      <c r="B27" s="15" t="e">
        <f>IF(ISBLANK('C Rangliste'!B11)=TRUE,"",'C Rangliste'!B11)</f>
        <v>#N/A</v>
      </c>
      <c r="C27" s="16" t="str">
        <f>'C Rangliste'!C11</f>
        <v>Laurenz Schillinger</v>
      </c>
      <c r="D27" s="21" t="e">
        <f>IF(ISBLANK(VLOOKUP(C27,Rangliste!$B$10:$T$77,2,FALSE))=TRUE,"",VLOOKUP(C27,Rangliste!$B$10:$T$77,2,FALSE))</f>
        <v>#N/A</v>
      </c>
      <c r="E27" s="22" t="e">
        <f>IF(ISBLANK(VLOOKUP(C27,Rangliste!$B$10:$T$77,4,FALSE))=TRUE,"",VLOOKUP(C27,Rangliste!$B$10:$T$77,4,FALSE))</f>
        <v>#N/A</v>
      </c>
      <c r="F27" s="15" t="e">
        <f t="shared" si="0"/>
        <v>#REF!</v>
      </c>
      <c r="G27" s="15" t="e">
        <f t="shared" si="1"/>
        <v>#REF!</v>
      </c>
      <c r="H27" s="51" t="e">
        <f t="shared" si="2"/>
        <v>#REF!</v>
      </c>
      <c r="I27" s="15">
        <v>0</v>
      </c>
      <c r="J27" s="15" t="e">
        <f t="shared" si="3"/>
        <v>#REF!</v>
      </c>
      <c r="K27" s="42" t="e">
        <f t="shared" si="4"/>
        <v>#REF!</v>
      </c>
      <c r="L27" s="43" t="e">
        <f t="shared" si="5"/>
        <v>#REF!</v>
      </c>
    </row>
    <row r="28" spans="1:12" ht="12.75" customHeight="1" x14ac:dyDescent="0.3"/>
    <row r="29" spans="1:12" ht="12.75" customHeight="1" x14ac:dyDescent="0.3"/>
    <row r="30" spans="1:12" ht="12.75" customHeight="1" x14ac:dyDescent="0.3"/>
    <row r="31" spans="1:12" ht="12.75" customHeight="1" x14ac:dyDescent="0.3">
      <c r="C31" s="48" t="str">
        <f>IF(COUNTA(A4:A25)=COUNT(B4:B25),"","Spieler muss beim nächsten Einzel-RLT ÖBV-Mitglied sein")</f>
        <v>Spieler muss beim nächsten Einzel-RLT ÖBV-Mitglied sein</v>
      </c>
    </row>
    <row r="32" spans="1:12" ht="12.75" customHeight="1" x14ac:dyDescent="0.3">
      <c r="C32" s="49" t="str">
        <f>IF(COUNTA(A4:A25)=COUNT(E4:E25),"","Jahrgang bekannt geben")</f>
        <v>Jahrgang bekannt geben</v>
      </c>
    </row>
    <row r="33" spans="1:11" ht="12.75" customHeight="1" x14ac:dyDescent="0.3">
      <c r="A33" s="15"/>
      <c r="B33" s="15"/>
      <c r="C33" s="16"/>
      <c r="D33" s="16"/>
      <c r="E33" s="22"/>
      <c r="F33" s="15"/>
      <c r="G33" s="15"/>
      <c r="H33" s="15"/>
      <c r="I33" s="15"/>
      <c r="J33" s="15"/>
      <c r="K33" s="42"/>
    </row>
    <row r="34" spans="1:11" ht="12.75" customHeight="1" x14ac:dyDescent="0.3">
      <c r="A34" s="15"/>
      <c r="B34" s="15"/>
      <c r="C34" s="16"/>
      <c r="D34" s="35"/>
      <c r="E34" s="41"/>
      <c r="F34" s="15"/>
      <c r="G34" s="15"/>
      <c r="H34" s="15"/>
      <c r="I34" s="15"/>
      <c r="J34" s="15"/>
      <c r="K34" s="42"/>
    </row>
    <row r="35" spans="1:11" ht="12.75" customHeight="1" x14ac:dyDescent="0.3"/>
    <row r="36" spans="1:11" ht="12.75" customHeight="1" x14ac:dyDescent="0.3"/>
    <row r="37" spans="1:11" ht="12.75" customHeight="1" x14ac:dyDescent="0.3"/>
    <row r="38" spans="1:11" ht="12.75" customHeight="1" x14ac:dyDescent="0.3">
      <c r="D38" s="21"/>
      <c r="E38" s="21"/>
      <c r="F38" s="21"/>
      <c r="G38" s="21"/>
      <c r="H38" s="21"/>
      <c r="I38" s="21"/>
      <c r="J38" s="21"/>
      <c r="K38" s="21"/>
    </row>
    <row r="39" spans="1:11" ht="12.75" customHeight="1" x14ac:dyDescent="0.3">
      <c r="D39" s="21"/>
      <c r="E39" s="21"/>
      <c r="F39" s="21"/>
      <c r="G39" s="21"/>
      <c r="H39" s="21"/>
      <c r="I39" s="21"/>
      <c r="J39" s="21"/>
      <c r="K39" s="21"/>
    </row>
    <row r="40" spans="1:11" ht="18" customHeight="1" x14ac:dyDescent="0.4">
      <c r="A40" s="133" t="s">
        <v>390</v>
      </c>
      <c r="B40" s="124"/>
      <c r="C40" s="124"/>
      <c r="D40" s="124"/>
      <c r="E40" s="124"/>
      <c r="F40" s="124"/>
      <c r="G40" s="124"/>
      <c r="H40" s="124"/>
      <c r="I40" s="124"/>
      <c r="J40" s="124"/>
      <c r="K40" s="125"/>
    </row>
    <row r="41" spans="1:11" ht="12.75" customHeight="1" x14ac:dyDescent="0.3">
      <c r="A41" s="126" t="s">
        <v>409</v>
      </c>
      <c r="B41" s="127"/>
      <c r="C41" s="127"/>
      <c r="D41" s="127"/>
      <c r="E41" s="127"/>
      <c r="F41" s="127"/>
      <c r="G41" s="127"/>
      <c r="H41" s="127"/>
      <c r="I41" s="127"/>
      <c r="J41" s="127"/>
      <c r="K41" s="128"/>
    </row>
    <row r="42" spans="1:11" ht="12.75" customHeight="1" x14ac:dyDescent="0.3">
      <c r="A42" s="129"/>
      <c r="B42" s="127"/>
      <c r="C42" s="127"/>
      <c r="D42" s="127"/>
      <c r="E42" s="127"/>
      <c r="F42" s="127"/>
      <c r="G42" s="127"/>
      <c r="H42" s="127"/>
      <c r="I42" s="127"/>
      <c r="J42" s="127"/>
      <c r="K42" s="128"/>
    </row>
    <row r="43" spans="1:11" ht="12.75" customHeight="1" x14ac:dyDescent="0.3">
      <c r="A43" s="129"/>
      <c r="B43" s="127"/>
      <c r="C43" s="127"/>
      <c r="D43" s="127"/>
      <c r="E43" s="127"/>
      <c r="F43" s="127"/>
      <c r="G43" s="127"/>
      <c r="H43" s="127"/>
      <c r="I43" s="127"/>
      <c r="J43" s="127"/>
      <c r="K43" s="128"/>
    </row>
    <row r="44" spans="1:11" ht="12.75" customHeight="1" x14ac:dyDescent="0.3">
      <c r="A44" s="129"/>
      <c r="B44" s="127"/>
      <c r="C44" s="127"/>
      <c r="D44" s="127"/>
      <c r="E44" s="127"/>
      <c r="F44" s="127"/>
      <c r="G44" s="127"/>
      <c r="H44" s="127"/>
      <c r="I44" s="127"/>
      <c r="J44" s="127"/>
      <c r="K44" s="128"/>
    </row>
    <row r="45" spans="1:11" ht="12.75" customHeight="1" x14ac:dyDescent="0.3">
      <c r="A45" s="129"/>
      <c r="B45" s="127"/>
      <c r="C45" s="127"/>
      <c r="D45" s="127"/>
      <c r="E45" s="127"/>
      <c r="F45" s="127"/>
      <c r="G45" s="127"/>
      <c r="H45" s="127"/>
      <c r="I45" s="127"/>
      <c r="J45" s="127"/>
      <c r="K45" s="128"/>
    </row>
    <row r="46" spans="1:11" ht="12.75" customHeight="1" x14ac:dyDescent="0.3">
      <c r="A46" s="129"/>
      <c r="B46" s="127"/>
      <c r="C46" s="127"/>
      <c r="D46" s="127"/>
      <c r="E46" s="127"/>
      <c r="F46" s="127"/>
      <c r="G46" s="127"/>
      <c r="H46" s="127"/>
      <c r="I46" s="127"/>
      <c r="J46" s="127"/>
      <c r="K46" s="128"/>
    </row>
    <row r="47" spans="1:11" ht="12.75" customHeight="1" x14ac:dyDescent="0.3">
      <c r="A47" s="129"/>
      <c r="B47" s="127"/>
      <c r="C47" s="127"/>
      <c r="D47" s="127"/>
      <c r="E47" s="127"/>
      <c r="F47" s="127"/>
      <c r="G47" s="127"/>
      <c r="H47" s="127"/>
      <c r="I47" s="127"/>
      <c r="J47" s="127"/>
      <c r="K47" s="128"/>
    </row>
    <row r="48" spans="1:11" ht="12.75" customHeight="1" x14ac:dyDescent="0.3">
      <c r="A48" s="129"/>
      <c r="B48" s="127"/>
      <c r="C48" s="127"/>
      <c r="D48" s="127"/>
      <c r="E48" s="127"/>
      <c r="F48" s="127"/>
      <c r="G48" s="127"/>
      <c r="H48" s="127"/>
      <c r="I48" s="127"/>
      <c r="J48" s="127"/>
      <c r="K48" s="128"/>
    </row>
    <row r="49" spans="1:11" ht="12.75" customHeight="1" x14ac:dyDescent="0.3">
      <c r="A49" s="129"/>
      <c r="B49" s="127"/>
      <c r="C49" s="127"/>
      <c r="D49" s="127"/>
      <c r="E49" s="127"/>
      <c r="F49" s="127"/>
      <c r="G49" s="127"/>
      <c r="H49" s="127"/>
      <c r="I49" s="127"/>
      <c r="J49" s="127"/>
      <c r="K49" s="128"/>
    </row>
    <row r="50" spans="1:11" ht="12.75" customHeight="1" x14ac:dyDescent="0.3">
      <c r="A50" s="129"/>
      <c r="B50" s="127"/>
      <c r="C50" s="127"/>
      <c r="D50" s="127"/>
      <c r="E50" s="127"/>
      <c r="F50" s="127"/>
      <c r="G50" s="127"/>
      <c r="H50" s="127"/>
      <c r="I50" s="127"/>
      <c r="J50" s="127"/>
      <c r="K50" s="128"/>
    </row>
    <row r="51" spans="1:11" ht="12.75" customHeight="1" x14ac:dyDescent="0.3">
      <c r="A51" s="130"/>
      <c r="B51" s="131"/>
      <c r="C51" s="131"/>
      <c r="D51" s="131"/>
      <c r="E51" s="131"/>
      <c r="F51" s="131"/>
      <c r="G51" s="131"/>
      <c r="H51" s="131"/>
      <c r="I51" s="131"/>
      <c r="J51" s="131"/>
      <c r="K51" s="132"/>
    </row>
    <row r="52" spans="1:11" ht="12.75" customHeight="1" x14ac:dyDescent="0.3"/>
    <row r="53" spans="1:11" ht="12.75" customHeight="1" x14ac:dyDescent="0.3"/>
    <row r="54" spans="1:11" ht="12.75" customHeight="1" x14ac:dyDescent="0.3"/>
    <row r="55" spans="1:11" ht="12.75" customHeight="1" x14ac:dyDescent="0.3"/>
    <row r="56" spans="1:11" ht="12.75" customHeight="1" x14ac:dyDescent="0.3"/>
    <row r="57" spans="1:11" ht="12.75" customHeight="1" x14ac:dyDescent="0.3"/>
    <row r="58" spans="1:11" ht="12.75" customHeight="1" x14ac:dyDescent="0.3"/>
    <row r="59" spans="1:11" ht="12.75" customHeight="1" x14ac:dyDescent="0.3"/>
    <row r="60" spans="1:11" ht="12.75" customHeight="1" x14ac:dyDescent="0.3"/>
    <row r="61" spans="1:11" ht="12.75" customHeight="1" x14ac:dyDescent="0.3"/>
    <row r="62" spans="1:11" ht="12.75" customHeight="1" x14ac:dyDescent="0.3"/>
    <row r="63" spans="1:11" ht="12.75" customHeight="1" x14ac:dyDescent="0.3"/>
    <row r="64" spans="1:11"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1:H2"/>
    <mergeCell ref="J1:K1"/>
    <mergeCell ref="J2:K2"/>
    <mergeCell ref="A40:K40"/>
    <mergeCell ref="A41:K51"/>
  </mergeCells>
  <conditionalFormatting sqref="C19:D27">
    <cfRule type="expression" dxfId="32" priority="1">
      <formula>IF($C19="",FALSE,$B19="")</formula>
    </cfRule>
  </conditionalFormatting>
  <conditionalFormatting sqref="C33:D34">
    <cfRule type="expression" dxfId="31" priority="2">
      <formula>IF($C33="",FALSE,$B33="")</formula>
    </cfRule>
  </conditionalFormatting>
  <conditionalFormatting sqref="D4:D18">
    <cfRule type="expression" dxfId="30" priority="3">
      <formula>IF($C4="",FALSE,$B4="")</formula>
    </cfRule>
  </conditionalFormatting>
  <conditionalFormatting sqref="D4:D27">
    <cfRule type="expression" dxfId="29" priority="4">
      <formula>IF($D4="",FALSE,$E4="")</formula>
    </cfRule>
  </conditionalFormatting>
  <conditionalFormatting sqref="D33:D34">
    <cfRule type="expression" dxfId="28" priority="5">
      <formula>IF($D33="",FALSE,$E33="")</formula>
    </cfRule>
  </conditionalFormatting>
  <pageMargins left="0.51181102362204722" right="0.51181102362204722" top="0.74803149606299213" bottom="0.74803149606299213"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4.69921875" customWidth="1"/>
    <col min="6" max="8" width="6.3984375" customWidth="1"/>
    <col min="9" max="9" width="6.3984375" hidden="1" customWidth="1"/>
    <col min="10" max="11" width="5.59765625" customWidth="1"/>
    <col min="12" max="12" width="10.59765625" hidden="1" customWidth="1"/>
  </cols>
  <sheetData>
    <row r="1" spans="1:12" ht="31.5" customHeight="1" x14ac:dyDescent="0.3">
      <c r="A1" s="114" t="s">
        <v>410</v>
      </c>
      <c r="B1" s="115"/>
      <c r="C1" s="115"/>
      <c r="D1" s="115"/>
      <c r="E1" s="115"/>
      <c r="F1" s="115"/>
      <c r="G1" s="115"/>
      <c r="H1" s="116"/>
      <c r="I1" s="36"/>
      <c r="J1" s="120" t="s">
        <v>352</v>
      </c>
      <c r="K1" s="121"/>
    </row>
    <row r="2" spans="1:12" ht="19.5" customHeight="1" x14ac:dyDescent="0.3">
      <c r="A2" s="117"/>
      <c r="B2" s="118"/>
      <c r="C2" s="118"/>
      <c r="D2" s="118"/>
      <c r="E2" s="118"/>
      <c r="F2" s="118"/>
      <c r="G2" s="118"/>
      <c r="H2" s="119"/>
      <c r="I2" s="36"/>
      <c r="J2" s="122">
        <f ca="1">TODAY()</f>
        <v>46250</v>
      </c>
      <c r="K2" s="121"/>
    </row>
    <row r="3" spans="1:12" ht="32.25" customHeight="1" x14ac:dyDescent="0.3">
      <c r="A3" s="37" t="s">
        <v>353</v>
      </c>
      <c r="B3" s="37" t="s">
        <v>354</v>
      </c>
      <c r="C3" s="38" t="s">
        <v>1</v>
      </c>
      <c r="D3" s="38" t="s">
        <v>2</v>
      </c>
      <c r="E3" s="37" t="s">
        <v>6</v>
      </c>
      <c r="F3" s="39" t="str">
        <f>Rangliste!H1</f>
        <v>WBV 1</v>
      </c>
      <c r="G3" s="39" t="str">
        <f>Rangliste!I1</f>
        <v>WBV 2</v>
      </c>
      <c r="H3" s="39" t="str">
        <f>Rangliste!J1</f>
        <v>WBV 3</v>
      </c>
      <c r="I3" s="40">
        <v>2023</v>
      </c>
      <c r="J3" s="37" t="s">
        <v>355</v>
      </c>
      <c r="K3" s="37" t="s">
        <v>356</v>
      </c>
    </row>
    <row r="4" spans="1:12" ht="12.75" customHeight="1" x14ac:dyDescent="0.3">
      <c r="A4" s="15" t="s">
        <v>357</v>
      </c>
      <c r="B4" s="15" t="e">
        <f>IF(ISBLANK(VLOOKUP(C4,Rangliste!$B$10:$T$918,3,FALSE))=TRUE,"",VLOOKUP(C4,Rangliste!$B$10:$T$918,3,FALSE))</f>
        <v>#N/A</v>
      </c>
      <c r="C4" s="21" t="s">
        <v>411</v>
      </c>
      <c r="D4" s="21" t="e">
        <f>IF(ISBLANK(VLOOKUP(C4,Rangliste!$B$10:$T$918,2,FALSE))=TRUE,"",VLOOKUP(C4,Rangliste!$B$10:$T$918,2,FALSE))</f>
        <v>#N/A</v>
      </c>
      <c r="E4" s="22" t="e">
        <f>IF(ISBLANK(VLOOKUP(C4,Rangliste!$B$10:$T$918,4,FALSE))=TRUE,"",VLOOKUP(C4,Rangliste!$B$10:$T$918,4,FALSE))</f>
        <v>#N/A</v>
      </c>
      <c r="F4" s="15" t="e">
        <f t="shared" ref="F4:F2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2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27"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v>0</v>
      </c>
      <c r="J4" s="15" t="e">
        <f t="shared" ref="J4:J27" si="3">MIN(F4:H4)</f>
        <v>#REF!</v>
      </c>
      <c r="K4" s="42" t="e">
        <f t="shared" ref="K4:K18" si="4">IF(COUNTIF(F4:H4,0)=3,I4,IF(COUNTIF(F4:H4,0)=2,IF(OR(L4="A",L4="B"),SUM(F4:H4)*1.65,SUM(F4:H4)-J4),SUM(F4:H4)-J4))</f>
        <v>#REF!</v>
      </c>
      <c r="L4" s="43" t="e">
        <f t="shared" ref="L4:L27" si="5">IF(MAX(F4:H4)&lt;=85,"Einsteiger",IF(MAX(F4:H4)&lt;=108,"E",IF(MAX(F4:H4)&lt;=131,"D",IF(MAX(F4:H4)&lt;=154,"C",IF(MAX(F4:H4)&lt;=177,"B","A")))))</f>
        <v>#REF!</v>
      </c>
    </row>
    <row r="5" spans="1:12" ht="12.75" customHeight="1" x14ac:dyDescent="0.3">
      <c r="A5" s="15" t="s">
        <v>359</v>
      </c>
      <c r="B5" s="15" t="e">
        <f>IF(ISBLANK(VLOOKUP(C5,Rangliste!$B$10:$T$918,3,FALSE))=TRUE,"",VLOOKUP(C5,Rangliste!$B$10:$T$918,3,FALSE))</f>
        <v>#N/A</v>
      </c>
      <c r="C5" s="21" t="s">
        <v>412</v>
      </c>
      <c r="D5" s="21" t="e">
        <f>IF(ISBLANK(VLOOKUP(C5,Rangliste!$B$10:$T$918,2,FALSE))=TRUE,"",VLOOKUP(C5,Rangliste!$B$10:$T$918,2,FALSE))</f>
        <v>#N/A</v>
      </c>
      <c r="E5" s="22" t="e">
        <f>IF(ISBLANK(VLOOKUP(C5,Rangliste!$B$10:$T$918,4,FALSE))=TRUE,"",VLOOKUP(C5,Rangliste!$B$10:$T$918,4,FALSE))</f>
        <v>#N/A</v>
      </c>
      <c r="F5" s="15" t="e">
        <f t="shared" si="0"/>
        <v>#REF!</v>
      </c>
      <c r="G5" s="51" t="e">
        <f t="shared" si="1"/>
        <v>#REF!</v>
      </c>
      <c r="H5" s="15" t="e">
        <f t="shared" si="2"/>
        <v>#REF!</v>
      </c>
      <c r="I5" s="15">
        <v>0</v>
      </c>
      <c r="J5" s="15" t="e">
        <f t="shared" si="3"/>
        <v>#REF!</v>
      </c>
      <c r="K5" s="42" t="e">
        <f t="shared" si="4"/>
        <v>#REF!</v>
      </c>
      <c r="L5" s="43" t="e">
        <f t="shared" si="5"/>
        <v>#REF!</v>
      </c>
    </row>
    <row r="6" spans="1:12" ht="12.75" customHeight="1" x14ac:dyDescent="0.3">
      <c r="A6" s="15" t="s">
        <v>361</v>
      </c>
      <c r="B6" s="15" t="e">
        <f>IF(ISBLANK(VLOOKUP(C6,Rangliste!$B$10:$T$918,3,FALSE))=TRUE,"",VLOOKUP(C6,Rangliste!$B$10:$T$918,3,FALSE))</f>
        <v>#N/A</v>
      </c>
      <c r="C6" s="21" t="s">
        <v>413</v>
      </c>
      <c r="D6" s="21" t="e">
        <f>IF(ISBLANK(VLOOKUP(C6,Rangliste!$B$10:$T$918,2,FALSE))=TRUE,"",VLOOKUP(C6,Rangliste!$B$10:$T$918,2,FALSE))</f>
        <v>#N/A</v>
      </c>
      <c r="E6" s="22" t="e">
        <f>IF(ISBLANK(VLOOKUP(C6,Rangliste!$B$10:$T$918,4,FALSE))=TRUE,"",VLOOKUP(C6,Rangliste!$B$10:$T$918,4,FALSE))</f>
        <v>#N/A</v>
      </c>
      <c r="F6" s="15" t="e">
        <f t="shared" si="0"/>
        <v>#REF!</v>
      </c>
      <c r="G6" s="15" t="e">
        <f t="shared" si="1"/>
        <v>#REF!</v>
      </c>
      <c r="H6" s="15" t="e">
        <f t="shared" si="2"/>
        <v>#REF!</v>
      </c>
      <c r="I6" s="15">
        <v>0</v>
      </c>
      <c r="J6" s="15" t="e">
        <f t="shared" si="3"/>
        <v>#REF!</v>
      </c>
      <c r="K6" s="42" t="e">
        <f t="shared" si="4"/>
        <v>#REF!</v>
      </c>
      <c r="L6" s="43" t="e">
        <f t="shared" si="5"/>
        <v>#REF!</v>
      </c>
    </row>
    <row r="7" spans="1:12" ht="12.75" customHeight="1" x14ac:dyDescent="0.3">
      <c r="A7" s="15" t="s">
        <v>363</v>
      </c>
      <c r="B7" s="15" t="e">
        <f>IF(ISBLANK(VLOOKUP(C7,Rangliste!$B$10:$T$918,3,FALSE))=TRUE,"",VLOOKUP(C7,Rangliste!$B$10:$T$918,3,FALSE))</f>
        <v>#N/A</v>
      </c>
      <c r="C7" s="21" t="s">
        <v>414</v>
      </c>
      <c r="D7" s="21" t="e">
        <f>IF(ISBLANK(VLOOKUP(C7,Rangliste!$B$10:$T$918,2,FALSE))=TRUE,"",VLOOKUP(C7,Rangliste!$B$10:$T$918,2,FALSE))</f>
        <v>#N/A</v>
      </c>
      <c r="E7" s="22" t="e">
        <f>IF(ISBLANK(VLOOKUP(C7,Rangliste!$B$10:$T$918,4,FALSE))=TRUE,"",VLOOKUP(C7,Rangliste!$B$10:$T$918,4,FALSE))</f>
        <v>#N/A</v>
      </c>
      <c r="F7" s="51" t="e">
        <f t="shared" si="0"/>
        <v>#REF!</v>
      </c>
      <c r="G7" s="15" t="e">
        <f t="shared" si="1"/>
        <v>#REF!</v>
      </c>
      <c r="H7" s="15" t="e">
        <f t="shared" si="2"/>
        <v>#REF!</v>
      </c>
      <c r="I7" s="15">
        <v>0</v>
      </c>
      <c r="J7" s="15" t="e">
        <f t="shared" si="3"/>
        <v>#REF!</v>
      </c>
      <c r="K7" s="42" t="e">
        <f t="shared" si="4"/>
        <v>#REF!</v>
      </c>
      <c r="L7" s="43" t="e">
        <f t="shared" si="5"/>
        <v>#REF!</v>
      </c>
    </row>
    <row r="8" spans="1:12" ht="12.75" customHeight="1" x14ac:dyDescent="0.3">
      <c r="A8" s="15" t="s">
        <v>365</v>
      </c>
      <c r="B8" s="15" t="e">
        <f>IF(ISBLANK(VLOOKUP(C8,Rangliste!$B$10:$T$918,3,FALSE))=TRUE,"",VLOOKUP(C8,Rangliste!$B$10:$T$918,3,FALSE))</f>
        <v>#N/A</v>
      </c>
      <c r="C8" s="21" t="s">
        <v>415</v>
      </c>
      <c r="D8" s="21" t="e">
        <f>IF(ISBLANK(VLOOKUP(C8,Rangliste!$B$10:$T$918,2,FALSE))=TRUE,"",VLOOKUP(C8,Rangliste!$B$10:$T$918,2,FALSE))</f>
        <v>#N/A</v>
      </c>
      <c r="E8" s="22" t="e">
        <f>IF(ISBLANK(VLOOKUP(C8,Rangliste!$B$10:$T$918,4,FALSE))=TRUE,"",VLOOKUP(C8,Rangliste!$B$10:$T$918,4,FALSE))</f>
        <v>#N/A</v>
      </c>
      <c r="F8" s="15" t="e">
        <f t="shared" si="0"/>
        <v>#REF!</v>
      </c>
      <c r="G8" s="15" t="e">
        <f t="shared" si="1"/>
        <v>#REF!</v>
      </c>
      <c r="H8" s="15" t="e">
        <f t="shared" si="2"/>
        <v>#REF!</v>
      </c>
      <c r="I8" s="15">
        <v>0</v>
      </c>
      <c r="J8" s="15" t="e">
        <f t="shared" si="3"/>
        <v>#REF!</v>
      </c>
      <c r="K8" s="42" t="e">
        <f t="shared" si="4"/>
        <v>#REF!</v>
      </c>
      <c r="L8" s="43" t="e">
        <f t="shared" si="5"/>
        <v>#REF!</v>
      </c>
    </row>
    <row r="9" spans="1:12" ht="12.75" customHeight="1" x14ac:dyDescent="0.3">
      <c r="A9" s="15" t="s">
        <v>367</v>
      </c>
      <c r="B9" s="15" t="e">
        <f>IF(ISBLANK(VLOOKUP(C9,Rangliste!$B$10:$T$918,3,FALSE))=TRUE,"",VLOOKUP(C9,Rangliste!$B$10:$T$918,3,FALSE))</f>
        <v>#N/A</v>
      </c>
      <c r="C9" s="21" t="s">
        <v>416</v>
      </c>
      <c r="D9" s="21" t="e">
        <f>IF(ISBLANK(VLOOKUP(C9,Rangliste!$B$10:$T$918,2,FALSE))=TRUE,"",VLOOKUP(C9,Rangliste!$B$10:$T$918,2,FALSE))</f>
        <v>#N/A</v>
      </c>
      <c r="E9" s="22" t="e">
        <f>IF(ISBLANK(VLOOKUP(C9,Rangliste!$B$10:$T$918,4,FALSE))=TRUE,"",VLOOKUP(C9,Rangliste!$B$10:$T$918,4,FALSE))</f>
        <v>#N/A</v>
      </c>
      <c r="F9" s="15" t="e">
        <f t="shared" si="0"/>
        <v>#REF!</v>
      </c>
      <c r="G9" s="15" t="e">
        <f t="shared" si="1"/>
        <v>#REF!</v>
      </c>
      <c r="H9" s="15" t="e">
        <f t="shared" si="2"/>
        <v>#REF!</v>
      </c>
      <c r="I9" s="15">
        <v>0</v>
      </c>
      <c r="J9" s="15" t="e">
        <f t="shared" si="3"/>
        <v>#REF!</v>
      </c>
      <c r="K9" s="42" t="e">
        <f t="shared" si="4"/>
        <v>#REF!</v>
      </c>
      <c r="L9" s="43" t="e">
        <f t="shared" si="5"/>
        <v>#REF!</v>
      </c>
    </row>
    <row r="10" spans="1:12" ht="12.75" customHeight="1" x14ac:dyDescent="0.3">
      <c r="A10" s="15" t="s">
        <v>369</v>
      </c>
      <c r="B10" s="15" t="e">
        <f>IF(ISBLANK(VLOOKUP(C10,Rangliste!$B$10:$T$918,3,FALSE))=TRUE,"",VLOOKUP(C10,Rangliste!$B$10:$T$918,3,FALSE))</f>
        <v>#N/A</v>
      </c>
      <c r="C10" s="21" t="s">
        <v>417</v>
      </c>
      <c r="D10" s="21" t="e">
        <f>IF(ISBLANK(VLOOKUP(C10,Rangliste!$B$10:$T$918,2,FALSE))=TRUE,"",VLOOKUP(C10,Rangliste!$B$10:$T$918,2,FALSE))</f>
        <v>#N/A</v>
      </c>
      <c r="E10" s="22" t="e">
        <f>IF(ISBLANK(VLOOKUP(C10,Rangliste!$B$10:$T$918,4,FALSE))=TRUE,"",VLOOKUP(C10,Rangliste!$B$10:$T$918,4,FALSE))</f>
        <v>#N/A</v>
      </c>
      <c r="F10" s="15" t="e">
        <f t="shared" si="0"/>
        <v>#REF!</v>
      </c>
      <c r="G10" s="15" t="e">
        <f t="shared" si="1"/>
        <v>#REF!</v>
      </c>
      <c r="H10" s="15" t="e">
        <f t="shared" si="2"/>
        <v>#REF!</v>
      </c>
      <c r="I10" s="15">
        <v>0</v>
      </c>
      <c r="J10" s="15" t="e">
        <f t="shared" si="3"/>
        <v>#REF!</v>
      </c>
      <c r="K10" s="42" t="e">
        <f t="shared" si="4"/>
        <v>#REF!</v>
      </c>
      <c r="L10" s="43" t="e">
        <f t="shared" si="5"/>
        <v>#REF!</v>
      </c>
    </row>
    <row r="11" spans="1:12" ht="12.75" customHeight="1" x14ac:dyDescent="0.3">
      <c r="A11" s="15" t="s">
        <v>371</v>
      </c>
      <c r="B11" s="15" t="e">
        <f>IF(ISBLANK(VLOOKUP(C11,Rangliste!$B$10:$T$918,3,FALSE))=TRUE,"",VLOOKUP(C11,Rangliste!$B$10:$T$918,3,FALSE))</f>
        <v>#N/A</v>
      </c>
      <c r="C11" s="16" t="s">
        <v>418</v>
      </c>
      <c r="D11" s="21" t="e">
        <f>IF(ISBLANK(VLOOKUP(C11,Rangliste!$B$10:$T$918,2,FALSE))=TRUE,"",VLOOKUP(C11,Rangliste!$B$10:$T$918,2,FALSE))</f>
        <v>#N/A</v>
      </c>
      <c r="E11" s="22" t="e">
        <f>IF(ISBLANK(VLOOKUP(C11,Rangliste!$B$10:$T$918,4,FALSE))=TRUE,"",VLOOKUP(C11,Rangliste!$B$10:$T$918,4,FALSE))</f>
        <v>#N/A</v>
      </c>
      <c r="F11" s="15" t="e">
        <f t="shared" si="0"/>
        <v>#REF!</v>
      </c>
      <c r="G11" s="15" t="e">
        <f t="shared" si="1"/>
        <v>#REF!</v>
      </c>
      <c r="H11" s="51" t="e">
        <f t="shared" si="2"/>
        <v>#REF!</v>
      </c>
      <c r="I11" s="15">
        <v>0</v>
      </c>
      <c r="J11" s="15" t="e">
        <f t="shared" si="3"/>
        <v>#REF!</v>
      </c>
      <c r="K11" s="42" t="e">
        <f t="shared" si="4"/>
        <v>#REF!</v>
      </c>
      <c r="L11" s="43" t="e">
        <f t="shared" si="5"/>
        <v>#REF!</v>
      </c>
    </row>
    <row r="12" spans="1:12" ht="12.75" customHeight="1" x14ac:dyDescent="0.3">
      <c r="A12" s="15" t="s">
        <v>373</v>
      </c>
      <c r="B12" s="15" t="e">
        <f>IF(ISBLANK(VLOOKUP(C12,Rangliste!$B$10:$T$918,3,FALSE))=TRUE,"",VLOOKUP(C12,Rangliste!$B$10:$T$918,3,FALSE))</f>
        <v>#N/A</v>
      </c>
      <c r="C12" s="21" t="s">
        <v>419</v>
      </c>
      <c r="D12" s="21" t="e">
        <f>IF(ISBLANK(VLOOKUP(C12,Rangliste!$B$10:$T$918,2,FALSE))=TRUE,"",VLOOKUP(C12,Rangliste!$B$10:$T$918,2,FALSE))</f>
        <v>#N/A</v>
      </c>
      <c r="E12" s="22" t="e">
        <f>IF(ISBLANK(VLOOKUP(C12,Rangliste!$B$10:$T$918,4,FALSE))=TRUE,"",VLOOKUP(C12,Rangliste!$B$10:$T$918,4,FALSE))</f>
        <v>#N/A</v>
      </c>
      <c r="F12" s="15" t="e">
        <f t="shared" si="0"/>
        <v>#REF!</v>
      </c>
      <c r="G12" s="15" t="e">
        <f t="shared" si="1"/>
        <v>#REF!</v>
      </c>
      <c r="H12" s="51" t="e">
        <f t="shared" si="2"/>
        <v>#REF!</v>
      </c>
      <c r="I12" s="15">
        <v>0</v>
      </c>
      <c r="J12" s="15" t="e">
        <f t="shared" si="3"/>
        <v>#REF!</v>
      </c>
      <c r="K12" s="42" t="e">
        <f t="shared" si="4"/>
        <v>#REF!</v>
      </c>
      <c r="L12" s="43" t="e">
        <f t="shared" si="5"/>
        <v>#REF!</v>
      </c>
    </row>
    <row r="13" spans="1:12" ht="12.75" customHeight="1" x14ac:dyDescent="0.3">
      <c r="A13" s="15" t="s">
        <v>375</v>
      </c>
      <c r="B13" s="15" t="e">
        <f>IF(ISBLANK(VLOOKUP(C13,Rangliste!$B$10:$T$918,3,FALSE))=TRUE,"",VLOOKUP(C13,Rangliste!$B$10:$T$918,3,FALSE))</f>
        <v>#N/A</v>
      </c>
      <c r="C13" s="16" t="s">
        <v>420</v>
      </c>
      <c r="D13" s="21" t="e">
        <f>IF(ISBLANK(VLOOKUP(C13,Rangliste!$B$10:$T$918,2,FALSE))=TRUE,"",VLOOKUP(C13,Rangliste!$B$10:$T$918,2,FALSE))</f>
        <v>#N/A</v>
      </c>
      <c r="E13" s="22" t="e">
        <f>IF(ISBLANK(VLOOKUP(C13,Rangliste!$B$10:$T$918,4,FALSE))=TRUE,"",VLOOKUP(C13,Rangliste!$B$10:$T$918,4,FALSE))</f>
        <v>#N/A</v>
      </c>
      <c r="F13" s="15" t="e">
        <f t="shared" si="0"/>
        <v>#REF!</v>
      </c>
      <c r="G13" s="15" t="e">
        <f t="shared" si="1"/>
        <v>#REF!</v>
      </c>
      <c r="H13" s="15" t="e">
        <f t="shared" si="2"/>
        <v>#REF!</v>
      </c>
      <c r="I13" s="15">
        <v>0</v>
      </c>
      <c r="J13" s="15" t="e">
        <f t="shared" si="3"/>
        <v>#REF!</v>
      </c>
      <c r="K13" s="42" t="e">
        <f t="shared" si="4"/>
        <v>#REF!</v>
      </c>
      <c r="L13" s="43" t="e">
        <f t="shared" si="5"/>
        <v>#REF!</v>
      </c>
    </row>
    <row r="14" spans="1:12" ht="12.75" customHeight="1" x14ac:dyDescent="0.3">
      <c r="A14" s="15" t="s">
        <v>377</v>
      </c>
      <c r="B14" s="15" t="e">
        <f>IF(ISBLANK(VLOOKUP(C14,Rangliste!$B$10:$T$918,3,FALSE))=TRUE,"",VLOOKUP(C14,Rangliste!$B$10:$T$918,3,FALSE))</f>
        <v>#N/A</v>
      </c>
      <c r="C14" s="21" t="s">
        <v>421</v>
      </c>
      <c r="D14" s="21" t="e">
        <f>IF(ISBLANK(VLOOKUP(C14,Rangliste!$B$10:$T$918,2,FALSE))=TRUE,"",VLOOKUP(C14,Rangliste!$B$10:$T$918,2,FALSE))</f>
        <v>#N/A</v>
      </c>
      <c r="E14" s="22" t="e">
        <f>IF(ISBLANK(VLOOKUP(C14,Rangliste!$B$10:$T$918,4,FALSE))=TRUE,"",VLOOKUP(C14,Rangliste!$B$10:$T$918,4,FALSE))</f>
        <v>#N/A</v>
      </c>
      <c r="F14" s="15" t="e">
        <f t="shared" si="0"/>
        <v>#REF!</v>
      </c>
      <c r="G14" s="15" t="e">
        <f t="shared" si="1"/>
        <v>#REF!</v>
      </c>
      <c r="H14" s="15" t="e">
        <f t="shared" si="2"/>
        <v>#REF!</v>
      </c>
      <c r="I14" s="15">
        <v>0</v>
      </c>
      <c r="J14" s="15" t="e">
        <f t="shared" si="3"/>
        <v>#REF!</v>
      </c>
      <c r="K14" s="42" t="e">
        <f t="shared" si="4"/>
        <v>#REF!</v>
      </c>
      <c r="L14" s="43" t="e">
        <f t="shared" si="5"/>
        <v>#REF!</v>
      </c>
    </row>
    <row r="15" spans="1:12" ht="12.75" customHeight="1" x14ac:dyDescent="0.3">
      <c r="A15" s="15" t="s">
        <v>379</v>
      </c>
      <c r="B15" s="15" t="e">
        <f>IF(ISBLANK(VLOOKUP(C15,Rangliste!$B$10:$T$918,3,FALSE))=TRUE,"",VLOOKUP(C15,Rangliste!$B$10:$T$918,3,FALSE))</f>
        <v>#N/A</v>
      </c>
      <c r="C15" s="35" t="s">
        <v>422</v>
      </c>
      <c r="D15" s="21" t="e">
        <f>IF(ISBLANK(VLOOKUP(C15,Rangliste!$B$10:$T$918,2,FALSE))=TRUE,"",VLOOKUP(C15,Rangliste!$B$10:$T$918,2,FALSE))</f>
        <v>#N/A</v>
      </c>
      <c r="E15" s="22" t="e">
        <f>IF(ISBLANK(VLOOKUP(C15,Rangliste!$B$10:$T$918,4,FALSE))=TRUE,"",VLOOKUP(C15,Rangliste!$B$10:$T$918,4,FALSE))</f>
        <v>#N/A</v>
      </c>
      <c r="F15" s="15" t="e">
        <f t="shared" si="0"/>
        <v>#REF!</v>
      </c>
      <c r="G15" s="15" t="e">
        <f t="shared" si="1"/>
        <v>#REF!</v>
      </c>
      <c r="H15" s="15" t="e">
        <f t="shared" si="2"/>
        <v>#REF!</v>
      </c>
      <c r="I15" s="15">
        <v>0</v>
      </c>
      <c r="J15" s="15" t="e">
        <f t="shared" si="3"/>
        <v>#REF!</v>
      </c>
      <c r="K15" s="42" t="e">
        <f t="shared" si="4"/>
        <v>#REF!</v>
      </c>
      <c r="L15" s="43" t="e">
        <f t="shared" si="5"/>
        <v>#REF!</v>
      </c>
    </row>
    <row r="16" spans="1:12" ht="12.75" customHeight="1" x14ac:dyDescent="0.3">
      <c r="A16" s="15" t="s">
        <v>381</v>
      </c>
      <c r="B16" s="15" t="e">
        <f>IF(ISBLANK(VLOOKUP(C16,Rangliste!$B$10:$T$918,3,FALSE))=TRUE,"",VLOOKUP(C16,Rangliste!$B$10:$T$918,3,FALSE))</f>
        <v>#N/A</v>
      </c>
      <c r="C16" s="35" t="s">
        <v>423</v>
      </c>
      <c r="D16" s="21" t="e">
        <f>IF(ISBLANK(VLOOKUP(C16,Rangliste!$B$10:$T$918,2,FALSE))=TRUE,"",VLOOKUP(C16,Rangliste!$B$10:$T$918,2,FALSE))</f>
        <v>#N/A</v>
      </c>
      <c r="E16" s="22" t="e">
        <f>IF(ISBLANK(VLOOKUP(C16,Rangliste!$B$10:$T$918,4,FALSE))=TRUE,"",VLOOKUP(C16,Rangliste!$B$10:$T$918,4,FALSE))</f>
        <v>#N/A</v>
      </c>
      <c r="F16" s="15" t="e">
        <f t="shared" si="0"/>
        <v>#REF!</v>
      </c>
      <c r="G16" s="15" t="e">
        <f t="shared" si="1"/>
        <v>#REF!</v>
      </c>
      <c r="H16" s="15" t="e">
        <f t="shared" si="2"/>
        <v>#REF!</v>
      </c>
      <c r="I16" s="15">
        <v>0</v>
      </c>
      <c r="J16" s="15" t="e">
        <f t="shared" si="3"/>
        <v>#REF!</v>
      </c>
      <c r="K16" s="42" t="e">
        <f t="shared" si="4"/>
        <v>#REF!</v>
      </c>
      <c r="L16" s="43" t="e">
        <f t="shared" si="5"/>
        <v>#REF!</v>
      </c>
    </row>
    <row r="17" spans="1:12" ht="12.75" customHeight="1" x14ac:dyDescent="0.3">
      <c r="A17" s="15" t="s">
        <v>383</v>
      </c>
      <c r="B17" s="15" t="e">
        <f>IF(ISBLANK(VLOOKUP(C17,Rangliste!$B$10:$T$918,3,FALSE))=TRUE,"",VLOOKUP(C17,Rangliste!$B$10:$T$918,3,FALSE))</f>
        <v>#N/A</v>
      </c>
      <c r="C17" s="54" t="s">
        <v>424</v>
      </c>
      <c r="D17" s="21" t="e">
        <f>IF(ISBLANK(VLOOKUP(C17,Rangliste!$B$10:$T$918,2,FALSE))=TRUE,"",VLOOKUP(C17,Rangliste!$B$10:$T$918,2,FALSE))</f>
        <v>#N/A</v>
      </c>
      <c r="E17" s="22" t="e">
        <f>IF(ISBLANK(VLOOKUP(C17,Rangliste!$B$10:$T$918,4,FALSE))=TRUE,"",VLOOKUP(C17,Rangliste!$B$10:$T$918,4,FALSE))</f>
        <v>#N/A</v>
      </c>
      <c r="F17" s="15" t="e">
        <f t="shared" si="0"/>
        <v>#REF!</v>
      </c>
      <c r="G17" s="15" t="e">
        <f t="shared" si="1"/>
        <v>#REF!</v>
      </c>
      <c r="H17" s="15" t="e">
        <f t="shared" si="2"/>
        <v>#REF!</v>
      </c>
      <c r="I17" s="15">
        <v>0</v>
      </c>
      <c r="J17" s="15" t="e">
        <f t="shared" si="3"/>
        <v>#REF!</v>
      </c>
      <c r="K17" s="42" t="e">
        <f t="shared" si="4"/>
        <v>#REF!</v>
      </c>
      <c r="L17" s="43" t="e">
        <f t="shared" si="5"/>
        <v>#REF!</v>
      </c>
    </row>
    <row r="18" spans="1:12" ht="12.75" customHeight="1" x14ac:dyDescent="0.3">
      <c r="A18" s="15" t="s">
        <v>385</v>
      </c>
      <c r="B18" s="15" t="e">
        <f>IF(ISBLANK(VLOOKUP(C18,Rangliste!$B$10:$T$918,3,FALSE))=TRUE,"",VLOOKUP(C18,Rangliste!$B$10:$T$918,3,FALSE))</f>
        <v>#N/A</v>
      </c>
      <c r="C18" s="35" t="s">
        <v>425</v>
      </c>
      <c r="D18" s="21" t="e">
        <f>IF(ISBLANK(VLOOKUP(C18,Rangliste!$B$10:$T$918,2,FALSE))=TRUE,"",VLOOKUP(C18,Rangliste!$B$10:$T$918,2,FALSE))</f>
        <v>#N/A</v>
      </c>
      <c r="E18" s="22" t="e">
        <f>IF(ISBLANK(VLOOKUP(C18,Rangliste!$B$10:$T$918,4,FALSE))=TRUE,"",VLOOKUP(C18,Rangliste!$B$10:$T$918,4,FALSE))</f>
        <v>#N/A</v>
      </c>
      <c r="F18" s="15" t="e">
        <f t="shared" si="0"/>
        <v>#REF!</v>
      </c>
      <c r="G18" s="15" t="e">
        <f t="shared" si="1"/>
        <v>#REF!</v>
      </c>
      <c r="H18" s="51" t="e">
        <f t="shared" si="2"/>
        <v>#REF!</v>
      </c>
      <c r="I18" s="15">
        <v>0</v>
      </c>
      <c r="J18" s="15" t="e">
        <f t="shared" si="3"/>
        <v>#REF!</v>
      </c>
      <c r="K18" s="42" t="e">
        <f t="shared" si="4"/>
        <v>#REF!</v>
      </c>
      <c r="L18" s="43" t="e">
        <f t="shared" si="5"/>
        <v>#REF!</v>
      </c>
    </row>
    <row r="19" spans="1:12" ht="12.75" customHeight="1" x14ac:dyDescent="0.3">
      <c r="A19" s="44" t="s">
        <v>426</v>
      </c>
      <c r="B19" s="44" t="e">
        <f>IF(ISBLANK(VLOOKUP(C19,Rangliste!$B$10:$T$918,3,FALSE))=TRUE,"",VLOOKUP(C19,Rangliste!$B$10:$T$918,3,FALSE))</f>
        <v>#REF!</v>
      </c>
      <c r="C19" s="46" t="e">
        <f>IF(AND(ISBLANK(#REF!),ISBLANK(#REF!),ISBLANK(#REF!))=TRUE,"",IF(AND(#REF!&gt;#REF!,#REF!&gt;#REF!),#REF!,IF(AND(#REF!&gt;#REF!,#REF!&gt;#REF!),#REF!,IF(AND(#REF!&gt;#REF!,#REF!&gt;#REF!),#REF!,FALSE))))</f>
        <v>#REF!</v>
      </c>
      <c r="D19" s="46" t="e">
        <f>IF(ISBLANK(VLOOKUP(C19,Rangliste!$B$10:$T$918,2,FALSE))=TRUE,"",VLOOKUP(C19,Rangliste!$B$10:$T$918,2,FALSE))</f>
        <v>#REF!</v>
      </c>
      <c r="E19" s="44" t="e">
        <f>IF(ISBLANK(VLOOKUP(C19,Rangliste!$B$10:$T$918,4,FALSE))=TRUE,"",VLOOKUP(C19,Rangliste!$B$10:$T$918,4,FALSE))</f>
        <v>#REF!</v>
      </c>
      <c r="F19" s="44" t="e">
        <f t="shared" si="0"/>
        <v>#REF!</v>
      </c>
      <c r="G19" s="44" t="e">
        <f t="shared" si="1"/>
        <v>#REF!</v>
      </c>
      <c r="H19" s="44" t="e">
        <f t="shared" si="2"/>
        <v>#REF!</v>
      </c>
      <c r="I19" s="44" t="s">
        <v>388</v>
      </c>
      <c r="J19" s="44" t="e">
        <f t="shared" si="3"/>
        <v>#REF!</v>
      </c>
      <c r="K19" s="44" t="e">
        <f t="shared" ref="K19:K27" si="6">IF(COUNTIF(F19:H19,0)=3,I19,IF(COUNTIF(F19:H19,0)=2,IF(OR(M19="A",M19="B"),SUM(F19:H19)*1.65,SUM(F19:H19)-J19),SUM(F19:H19)-J19))</f>
        <v>#REF!</v>
      </c>
      <c r="L19" s="43" t="e">
        <f t="shared" si="5"/>
        <v>#REF!</v>
      </c>
    </row>
    <row r="20" spans="1:12" ht="12.75" customHeight="1" x14ac:dyDescent="0.3">
      <c r="A20" s="15" t="s">
        <v>389</v>
      </c>
      <c r="B20" s="15" t="e">
        <f>IF(ISBLANK(VLOOKUP(C20,Rangliste!$B$10:$T$918,3,FALSE))=TRUE,"",VLOOKUP(C20,Rangliste!$B$10:$T$918,3,FALSE))</f>
        <v>#N/A</v>
      </c>
      <c r="C20" s="16" t="str">
        <f>'D Rangliste'!C4</f>
        <v>Luca Koch</v>
      </c>
      <c r="D20" s="21" t="e">
        <f>IF(ISBLANK(VLOOKUP(C20,Rangliste!$B$10:$T$918,2,FALSE))=TRUE,"",VLOOKUP(C20,Rangliste!$B$10:$T$918,2,FALSE))</f>
        <v>#N/A</v>
      </c>
      <c r="E20" s="22" t="e">
        <f>IF(ISBLANK(VLOOKUP(C20,Rangliste!$B$10:$T$918,4,FALSE))=TRUE,"",VLOOKUP(C20,Rangliste!$B$10:$T$918,4,FALSE))</f>
        <v>#N/A</v>
      </c>
      <c r="F20" s="15" t="e">
        <f t="shared" si="0"/>
        <v>#REF!</v>
      </c>
      <c r="G20" s="15" t="e">
        <f t="shared" si="1"/>
        <v>#REF!</v>
      </c>
      <c r="H20" s="15" t="e">
        <f t="shared" si="2"/>
        <v>#REF!</v>
      </c>
      <c r="I20" s="15">
        <v>0</v>
      </c>
      <c r="J20" s="15" t="e">
        <f t="shared" si="3"/>
        <v>#REF!</v>
      </c>
      <c r="K20" s="42" t="e">
        <f t="shared" si="6"/>
        <v>#REF!</v>
      </c>
      <c r="L20" s="43" t="e">
        <f t="shared" si="5"/>
        <v>#REF!</v>
      </c>
    </row>
    <row r="21" spans="1:12" ht="12.75" customHeight="1" x14ac:dyDescent="0.3">
      <c r="A21" s="15" t="s">
        <v>389</v>
      </c>
      <c r="B21" s="15" t="e">
        <f>IF(ISBLANK(VLOOKUP(C21,Rangliste!$B$10:$T$918,3,FALSE))=TRUE,"",VLOOKUP(C21,Rangliste!$B$10:$T$918,3,FALSE))</f>
        <v>#N/A</v>
      </c>
      <c r="C21" s="16" t="str">
        <f>'D Rangliste'!C5</f>
        <v>Simon Salinger</v>
      </c>
      <c r="D21" s="21" t="e">
        <f>IF(ISBLANK(VLOOKUP(C21,Rangliste!$B$10:$T$918,2,FALSE))=TRUE,"",VLOOKUP(C21,Rangliste!$B$10:$T$918,2,FALSE))</f>
        <v>#N/A</v>
      </c>
      <c r="E21" s="22" t="e">
        <f>IF(ISBLANK(VLOOKUP(C21,Rangliste!$B$10:$T$918,4,FALSE))=TRUE,"",VLOOKUP(C21,Rangliste!$B$10:$T$918,4,FALSE))</f>
        <v>#N/A</v>
      </c>
      <c r="F21" s="15" t="e">
        <f t="shared" si="0"/>
        <v>#REF!</v>
      </c>
      <c r="G21" s="15" t="e">
        <f t="shared" si="1"/>
        <v>#REF!</v>
      </c>
      <c r="H21" s="15" t="e">
        <f t="shared" si="2"/>
        <v>#REF!</v>
      </c>
      <c r="I21" s="15">
        <v>0</v>
      </c>
      <c r="J21" s="15" t="e">
        <f t="shared" si="3"/>
        <v>#REF!</v>
      </c>
      <c r="K21" s="42" t="e">
        <f t="shared" si="6"/>
        <v>#REF!</v>
      </c>
      <c r="L21" s="43" t="e">
        <f t="shared" si="5"/>
        <v>#REF!</v>
      </c>
    </row>
    <row r="22" spans="1:12" ht="12.75" customHeight="1" x14ac:dyDescent="0.3">
      <c r="A22" s="15" t="s">
        <v>389</v>
      </c>
      <c r="B22" s="15" t="e">
        <f>IF(ISBLANK(VLOOKUP(C22,Rangliste!$B$10:$T$918,3,FALSE))=TRUE,"",VLOOKUP(C22,Rangliste!$B$10:$T$918,3,FALSE))</f>
        <v>#N/A</v>
      </c>
      <c r="C22" s="16" t="str">
        <f>'D Rangliste'!C6</f>
        <v>Matthias Steinbichler</v>
      </c>
      <c r="D22" s="21" t="e">
        <f>IF(ISBLANK(VLOOKUP(C22,Rangliste!$B$10:$T$918,2,FALSE))=TRUE,"",VLOOKUP(C22,Rangliste!$B$10:$T$918,2,FALSE))</f>
        <v>#N/A</v>
      </c>
      <c r="E22" s="22" t="e">
        <f>IF(ISBLANK(VLOOKUP(C22,Rangliste!$B$10:$T$918,4,FALSE))=TRUE,"",VLOOKUP(C22,Rangliste!$B$10:$T$918,4,FALSE))</f>
        <v>#N/A</v>
      </c>
      <c r="F22" s="15" t="e">
        <f t="shared" si="0"/>
        <v>#REF!</v>
      </c>
      <c r="G22" s="15" t="e">
        <f t="shared" si="1"/>
        <v>#REF!</v>
      </c>
      <c r="H22" s="15" t="e">
        <f t="shared" si="2"/>
        <v>#REF!</v>
      </c>
      <c r="I22" s="15">
        <v>0</v>
      </c>
      <c r="J22" s="15" t="e">
        <f t="shared" si="3"/>
        <v>#REF!</v>
      </c>
      <c r="K22" s="42" t="e">
        <f t="shared" si="6"/>
        <v>#REF!</v>
      </c>
      <c r="L22" s="43" t="e">
        <f t="shared" si="5"/>
        <v>#REF!</v>
      </c>
    </row>
    <row r="23" spans="1:12" ht="12.75" customHeight="1" x14ac:dyDescent="0.3">
      <c r="A23" s="15" t="s">
        <v>389</v>
      </c>
      <c r="B23" s="15" t="e">
        <f>IF(ISBLANK(VLOOKUP(C23,Rangliste!$B$10:$T$918,3,FALSE))=TRUE,"",VLOOKUP(C23,Rangliste!$B$10:$T$918,3,FALSE))</f>
        <v>#N/A</v>
      </c>
      <c r="C23" s="16" t="str">
        <f>'D Rangliste'!C7</f>
        <v>Alexander Ertl</v>
      </c>
      <c r="D23" s="21" t="e">
        <f>IF(ISBLANK(VLOOKUP(C23,Rangliste!$B$10:$T$918,2,FALSE))=TRUE,"",VLOOKUP(C23,Rangliste!$B$10:$T$918,2,FALSE))</f>
        <v>#N/A</v>
      </c>
      <c r="E23" s="22" t="e">
        <f>IF(ISBLANK(VLOOKUP(C23,Rangliste!$B$10:$T$918,4,FALSE))=TRUE,"",VLOOKUP(C23,Rangliste!$B$10:$T$918,4,FALSE))</f>
        <v>#N/A</v>
      </c>
      <c r="F23" s="15" t="e">
        <f t="shared" si="0"/>
        <v>#REF!</v>
      </c>
      <c r="G23" s="15" t="e">
        <f t="shared" si="1"/>
        <v>#REF!</v>
      </c>
      <c r="H23" s="15" t="e">
        <f t="shared" si="2"/>
        <v>#REF!</v>
      </c>
      <c r="I23" s="15">
        <v>0</v>
      </c>
      <c r="J23" s="15" t="e">
        <f t="shared" si="3"/>
        <v>#REF!</v>
      </c>
      <c r="K23" s="42" t="e">
        <f t="shared" si="6"/>
        <v>#REF!</v>
      </c>
      <c r="L23" s="43" t="e">
        <f t="shared" si="5"/>
        <v>#REF!</v>
      </c>
    </row>
    <row r="24" spans="1:12" ht="12.75" customHeight="1" x14ac:dyDescent="0.3">
      <c r="A24" s="15" t="s">
        <v>389</v>
      </c>
      <c r="B24" s="15" t="e">
        <f>IF(ISBLANK(VLOOKUP(C24,Rangliste!$B$10:$T$918,3,FALSE))=TRUE,"",VLOOKUP(C24,Rangliste!$B$10:$T$918,3,FALSE))</f>
        <v>#N/A</v>
      </c>
      <c r="C24" s="16" t="str">
        <f>'D Rangliste'!C8</f>
        <v>Thomas Linninger</v>
      </c>
      <c r="D24" s="21" t="e">
        <f>IF(ISBLANK(VLOOKUP(C24,Rangliste!$B$10:$T$918,2,FALSE))=TRUE,"",VLOOKUP(C24,Rangliste!$B$10:$T$918,2,FALSE))</f>
        <v>#N/A</v>
      </c>
      <c r="E24" s="22" t="e">
        <f>IF(ISBLANK(VLOOKUP(C24,Rangliste!$B$10:$T$918,4,FALSE))=TRUE,"",VLOOKUP(C24,Rangliste!$B$10:$T$918,4,FALSE))</f>
        <v>#N/A</v>
      </c>
      <c r="F24" s="15" t="e">
        <f t="shared" si="0"/>
        <v>#REF!</v>
      </c>
      <c r="G24" s="15" t="e">
        <f t="shared" si="1"/>
        <v>#REF!</v>
      </c>
      <c r="H24" s="15" t="e">
        <f t="shared" si="2"/>
        <v>#REF!</v>
      </c>
      <c r="I24" s="15">
        <v>0</v>
      </c>
      <c r="J24" s="15" t="e">
        <f t="shared" si="3"/>
        <v>#REF!</v>
      </c>
      <c r="K24" s="42" t="e">
        <f t="shared" si="6"/>
        <v>#REF!</v>
      </c>
      <c r="L24" s="43" t="e">
        <f t="shared" si="5"/>
        <v>#REF!</v>
      </c>
    </row>
    <row r="25" spans="1:12" ht="12.75" customHeight="1" x14ac:dyDescent="0.3">
      <c r="A25" s="15" t="s">
        <v>389</v>
      </c>
      <c r="B25" s="15" t="e">
        <f>IF(ISBLANK(VLOOKUP(C25,Rangliste!$B$10:$T$918,3,FALSE))=TRUE,"",VLOOKUP(C25,Rangliste!$B$10:$T$918,3,FALSE))</f>
        <v>#N/A</v>
      </c>
      <c r="C25" s="16" t="str">
        <f>'D Rangliste'!C9</f>
        <v>Florian Niedermayer</v>
      </c>
      <c r="D25" s="21" t="e">
        <f>IF(ISBLANK(VLOOKUP(C25,Rangliste!$B$10:$T$918,2,FALSE))=TRUE,"",VLOOKUP(C25,Rangliste!$B$10:$T$918,2,FALSE))</f>
        <v>#N/A</v>
      </c>
      <c r="E25" s="22" t="e">
        <f>IF(ISBLANK(VLOOKUP(C25,Rangliste!$B$10:$T$918,4,FALSE))=TRUE,"",VLOOKUP(C25,Rangliste!$B$10:$T$918,4,FALSE))</f>
        <v>#N/A</v>
      </c>
      <c r="F25" s="15" t="e">
        <f t="shared" si="0"/>
        <v>#REF!</v>
      </c>
      <c r="G25" s="15" t="e">
        <f t="shared" si="1"/>
        <v>#REF!</v>
      </c>
      <c r="H25" s="15" t="e">
        <f t="shared" si="2"/>
        <v>#REF!</v>
      </c>
      <c r="I25" s="15">
        <v>0</v>
      </c>
      <c r="J25" s="15" t="e">
        <f t="shared" si="3"/>
        <v>#REF!</v>
      </c>
      <c r="K25" s="42" t="e">
        <f t="shared" si="6"/>
        <v>#REF!</v>
      </c>
      <c r="L25" s="43" t="e">
        <f t="shared" si="5"/>
        <v>#REF!</v>
      </c>
    </row>
    <row r="26" spans="1:12" ht="12.75" customHeight="1" x14ac:dyDescent="0.3">
      <c r="A26" s="15" t="s">
        <v>389</v>
      </c>
      <c r="B26" s="15" t="e">
        <f>IF(ISBLANK(VLOOKUP(C26,Rangliste!$B$10:$T$918,3,FALSE))=TRUE,"",VLOOKUP(C26,Rangliste!$B$10:$T$918,3,FALSE))</f>
        <v>#N/A</v>
      </c>
      <c r="C26" s="16" t="str">
        <f>'D Rangliste'!C10</f>
        <v>Alexander Taferl</v>
      </c>
      <c r="D26" s="21" t="e">
        <f>IF(ISBLANK(VLOOKUP(C26,Rangliste!$B$10:$T$918,2,FALSE))=TRUE,"",VLOOKUP(C26,Rangliste!$B$10:$T$918,2,FALSE))</f>
        <v>#N/A</v>
      </c>
      <c r="E26" s="22" t="e">
        <f>IF(ISBLANK(VLOOKUP(C26,Rangliste!$B$10:$T$918,4,FALSE))=TRUE,"",VLOOKUP(C26,Rangliste!$B$10:$T$918,4,FALSE))</f>
        <v>#N/A</v>
      </c>
      <c r="F26" s="15" t="e">
        <f t="shared" si="0"/>
        <v>#REF!</v>
      </c>
      <c r="G26" s="15" t="e">
        <f t="shared" si="1"/>
        <v>#REF!</v>
      </c>
      <c r="H26" s="15" t="e">
        <f t="shared" si="2"/>
        <v>#REF!</v>
      </c>
      <c r="I26" s="15">
        <v>0</v>
      </c>
      <c r="J26" s="15" t="e">
        <f t="shared" si="3"/>
        <v>#REF!</v>
      </c>
      <c r="K26" s="42" t="e">
        <f t="shared" si="6"/>
        <v>#REF!</v>
      </c>
      <c r="L26" s="43" t="e">
        <f t="shared" si="5"/>
        <v>#REF!</v>
      </c>
    </row>
    <row r="27" spans="1:12" ht="12.75" customHeight="1" x14ac:dyDescent="0.3">
      <c r="A27" s="15" t="s">
        <v>389</v>
      </c>
      <c r="B27" s="15" t="e">
        <f>IF(ISBLANK(VLOOKUP(C27,Rangliste!$B$10:$T$918,3,FALSE))=TRUE,"",VLOOKUP(C27,Rangliste!$B$10:$T$918,3,FALSE))</f>
        <v>#N/A</v>
      </c>
      <c r="C27" s="16" t="str">
        <f>'D Rangliste'!C11</f>
        <v>Noel Hofer</v>
      </c>
      <c r="D27" s="21" t="e">
        <f>IF(ISBLANK(VLOOKUP(C27,Rangliste!$B$10:$T$918,2,FALSE))=TRUE,"",VLOOKUP(C27,Rangliste!$B$10:$T$918,2,FALSE))</f>
        <v>#N/A</v>
      </c>
      <c r="E27" s="22" t="e">
        <f>IF(ISBLANK(VLOOKUP(C27,Rangliste!$B$10:$T$918,4,FALSE))=TRUE,"",VLOOKUP(C27,Rangliste!$B$10:$T$918,4,FALSE))</f>
        <v>#N/A</v>
      </c>
      <c r="F27" s="15" t="e">
        <f t="shared" si="0"/>
        <v>#REF!</v>
      </c>
      <c r="G27" s="15" t="e">
        <f t="shared" si="1"/>
        <v>#REF!</v>
      </c>
      <c r="H27" s="15" t="e">
        <f t="shared" si="2"/>
        <v>#REF!</v>
      </c>
      <c r="I27" s="15">
        <v>0</v>
      </c>
      <c r="J27" s="15" t="e">
        <f t="shared" si="3"/>
        <v>#REF!</v>
      </c>
      <c r="K27" s="42" t="e">
        <f t="shared" si="6"/>
        <v>#REF!</v>
      </c>
      <c r="L27" s="43" t="e">
        <f t="shared" si="5"/>
        <v>#REF!</v>
      </c>
    </row>
    <row r="28" spans="1:12" ht="12.75" customHeight="1" x14ac:dyDescent="0.3">
      <c r="A28" s="15"/>
      <c r="B28" s="15"/>
      <c r="D28" s="16"/>
      <c r="E28" s="41"/>
      <c r="F28" s="15"/>
      <c r="G28" s="15"/>
      <c r="H28" s="15"/>
      <c r="I28" s="15"/>
      <c r="J28" s="15"/>
      <c r="K28" s="42"/>
    </row>
    <row r="29" spans="1:12" ht="12.75" customHeight="1" x14ac:dyDescent="0.3">
      <c r="A29" s="15"/>
      <c r="B29" s="15"/>
      <c r="C29" s="54"/>
      <c r="D29" s="16"/>
      <c r="E29" s="41"/>
      <c r="F29" s="15"/>
      <c r="G29" s="15"/>
      <c r="H29" s="15"/>
      <c r="I29" s="15"/>
      <c r="J29" s="15"/>
      <c r="K29" s="42"/>
    </row>
    <row r="30" spans="1:12" ht="12.75" customHeight="1" x14ac:dyDescent="0.3">
      <c r="A30" s="15"/>
      <c r="B30" s="15"/>
      <c r="C30" s="55"/>
      <c r="D30" s="16"/>
      <c r="E30" s="41"/>
      <c r="F30" s="15"/>
      <c r="G30" s="15"/>
      <c r="H30" s="15"/>
      <c r="I30" s="15"/>
      <c r="J30" s="15"/>
      <c r="K30" s="42"/>
    </row>
    <row r="31" spans="1:12" ht="12.75" customHeight="1" x14ac:dyDescent="0.3">
      <c r="A31" s="15"/>
      <c r="B31" s="15"/>
      <c r="C31" s="48" t="str">
        <f>IF(COUNTA(A4:A27)=COUNT(B4:B27),"","Spieler muss beim nächsten Einzel-RLT ÖBV-Mitglied sein")</f>
        <v>Spieler muss beim nächsten Einzel-RLT ÖBV-Mitglied sein</v>
      </c>
      <c r="D31" s="16"/>
      <c r="E31" s="41"/>
      <c r="F31" s="15"/>
      <c r="G31" s="15"/>
      <c r="H31" s="15"/>
      <c r="I31" s="15"/>
      <c r="J31" s="15"/>
      <c r="K31" s="42"/>
    </row>
    <row r="32" spans="1:12" ht="12.75" customHeight="1" x14ac:dyDescent="0.3">
      <c r="A32" s="15"/>
      <c r="B32" s="15"/>
      <c r="C32" s="49" t="str">
        <f>IF(COUNTA(A4:A25)=COUNT(E4:E25),"","Jahrgang bekannt geben")</f>
        <v>Jahrgang bekannt geben</v>
      </c>
      <c r="D32" s="16"/>
      <c r="E32" s="41"/>
      <c r="F32" s="15"/>
      <c r="G32" s="15"/>
      <c r="H32" s="15"/>
      <c r="I32" s="15"/>
      <c r="J32" s="15"/>
      <c r="K32" s="42"/>
    </row>
    <row r="33" spans="1:11" ht="12.75" customHeight="1" x14ac:dyDescent="0.3">
      <c r="A33" s="15"/>
      <c r="B33" s="15"/>
      <c r="C33" s="54"/>
      <c r="D33" s="16"/>
      <c r="E33" s="41"/>
      <c r="F33" s="15"/>
      <c r="G33" s="15"/>
      <c r="H33" s="15"/>
      <c r="I33" s="15"/>
      <c r="J33" s="15"/>
      <c r="K33" s="42"/>
    </row>
    <row r="34" spans="1:11" ht="12.75" customHeight="1" x14ac:dyDescent="0.3">
      <c r="A34" s="15"/>
      <c r="B34" s="15"/>
      <c r="C34" s="54"/>
      <c r="D34" s="16"/>
      <c r="E34" s="41"/>
      <c r="F34" s="15"/>
      <c r="G34" s="15"/>
      <c r="H34" s="15"/>
      <c r="I34" s="15"/>
      <c r="J34" s="15"/>
      <c r="K34" s="42"/>
    </row>
    <row r="35" spans="1:11" ht="12.75" customHeight="1" x14ac:dyDescent="0.3">
      <c r="B35" s="18"/>
    </row>
    <row r="36" spans="1:11" ht="12.75" customHeight="1" x14ac:dyDescent="0.3">
      <c r="B36" s="18"/>
    </row>
    <row r="37" spans="1:11" ht="12.75" customHeight="1" x14ac:dyDescent="0.3">
      <c r="B37" s="18"/>
    </row>
    <row r="38" spans="1:11" ht="12.75" customHeight="1" x14ac:dyDescent="0.3">
      <c r="B38" s="18"/>
    </row>
    <row r="39" spans="1:11" ht="12.75" customHeight="1" x14ac:dyDescent="0.3">
      <c r="A39" s="21"/>
      <c r="B39" s="15"/>
      <c r="D39" s="21"/>
      <c r="E39" s="21"/>
      <c r="F39" s="21"/>
      <c r="G39" s="21"/>
      <c r="H39" s="21"/>
      <c r="I39" s="21"/>
      <c r="J39" s="21"/>
      <c r="K39" s="21"/>
    </row>
    <row r="40" spans="1:11" ht="12.75" customHeight="1" x14ac:dyDescent="0.4">
      <c r="A40" s="133" t="s">
        <v>390</v>
      </c>
      <c r="B40" s="124"/>
      <c r="C40" s="124"/>
      <c r="D40" s="124"/>
      <c r="E40" s="124"/>
      <c r="F40" s="124"/>
      <c r="G40" s="124"/>
      <c r="H40" s="124"/>
      <c r="I40" s="124"/>
      <c r="J40" s="124"/>
      <c r="K40" s="125"/>
    </row>
    <row r="41" spans="1:11" ht="11.25" customHeight="1" x14ac:dyDescent="0.3">
      <c r="A41" s="126" t="s">
        <v>427</v>
      </c>
      <c r="B41" s="127"/>
      <c r="C41" s="127"/>
      <c r="D41" s="127"/>
      <c r="E41" s="127"/>
      <c r="F41" s="127"/>
      <c r="G41" s="127"/>
      <c r="H41" s="127"/>
      <c r="I41" s="127"/>
      <c r="J41" s="127"/>
      <c r="K41" s="128"/>
    </row>
    <row r="42" spans="1:11" ht="12.75" customHeight="1" x14ac:dyDescent="0.3">
      <c r="A42" s="129"/>
      <c r="B42" s="127"/>
      <c r="C42" s="127"/>
      <c r="D42" s="127"/>
      <c r="E42" s="127"/>
      <c r="F42" s="127"/>
      <c r="G42" s="127"/>
      <c r="H42" s="127"/>
      <c r="I42" s="127"/>
      <c r="J42" s="127"/>
      <c r="K42" s="128"/>
    </row>
    <row r="43" spans="1:11" ht="12.75" customHeight="1" x14ac:dyDescent="0.3">
      <c r="A43" s="129"/>
      <c r="B43" s="127"/>
      <c r="C43" s="127"/>
      <c r="D43" s="127"/>
      <c r="E43" s="127"/>
      <c r="F43" s="127"/>
      <c r="G43" s="127"/>
      <c r="H43" s="127"/>
      <c r="I43" s="127"/>
      <c r="J43" s="127"/>
      <c r="K43" s="128"/>
    </row>
    <row r="44" spans="1:11" ht="12.75" customHeight="1" x14ac:dyDescent="0.3">
      <c r="A44" s="129"/>
      <c r="B44" s="127"/>
      <c r="C44" s="127"/>
      <c r="D44" s="127"/>
      <c r="E44" s="127"/>
      <c r="F44" s="127"/>
      <c r="G44" s="127"/>
      <c r="H44" s="127"/>
      <c r="I44" s="127"/>
      <c r="J44" s="127"/>
      <c r="K44" s="128"/>
    </row>
    <row r="45" spans="1:11" ht="12.75" customHeight="1" x14ac:dyDescent="0.3">
      <c r="A45" s="129"/>
      <c r="B45" s="127"/>
      <c r="C45" s="127"/>
      <c r="D45" s="127"/>
      <c r="E45" s="127"/>
      <c r="F45" s="127"/>
      <c r="G45" s="127"/>
      <c r="H45" s="127"/>
      <c r="I45" s="127"/>
      <c r="J45" s="127"/>
      <c r="K45" s="128"/>
    </row>
    <row r="46" spans="1:11" ht="12.75" customHeight="1" x14ac:dyDescent="0.3">
      <c r="A46" s="129"/>
      <c r="B46" s="127"/>
      <c r="C46" s="127"/>
      <c r="D46" s="127"/>
      <c r="E46" s="127"/>
      <c r="F46" s="127"/>
      <c r="G46" s="127"/>
      <c r="H46" s="127"/>
      <c r="I46" s="127"/>
      <c r="J46" s="127"/>
      <c r="K46" s="128"/>
    </row>
    <row r="47" spans="1:11" ht="12.75" customHeight="1" x14ac:dyDescent="0.3">
      <c r="A47" s="129"/>
      <c r="B47" s="127"/>
      <c r="C47" s="127"/>
      <c r="D47" s="127"/>
      <c r="E47" s="127"/>
      <c r="F47" s="127"/>
      <c r="G47" s="127"/>
      <c r="H47" s="127"/>
      <c r="I47" s="127"/>
      <c r="J47" s="127"/>
      <c r="K47" s="128"/>
    </row>
    <row r="48" spans="1:11" ht="12.75" customHeight="1" x14ac:dyDescent="0.3">
      <c r="A48" s="129"/>
      <c r="B48" s="127"/>
      <c r="C48" s="127"/>
      <c r="D48" s="127"/>
      <c r="E48" s="127"/>
      <c r="F48" s="127"/>
      <c r="G48" s="127"/>
      <c r="H48" s="127"/>
      <c r="I48" s="127"/>
      <c r="J48" s="127"/>
      <c r="K48" s="128"/>
    </row>
    <row r="49" spans="1:11" ht="12.75" customHeight="1" x14ac:dyDescent="0.3">
      <c r="A49" s="129"/>
      <c r="B49" s="127"/>
      <c r="C49" s="127"/>
      <c r="D49" s="127"/>
      <c r="E49" s="127"/>
      <c r="F49" s="127"/>
      <c r="G49" s="127"/>
      <c r="H49" s="127"/>
      <c r="I49" s="127"/>
      <c r="J49" s="127"/>
      <c r="K49" s="128"/>
    </row>
    <row r="50" spans="1:11" ht="12.75" customHeight="1" x14ac:dyDescent="0.3">
      <c r="A50" s="129"/>
      <c r="B50" s="127"/>
      <c r="C50" s="127"/>
      <c r="D50" s="127"/>
      <c r="E50" s="127"/>
      <c r="F50" s="127"/>
      <c r="G50" s="127"/>
      <c r="H50" s="127"/>
      <c r="I50" s="127"/>
      <c r="J50" s="127"/>
      <c r="K50" s="128"/>
    </row>
    <row r="51" spans="1:11" ht="12.75" customHeight="1" x14ac:dyDescent="0.3">
      <c r="A51" s="130"/>
      <c r="B51" s="131"/>
      <c r="C51" s="131"/>
      <c r="D51" s="131"/>
      <c r="E51" s="131"/>
      <c r="F51" s="131"/>
      <c r="G51" s="131"/>
      <c r="H51" s="131"/>
      <c r="I51" s="131"/>
      <c r="J51" s="131"/>
      <c r="K51" s="132"/>
    </row>
    <row r="52" spans="1:11" ht="12.75" customHeight="1" x14ac:dyDescent="0.3">
      <c r="B52" s="18"/>
    </row>
    <row r="53" spans="1:11" ht="12.75" customHeight="1" x14ac:dyDescent="0.3">
      <c r="B53" s="18"/>
    </row>
    <row r="54" spans="1:11" ht="12.75" customHeight="1" x14ac:dyDescent="0.3">
      <c r="B54" s="18"/>
    </row>
    <row r="55" spans="1:11" ht="12.75" customHeight="1" x14ac:dyDescent="0.3">
      <c r="B55" s="18"/>
    </row>
    <row r="56" spans="1:11" ht="12.75" customHeight="1" x14ac:dyDescent="0.3">
      <c r="B56" s="18"/>
    </row>
    <row r="57" spans="1:11" ht="12.75" customHeight="1" x14ac:dyDescent="0.3">
      <c r="B57" s="18"/>
    </row>
    <row r="58" spans="1:11" ht="12.75" customHeight="1" x14ac:dyDescent="0.3">
      <c r="B58" s="18"/>
    </row>
    <row r="59" spans="1:11" ht="12.75" customHeight="1" x14ac:dyDescent="0.3">
      <c r="B59" s="18"/>
    </row>
    <row r="60" spans="1:11" ht="12.75" customHeight="1" x14ac:dyDescent="0.3">
      <c r="B60" s="18"/>
    </row>
    <row r="61" spans="1:11" ht="12.75" customHeight="1" x14ac:dyDescent="0.3">
      <c r="B61" s="18"/>
    </row>
    <row r="62" spans="1:11" ht="12.75" customHeight="1" x14ac:dyDescent="0.3">
      <c r="B62" s="18"/>
    </row>
    <row r="63" spans="1:11" ht="12.75" customHeight="1" x14ac:dyDescent="0.3">
      <c r="B63" s="18"/>
    </row>
    <row r="64" spans="1:11" ht="12.75" customHeight="1" x14ac:dyDescent="0.3">
      <c r="B64" s="18"/>
    </row>
    <row r="65" spans="2:2" ht="12.75" customHeight="1" x14ac:dyDescent="0.3">
      <c r="B65" s="18"/>
    </row>
    <row r="66" spans="2:2" ht="12.75" customHeight="1" x14ac:dyDescent="0.3">
      <c r="B66" s="18"/>
    </row>
    <row r="67" spans="2:2" ht="12.75" customHeight="1" x14ac:dyDescent="0.3">
      <c r="B67" s="18"/>
    </row>
    <row r="68" spans="2:2" ht="12.75" customHeight="1" x14ac:dyDescent="0.3">
      <c r="B68" s="18"/>
    </row>
    <row r="69" spans="2:2" ht="12.75" customHeight="1" x14ac:dyDescent="0.3">
      <c r="B69" s="18"/>
    </row>
    <row r="70" spans="2:2" ht="12.75" customHeight="1" x14ac:dyDescent="0.3">
      <c r="B70" s="18"/>
    </row>
    <row r="71" spans="2:2" ht="12.75" customHeight="1" x14ac:dyDescent="0.3">
      <c r="B71" s="18"/>
    </row>
    <row r="72" spans="2:2" ht="12.75" customHeight="1" x14ac:dyDescent="0.3">
      <c r="B72" s="18"/>
    </row>
    <row r="73" spans="2:2" ht="12.75" customHeight="1" x14ac:dyDescent="0.3">
      <c r="B73" s="18"/>
    </row>
    <row r="74" spans="2:2" ht="12.75" customHeight="1" x14ac:dyDescent="0.3">
      <c r="B74" s="18"/>
    </row>
    <row r="75" spans="2:2" ht="12.75" customHeight="1" x14ac:dyDescent="0.3">
      <c r="B75" s="18"/>
    </row>
    <row r="76" spans="2:2" ht="12.75" customHeight="1" x14ac:dyDescent="0.3">
      <c r="B76" s="18"/>
    </row>
    <row r="77" spans="2:2" ht="12.75" customHeight="1" x14ac:dyDescent="0.3">
      <c r="B77" s="18"/>
    </row>
    <row r="78" spans="2:2" ht="12.75" customHeight="1" x14ac:dyDescent="0.3">
      <c r="B78" s="18"/>
    </row>
    <row r="79" spans="2:2" ht="12.75" customHeight="1" x14ac:dyDescent="0.3">
      <c r="B79" s="18"/>
    </row>
    <row r="80" spans="2:2" ht="12.75" customHeight="1" x14ac:dyDescent="0.3">
      <c r="B80" s="18"/>
    </row>
    <row r="81" spans="2:2" ht="12.75" customHeight="1" x14ac:dyDescent="0.3">
      <c r="B81" s="18"/>
    </row>
    <row r="82" spans="2:2" ht="12.75" customHeight="1" x14ac:dyDescent="0.3">
      <c r="B82" s="18"/>
    </row>
    <row r="83" spans="2:2" ht="12.75" customHeight="1" x14ac:dyDescent="0.3">
      <c r="B83" s="18"/>
    </row>
    <row r="84" spans="2:2" ht="12.75" customHeight="1" x14ac:dyDescent="0.3">
      <c r="B84" s="18"/>
    </row>
    <row r="85" spans="2:2" ht="12.75" customHeight="1" x14ac:dyDescent="0.3">
      <c r="B85" s="18"/>
    </row>
    <row r="86" spans="2:2" ht="12.75" customHeight="1" x14ac:dyDescent="0.3">
      <c r="B86" s="18"/>
    </row>
    <row r="87" spans="2:2" ht="12.75" customHeight="1" x14ac:dyDescent="0.3">
      <c r="B87" s="18"/>
    </row>
    <row r="88" spans="2:2" ht="12.75" customHeight="1" x14ac:dyDescent="0.3">
      <c r="B88" s="18"/>
    </row>
    <row r="89" spans="2:2" ht="12.75" customHeight="1" x14ac:dyDescent="0.3">
      <c r="B89" s="18"/>
    </row>
    <row r="90" spans="2:2" ht="12.75" customHeight="1" x14ac:dyDescent="0.3">
      <c r="B90" s="18"/>
    </row>
    <row r="91" spans="2:2" ht="12.75" customHeight="1" x14ac:dyDescent="0.3">
      <c r="B91" s="18"/>
    </row>
    <row r="92" spans="2:2" ht="12.75" customHeight="1" x14ac:dyDescent="0.3">
      <c r="B92" s="18"/>
    </row>
    <row r="93" spans="2:2" ht="12.75" customHeight="1" x14ac:dyDescent="0.3">
      <c r="B93" s="18"/>
    </row>
    <row r="94" spans="2:2" ht="12.75" customHeight="1" x14ac:dyDescent="0.3">
      <c r="B94" s="18"/>
    </row>
    <row r="95" spans="2:2" ht="12.75" customHeight="1" x14ac:dyDescent="0.3">
      <c r="B95" s="18"/>
    </row>
    <row r="96" spans="2:2" ht="12.75" customHeight="1" x14ac:dyDescent="0.3">
      <c r="B96" s="18"/>
    </row>
    <row r="97" spans="2:2" ht="12.75" customHeight="1" x14ac:dyDescent="0.3">
      <c r="B97" s="18"/>
    </row>
    <row r="98" spans="2:2" ht="12.75" customHeight="1" x14ac:dyDescent="0.3">
      <c r="B98" s="18"/>
    </row>
    <row r="99" spans="2:2" ht="12.75" customHeight="1" x14ac:dyDescent="0.3">
      <c r="B99" s="18"/>
    </row>
    <row r="100" spans="2:2" ht="12.75" customHeight="1" x14ac:dyDescent="0.3">
      <c r="B100" s="18"/>
    </row>
    <row r="101" spans="2:2" ht="12.75" customHeight="1" x14ac:dyDescent="0.3">
      <c r="B101" s="18"/>
    </row>
    <row r="102" spans="2:2" ht="12.75" customHeight="1" x14ac:dyDescent="0.3">
      <c r="B102" s="18"/>
    </row>
    <row r="103" spans="2:2" ht="12.75" customHeight="1" x14ac:dyDescent="0.3">
      <c r="B103" s="18"/>
    </row>
    <row r="104" spans="2:2" ht="12.75" customHeight="1" x14ac:dyDescent="0.3">
      <c r="B104" s="18"/>
    </row>
    <row r="105" spans="2:2" ht="12.75" customHeight="1" x14ac:dyDescent="0.3">
      <c r="B105" s="18"/>
    </row>
    <row r="106" spans="2:2" ht="12.75" customHeight="1" x14ac:dyDescent="0.3">
      <c r="B106" s="18"/>
    </row>
    <row r="107" spans="2:2" ht="12.75" customHeight="1" x14ac:dyDescent="0.3">
      <c r="B107" s="18"/>
    </row>
    <row r="108" spans="2:2" ht="12.75" customHeight="1" x14ac:dyDescent="0.3">
      <c r="B108" s="18"/>
    </row>
    <row r="109" spans="2:2" ht="12.75" customHeight="1" x14ac:dyDescent="0.3">
      <c r="B109" s="18"/>
    </row>
    <row r="110" spans="2:2" ht="12.75" customHeight="1" x14ac:dyDescent="0.3">
      <c r="B110" s="18"/>
    </row>
    <row r="111" spans="2:2" ht="12.75" customHeight="1" x14ac:dyDescent="0.3">
      <c r="B111" s="18"/>
    </row>
    <row r="112" spans="2:2" ht="12.75" customHeight="1" x14ac:dyDescent="0.3">
      <c r="B112" s="18"/>
    </row>
    <row r="113" spans="2:2" ht="12.75" customHeight="1" x14ac:dyDescent="0.3">
      <c r="B113" s="18"/>
    </row>
    <row r="114" spans="2:2" ht="12.75" customHeight="1" x14ac:dyDescent="0.3">
      <c r="B114" s="18"/>
    </row>
    <row r="115" spans="2:2" ht="12.75" customHeight="1" x14ac:dyDescent="0.3">
      <c r="B115" s="18"/>
    </row>
    <row r="116" spans="2:2" ht="12.75" customHeight="1" x14ac:dyDescent="0.3">
      <c r="B116" s="18"/>
    </row>
    <row r="117" spans="2:2" ht="12.75" customHeight="1" x14ac:dyDescent="0.3">
      <c r="B117" s="18"/>
    </row>
    <row r="118" spans="2:2" ht="12.75" customHeight="1" x14ac:dyDescent="0.3">
      <c r="B118" s="18"/>
    </row>
    <row r="119" spans="2:2" ht="12.75" customHeight="1" x14ac:dyDescent="0.3">
      <c r="B119" s="18"/>
    </row>
    <row r="120" spans="2:2" ht="12.75" customHeight="1" x14ac:dyDescent="0.3">
      <c r="B120" s="18"/>
    </row>
    <row r="121" spans="2:2" ht="12.75" customHeight="1" x14ac:dyDescent="0.3">
      <c r="B121" s="18"/>
    </row>
    <row r="122" spans="2:2" ht="12.75" customHeight="1" x14ac:dyDescent="0.3">
      <c r="B122" s="18"/>
    </row>
    <row r="123" spans="2:2" ht="12.75" customHeight="1" x14ac:dyDescent="0.3">
      <c r="B123" s="18"/>
    </row>
    <row r="124" spans="2:2" ht="12.75" customHeight="1" x14ac:dyDescent="0.3">
      <c r="B124" s="18"/>
    </row>
    <row r="125" spans="2:2" ht="12.75" customHeight="1" x14ac:dyDescent="0.3">
      <c r="B125" s="18"/>
    </row>
    <row r="126" spans="2:2" ht="12.75" customHeight="1" x14ac:dyDescent="0.3">
      <c r="B126" s="18"/>
    </row>
    <row r="127" spans="2:2" ht="12.75" customHeight="1" x14ac:dyDescent="0.3">
      <c r="B127" s="18"/>
    </row>
    <row r="128" spans="2:2" ht="12.75" customHeight="1" x14ac:dyDescent="0.3">
      <c r="B128" s="18"/>
    </row>
    <row r="129" spans="2:2" ht="12.75" customHeight="1" x14ac:dyDescent="0.3">
      <c r="B129" s="18"/>
    </row>
    <row r="130" spans="2:2" ht="12.75" customHeight="1" x14ac:dyDescent="0.3">
      <c r="B130" s="18"/>
    </row>
    <row r="131" spans="2:2" ht="12.75" customHeight="1" x14ac:dyDescent="0.3">
      <c r="B131" s="18"/>
    </row>
    <row r="132" spans="2:2" ht="12.75" customHeight="1" x14ac:dyDescent="0.3">
      <c r="B132" s="18"/>
    </row>
    <row r="133" spans="2:2" ht="12.75" customHeight="1" x14ac:dyDescent="0.3">
      <c r="B133" s="18"/>
    </row>
    <row r="134" spans="2:2" ht="12.75" customHeight="1" x14ac:dyDescent="0.3">
      <c r="B134" s="18"/>
    </row>
    <row r="135" spans="2:2" ht="12.75" customHeight="1" x14ac:dyDescent="0.3">
      <c r="B135" s="18"/>
    </row>
    <row r="136" spans="2:2" ht="12.75" customHeight="1" x14ac:dyDescent="0.3">
      <c r="B136" s="18"/>
    </row>
    <row r="137" spans="2:2" ht="12.75" customHeight="1" x14ac:dyDescent="0.3">
      <c r="B137" s="18"/>
    </row>
    <row r="138" spans="2:2" ht="12.75" customHeight="1" x14ac:dyDescent="0.3">
      <c r="B138" s="18"/>
    </row>
    <row r="139" spans="2:2" ht="12.75" customHeight="1" x14ac:dyDescent="0.3">
      <c r="B139" s="18"/>
    </row>
    <row r="140" spans="2:2" ht="12.75" customHeight="1" x14ac:dyDescent="0.3">
      <c r="B140" s="18"/>
    </row>
    <row r="141" spans="2:2" ht="12.75" customHeight="1" x14ac:dyDescent="0.3">
      <c r="B141" s="18"/>
    </row>
    <row r="142" spans="2:2" ht="12.75" customHeight="1" x14ac:dyDescent="0.3">
      <c r="B142" s="18"/>
    </row>
    <row r="143" spans="2:2" ht="12.75" customHeight="1" x14ac:dyDescent="0.3">
      <c r="B143" s="18"/>
    </row>
    <row r="144" spans="2:2" ht="12.75" customHeight="1" x14ac:dyDescent="0.3">
      <c r="B144" s="18"/>
    </row>
    <row r="145" spans="2:2" ht="12.75" customHeight="1" x14ac:dyDescent="0.3">
      <c r="B145" s="18"/>
    </row>
    <row r="146" spans="2:2" ht="12.75" customHeight="1" x14ac:dyDescent="0.3">
      <c r="B146" s="18"/>
    </row>
    <row r="147" spans="2:2" ht="12.75" customHeight="1" x14ac:dyDescent="0.3">
      <c r="B147" s="18"/>
    </row>
    <row r="148" spans="2:2" ht="12.75" customHeight="1" x14ac:dyDescent="0.3">
      <c r="B148" s="18"/>
    </row>
    <row r="149" spans="2:2" ht="12.75" customHeight="1" x14ac:dyDescent="0.3">
      <c r="B149" s="18"/>
    </row>
    <row r="150" spans="2:2" ht="12.75" customHeight="1" x14ac:dyDescent="0.3">
      <c r="B150" s="18"/>
    </row>
    <row r="151" spans="2:2" ht="12.75" customHeight="1" x14ac:dyDescent="0.3">
      <c r="B151" s="18"/>
    </row>
    <row r="152" spans="2:2" ht="12.75" customHeight="1" x14ac:dyDescent="0.3">
      <c r="B152" s="18"/>
    </row>
    <row r="153" spans="2:2" ht="12.75" customHeight="1" x14ac:dyDescent="0.3">
      <c r="B153" s="18"/>
    </row>
    <row r="154" spans="2:2" ht="12.75" customHeight="1" x14ac:dyDescent="0.3">
      <c r="B154" s="18"/>
    </row>
    <row r="155" spans="2:2" ht="12.75" customHeight="1" x14ac:dyDescent="0.3">
      <c r="B155" s="18"/>
    </row>
    <row r="156" spans="2:2" ht="12.75" customHeight="1" x14ac:dyDescent="0.3">
      <c r="B156" s="18"/>
    </row>
    <row r="157" spans="2:2" ht="12.75" customHeight="1" x14ac:dyDescent="0.3">
      <c r="B157" s="18"/>
    </row>
    <row r="158" spans="2:2" ht="12.75" customHeight="1" x14ac:dyDescent="0.3">
      <c r="B158" s="18"/>
    </row>
    <row r="159" spans="2:2" ht="12.75" customHeight="1" x14ac:dyDescent="0.3">
      <c r="B159" s="18"/>
    </row>
    <row r="160" spans="2:2" ht="12.75" customHeight="1" x14ac:dyDescent="0.3">
      <c r="B160" s="18"/>
    </row>
    <row r="161" spans="2:2" ht="12.75" customHeight="1" x14ac:dyDescent="0.3">
      <c r="B161" s="18"/>
    </row>
    <row r="162" spans="2:2" ht="12.75" customHeight="1" x14ac:dyDescent="0.3">
      <c r="B162" s="18"/>
    </row>
    <row r="163" spans="2:2" ht="12.75" customHeight="1" x14ac:dyDescent="0.3">
      <c r="B163" s="18"/>
    </row>
    <row r="164" spans="2:2" ht="12.75" customHeight="1" x14ac:dyDescent="0.3">
      <c r="B164" s="18"/>
    </row>
    <row r="165" spans="2:2" ht="12.75" customHeight="1" x14ac:dyDescent="0.3">
      <c r="B165" s="18"/>
    </row>
    <row r="166" spans="2:2" ht="12.75" customHeight="1" x14ac:dyDescent="0.3">
      <c r="B166" s="18"/>
    </row>
    <row r="167" spans="2:2" ht="12.75" customHeight="1" x14ac:dyDescent="0.3">
      <c r="B167" s="18"/>
    </row>
    <row r="168" spans="2:2" ht="12.75" customHeight="1" x14ac:dyDescent="0.3">
      <c r="B168" s="18"/>
    </row>
    <row r="169" spans="2:2" ht="12.75" customHeight="1" x14ac:dyDescent="0.3">
      <c r="B169" s="18"/>
    </row>
    <row r="170" spans="2:2" ht="12.75" customHeight="1" x14ac:dyDescent="0.3">
      <c r="B170" s="18"/>
    </row>
    <row r="171" spans="2:2" ht="12.75" customHeight="1" x14ac:dyDescent="0.3">
      <c r="B171" s="18"/>
    </row>
    <row r="172" spans="2:2" ht="12.75" customHeight="1" x14ac:dyDescent="0.3">
      <c r="B172" s="18"/>
    </row>
    <row r="173" spans="2:2" ht="12.75" customHeight="1" x14ac:dyDescent="0.3">
      <c r="B173" s="18"/>
    </row>
    <row r="174" spans="2:2" ht="12.75" customHeight="1" x14ac:dyDescent="0.3">
      <c r="B174" s="18"/>
    </row>
    <row r="175" spans="2:2" ht="12.75" customHeight="1" x14ac:dyDescent="0.3">
      <c r="B175" s="18"/>
    </row>
    <row r="176" spans="2:2" ht="12.75" customHeight="1" x14ac:dyDescent="0.3">
      <c r="B176" s="18"/>
    </row>
    <row r="177" spans="2:2" ht="12.75" customHeight="1" x14ac:dyDescent="0.3">
      <c r="B177" s="18"/>
    </row>
    <row r="178" spans="2:2" ht="12.75" customHeight="1" x14ac:dyDescent="0.3">
      <c r="B178" s="18"/>
    </row>
    <row r="179" spans="2:2" ht="12.75" customHeight="1" x14ac:dyDescent="0.3">
      <c r="B179" s="18"/>
    </row>
    <row r="180" spans="2:2" ht="12.75" customHeight="1" x14ac:dyDescent="0.3">
      <c r="B180" s="18"/>
    </row>
    <row r="181" spans="2:2" ht="12.75" customHeight="1" x14ac:dyDescent="0.3">
      <c r="B181" s="18"/>
    </row>
    <row r="182" spans="2:2" ht="12.75" customHeight="1" x14ac:dyDescent="0.3">
      <c r="B182" s="18"/>
    </row>
    <row r="183" spans="2:2" ht="12.75" customHeight="1" x14ac:dyDescent="0.3">
      <c r="B183" s="18"/>
    </row>
    <row r="184" spans="2:2" ht="12.75" customHeight="1" x14ac:dyDescent="0.3">
      <c r="B184" s="18"/>
    </row>
    <row r="185" spans="2:2" ht="12.75" customHeight="1" x14ac:dyDescent="0.3">
      <c r="B185" s="18"/>
    </row>
    <row r="186" spans="2:2" ht="12.75" customHeight="1" x14ac:dyDescent="0.3">
      <c r="B186" s="18"/>
    </row>
    <row r="187" spans="2:2" ht="12.75" customHeight="1" x14ac:dyDescent="0.3">
      <c r="B187" s="18"/>
    </row>
    <row r="188" spans="2:2" ht="12.75" customHeight="1" x14ac:dyDescent="0.3">
      <c r="B188" s="18"/>
    </row>
    <row r="189" spans="2:2" ht="12.75" customHeight="1" x14ac:dyDescent="0.3">
      <c r="B189" s="18"/>
    </row>
    <row r="190" spans="2:2" ht="12.75" customHeight="1" x14ac:dyDescent="0.3">
      <c r="B190" s="18"/>
    </row>
    <row r="191" spans="2:2" ht="12.75" customHeight="1" x14ac:dyDescent="0.3">
      <c r="B191" s="18"/>
    </row>
    <row r="192" spans="2:2" ht="12.75" customHeight="1" x14ac:dyDescent="0.3">
      <c r="B192" s="18"/>
    </row>
    <row r="193" spans="2:2" ht="12.75" customHeight="1" x14ac:dyDescent="0.3">
      <c r="B193" s="18"/>
    </row>
    <row r="194" spans="2:2" ht="12.75" customHeight="1" x14ac:dyDescent="0.3">
      <c r="B194" s="18"/>
    </row>
    <row r="195" spans="2:2" ht="12.75" customHeight="1" x14ac:dyDescent="0.3">
      <c r="B195" s="18"/>
    </row>
    <row r="196" spans="2:2" ht="12.75" customHeight="1" x14ac:dyDescent="0.3">
      <c r="B196" s="18"/>
    </row>
    <row r="197" spans="2:2" ht="12.75" customHeight="1" x14ac:dyDescent="0.3">
      <c r="B197" s="18"/>
    </row>
    <row r="198" spans="2:2" ht="12.75" customHeight="1" x14ac:dyDescent="0.3">
      <c r="B198" s="18"/>
    </row>
    <row r="199" spans="2:2" ht="12.75" customHeight="1" x14ac:dyDescent="0.3">
      <c r="B199" s="18"/>
    </row>
    <row r="200" spans="2:2" ht="12.75" customHeight="1" x14ac:dyDescent="0.3">
      <c r="B200" s="18"/>
    </row>
    <row r="201" spans="2:2" ht="12.75" customHeight="1" x14ac:dyDescent="0.3">
      <c r="B201" s="18"/>
    </row>
    <row r="202" spans="2:2" ht="12.75" customHeight="1" x14ac:dyDescent="0.3">
      <c r="B202" s="18"/>
    </row>
    <row r="203" spans="2:2" ht="12.75" customHeight="1" x14ac:dyDescent="0.3">
      <c r="B203" s="18"/>
    </row>
    <row r="204" spans="2:2" ht="12.75" customHeight="1" x14ac:dyDescent="0.3">
      <c r="B204" s="18"/>
    </row>
    <row r="205" spans="2:2" ht="12.75" customHeight="1" x14ac:dyDescent="0.3">
      <c r="B205" s="18"/>
    </row>
    <row r="206" spans="2:2" ht="12.75" customHeight="1" x14ac:dyDescent="0.3">
      <c r="B206" s="18"/>
    </row>
    <row r="207" spans="2:2" ht="12.75" customHeight="1" x14ac:dyDescent="0.3">
      <c r="B207" s="18"/>
    </row>
    <row r="208" spans="2:2" ht="12.75" customHeight="1" x14ac:dyDescent="0.3">
      <c r="B208" s="18"/>
    </row>
    <row r="209" spans="2:2" ht="12.75" customHeight="1" x14ac:dyDescent="0.3">
      <c r="B209" s="18"/>
    </row>
    <row r="210" spans="2:2" ht="12.75" customHeight="1" x14ac:dyDescent="0.3">
      <c r="B210" s="18"/>
    </row>
    <row r="211" spans="2:2" ht="12.75" customHeight="1" x14ac:dyDescent="0.3">
      <c r="B211" s="18"/>
    </row>
    <row r="212" spans="2:2" ht="12.75" customHeight="1" x14ac:dyDescent="0.3">
      <c r="B212" s="18"/>
    </row>
    <row r="213" spans="2:2" ht="12.75" customHeight="1" x14ac:dyDescent="0.3">
      <c r="B213" s="18"/>
    </row>
    <row r="214" spans="2:2" ht="12.75" customHeight="1" x14ac:dyDescent="0.3">
      <c r="B214" s="18"/>
    </row>
    <row r="215" spans="2:2" ht="12.75" customHeight="1" x14ac:dyDescent="0.3">
      <c r="B215" s="18"/>
    </row>
    <row r="216" spans="2:2" ht="12.75" customHeight="1" x14ac:dyDescent="0.3">
      <c r="B216" s="18"/>
    </row>
    <row r="217" spans="2:2" ht="12.75" customHeight="1" x14ac:dyDescent="0.3">
      <c r="B217" s="18"/>
    </row>
    <row r="218" spans="2:2" ht="12.75" customHeight="1" x14ac:dyDescent="0.3">
      <c r="B218" s="18"/>
    </row>
    <row r="219" spans="2:2" ht="12.75" customHeight="1" x14ac:dyDescent="0.3">
      <c r="B219" s="18"/>
    </row>
    <row r="220" spans="2:2" ht="12.75" customHeight="1" x14ac:dyDescent="0.3">
      <c r="B220" s="18"/>
    </row>
    <row r="221" spans="2:2" ht="12.75" customHeight="1" x14ac:dyDescent="0.3">
      <c r="B221" s="18"/>
    </row>
    <row r="222" spans="2:2" ht="12.75" customHeight="1" x14ac:dyDescent="0.3">
      <c r="B222" s="18"/>
    </row>
    <row r="223" spans="2:2" ht="12.75" customHeight="1" x14ac:dyDescent="0.3">
      <c r="B223" s="18"/>
    </row>
    <row r="224" spans="2:2" ht="12.75" customHeight="1" x14ac:dyDescent="0.3">
      <c r="B224" s="18"/>
    </row>
    <row r="225" spans="2:2" ht="12.75" customHeight="1" x14ac:dyDescent="0.3">
      <c r="B225" s="18"/>
    </row>
    <row r="226" spans="2:2" ht="12.75" customHeight="1" x14ac:dyDescent="0.3">
      <c r="B226" s="18"/>
    </row>
    <row r="227" spans="2:2" ht="12.75" customHeight="1" x14ac:dyDescent="0.3">
      <c r="B227" s="18"/>
    </row>
    <row r="228" spans="2:2" ht="12.75" customHeight="1" x14ac:dyDescent="0.3">
      <c r="B228" s="18"/>
    </row>
    <row r="229" spans="2:2" ht="12.75" customHeight="1" x14ac:dyDescent="0.3">
      <c r="B229" s="18"/>
    </row>
    <row r="230" spans="2:2" ht="12.75" customHeight="1" x14ac:dyDescent="0.3">
      <c r="B230" s="18"/>
    </row>
    <row r="231" spans="2:2" ht="12.75" customHeight="1" x14ac:dyDescent="0.3">
      <c r="B231" s="18"/>
    </row>
    <row r="232" spans="2:2" ht="12.75" customHeight="1" x14ac:dyDescent="0.3">
      <c r="B232" s="18"/>
    </row>
    <row r="233" spans="2:2" ht="12.75" customHeight="1" x14ac:dyDescent="0.3">
      <c r="B233" s="18"/>
    </row>
    <row r="234" spans="2:2" ht="12.75" customHeight="1" x14ac:dyDescent="0.3">
      <c r="B234" s="18"/>
    </row>
    <row r="235" spans="2:2" ht="12.75" customHeight="1" x14ac:dyDescent="0.3">
      <c r="B235" s="18"/>
    </row>
    <row r="236" spans="2:2" ht="12.75" customHeight="1" x14ac:dyDescent="0.3">
      <c r="B236" s="18"/>
    </row>
    <row r="237" spans="2:2" ht="12.75" customHeight="1" x14ac:dyDescent="0.3">
      <c r="B237" s="18"/>
    </row>
    <row r="238" spans="2:2" ht="12.75" customHeight="1" x14ac:dyDescent="0.3">
      <c r="B238" s="18"/>
    </row>
    <row r="239" spans="2:2" ht="12.75" customHeight="1" x14ac:dyDescent="0.3">
      <c r="B239" s="18"/>
    </row>
    <row r="240" spans="2:2" ht="12.75" customHeight="1" x14ac:dyDescent="0.3">
      <c r="B240" s="18"/>
    </row>
    <row r="241" spans="2:2" ht="12.75" customHeight="1" x14ac:dyDescent="0.3">
      <c r="B241" s="18"/>
    </row>
    <row r="242" spans="2:2" ht="15.75" customHeight="1" x14ac:dyDescent="0.3"/>
    <row r="243" spans="2:2" ht="15.75" customHeight="1" x14ac:dyDescent="0.3"/>
    <row r="244" spans="2:2" ht="15.75" customHeight="1" x14ac:dyDescent="0.3"/>
    <row r="245" spans="2:2" ht="15.75" customHeight="1" x14ac:dyDescent="0.3"/>
    <row r="246" spans="2:2" ht="15.75" customHeight="1" x14ac:dyDescent="0.3"/>
    <row r="247" spans="2:2" ht="15.75" customHeight="1" x14ac:dyDescent="0.3"/>
    <row r="248" spans="2:2" ht="15.75" customHeight="1" x14ac:dyDescent="0.3"/>
    <row r="249" spans="2:2" ht="15.75" customHeight="1" x14ac:dyDescent="0.3"/>
    <row r="250" spans="2:2" ht="15.75" customHeight="1" x14ac:dyDescent="0.3"/>
    <row r="251" spans="2:2" ht="15.75" customHeight="1" x14ac:dyDescent="0.3"/>
    <row r="252" spans="2:2" ht="15.75" customHeight="1" x14ac:dyDescent="0.3"/>
    <row r="253" spans="2:2" ht="15.75" customHeight="1" x14ac:dyDescent="0.3"/>
    <row r="254" spans="2:2" ht="15.75" customHeight="1" x14ac:dyDescent="0.3"/>
    <row r="255" spans="2:2" ht="15.75" customHeight="1" x14ac:dyDescent="0.3"/>
    <row r="256" spans="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1:H2"/>
    <mergeCell ref="J1:K1"/>
    <mergeCell ref="J2:K2"/>
    <mergeCell ref="A40:K40"/>
    <mergeCell ref="A41:K51"/>
  </mergeCells>
  <conditionalFormatting sqref="B28:B34">
    <cfRule type="expression" dxfId="27" priority="1">
      <formula>IF($C28="",FALSE,$B28="")</formula>
    </cfRule>
  </conditionalFormatting>
  <conditionalFormatting sqref="C20:C27">
    <cfRule type="expression" dxfId="26" priority="2">
      <formula>IF($C20="",FALSE,$B20="")</formula>
    </cfRule>
  </conditionalFormatting>
  <conditionalFormatting sqref="D4:D18 D20:D27">
    <cfRule type="expression" dxfId="25" priority="3">
      <formula>IF($D4="",FALSE,$E4="")</formula>
    </cfRule>
  </conditionalFormatting>
  <conditionalFormatting sqref="D4:D18 D20:D34">
    <cfRule type="expression" dxfId="24" priority="4">
      <formula>IF($C4="",FALSE,$B4="")</formula>
    </cfRule>
  </conditionalFormatting>
  <pageMargins left="0.51181102362204722" right="0.51181102362204722" top="0.74803149606299213" bottom="0.74803149606299213"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4.69921875" customWidth="1"/>
    <col min="6" max="9" width="6.3984375" customWidth="1"/>
    <col min="10" max="11" width="5.59765625" customWidth="1"/>
    <col min="12" max="13" width="10.59765625" hidden="1" customWidth="1"/>
  </cols>
  <sheetData>
    <row r="1" spans="1:13" ht="31.5" customHeight="1" x14ac:dyDescent="0.3">
      <c r="A1" s="114" t="s">
        <v>428</v>
      </c>
      <c r="B1" s="115"/>
      <c r="C1" s="115"/>
      <c r="D1" s="115"/>
      <c r="E1" s="115"/>
      <c r="F1" s="115"/>
      <c r="G1" s="115"/>
      <c r="H1" s="116"/>
      <c r="I1" s="36"/>
      <c r="J1" s="120" t="s">
        <v>352</v>
      </c>
      <c r="K1" s="121"/>
    </row>
    <row r="2" spans="1:13" ht="19.5" customHeight="1" x14ac:dyDescent="0.3">
      <c r="A2" s="117"/>
      <c r="B2" s="118"/>
      <c r="C2" s="118"/>
      <c r="D2" s="118"/>
      <c r="E2" s="118"/>
      <c r="F2" s="118"/>
      <c r="G2" s="118"/>
      <c r="H2" s="119"/>
      <c r="I2" s="36"/>
      <c r="J2" s="122">
        <f ca="1">TODAY()</f>
        <v>46250</v>
      </c>
      <c r="K2" s="121"/>
    </row>
    <row r="3" spans="1:13" ht="32.25" customHeight="1" x14ac:dyDescent="0.3">
      <c r="A3" s="37" t="s">
        <v>353</v>
      </c>
      <c r="B3" s="37" t="s">
        <v>354</v>
      </c>
      <c r="C3" s="38" t="s">
        <v>1</v>
      </c>
      <c r="D3" s="38" t="s">
        <v>2</v>
      </c>
      <c r="E3" s="37" t="s">
        <v>6</v>
      </c>
      <c r="F3" s="39" t="str">
        <f>Rangliste!H1</f>
        <v>WBV 1</v>
      </c>
      <c r="G3" s="39" t="str">
        <f>Rangliste!I1</f>
        <v>WBV 2</v>
      </c>
      <c r="H3" s="39" t="str">
        <f>Rangliste!J1</f>
        <v>WBV 3</v>
      </c>
      <c r="I3" s="40">
        <v>2023</v>
      </c>
      <c r="J3" s="37" t="s">
        <v>355</v>
      </c>
      <c r="K3" s="37" t="s">
        <v>356</v>
      </c>
    </row>
    <row r="4" spans="1:13" ht="12.75" customHeight="1" x14ac:dyDescent="0.3">
      <c r="A4" s="15" t="s">
        <v>357</v>
      </c>
      <c r="B4" s="15" t="e">
        <f>IF(ISBLANK(VLOOKUP(C4,Rangliste!$B$10:$T$918,3,FALSE))=TRUE,"",VLOOKUP(C4,Rangliste!$B$10:$T$918,3,FALSE))</f>
        <v>#N/A</v>
      </c>
      <c r="C4" s="16" t="s">
        <v>429</v>
      </c>
      <c r="D4" s="16" t="e">
        <f>IF(ISBLANK(VLOOKUP(C4,Rangliste!$B$10:$T$918,2,FALSE))=TRUE,"",VLOOKUP(C4,Rangliste!$B$10:$T$918,2,FALSE))</f>
        <v>#N/A</v>
      </c>
      <c r="E4" s="41" t="e">
        <f>IF(ISBLANK(VLOOKUP(C4,Rangliste!$B$10:$T$918,4,FALSE))=TRUE,"",VLOOKUP(C4,Rangliste!$B$10:$T$918,4,FALSE))</f>
        <v>#N/A</v>
      </c>
      <c r="F4" s="15" t="e">
        <f t="shared" ref="F4:F2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2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27"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v>0</v>
      </c>
      <c r="J4" s="15" t="e">
        <f t="shared" ref="J4:J19" si="3">MIN(F4:H4)</f>
        <v>#REF!</v>
      </c>
      <c r="K4" s="42" t="e">
        <f t="shared" ref="K4:K27" si="4">IF(COUNTIF(F4:H4,0)=3,I4,IF(COUNTIF(F4:H4,0)=2,IF(OR(L4="A",L4="B",L4="C"),SUM(F4:H4)*1.65,SUM(F4:H4)-J4),SUM(F4:H4)-J4))</f>
        <v>#REF!</v>
      </c>
      <c r="L4" s="43" t="e">
        <f t="shared" ref="L4:L19" si="5">IF(MAX(F4:H4)&lt;=85,"Einsteiger",IF(MAX(F4:H4)&lt;=108,"E",IF(MAX(F4:H4)&lt;=131,"D",IF(MAX(F4:H4)&lt;=154,"C",IF(MAX(F4:H4)&lt;=177,"B","A")))))</f>
        <v>#REF!</v>
      </c>
      <c r="M4" s="43" t="e">
        <f>VLOOKUP(C4,Rangliste!$B$10:$T$912,12,FALSE)</f>
        <v>#N/A</v>
      </c>
    </row>
    <row r="5" spans="1:13" ht="12.75" customHeight="1" x14ac:dyDescent="0.3">
      <c r="A5" s="15" t="s">
        <v>359</v>
      </c>
      <c r="B5" s="15" t="e">
        <f>IF(ISBLANK(VLOOKUP(C5,Rangliste!$B$10:$T$918,3,FALSE))=TRUE,"",VLOOKUP(C5,Rangliste!$B$10:$T$918,3,FALSE))</f>
        <v>#N/A</v>
      </c>
      <c r="C5" s="21" t="s">
        <v>430</v>
      </c>
      <c r="D5" s="16" t="e">
        <f>IF(ISBLANK(VLOOKUP(C5,Rangliste!$B$10:$T$918,2,FALSE))=TRUE,"",VLOOKUP(C5,Rangliste!$B$10:$T$918,2,FALSE))</f>
        <v>#N/A</v>
      </c>
      <c r="E5" s="41" t="e">
        <f>IF(ISBLANK(VLOOKUP(C5,Rangliste!$B$10:$T$918,4,FALSE))=TRUE,"",VLOOKUP(C5,Rangliste!$B$10:$T$918,4,FALSE))</f>
        <v>#N/A</v>
      </c>
      <c r="F5" s="15" t="e">
        <f t="shared" si="0"/>
        <v>#REF!</v>
      </c>
      <c r="G5" s="15" t="e">
        <f t="shared" si="1"/>
        <v>#REF!</v>
      </c>
      <c r="H5" s="15" t="e">
        <f t="shared" si="2"/>
        <v>#REF!</v>
      </c>
      <c r="I5" s="15">
        <v>0</v>
      </c>
      <c r="J5" s="15" t="e">
        <f t="shared" si="3"/>
        <v>#REF!</v>
      </c>
      <c r="K5" s="42" t="e">
        <f t="shared" si="4"/>
        <v>#REF!</v>
      </c>
      <c r="L5" s="43" t="e">
        <f t="shared" si="5"/>
        <v>#REF!</v>
      </c>
      <c r="M5" s="43" t="e">
        <f>VLOOKUP(C5,Rangliste!$B$10:$T$912,12,FALSE)</f>
        <v>#N/A</v>
      </c>
    </row>
    <row r="6" spans="1:13" ht="12.75" customHeight="1" x14ac:dyDescent="0.3">
      <c r="A6" s="15" t="s">
        <v>361</v>
      </c>
      <c r="B6" s="15" t="e">
        <f>IF(ISBLANK(VLOOKUP(C6,Rangliste!$B$10:$T$918,3,FALSE))=TRUE,"",VLOOKUP(C6,Rangliste!$B$10:$T$918,3,FALSE))</f>
        <v>#N/A</v>
      </c>
      <c r="C6" s="21" t="s">
        <v>431</v>
      </c>
      <c r="D6" s="16" t="e">
        <f>IF(ISBLANK(VLOOKUP(C6,Rangliste!$B$10:$T$918,2,FALSE))=TRUE,"",VLOOKUP(C6,Rangliste!$B$10:$T$918,2,FALSE))</f>
        <v>#N/A</v>
      </c>
      <c r="E6" s="41" t="e">
        <f>IF(ISBLANK(VLOOKUP(C6,Rangliste!$B$10:$T$918,4,FALSE))=TRUE,"",VLOOKUP(C6,Rangliste!$B$10:$T$918,4,FALSE))</f>
        <v>#N/A</v>
      </c>
      <c r="F6" s="15" t="e">
        <f t="shared" si="0"/>
        <v>#REF!</v>
      </c>
      <c r="G6" s="15" t="e">
        <f t="shared" si="1"/>
        <v>#REF!</v>
      </c>
      <c r="H6" s="15" t="e">
        <f t="shared" si="2"/>
        <v>#REF!</v>
      </c>
      <c r="I6" s="15">
        <v>0</v>
      </c>
      <c r="J6" s="15" t="e">
        <f t="shared" si="3"/>
        <v>#REF!</v>
      </c>
      <c r="K6" s="42" t="e">
        <f t="shared" si="4"/>
        <v>#REF!</v>
      </c>
      <c r="L6" s="43" t="e">
        <f t="shared" si="5"/>
        <v>#REF!</v>
      </c>
      <c r="M6" s="43" t="e">
        <f>VLOOKUP(C6,Rangliste!$B$10:$T$912,12,FALSE)</f>
        <v>#N/A</v>
      </c>
    </row>
    <row r="7" spans="1:13" ht="12.75" customHeight="1" x14ac:dyDescent="0.3">
      <c r="A7" s="15" t="s">
        <v>363</v>
      </c>
      <c r="B7" s="15" t="e">
        <f>IF(ISBLANK(VLOOKUP(C7,Rangliste!$B$10:$T$918,3,FALSE))=TRUE,"",VLOOKUP(C7,Rangliste!$B$10:$T$918,3,FALSE))</f>
        <v>#N/A</v>
      </c>
      <c r="C7" s="43" t="s">
        <v>432</v>
      </c>
      <c r="D7" s="16" t="e">
        <f>IF(ISBLANK(VLOOKUP(C7,Rangliste!$B$10:$T$918,2,FALSE))=TRUE,"",VLOOKUP(C7,Rangliste!$B$10:$T$918,2,FALSE))</f>
        <v>#N/A</v>
      </c>
      <c r="E7" s="41" t="e">
        <f>IF(ISBLANK(VLOOKUP(C7,Rangliste!$B$10:$T$918,4,FALSE))=TRUE,"",VLOOKUP(C7,Rangliste!$B$10:$T$918,4,FALSE))</f>
        <v>#N/A</v>
      </c>
      <c r="F7" s="15" t="e">
        <f t="shared" si="0"/>
        <v>#REF!</v>
      </c>
      <c r="G7" s="15" t="e">
        <f t="shared" si="1"/>
        <v>#REF!</v>
      </c>
      <c r="H7" s="15" t="e">
        <f t="shared" si="2"/>
        <v>#REF!</v>
      </c>
      <c r="I7" s="15">
        <v>0</v>
      </c>
      <c r="J7" s="15" t="e">
        <f t="shared" si="3"/>
        <v>#REF!</v>
      </c>
      <c r="K7" s="42" t="e">
        <f t="shared" si="4"/>
        <v>#REF!</v>
      </c>
      <c r="L7" s="43" t="e">
        <f t="shared" si="5"/>
        <v>#REF!</v>
      </c>
      <c r="M7" s="43" t="e">
        <f>VLOOKUP(C7,Rangliste!$B$10:$T$912,12,FALSE)</f>
        <v>#N/A</v>
      </c>
    </row>
    <row r="8" spans="1:13" ht="12.75" customHeight="1" x14ac:dyDescent="0.3">
      <c r="A8" s="15" t="s">
        <v>365</v>
      </c>
      <c r="B8" s="15" t="e">
        <f>IF(ISBLANK(VLOOKUP(C8,Rangliste!$B$10:$T$918,3,FALSE))=TRUE,"",VLOOKUP(C8,Rangliste!$B$10:$T$918,3,FALSE))</f>
        <v>#N/A</v>
      </c>
      <c r="C8" s="43" t="s">
        <v>433</v>
      </c>
      <c r="D8" s="16" t="e">
        <f>IF(ISBLANK(VLOOKUP(C8,Rangliste!$B$10:$T$918,2,FALSE))=TRUE,"",VLOOKUP(C8,Rangliste!$B$10:$T$918,2,FALSE))</f>
        <v>#N/A</v>
      </c>
      <c r="E8" s="41" t="e">
        <f>IF(ISBLANK(VLOOKUP(C8,Rangliste!$B$10:$T$918,4,FALSE))=TRUE,"",VLOOKUP(C8,Rangliste!$B$10:$T$918,4,FALSE))</f>
        <v>#N/A</v>
      </c>
      <c r="F8" s="15" t="e">
        <f t="shared" si="0"/>
        <v>#REF!</v>
      </c>
      <c r="G8" s="15" t="e">
        <f t="shared" si="1"/>
        <v>#REF!</v>
      </c>
      <c r="H8" s="15" t="e">
        <f t="shared" si="2"/>
        <v>#REF!</v>
      </c>
      <c r="I8" s="15">
        <v>0</v>
      </c>
      <c r="J8" s="15" t="e">
        <f t="shared" si="3"/>
        <v>#REF!</v>
      </c>
      <c r="K8" s="42" t="e">
        <f t="shared" si="4"/>
        <v>#REF!</v>
      </c>
      <c r="L8" s="43" t="e">
        <f t="shared" si="5"/>
        <v>#REF!</v>
      </c>
      <c r="M8" s="43" t="e">
        <f>VLOOKUP(C8,Rangliste!$B$10:$T$912,12,FALSE)</f>
        <v>#N/A</v>
      </c>
    </row>
    <row r="9" spans="1:13" ht="12.75" customHeight="1" x14ac:dyDescent="0.3">
      <c r="A9" s="15" t="s">
        <v>367</v>
      </c>
      <c r="B9" s="15" t="e">
        <f>IF(ISBLANK(VLOOKUP(C9,Rangliste!$B$10:$T$918,3,FALSE))=TRUE,"",VLOOKUP(C9,Rangliste!$B$10:$T$918,3,FALSE))</f>
        <v>#N/A</v>
      </c>
      <c r="C9" s="21" t="s">
        <v>434</v>
      </c>
      <c r="D9" s="16" t="e">
        <f>IF(ISBLANK(VLOOKUP(C9,Rangliste!$B$10:$T$918,2,FALSE))=TRUE,"",VLOOKUP(C9,Rangliste!$B$10:$T$918,2,FALSE))</f>
        <v>#N/A</v>
      </c>
      <c r="E9" s="41" t="e">
        <f>IF(ISBLANK(VLOOKUP(C9,Rangliste!$B$10:$T$918,4,FALSE))=TRUE,"",VLOOKUP(C9,Rangliste!$B$10:$T$918,4,FALSE))</f>
        <v>#N/A</v>
      </c>
      <c r="F9" s="15" t="e">
        <f t="shared" si="0"/>
        <v>#REF!</v>
      </c>
      <c r="G9" s="15" t="e">
        <f t="shared" si="1"/>
        <v>#REF!</v>
      </c>
      <c r="H9" s="15" t="e">
        <f t="shared" si="2"/>
        <v>#REF!</v>
      </c>
      <c r="I9" s="15">
        <v>0</v>
      </c>
      <c r="J9" s="15" t="e">
        <f t="shared" si="3"/>
        <v>#REF!</v>
      </c>
      <c r="K9" s="42" t="e">
        <f t="shared" si="4"/>
        <v>#REF!</v>
      </c>
      <c r="L9" s="43" t="e">
        <f t="shared" si="5"/>
        <v>#REF!</v>
      </c>
      <c r="M9" s="43" t="e">
        <f>VLOOKUP(C9,Rangliste!$B$10:$T$912,12,FALSE)</f>
        <v>#N/A</v>
      </c>
    </row>
    <row r="10" spans="1:13" ht="12.75" customHeight="1" x14ac:dyDescent="0.3">
      <c r="A10" s="15" t="s">
        <v>369</v>
      </c>
      <c r="B10" s="15" t="e">
        <f>IF(ISBLANK(VLOOKUP(C10,Rangliste!$B$10:$T$918,3,FALSE))=TRUE,"",VLOOKUP(C10,Rangliste!$B$10:$T$918,3,FALSE))</f>
        <v>#N/A</v>
      </c>
      <c r="C10" s="21" t="s">
        <v>435</v>
      </c>
      <c r="D10" s="16" t="e">
        <f>IF(ISBLANK(VLOOKUP(C10,Rangliste!$B$10:$T$918,2,FALSE))=TRUE,"",VLOOKUP(C10,Rangliste!$B$10:$T$918,2,FALSE))</f>
        <v>#N/A</v>
      </c>
      <c r="E10" s="41" t="e">
        <f>IF(ISBLANK(VLOOKUP(C10,Rangliste!$B$10:$T$918,4,FALSE))=TRUE,"",VLOOKUP(C10,Rangliste!$B$10:$T$918,4,FALSE))</f>
        <v>#N/A</v>
      </c>
      <c r="F10" s="15" t="e">
        <f t="shared" si="0"/>
        <v>#REF!</v>
      </c>
      <c r="G10" s="15" t="e">
        <f t="shared" si="1"/>
        <v>#REF!</v>
      </c>
      <c r="H10" s="15" t="e">
        <f t="shared" si="2"/>
        <v>#REF!</v>
      </c>
      <c r="I10" s="15">
        <v>0</v>
      </c>
      <c r="J10" s="15" t="e">
        <f t="shared" si="3"/>
        <v>#REF!</v>
      </c>
      <c r="K10" s="42" t="e">
        <f t="shared" si="4"/>
        <v>#REF!</v>
      </c>
      <c r="L10" s="43" t="e">
        <f t="shared" si="5"/>
        <v>#REF!</v>
      </c>
      <c r="M10" s="43" t="e">
        <f>VLOOKUP(C10,Rangliste!$B$10:$T$912,12,FALSE)</f>
        <v>#N/A</v>
      </c>
    </row>
    <row r="11" spans="1:13" ht="12.75" customHeight="1" x14ac:dyDescent="0.3">
      <c r="A11" s="15" t="s">
        <v>371</v>
      </c>
      <c r="B11" s="15" t="e">
        <f>IF(ISBLANK(VLOOKUP(C11,Rangliste!$B$10:$T$918,3,FALSE))=TRUE,"",VLOOKUP(C11,Rangliste!$B$10:$T$918,3,FALSE))</f>
        <v>#N/A</v>
      </c>
      <c r="C11" s="21" t="s">
        <v>436</v>
      </c>
      <c r="D11" s="16" t="e">
        <f>IF(ISBLANK(VLOOKUP(C11,Rangliste!$B$10:$T$918,2,FALSE))=TRUE,"",VLOOKUP(C11,Rangliste!$B$10:$T$918,2,FALSE))</f>
        <v>#N/A</v>
      </c>
      <c r="E11" s="41" t="e">
        <f>IF(ISBLANK(VLOOKUP(C11,Rangliste!$B$10:$T$918,4,FALSE))=TRUE,"",VLOOKUP(C11,Rangliste!$B$10:$T$918,4,FALSE))</f>
        <v>#N/A</v>
      </c>
      <c r="F11" s="15" t="e">
        <f t="shared" si="0"/>
        <v>#REF!</v>
      </c>
      <c r="G11" s="15" t="e">
        <f t="shared" si="1"/>
        <v>#REF!</v>
      </c>
      <c r="H11" s="15" t="e">
        <f t="shared" si="2"/>
        <v>#REF!</v>
      </c>
      <c r="I11" s="15">
        <v>0</v>
      </c>
      <c r="J11" s="15" t="e">
        <f t="shared" si="3"/>
        <v>#REF!</v>
      </c>
      <c r="K11" s="42" t="e">
        <f t="shared" si="4"/>
        <v>#REF!</v>
      </c>
      <c r="L11" s="43" t="e">
        <f t="shared" si="5"/>
        <v>#REF!</v>
      </c>
      <c r="M11" s="43" t="e">
        <f>VLOOKUP(C11,Rangliste!$B$10:$T$912,12,FALSE)</f>
        <v>#N/A</v>
      </c>
    </row>
    <row r="12" spans="1:13" ht="12.75" customHeight="1" x14ac:dyDescent="0.3">
      <c r="A12" s="15" t="s">
        <v>373</v>
      </c>
      <c r="B12" s="15" t="e">
        <f>IF(ISBLANK(VLOOKUP(C12,Rangliste!$B$10:$T$918,3,FALSE))=TRUE,"",VLOOKUP(C12,Rangliste!$B$10:$T$918,3,FALSE))</f>
        <v>#N/A</v>
      </c>
      <c r="C12" s="21" t="s">
        <v>437</v>
      </c>
      <c r="D12" s="16" t="e">
        <f>IF(ISBLANK(VLOOKUP(C12,Rangliste!$B$10:$T$918,2,FALSE))=TRUE,"",VLOOKUP(C12,Rangliste!$B$10:$T$918,2,FALSE))</f>
        <v>#N/A</v>
      </c>
      <c r="E12" s="41" t="e">
        <f>IF(ISBLANK(VLOOKUP(C12,Rangliste!$B$10:$T$918,4,FALSE))=TRUE,"",VLOOKUP(C12,Rangliste!$B$10:$T$918,4,FALSE))</f>
        <v>#N/A</v>
      </c>
      <c r="F12" s="15" t="e">
        <f t="shared" si="0"/>
        <v>#REF!</v>
      </c>
      <c r="G12" s="15" t="e">
        <f t="shared" si="1"/>
        <v>#REF!</v>
      </c>
      <c r="H12" s="15" t="e">
        <f t="shared" si="2"/>
        <v>#REF!</v>
      </c>
      <c r="I12" s="15">
        <v>0</v>
      </c>
      <c r="J12" s="15" t="e">
        <f t="shared" si="3"/>
        <v>#REF!</v>
      </c>
      <c r="K12" s="42" t="e">
        <f t="shared" si="4"/>
        <v>#REF!</v>
      </c>
      <c r="L12" s="43" t="e">
        <f t="shared" si="5"/>
        <v>#REF!</v>
      </c>
      <c r="M12" s="43" t="e">
        <f>VLOOKUP(C12,Rangliste!$B$10:$T$912,12,FALSE)</f>
        <v>#N/A</v>
      </c>
    </row>
    <row r="13" spans="1:13" ht="12.75" customHeight="1" x14ac:dyDescent="0.3">
      <c r="A13" s="15" t="s">
        <v>375</v>
      </c>
      <c r="B13" s="15" t="e">
        <f>IF(ISBLANK(VLOOKUP(C13,Rangliste!$B$10:$T$918,3,FALSE))=TRUE,"",VLOOKUP(C13,Rangliste!$B$10:$T$918,3,FALSE))</f>
        <v>#N/A</v>
      </c>
      <c r="C13" s="21" t="s">
        <v>438</v>
      </c>
      <c r="D13" s="16" t="e">
        <f>IF(ISBLANK(VLOOKUP(C13,Rangliste!$B$10:$T$918,2,FALSE))=TRUE,"",VLOOKUP(C13,Rangliste!$B$10:$T$918,2,FALSE))</f>
        <v>#N/A</v>
      </c>
      <c r="E13" s="41" t="e">
        <f>IF(ISBLANK(VLOOKUP(C13,Rangliste!$B$10:$T$918,4,FALSE))=TRUE,"",VLOOKUP(C13,Rangliste!$B$10:$T$918,4,FALSE))</f>
        <v>#N/A</v>
      </c>
      <c r="F13" s="15" t="e">
        <f t="shared" si="0"/>
        <v>#REF!</v>
      </c>
      <c r="G13" s="15" t="e">
        <f t="shared" si="1"/>
        <v>#REF!</v>
      </c>
      <c r="H13" s="15" t="e">
        <f t="shared" si="2"/>
        <v>#REF!</v>
      </c>
      <c r="I13" s="15">
        <v>0</v>
      </c>
      <c r="J13" s="15" t="e">
        <f t="shared" si="3"/>
        <v>#REF!</v>
      </c>
      <c r="K13" s="42" t="e">
        <f t="shared" si="4"/>
        <v>#REF!</v>
      </c>
      <c r="L13" s="43" t="e">
        <f t="shared" si="5"/>
        <v>#REF!</v>
      </c>
      <c r="M13" s="43" t="e">
        <f>VLOOKUP(C13,Rangliste!$B$10:$T$912,12,FALSE)</f>
        <v>#N/A</v>
      </c>
    </row>
    <row r="14" spans="1:13" ht="12.75" customHeight="1" x14ac:dyDescent="0.3">
      <c r="A14" s="15" t="s">
        <v>377</v>
      </c>
      <c r="B14" s="15" t="e">
        <f>IF(ISBLANK(VLOOKUP(C14,Rangliste!$B$10:$T$918,3,FALSE))=TRUE,"",VLOOKUP(C14,Rangliste!$B$10:$T$918,3,FALSE))</f>
        <v>#N/A</v>
      </c>
      <c r="C14" s="16" t="s">
        <v>439</v>
      </c>
      <c r="D14" s="16" t="e">
        <f>IF(ISBLANK(VLOOKUP(C14,Rangliste!$B$10:$T$918,2,FALSE))=TRUE,"",VLOOKUP(C14,Rangliste!$B$10:$T$918,2,FALSE))</f>
        <v>#N/A</v>
      </c>
      <c r="E14" s="41" t="e">
        <f>IF(ISBLANK(VLOOKUP(C14,Rangliste!$B$10:$T$918,4,FALSE))=TRUE,"",VLOOKUP(C14,Rangliste!$B$10:$T$918,4,FALSE))</f>
        <v>#N/A</v>
      </c>
      <c r="F14" s="15" t="e">
        <f t="shared" si="0"/>
        <v>#REF!</v>
      </c>
      <c r="G14" s="15" t="e">
        <f t="shared" si="1"/>
        <v>#REF!</v>
      </c>
      <c r="H14" s="15" t="e">
        <f t="shared" si="2"/>
        <v>#REF!</v>
      </c>
      <c r="I14" s="15">
        <v>0</v>
      </c>
      <c r="J14" s="15" t="e">
        <f t="shared" si="3"/>
        <v>#REF!</v>
      </c>
      <c r="K14" s="42" t="e">
        <f t="shared" si="4"/>
        <v>#REF!</v>
      </c>
      <c r="L14" s="43" t="e">
        <f t="shared" si="5"/>
        <v>#REF!</v>
      </c>
      <c r="M14" s="43" t="e">
        <f>VLOOKUP(C14,Rangliste!$B$10:$T$912,12,FALSE)</f>
        <v>#N/A</v>
      </c>
    </row>
    <row r="15" spans="1:13" ht="12.75" customHeight="1" x14ac:dyDescent="0.3">
      <c r="A15" s="15" t="s">
        <v>379</v>
      </c>
      <c r="B15" s="15" t="str">
        <f>IF(ISBLANK(VLOOKUP(C15,Rangliste!$B$10:$T$918,3,FALSE))=TRUE,"",VLOOKUP(C15,Rangliste!$B$10:$T$918,3,FALSE))</f>
        <v>WBV</v>
      </c>
      <c r="C15" s="21" t="s">
        <v>96</v>
      </c>
      <c r="D15" s="16" t="str">
        <f>IF(ISBLANK(VLOOKUP(C15,Rangliste!$B$10:$T$918,2,FALSE))=TRUE,"",VLOOKUP(C15,Rangliste!$B$10:$T$918,2,FALSE))</f>
        <v>ASKÖ Traun</v>
      </c>
      <c r="E15" s="41" t="str">
        <f>IF(ISBLANK(VLOOKUP(C15,Rangliste!$B$10:$T$918,4,FALSE))=TRUE,"",VLOOKUP(C15,Rangliste!$B$10:$T$918,4,FALSE))</f>
        <v>M</v>
      </c>
      <c r="F15" s="15" t="e">
        <f t="shared" si="0"/>
        <v>#REF!</v>
      </c>
      <c r="G15" s="15" t="e">
        <f t="shared" si="1"/>
        <v>#REF!</v>
      </c>
      <c r="H15" s="15" t="e">
        <f t="shared" si="2"/>
        <v>#REF!</v>
      </c>
      <c r="I15" s="15">
        <v>0</v>
      </c>
      <c r="J15" s="15" t="e">
        <f t="shared" si="3"/>
        <v>#REF!</v>
      </c>
      <c r="K15" s="42" t="e">
        <f t="shared" si="4"/>
        <v>#REF!</v>
      </c>
      <c r="L15" s="43" t="e">
        <f t="shared" si="5"/>
        <v>#REF!</v>
      </c>
      <c r="M15" s="43">
        <f>VLOOKUP(C15,Rangliste!$B$10:$T$912,12,FALSE)</f>
        <v>0</v>
      </c>
    </row>
    <row r="16" spans="1:13" ht="12.75" customHeight="1" x14ac:dyDescent="0.3">
      <c r="A16" s="15" t="s">
        <v>381</v>
      </c>
      <c r="B16" s="15" t="e">
        <f>IF(ISBLANK(VLOOKUP(C16,Rangliste!$B$10:$T$918,3,FALSE))=TRUE,"",VLOOKUP(C16,Rangliste!$B$10:$T$918,3,FALSE))</f>
        <v>#N/A</v>
      </c>
      <c r="C16" s="43" t="s">
        <v>440</v>
      </c>
      <c r="D16" s="16" t="e">
        <f>IF(ISBLANK(VLOOKUP(C16,Rangliste!$B$10:$T$918,2,FALSE))=TRUE,"",VLOOKUP(C16,Rangliste!$B$10:$T$918,2,FALSE))</f>
        <v>#N/A</v>
      </c>
      <c r="E16" s="41" t="e">
        <f>IF(ISBLANK(VLOOKUP(C16,Rangliste!$B$10:$T$918,4,FALSE))=TRUE,"",VLOOKUP(C16,Rangliste!$B$10:$T$918,4,FALSE))</f>
        <v>#N/A</v>
      </c>
      <c r="F16" s="15" t="e">
        <f t="shared" si="0"/>
        <v>#REF!</v>
      </c>
      <c r="G16" s="15" t="e">
        <f t="shared" si="1"/>
        <v>#REF!</v>
      </c>
      <c r="H16" s="15" t="e">
        <f t="shared" si="2"/>
        <v>#REF!</v>
      </c>
      <c r="I16" s="15">
        <v>0</v>
      </c>
      <c r="J16" s="15" t="e">
        <f t="shared" si="3"/>
        <v>#REF!</v>
      </c>
      <c r="K16" s="42" t="e">
        <f t="shared" si="4"/>
        <v>#REF!</v>
      </c>
      <c r="L16" s="43" t="e">
        <f t="shared" si="5"/>
        <v>#REF!</v>
      </c>
      <c r="M16" s="43" t="e">
        <f>VLOOKUP(C16,Rangliste!$B$10:$T$912,12,FALSE)</f>
        <v>#N/A</v>
      </c>
    </row>
    <row r="17" spans="1:13" ht="12.75" customHeight="1" x14ac:dyDescent="0.3">
      <c r="A17" s="15" t="s">
        <v>383</v>
      </c>
      <c r="B17" s="15" t="e">
        <f>IF(ISBLANK(VLOOKUP(C17,Rangliste!$B$10:$T$918,3,FALSE))=TRUE,"",VLOOKUP(C17,Rangliste!$B$10:$T$918,3,FALSE))</f>
        <v>#N/A</v>
      </c>
      <c r="C17" s="21" t="s">
        <v>441</v>
      </c>
      <c r="D17" s="16" t="e">
        <f>IF(ISBLANK(VLOOKUP(C17,Rangliste!$B$10:$T$918,2,FALSE))=TRUE,"",VLOOKUP(C17,Rangliste!$B$10:$T$918,2,FALSE))</f>
        <v>#N/A</v>
      </c>
      <c r="E17" s="41" t="e">
        <f>IF(ISBLANK(VLOOKUP(C17,Rangliste!$B$10:$T$918,4,FALSE))=TRUE,"",VLOOKUP(C17,Rangliste!$B$10:$T$918,4,FALSE))</f>
        <v>#N/A</v>
      </c>
      <c r="F17" s="15" t="e">
        <f t="shared" si="0"/>
        <v>#REF!</v>
      </c>
      <c r="G17" s="15" t="e">
        <f t="shared" si="1"/>
        <v>#REF!</v>
      </c>
      <c r="H17" s="15" t="e">
        <f t="shared" si="2"/>
        <v>#REF!</v>
      </c>
      <c r="I17" s="15">
        <v>0</v>
      </c>
      <c r="J17" s="15" t="e">
        <f t="shared" si="3"/>
        <v>#REF!</v>
      </c>
      <c r="K17" s="42" t="e">
        <f t="shared" si="4"/>
        <v>#REF!</v>
      </c>
      <c r="L17" s="43" t="e">
        <f t="shared" si="5"/>
        <v>#REF!</v>
      </c>
      <c r="M17" s="43" t="e">
        <f>VLOOKUP(C17,Rangliste!$B$10:$T$912,12,FALSE)</f>
        <v>#N/A</v>
      </c>
    </row>
    <row r="18" spans="1:13" ht="12.75" customHeight="1" x14ac:dyDescent="0.3">
      <c r="A18" s="15" t="s">
        <v>385</v>
      </c>
      <c r="B18" s="15" t="e">
        <f>IF(ISBLANK(VLOOKUP(C18,Rangliste!$B$10:$T$918,3,FALSE))=TRUE,"",VLOOKUP(C18,Rangliste!$B$10:$T$918,3,FALSE))</f>
        <v>#N/A</v>
      </c>
      <c r="C18" s="21" t="s">
        <v>442</v>
      </c>
      <c r="D18" s="16" t="e">
        <f>IF(ISBLANK(VLOOKUP(C18,Rangliste!$B$10:$T$918,2,FALSE))=TRUE,"",VLOOKUP(C18,Rangliste!$B$10:$T$918,2,FALSE))</f>
        <v>#N/A</v>
      </c>
      <c r="E18" s="41" t="e">
        <f>IF(ISBLANK(VLOOKUP(C18,Rangliste!$B$10:$T$918,4,FALSE))=TRUE,"",VLOOKUP(C18,Rangliste!$B$10:$T$918,4,FALSE))</f>
        <v>#N/A</v>
      </c>
      <c r="F18" s="15" t="e">
        <f t="shared" si="0"/>
        <v>#REF!</v>
      </c>
      <c r="G18" s="15" t="e">
        <f t="shared" si="1"/>
        <v>#REF!</v>
      </c>
      <c r="H18" s="15" t="e">
        <f t="shared" si="2"/>
        <v>#REF!</v>
      </c>
      <c r="I18" s="15">
        <v>0</v>
      </c>
      <c r="J18" s="15" t="e">
        <f t="shared" si="3"/>
        <v>#REF!</v>
      </c>
      <c r="K18" s="42" t="e">
        <f t="shared" si="4"/>
        <v>#REF!</v>
      </c>
      <c r="L18" s="43" t="e">
        <f t="shared" si="5"/>
        <v>#REF!</v>
      </c>
      <c r="M18" s="43" t="e">
        <f>VLOOKUP(C18,Rangliste!$B$10:$T$912,12,FALSE)</f>
        <v>#N/A</v>
      </c>
    </row>
    <row r="19" spans="1:13" ht="12.75" customHeight="1" x14ac:dyDescent="0.3">
      <c r="A19" s="44" t="s">
        <v>443</v>
      </c>
      <c r="B19" s="56" t="e">
        <f>IF(ISBLANK(VLOOKUP(C19,Rangliste!$B$10:$T$918,3,FALSE))=TRUE,"",VLOOKUP(C19,Rangliste!$B$10:$T$918,3,FALSE))</f>
        <v>#REF!</v>
      </c>
      <c r="C19" s="57" t="e">
        <f>IF(AND(ISBLANK(#REF!),ISBLANK(#REF!),ISBLANK(#REF!))=TRUE,"",IF(AND(#REF!&gt;#REF!,#REF!&gt;#REF!),#REF!,IF(AND(#REF!&gt;#REF!,#REF!&gt;#REF!),#REF!,IF(AND(#REF!&gt;#REF!,#REF!&gt;#REF!),#REF!,FALSE))))</f>
        <v>#REF!</v>
      </c>
      <c r="D19" s="57" t="e">
        <f>IF(ISBLANK(VLOOKUP(C19,Rangliste!$B$10:$T$918,2,FALSE))=TRUE,"",VLOOKUP(C19,Rangliste!$B$10:$T$918,2,FALSE))</f>
        <v>#REF!</v>
      </c>
      <c r="E19" s="57" t="e">
        <f>IF(ISBLANK(VLOOKUP(C19,Rangliste!$B$10:$T$918,4,FALSE))=TRUE,"",VLOOKUP(C19,Rangliste!$B$10:$T$918,4,FALSE))</f>
        <v>#REF!</v>
      </c>
      <c r="F19" s="52" t="e">
        <f t="shared" si="0"/>
        <v>#REF!</v>
      </c>
      <c r="G19" s="52" t="e">
        <f t="shared" si="1"/>
        <v>#REF!</v>
      </c>
      <c r="H19" s="52" t="e">
        <f t="shared" si="2"/>
        <v>#REF!</v>
      </c>
      <c r="I19" s="52" t="s">
        <v>388</v>
      </c>
      <c r="J19" s="52" t="e">
        <f t="shared" si="3"/>
        <v>#REF!</v>
      </c>
      <c r="K19" s="53" t="e">
        <f t="shared" si="4"/>
        <v>#REF!</v>
      </c>
      <c r="L19" s="43" t="e">
        <f t="shared" si="5"/>
        <v>#REF!</v>
      </c>
      <c r="M19" s="43" t="e">
        <f>VLOOKUP(C19,Rangliste!$B$10:$T$912,12,FALSE)</f>
        <v>#REF!</v>
      </c>
    </row>
    <row r="20" spans="1:13" ht="12.75" customHeight="1" x14ac:dyDescent="0.3">
      <c r="A20" s="15" t="s">
        <v>389</v>
      </c>
      <c r="B20" s="15" t="e">
        <f>IF(ISBLANK(VLOOKUP(C20,Rangliste!$B$10:$T$918,3,FALSE))=TRUE,"",VLOOKUP(C20,Rangliste!$B$10:$T$918,3,FALSE))</f>
        <v>#REF!</v>
      </c>
      <c r="C20" s="16" t="e">
        <f t="shared" ref="C20:C27" si="6">#REF!</f>
        <v>#REF!</v>
      </c>
      <c r="D20" s="16" t="e">
        <f>IF(ISBLANK(VLOOKUP(C20,Rangliste!$B$10:$T$918,2,FALSE))=TRUE,"",VLOOKUP(C20,Rangliste!$B$10:$T$918,2,FALSE))</f>
        <v>#REF!</v>
      </c>
      <c r="E20" s="41" t="e">
        <f>IF(ISBLANK(VLOOKUP(C20,Rangliste!$B$10:$T$918,4,FALSE))=TRUE,"",VLOOKUP(C20,Rangliste!$B$10:$T$918,4,FALSE))</f>
        <v>#REF!</v>
      </c>
      <c r="F20" s="15" t="e">
        <f t="shared" si="0"/>
        <v>#REF!</v>
      </c>
      <c r="G20" s="15" t="e">
        <f t="shared" si="1"/>
        <v>#REF!</v>
      </c>
      <c r="H20" s="15" t="e">
        <f t="shared" si="2"/>
        <v>#REF!</v>
      </c>
      <c r="I20" s="15" t="s">
        <v>388</v>
      </c>
      <c r="J20" s="15" t="e">
        <f t="shared" ref="J20:J27" si="7">#REF!</f>
        <v>#REF!</v>
      </c>
      <c r="K20" s="42" t="e">
        <f t="shared" si="4"/>
        <v>#REF!</v>
      </c>
      <c r="L20" s="43" t="s">
        <v>348</v>
      </c>
      <c r="M20" s="43" t="e">
        <f>VLOOKUP(C20,Rangliste!$B$10:$T$912,12,FALSE)</f>
        <v>#REF!</v>
      </c>
    </row>
    <row r="21" spans="1:13" ht="12.75" customHeight="1" x14ac:dyDescent="0.3">
      <c r="A21" s="15" t="s">
        <v>389</v>
      </c>
      <c r="B21" s="15" t="e">
        <f>IF(ISBLANK(VLOOKUP(C21,Rangliste!$B$10:$T$918,3,FALSE))=TRUE,"",VLOOKUP(C21,Rangliste!$B$10:$T$918,3,FALSE))</f>
        <v>#REF!</v>
      </c>
      <c r="C21" s="16" t="e">
        <f t="shared" si="6"/>
        <v>#REF!</v>
      </c>
      <c r="D21" s="16" t="e">
        <f>IF(ISBLANK(VLOOKUP(C21,Rangliste!$B$10:$T$918,2,FALSE))=TRUE,"",VLOOKUP(C21,Rangliste!$B$10:$T$918,2,FALSE))</f>
        <v>#REF!</v>
      </c>
      <c r="E21" s="41" t="e">
        <f>IF(ISBLANK(VLOOKUP(C21,Rangliste!$B$10:$T$918,4,FALSE))=TRUE,"",VLOOKUP(C21,Rangliste!$B$10:$T$918,4,FALSE))</f>
        <v>#REF!</v>
      </c>
      <c r="F21" s="15" t="e">
        <f t="shared" si="0"/>
        <v>#REF!</v>
      </c>
      <c r="G21" s="15" t="e">
        <f t="shared" si="1"/>
        <v>#REF!</v>
      </c>
      <c r="H21" s="15" t="e">
        <f t="shared" si="2"/>
        <v>#REF!</v>
      </c>
      <c r="I21" s="15" t="s">
        <v>388</v>
      </c>
      <c r="J21" s="15" t="e">
        <f t="shared" si="7"/>
        <v>#REF!</v>
      </c>
      <c r="K21" s="42" t="e">
        <f t="shared" si="4"/>
        <v>#REF!</v>
      </c>
      <c r="L21" s="43" t="s">
        <v>346</v>
      </c>
      <c r="M21" s="43" t="e">
        <f>VLOOKUP(C21,Rangliste!$B$10:$T$912,12,FALSE)</f>
        <v>#REF!</v>
      </c>
    </row>
    <row r="22" spans="1:13" ht="12.75" customHeight="1" x14ac:dyDescent="0.3">
      <c r="A22" s="15" t="s">
        <v>389</v>
      </c>
      <c r="B22" s="15" t="e">
        <f>IF(ISBLANK(VLOOKUP(C22,Rangliste!$B$10:$T$918,3,FALSE))=TRUE,"",VLOOKUP(C22,Rangliste!$B$10:$T$918,3,FALSE))</f>
        <v>#REF!</v>
      </c>
      <c r="C22" s="16" t="e">
        <f t="shared" si="6"/>
        <v>#REF!</v>
      </c>
      <c r="D22" s="16" t="e">
        <f>IF(ISBLANK(VLOOKUP(C22,Rangliste!$B$10:$T$918,2,FALSE))=TRUE,"",VLOOKUP(C22,Rangliste!$B$10:$T$918,2,FALSE))</f>
        <v>#REF!</v>
      </c>
      <c r="E22" s="41" t="e">
        <f>IF(ISBLANK(VLOOKUP(C22,Rangliste!$B$10:$T$918,4,FALSE))=TRUE,"",VLOOKUP(C22,Rangliste!$B$10:$T$918,4,FALSE))</f>
        <v>#REF!</v>
      </c>
      <c r="F22" s="15" t="e">
        <f t="shared" si="0"/>
        <v>#REF!</v>
      </c>
      <c r="G22" s="15" t="e">
        <f t="shared" si="1"/>
        <v>#REF!</v>
      </c>
      <c r="H22" s="15" t="e">
        <f t="shared" si="2"/>
        <v>#REF!</v>
      </c>
      <c r="I22" s="15" t="s">
        <v>388</v>
      </c>
      <c r="J22" s="15" t="e">
        <f t="shared" si="7"/>
        <v>#REF!</v>
      </c>
      <c r="K22" s="42" t="e">
        <f t="shared" si="4"/>
        <v>#REF!</v>
      </c>
      <c r="L22" s="43" t="e">
        <f t="shared" ref="L22:L27" si="8">IF(MAX(F22:H22)&lt;=85,"Einsteiger",IF(MAX(F22:H22)&lt;=108,"E",IF(MAX(F22:H22)&lt;=131,"D",IF(MAX(F22:H22)&lt;=154,"C",IF(MAX(F22:H22)&lt;=177,"B","A")))))</f>
        <v>#REF!</v>
      </c>
      <c r="M22" s="43" t="e">
        <f>VLOOKUP(C22,Rangliste!$B$10:$T$912,12,FALSE)</f>
        <v>#REF!</v>
      </c>
    </row>
    <row r="23" spans="1:13" ht="12.75" customHeight="1" x14ac:dyDescent="0.3">
      <c r="A23" s="15" t="s">
        <v>389</v>
      </c>
      <c r="B23" s="15" t="e">
        <f>IF(ISBLANK(VLOOKUP(C23,Rangliste!$B$10:$T$918,3,FALSE))=TRUE,"",VLOOKUP(C23,Rangliste!$B$10:$T$918,3,FALSE))</f>
        <v>#REF!</v>
      </c>
      <c r="C23" s="16" t="e">
        <f t="shared" si="6"/>
        <v>#REF!</v>
      </c>
      <c r="D23" s="16" t="e">
        <f>IF(ISBLANK(VLOOKUP(C23,Rangliste!$B$10:$T$918,2,FALSE))=TRUE,"",VLOOKUP(C23,Rangliste!$B$10:$T$918,2,FALSE))</f>
        <v>#REF!</v>
      </c>
      <c r="E23" s="41" t="e">
        <f>IF(ISBLANK(VLOOKUP(C23,Rangliste!$B$10:$T$918,4,FALSE))=TRUE,"",VLOOKUP(C23,Rangliste!$B$10:$T$918,4,FALSE))</f>
        <v>#REF!</v>
      </c>
      <c r="F23" s="15" t="e">
        <f t="shared" si="0"/>
        <v>#REF!</v>
      </c>
      <c r="G23" s="15" t="e">
        <f t="shared" si="1"/>
        <v>#REF!</v>
      </c>
      <c r="H23" s="15" t="e">
        <f t="shared" si="2"/>
        <v>#REF!</v>
      </c>
      <c r="I23" s="15" t="s">
        <v>388</v>
      </c>
      <c r="J23" s="15" t="e">
        <f t="shared" si="7"/>
        <v>#REF!</v>
      </c>
      <c r="K23" s="42" t="e">
        <f t="shared" si="4"/>
        <v>#REF!</v>
      </c>
      <c r="L23" s="43" t="e">
        <f t="shared" si="8"/>
        <v>#REF!</v>
      </c>
      <c r="M23" s="43" t="e">
        <f>VLOOKUP(C23,Rangliste!$B$10:$T$912,12,FALSE)</f>
        <v>#REF!</v>
      </c>
    </row>
    <row r="24" spans="1:13" ht="12.75" customHeight="1" x14ac:dyDescent="0.3">
      <c r="A24" s="15" t="s">
        <v>389</v>
      </c>
      <c r="B24" s="15" t="e">
        <f>IF(ISBLANK(VLOOKUP(C24,Rangliste!$B$10:$T$918,3,FALSE))=TRUE,"",VLOOKUP(C24,Rangliste!$B$10:$T$918,3,FALSE))</f>
        <v>#REF!</v>
      </c>
      <c r="C24" s="16" t="e">
        <f t="shared" si="6"/>
        <v>#REF!</v>
      </c>
      <c r="D24" s="16" t="e">
        <f>IF(ISBLANK(VLOOKUP(C24,Rangliste!$B$10:$T$918,2,FALSE))=TRUE,"",VLOOKUP(C24,Rangliste!$B$10:$T$918,2,FALSE))</f>
        <v>#REF!</v>
      </c>
      <c r="E24" s="41" t="e">
        <f>IF(ISBLANK(VLOOKUP(C24,Rangliste!$B$10:$T$918,4,FALSE))=TRUE,"",VLOOKUP(C24,Rangliste!$B$10:$T$918,4,FALSE))</f>
        <v>#REF!</v>
      </c>
      <c r="F24" s="15" t="e">
        <f t="shared" si="0"/>
        <v>#REF!</v>
      </c>
      <c r="G24" s="15" t="e">
        <f t="shared" si="1"/>
        <v>#REF!</v>
      </c>
      <c r="H24" s="15" t="e">
        <f t="shared" si="2"/>
        <v>#REF!</v>
      </c>
      <c r="I24" s="15" t="s">
        <v>388</v>
      </c>
      <c r="J24" s="15" t="e">
        <f t="shared" si="7"/>
        <v>#REF!</v>
      </c>
      <c r="K24" s="42" t="e">
        <f t="shared" si="4"/>
        <v>#REF!</v>
      </c>
      <c r="L24" s="43" t="e">
        <f t="shared" si="8"/>
        <v>#REF!</v>
      </c>
      <c r="M24" s="43" t="e">
        <f>VLOOKUP(C24,Rangliste!$B$10:$T$912,12,FALSE)</f>
        <v>#REF!</v>
      </c>
    </row>
    <row r="25" spans="1:13" ht="12.75" customHeight="1" x14ac:dyDescent="0.3">
      <c r="A25" s="15" t="s">
        <v>389</v>
      </c>
      <c r="B25" s="15" t="e">
        <f>IF(ISBLANK(VLOOKUP(C25,Rangliste!$B$10:$T$918,3,FALSE))=TRUE,"",VLOOKUP(C25,Rangliste!$B$10:$T$918,3,FALSE))</f>
        <v>#REF!</v>
      </c>
      <c r="C25" s="16" t="e">
        <f t="shared" si="6"/>
        <v>#REF!</v>
      </c>
      <c r="D25" s="16" t="e">
        <f>IF(ISBLANK(VLOOKUP(C25,Rangliste!$B$10:$T$918,2,FALSE))=TRUE,"",VLOOKUP(C25,Rangliste!$B$10:$T$918,2,FALSE))</f>
        <v>#REF!</v>
      </c>
      <c r="E25" s="41" t="e">
        <f>IF(ISBLANK(VLOOKUP(C25,Rangliste!$B$10:$T$918,4,FALSE))=TRUE,"",VLOOKUP(C25,Rangliste!$B$10:$T$918,4,FALSE))</f>
        <v>#REF!</v>
      </c>
      <c r="F25" s="15" t="e">
        <f t="shared" si="0"/>
        <v>#REF!</v>
      </c>
      <c r="G25" s="15" t="e">
        <f t="shared" si="1"/>
        <v>#REF!</v>
      </c>
      <c r="H25" s="15" t="e">
        <f t="shared" si="2"/>
        <v>#REF!</v>
      </c>
      <c r="I25" s="15" t="s">
        <v>388</v>
      </c>
      <c r="J25" s="15" t="e">
        <f t="shared" si="7"/>
        <v>#REF!</v>
      </c>
      <c r="K25" s="42" t="e">
        <f t="shared" si="4"/>
        <v>#REF!</v>
      </c>
      <c r="L25" s="43" t="e">
        <f t="shared" si="8"/>
        <v>#REF!</v>
      </c>
      <c r="M25" s="43" t="e">
        <f>VLOOKUP(C25,Rangliste!$B$10:$T$912,12,FALSE)</f>
        <v>#REF!</v>
      </c>
    </row>
    <row r="26" spans="1:13" ht="12.75" customHeight="1" x14ac:dyDescent="0.3">
      <c r="A26" s="15" t="s">
        <v>389</v>
      </c>
      <c r="B26" s="15" t="e">
        <f>IF(ISBLANK(VLOOKUP(C26,Rangliste!$B$10:$T$918,3,FALSE))=TRUE,"",VLOOKUP(C26,Rangliste!$B$10:$T$918,3,FALSE))</f>
        <v>#REF!</v>
      </c>
      <c r="C26" s="16" t="e">
        <f t="shared" si="6"/>
        <v>#REF!</v>
      </c>
      <c r="D26" s="16" t="e">
        <f>IF(ISBLANK(VLOOKUP(C26,Rangliste!$B$10:$T$918,2,FALSE))=TRUE,"",VLOOKUP(C26,Rangliste!$B$10:$T$918,2,FALSE))</f>
        <v>#REF!</v>
      </c>
      <c r="E26" s="41" t="e">
        <f>IF(ISBLANK(VLOOKUP(C26,Rangliste!$B$10:$T$918,4,FALSE))=TRUE,"",VLOOKUP(C26,Rangliste!$B$10:$T$918,4,FALSE))</f>
        <v>#REF!</v>
      </c>
      <c r="F26" s="15" t="e">
        <f t="shared" si="0"/>
        <v>#REF!</v>
      </c>
      <c r="G26" s="15" t="e">
        <f t="shared" si="1"/>
        <v>#REF!</v>
      </c>
      <c r="H26" s="15" t="e">
        <f t="shared" si="2"/>
        <v>#REF!</v>
      </c>
      <c r="I26" s="15" t="s">
        <v>388</v>
      </c>
      <c r="J26" s="15" t="e">
        <f t="shared" si="7"/>
        <v>#REF!</v>
      </c>
      <c r="K26" s="42" t="e">
        <f t="shared" si="4"/>
        <v>#REF!</v>
      </c>
      <c r="L26" s="43" t="e">
        <f t="shared" si="8"/>
        <v>#REF!</v>
      </c>
      <c r="M26" s="43" t="e">
        <f>VLOOKUP(C26,Rangliste!$B$10:$T$912,12,FALSE)</f>
        <v>#REF!</v>
      </c>
    </row>
    <row r="27" spans="1:13" ht="12.75" customHeight="1" x14ac:dyDescent="0.3">
      <c r="A27" s="15" t="s">
        <v>389</v>
      </c>
      <c r="B27" s="15" t="e">
        <f>IF(ISBLANK(VLOOKUP(C27,Rangliste!$B$10:$T$918,3,FALSE))=TRUE,"",VLOOKUP(C27,Rangliste!$B$10:$T$918,3,FALSE))</f>
        <v>#REF!</v>
      </c>
      <c r="C27" s="16" t="e">
        <f t="shared" si="6"/>
        <v>#REF!</v>
      </c>
      <c r="D27" s="16" t="e">
        <f>IF(ISBLANK(VLOOKUP(C27,Rangliste!$B$10:$T$918,2,FALSE))=TRUE,"",VLOOKUP(C27,Rangliste!$B$10:$T$918,2,FALSE))</f>
        <v>#REF!</v>
      </c>
      <c r="E27" s="41" t="e">
        <f>IF(ISBLANK(VLOOKUP(C27,Rangliste!$B$10:$T$918,4,FALSE))=TRUE,"",VLOOKUP(C27,Rangliste!$B$10:$T$918,4,FALSE))</f>
        <v>#REF!</v>
      </c>
      <c r="F27" s="15" t="e">
        <f t="shared" si="0"/>
        <v>#REF!</v>
      </c>
      <c r="G27" s="15" t="e">
        <f t="shared" si="1"/>
        <v>#REF!</v>
      </c>
      <c r="H27" s="15" t="e">
        <f t="shared" si="2"/>
        <v>#REF!</v>
      </c>
      <c r="I27" s="15" t="s">
        <v>388</v>
      </c>
      <c r="J27" s="15" t="e">
        <f t="shared" si="7"/>
        <v>#REF!</v>
      </c>
      <c r="K27" s="42" t="e">
        <f t="shared" si="4"/>
        <v>#REF!</v>
      </c>
      <c r="L27" s="43" t="e">
        <f t="shared" si="8"/>
        <v>#REF!</v>
      </c>
      <c r="M27" s="43" t="e">
        <f>VLOOKUP(C27,Rangliste!$B$10:$T$912,12,FALSE)</f>
        <v>#REF!</v>
      </c>
    </row>
    <row r="28" spans="1:13" ht="11.25" customHeight="1" x14ac:dyDescent="0.3">
      <c r="B28" s="18"/>
    </row>
    <row r="29" spans="1:13" ht="12.75" customHeight="1" x14ac:dyDescent="0.3">
      <c r="B29" s="18"/>
    </row>
    <row r="30" spans="1:13" ht="12.75" customHeight="1" x14ac:dyDescent="0.3">
      <c r="B30" s="18"/>
    </row>
    <row r="31" spans="1:13" ht="12.75" customHeight="1" x14ac:dyDescent="0.3">
      <c r="B31" s="18"/>
    </row>
    <row r="32" spans="1:13" ht="12.75" customHeight="1" x14ac:dyDescent="0.3">
      <c r="B32" s="18"/>
    </row>
    <row r="33" spans="1:11" ht="12.75" customHeight="1" x14ac:dyDescent="0.3">
      <c r="B33" s="18"/>
      <c r="C33" s="48" t="str">
        <f>IF(COUNTA(A4:A27)=COUNT(B4:B27),"","Spieler muss beim nächsten Einzel-RLT ÖBV-Mitglied sein")</f>
        <v>Spieler muss beim nächsten Einzel-RLT ÖBV-Mitglied sein</v>
      </c>
    </row>
    <row r="34" spans="1:11" ht="12.75" customHeight="1" x14ac:dyDescent="0.3">
      <c r="B34" s="18"/>
      <c r="C34" s="49" t="str">
        <f>IF(COUNTA(A4:A18)=COUNT(E4:E18),"","Jahrgang bekannt geben")</f>
        <v>Jahrgang bekannt geben</v>
      </c>
    </row>
    <row r="35" spans="1:11" ht="12.75" customHeight="1" x14ac:dyDescent="0.3">
      <c r="B35" s="18"/>
    </row>
    <row r="36" spans="1:11" ht="12.75" customHeight="1" x14ac:dyDescent="0.3">
      <c r="B36" s="18"/>
    </row>
    <row r="37" spans="1:11" ht="12.75" customHeight="1" x14ac:dyDescent="0.3">
      <c r="B37" s="18"/>
    </row>
    <row r="38" spans="1:11" ht="12.75" customHeight="1" x14ac:dyDescent="0.3">
      <c r="B38" s="18"/>
    </row>
    <row r="39" spans="1:11" ht="12.75" customHeight="1" x14ac:dyDescent="0.3">
      <c r="B39" s="18"/>
    </row>
    <row r="40" spans="1:11" ht="12.75" customHeight="1" x14ac:dyDescent="0.4">
      <c r="A40" s="134" t="s">
        <v>390</v>
      </c>
      <c r="B40" s="135"/>
      <c r="C40" s="135"/>
      <c r="D40" s="135"/>
      <c r="E40" s="135"/>
      <c r="F40" s="135"/>
      <c r="G40" s="135"/>
      <c r="H40" s="135"/>
      <c r="I40" s="135"/>
      <c r="J40" s="135"/>
      <c r="K40" s="136"/>
    </row>
    <row r="41" spans="1:11" ht="12.75" customHeight="1" x14ac:dyDescent="0.3">
      <c r="A41" s="137" t="s">
        <v>444</v>
      </c>
      <c r="B41" s="138"/>
      <c r="C41" s="138"/>
      <c r="D41" s="138"/>
      <c r="E41" s="138"/>
      <c r="F41" s="138"/>
      <c r="G41" s="138"/>
      <c r="H41" s="138"/>
      <c r="I41" s="138"/>
      <c r="J41" s="138"/>
      <c r="K41" s="139"/>
    </row>
    <row r="42" spans="1:11" ht="12.75" customHeight="1" x14ac:dyDescent="0.3">
      <c r="A42" s="129"/>
      <c r="B42" s="127"/>
      <c r="C42" s="127"/>
      <c r="D42" s="127"/>
      <c r="E42" s="127"/>
      <c r="F42" s="127"/>
      <c r="G42" s="127"/>
      <c r="H42" s="127"/>
      <c r="I42" s="127"/>
      <c r="J42" s="127"/>
      <c r="K42" s="128"/>
    </row>
    <row r="43" spans="1:11" ht="12.75" customHeight="1" x14ac:dyDescent="0.3">
      <c r="A43" s="129"/>
      <c r="B43" s="127"/>
      <c r="C43" s="127"/>
      <c r="D43" s="127"/>
      <c r="E43" s="127"/>
      <c r="F43" s="127"/>
      <c r="G43" s="127"/>
      <c r="H43" s="127"/>
      <c r="I43" s="127"/>
      <c r="J43" s="127"/>
      <c r="K43" s="128"/>
    </row>
    <row r="44" spans="1:11" ht="12.75" customHeight="1" x14ac:dyDescent="0.3">
      <c r="A44" s="129"/>
      <c r="B44" s="127"/>
      <c r="C44" s="127"/>
      <c r="D44" s="127"/>
      <c r="E44" s="127"/>
      <c r="F44" s="127"/>
      <c r="G44" s="127"/>
      <c r="H44" s="127"/>
      <c r="I44" s="127"/>
      <c r="J44" s="127"/>
      <c r="K44" s="128"/>
    </row>
    <row r="45" spans="1:11" ht="12.75" customHeight="1" x14ac:dyDescent="0.3">
      <c r="A45" s="129"/>
      <c r="B45" s="127"/>
      <c r="C45" s="127"/>
      <c r="D45" s="127"/>
      <c r="E45" s="127"/>
      <c r="F45" s="127"/>
      <c r="G45" s="127"/>
      <c r="H45" s="127"/>
      <c r="I45" s="127"/>
      <c r="J45" s="127"/>
      <c r="K45" s="128"/>
    </row>
    <row r="46" spans="1:11" ht="12.75" customHeight="1" x14ac:dyDescent="0.3">
      <c r="A46" s="129"/>
      <c r="B46" s="127"/>
      <c r="C46" s="127"/>
      <c r="D46" s="127"/>
      <c r="E46" s="127"/>
      <c r="F46" s="127"/>
      <c r="G46" s="127"/>
      <c r="H46" s="127"/>
      <c r="I46" s="127"/>
      <c r="J46" s="127"/>
      <c r="K46" s="128"/>
    </row>
    <row r="47" spans="1:11" ht="12.75" customHeight="1" x14ac:dyDescent="0.3">
      <c r="A47" s="129"/>
      <c r="B47" s="127"/>
      <c r="C47" s="127"/>
      <c r="D47" s="127"/>
      <c r="E47" s="127"/>
      <c r="F47" s="127"/>
      <c r="G47" s="127"/>
      <c r="H47" s="127"/>
      <c r="I47" s="127"/>
      <c r="J47" s="127"/>
      <c r="K47" s="128"/>
    </row>
    <row r="48" spans="1:11" ht="12.75" customHeight="1" x14ac:dyDescent="0.3">
      <c r="A48" s="129"/>
      <c r="B48" s="127"/>
      <c r="C48" s="127"/>
      <c r="D48" s="127"/>
      <c r="E48" s="127"/>
      <c r="F48" s="127"/>
      <c r="G48" s="127"/>
      <c r="H48" s="127"/>
      <c r="I48" s="127"/>
      <c r="J48" s="127"/>
      <c r="K48" s="128"/>
    </row>
    <row r="49" spans="1:11" ht="12.75" customHeight="1" x14ac:dyDescent="0.3">
      <c r="A49" s="129"/>
      <c r="B49" s="127"/>
      <c r="C49" s="127"/>
      <c r="D49" s="127"/>
      <c r="E49" s="127"/>
      <c r="F49" s="127"/>
      <c r="G49" s="127"/>
      <c r="H49" s="127"/>
      <c r="I49" s="127"/>
      <c r="J49" s="127"/>
      <c r="K49" s="128"/>
    </row>
    <row r="50" spans="1:11" ht="12.75" customHeight="1" x14ac:dyDescent="0.3">
      <c r="A50" s="129"/>
      <c r="B50" s="127"/>
      <c r="C50" s="127"/>
      <c r="D50" s="127"/>
      <c r="E50" s="127"/>
      <c r="F50" s="127"/>
      <c r="G50" s="127"/>
      <c r="H50" s="127"/>
      <c r="I50" s="127"/>
      <c r="J50" s="127"/>
      <c r="K50" s="128"/>
    </row>
    <row r="51" spans="1:11" ht="12.75" customHeight="1" x14ac:dyDescent="0.3">
      <c r="A51" s="130"/>
      <c r="B51" s="131"/>
      <c r="C51" s="131"/>
      <c r="D51" s="131"/>
      <c r="E51" s="131"/>
      <c r="F51" s="131"/>
      <c r="G51" s="131"/>
      <c r="H51" s="131"/>
      <c r="I51" s="131"/>
      <c r="J51" s="131"/>
      <c r="K51" s="132"/>
    </row>
    <row r="52" spans="1:11" ht="12.75" customHeight="1" x14ac:dyDescent="0.3">
      <c r="A52" s="58"/>
      <c r="B52" s="59"/>
      <c r="C52" s="28"/>
      <c r="D52" s="28"/>
      <c r="E52" s="28"/>
      <c r="F52" s="28"/>
      <c r="G52" s="28"/>
      <c r="H52" s="28"/>
      <c r="I52" s="28"/>
      <c r="J52" s="28"/>
      <c r="K52" s="60"/>
    </row>
    <row r="53" spans="1:11" ht="12.75" customHeight="1" x14ac:dyDescent="0.3">
      <c r="B53" s="18"/>
    </row>
    <row r="54" spans="1:11" ht="12.75" customHeight="1" x14ac:dyDescent="0.3">
      <c r="B54" s="18"/>
    </row>
    <row r="55" spans="1:11" ht="12.75" customHeight="1" x14ac:dyDescent="0.3">
      <c r="B55" s="18"/>
    </row>
    <row r="56" spans="1:11" ht="12.75" customHeight="1" x14ac:dyDescent="0.3">
      <c r="B56" s="18"/>
    </row>
    <row r="57" spans="1:11" ht="12.75" customHeight="1" x14ac:dyDescent="0.3">
      <c r="B57" s="18"/>
    </row>
    <row r="58" spans="1:11" ht="12.75" customHeight="1" x14ac:dyDescent="0.3">
      <c r="B58" s="18"/>
    </row>
    <row r="59" spans="1:11" ht="12.75" customHeight="1" x14ac:dyDescent="0.3">
      <c r="B59" s="18"/>
    </row>
    <row r="60" spans="1:11" ht="12.75" customHeight="1" x14ac:dyDescent="0.3">
      <c r="B60" s="18"/>
    </row>
    <row r="61" spans="1:11" ht="12.75" customHeight="1" x14ac:dyDescent="0.3">
      <c r="B61" s="18"/>
    </row>
    <row r="62" spans="1:11" ht="12.75" customHeight="1" x14ac:dyDescent="0.3">
      <c r="B62" s="18"/>
    </row>
    <row r="63" spans="1:11" ht="12.75" customHeight="1" x14ac:dyDescent="0.3">
      <c r="B63" s="18"/>
    </row>
    <row r="64" spans="1:11" ht="12.75" customHeight="1" x14ac:dyDescent="0.3">
      <c r="B64" s="18"/>
    </row>
    <row r="65" spans="2:2" ht="12.75" customHeight="1" x14ac:dyDescent="0.3">
      <c r="B65" s="18"/>
    </row>
    <row r="66" spans="2:2" ht="12.75" customHeight="1" x14ac:dyDescent="0.3">
      <c r="B66" s="18"/>
    </row>
    <row r="67" spans="2:2" ht="12.75" customHeight="1" x14ac:dyDescent="0.3">
      <c r="B67" s="18"/>
    </row>
    <row r="68" spans="2:2" ht="12.75" customHeight="1" x14ac:dyDescent="0.3">
      <c r="B68" s="18"/>
    </row>
    <row r="69" spans="2:2" ht="12.75" customHeight="1" x14ac:dyDescent="0.3">
      <c r="B69" s="18"/>
    </row>
    <row r="70" spans="2:2" ht="12.75" customHeight="1" x14ac:dyDescent="0.3">
      <c r="B70" s="18"/>
    </row>
    <row r="71" spans="2:2" ht="12.75" customHeight="1" x14ac:dyDescent="0.3">
      <c r="B71" s="18"/>
    </row>
    <row r="72" spans="2:2" ht="12.75" customHeight="1" x14ac:dyDescent="0.3">
      <c r="B72" s="18"/>
    </row>
    <row r="73" spans="2:2" ht="12.75" customHeight="1" x14ac:dyDescent="0.3">
      <c r="B73" s="18"/>
    </row>
    <row r="74" spans="2:2" ht="12.75" customHeight="1" x14ac:dyDescent="0.3">
      <c r="B74" s="18"/>
    </row>
    <row r="75" spans="2:2" ht="12.75" customHeight="1" x14ac:dyDescent="0.3">
      <c r="B75" s="18"/>
    </row>
    <row r="76" spans="2:2" ht="12.75" customHeight="1" x14ac:dyDescent="0.3">
      <c r="B76" s="18"/>
    </row>
    <row r="77" spans="2:2" ht="12.75" customHeight="1" x14ac:dyDescent="0.3">
      <c r="B77" s="18"/>
    </row>
    <row r="78" spans="2:2" ht="12.75" customHeight="1" x14ac:dyDescent="0.3">
      <c r="B78" s="18"/>
    </row>
    <row r="79" spans="2:2" ht="12.75" customHeight="1" x14ac:dyDescent="0.3">
      <c r="B79" s="18"/>
    </row>
    <row r="80" spans="2:2" ht="12.75" customHeight="1" x14ac:dyDescent="0.3">
      <c r="B80" s="18"/>
    </row>
    <row r="81" spans="2:2" ht="12.75" customHeight="1" x14ac:dyDescent="0.3">
      <c r="B81" s="18"/>
    </row>
    <row r="82" spans="2:2" ht="12.75" customHeight="1" x14ac:dyDescent="0.3">
      <c r="B82" s="18"/>
    </row>
    <row r="83" spans="2:2" ht="12.75" customHeight="1" x14ac:dyDescent="0.3">
      <c r="B83" s="18"/>
    </row>
    <row r="84" spans="2:2" ht="12.75" customHeight="1" x14ac:dyDescent="0.3">
      <c r="B84" s="18"/>
    </row>
    <row r="85" spans="2:2" ht="12.75" customHeight="1" x14ac:dyDescent="0.3">
      <c r="B85" s="18"/>
    </row>
    <row r="86" spans="2:2" ht="12.75" customHeight="1" x14ac:dyDescent="0.3">
      <c r="B86" s="18"/>
    </row>
    <row r="87" spans="2:2" ht="12.75" customHeight="1" x14ac:dyDescent="0.3">
      <c r="B87" s="18"/>
    </row>
    <row r="88" spans="2:2" ht="12.75" customHeight="1" x14ac:dyDescent="0.3">
      <c r="B88" s="18"/>
    </row>
    <row r="89" spans="2:2" ht="12.75" customHeight="1" x14ac:dyDescent="0.3">
      <c r="B89" s="18"/>
    </row>
    <row r="90" spans="2:2" ht="12.75" customHeight="1" x14ac:dyDescent="0.3">
      <c r="B90" s="18"/>
    </row>
    <row r="91" spans="2:2" ht="12.75" customHeight="1" x14ac:dyDescent="0.3">
      <c r="B91" s="18"/>
    </row>
    <row r="92" spans="2:2" ht="12.75" customHeight="1" x14ac:dyDescent="0.3">
      <c r="B92" s="18"/>
    </row>
    <row r="93" spans="2:2" ht="12.75" customHeight="1" x14ac:dyDescent="0.3">
      <c r="B93" s="18"/>
    </row>
    <row r="94" spans="2:2" ht="12.75" customHeight="1" x14ac:dyDescent="0.3">
      <c r="B94" s="18"/>
    </row>
    <row r="95" spans="2:2" ht="12.75" customHeight="1" x14ac:dyDescent="0.3">
      <c r="B95" s="18"/>
    </row>
    <row r="96" spans="2:2" ht="12.75" customHeight="1" x14ac:dyDescent="0.3">
      <c r="B96" s="18"/>
    </row>
    <row r="97" spans="2:2" ht="12.75" customHeight="1" x14ac:dyDescent="0.3">
      <c r="B97" s="18"/>
    </row>
    <row r="98" spans="2:2" ht="12.75" customHeight="1" x14ac:dyDescent="0.3">
      <c r="B98" s="18"/>
    </row>
    <row r="99" spans="2:2" ht="12.75" customHeight="1" x14ac:dyDescent="0.3">
      <c r="B99" s="18"/>
    </row>
    <row r="100" spans="2:2" ht="12.75" customHeight="1" x14ac:dyDescent="0.3">
      <c r="B100" s="18"/>
    </row>
    <row r="101" spans="2:2" ht="12.75" customHeight="1" x14ac:dyDescent="0.3">
      <c r="B101" s="18"/>
    </row>
    <row r="102" spans="2:2" ht="12.75" customHeight="1" x14ac:dyDescent="0.3">
      <c r="B102" s="18"/>
    </row>
    <row r="103" spans="2:2" ht="12.75" customHeight="1" x14ac:dyDescent="0.3">
      <c r="B103" s="18"/>
    </row>
    <row r="104" spans="2:2" ht="12.75" customHeight="1" x14ac:dyDescent="0.3">
      <c r="B104" s="18"/>
    </row>
    <row r="105" spans="2:2" ht="12.75" customHeight="1" x14ac:dyDescent="0.3">
      <c r="B105" s="18"/>
    </row>
    <row r="106" spans="2:2" ht="12.75" customHeight="1" x14ac:dyDescent="0.3">
      <c r="B106" s="18"/>
    </row>
    <row r="107" spans="2:2" ht="12.75" customHeight="1" x14ac:dyDescent="0.3">
      <c r="B107" s="18"/>
    </row>
    <row r="108" spans="2:2" ht="12.75" customHeight="1" x14ac:dyDescent="0.3">
      <c r="B108" s="18"/>
    </row>
    <row r="109" spans="2:2" ht="12.75" customHeight="1" x14ac:dyDescent="0.3">
      <c r="B109" s="18"/>
    </row>
    <row r="110" spans="2:2" ht="12.75" customHeight="1" x14ac:dyDescent="0.3">
      <c r="B110" s="18"/>
    </row>
    <row r="111" spans="2:2" ht="12.75" customHeight="1" x14ac:dyDescent="0.3">
      <c r="B111" s="18"/>
    </row>
    <row r="112" spans="2:2" ht="12.75" customHeight="1" x14ac:dyDescent="0.3">
      <c r="B112" s="18"/>
    </row>
    <row r="113" spans="2:2" ht="12.75" customHeight="1" x14ac:dyDescent="0.3">
      <c r="B113" s="18"/>
    </row>
    <row r="114" spans="2:2" ht="12.75" customHeight="1" x14ac:dyDescent="0.3">
      <c r="B114" s="18"/>
    </row>
    <row r="115" spans="2:2" ht="12.75" customHeight="1" x14ac:dyDescent="0.3">
      <c r="B115" s="18"/>
    </row>
    <row r="116" spans="2:2" ht="12.75" customHeight="1" x14ac:dyDescent="0.3">
      <c r="B116" s="18"/>
    </row>
    <row r="117" spans="2:2" ht="12.75" customHeight="1" x14ac:dyDescent="0.3">
      <c r="B117" s="18"/>
    </row>
    <row r="118" spans="2:2" ht="12.75" customHeight="1" x14ac:dyDescent="0.3">
      <c r="B118" s="18"/>
    </row>
    <row r="119" spans="2:2" ht="12.75" customHeight="1" x14ac:dyDescent="0.3">
      <c r="B119" s="18"/>
    </row>
    <row r="120" spans="2:2" ht="12.75" customHeight="1" x14ac:dyDescent="0.3">
      <c r="B120" s="18"/>
    </row>
    <row r="121" spans="2:2" ht="12.75" customHeight="1" x14ac:dyDescent="0.3">
      <c r="B121" s="18"/>
    </row>
    <row r="122" spans="2:2" ht="12.75" customHeight="1" x14ac:dyDescent="0.3">
      <c r="B122" s="18"/>
    </row>
    <row r="123" spans="2:2" ht="12.75" customHeight="1" x14ac:dyDescent="0.3">
      <c r="B123" s="18"/>
    </row>
    <row r="124" spans="2:2" ht="12.75" customHeight="1" x14ac:dyDescent="0.3">
      <c r="B124" s="18"/>
    </row>
    <row r="125" spans="2:2" ht="12.75" customHeight="1" x14ac:dyDescent="0.3">
      <c r="B125" s="18"/>
    </row>
    <row r="126" spans="2:2" ht="12.75" customHeight="1" x14ac:dyDescent="0.3">
      <c r="B126" s="18"/>
    </row>
    <row r="127" spans="2:2" ht="12.75" customHeight="1" x14ac:dyDescent="0.3">
      <c r="B127" s="18"/>
    </row>
    <row r="128" spans="2:2" ht="12.75" customHeight="1" x14ac:dyDescent="0.3">
      <c r="B128" s="18"/>
    </row>
    <row r="129" spans="2:2" ht="12.75" customHeight="1" x14ac:dyDescent="0.3">
      <c r="B129" s="18"/>
    </row>
    <row r="130" spans="2:2" ht="12.75" customHeight="1" x14ac:dyDescent="0.3">
      <c r="B130" s="18"/>
    </row>
    <row r="131" spans="2:2" ht="12.75" customHeight="1" x14ac:dyDescent="0.3">
      <c r="B131" s="18"/>
    </row>
    <row r="132" spans="2:2" ht="12.75" customHeight="1" x14ac:dyDescent="0.3">
      <c r="B132" s="18"/>
    </row>
    <row r="133" spans="2:2" ht="12.75" customHeight="1" x14ac:dyDescent="0.3">
      <c r="B133" s="18"/>
    </row>
    <row r="134" spans="2:2" ht="12.75" customHeight="1" x14ac:dyDescent="0.3">
      <c r="B134" s="18"/>
    </row>
    <row r="135" spans="2:2" ht="12.75" customHeight="1" x14ac:dyDescent="0.3">
      <c r="B135" s="18"/>
    </row>
    <row r="136" spans="2:2" ht="12.75" customHeight="1" x14ac:dyDescent="0.3">
      <c r="B136" s="18"/>
    </row>
    <row r="137" spans="2:2" ht="12.75" customHeight="1" x14ac:dyDescent="0.3">
      <c r="B137" s="18"/>
    </row>
    <row r="138" spans="2:2" ht="12.75" customHeight="1" x14ac:dyDescent="0.3">
      <c r="B138" s="18"/>
    </row>
    <row r="139" spans="2:2" ht="12.75" customHeight="1" x14ac:dyDescent="0.3">
      <c r="B139" s="18"/>
    </row>
    <row r="140" spans="2:2" ht="12.75" customHeight="1" x14ac:dyDescent="0.3">
      <c r="B140" s="18"/>
    </row>
    <row r="141" spans="2:2" ht="12.75" customHeight="1" x14ac:dyDescent="0.3">
      <c r="B141" s="18"/>
    </row>
    <row r="142" spans="2:2" ht="12.75" customHeight="1" x14ac:dyDescent="0.3">
      <c r="B142" s="18"/>
    </row>
    <row r="143" spans="2:2" ht="12.75" customHeight="1" x14ac:dyDescent="0.3">
      <c r="B143" s="18"/>
    </row>
    <row r="144" spans="2:2" ht="12.75" customHeight="1" x14ac:dyDescent="0.3">
      <c r="B144" s="18"/>
    </row>
    <row r="145" spans="2:2" ht="12.75" customHeight="1" x14ac:dyDescent="0.3">
      <c r="B145" s="18"/>
    </row>
    <row r="146" spans="2:2" ht="12.75" customHeight="1" x14ac:dyDescent="0.3">
      <c r="B146" s="18"/>
    </row>
    <row r="147" spans="2:2" ht="12.75" customHeight="1" x14ac:dyDescent="0.3">
      <c r="B147" s="18"/>
    </row>
    <row r="148" spans="2:2" ht="12.75" customHeight="1" x14ac:dyDescent="0.3">
      <c r="B148" s="18"/>
    </row>
    <row r="149" spans="2:2" ht="12.75" customHeight="1" x14ac:dyDescent="0.3">
      <c r="B149" s="18"/>
    </row>
    <row r="150" spans="2:2" ht="12.75" customHeight="1" x14ac:dyDescent="0.3">
      <c r="B150" s="18"/>
    </row>
    <row r="151" spans="2:2" ht="12.75" customHeight="1" x14ac:dyDescent="0.3">
      <c r="B151" s="18"/>
    </row>
    <row r="152" spans="2:2" ht="12.75" customHeight="1" x14ac:dyDescent="0.3">
      <c r="B152" s="18"/>
    </row>
    <row r="153" spans="2:2" ht="12.75" customHeight="1" x14ac:dyDescent="0.3">
      <c r="B153" s="18"/>
    </row>
    <row r="154" spans="2:2" ht="12.75" customHeight="1" x14ac:dyDescent="0.3">
      <c r="B154" s="18"/>
    </row>
    <row r="155" spans="2:2" ht="12.75" customHeight="1" x14ac:dyDescent="0.3">
      <c r="B155" s="18"/>
    </row>
    <row r="156" spans="2:2" ht="12.75" customHeight="1" x14ac:dyDescent="0.3">
      <c r="B156" s="18"/>
    </row>
    <row r="157" spans="2:2" ht="12.75" customHeight="1" x14ac:dyDescent="0.3">
      <c r="B157" s="18"/>
    </row>
    <row r="158" spans="2:2" ht="12.75" customHeight="1" x14ac:dyDescent="0.3">
      <c r="B158" s="18"/>
    </row>
    <row r="159" spans="2:2" ht="12.75" customHeight="1" x14ac:dyDescent="0.3">
      <c r="B159" s="18"/>
    </row>
    <row r="160" spans="2:2" ht="12.75" customHeight="1" x14ac:dyDescent="0.3">
      <c r="B160" s="18"/>
    </row>
    <row r="161" spans="2:2" ht="12.75" customHeight="1" x14ac:dyDescent="0.3">
      <c r="B161" s="18"/>
    </row>
    <row r="162" spans="2:2" ht="12.75" customHeight="1" x14ac:dyDescent="0.3">
      <c r="B162" s="18"/>
    </row>
    <row r="163" spans="2:2" ht="12.75" customHeight="1" x14ac:dyDescent="0.3">
      <c r="B163" s="18"/>
    </row>
    <row r="164" spans="2:2" ht="12.75" customHeight="1" x14ac:dyDescent="0.3">
      <c r="B164" s="18"/>
    </row>
    <row r="165" spans="2:2" ht="12.75" customHeight="1" x14ac:dyDescent="0.3">
      <c r="B165" s="18"/>
    </row>
    <row r="166" spans="2:2" ht="12.75" customHeight="1" x14ac:dyDescent="0.3">
      <c r="B166" s="18"/>
    </row>
    <row r="167" spans="2:2" ht="12.75" customHeight="1" x14ac:dyDescent="0.3">
      <c r="B167" s="18"/>
    </row>
    <row r="168" spans="2:2" ht="12.75" customHeight="1" x14ac:dyDescent="0.3">
      <c r="B168" s="18"/>
    </row>
    <row r="169" spans="2:2" ht="12.75" customHeight="1" x14ac:dyDescent="0.3">
      <c r="B169" s="18"/>
    </row>
    <row r="170" spans="2:2" ht="12.75" customHeight="1" x14ac:dyDescent="0.3">
      <c r="B170" s="18"/>
    </row>
    <row r="171" spans="2:2" ht="12.75" customHeight="1" x14ac:dyDescent="0.3">
      <c r="B171" s="18"/>
    </row>
    <row r="172" spans="2:2" ht="12.75" customHeight="1" x14ac:dyDescent="0.3">
      <c r="B172" s="18"/>
    </row>
    <row r="173" spans="2:2" ht="12.75" customHeight="1" x14ac:dyDescent="0.3">
      <c r="B173" s="18"/>
    </row>
    <row r="174" spans="2:2" ht="12.75" customHeight="1" x14ac:dyDescent="0.3">
      <c r="B174" s="18"/>
    </row>
    <row r="175" spans="2:2" ht="12.75" customHeight="1" x14ac:dyDescent="0.3">
      <c r="B175" s="18"/>
    </row>
    <row r="176" spans="2:2" ht="12.75" customHeight="1" x14ac:dyDescent="0.3">
      <c r="B176" s="18"/>
    </row>
    <row r="177" spans="2:2" ht="12.75" customHeight="1" x14ac:dyDescent="0.3">
      <c r="B177" s="18"/>
    </row>
    <row r="178" spans="2:2" ht="12.75" customHeight="1" x14ac:dyDescent="0.3">
      <c r="B178" s="18"/>
    </row>
    <row r="179" spans="2:2" ht="12.75" customHeight="1" x14ac:dyDescent="0.3">
      <c r="B179" s="18"/>
    </row>
    <row r="180" spans="2:2" ht="12.75" customHeight="1" x14ac:dyDescent="0.3">
      <c r="B180" s="18"/>
    </row>
    <row r="181" spans="2:2" ht="12.75" customHeight="1" x14ac:dyDescent="0.3">
      <c r="B181" s="18"/>
    </row>
    <row r="182" spans="2:2" ht="12.75" customHeight="1" x14ac:dyDescent="0.3">
      <c r="B182" s="18"/>
    </row>
    <row r="183" spans="2:2" ht="12.75" customHeight="1" x14ac:dyDescent="0.3">
      <c r="B183" s="18"/>
    </row>
    <row r="184" spans="2:2" ht="12.75" customHeight="1" x14ac:dyDescent="0.3">
      <c r="B184" s="18"/>
    </row>
    <row r="185" spans="2:2" ht="12.75" customHeight="1" x14ac:dyDescent="0.3">
      <c r="B185" s="18"/>
    </row>
    <row r="186" spans="2:2" ht="12.75" customHeight="1" x14ac:dyDescent="0.3">
      <c r="B186" s="18"/>
    </row>
    <row r="187" spans="2:2" ht="12.75" customHeight="1" x14ac:dyDescent="0.3">
      <c r="B187" s="18"/>
    </row>
    <row r="188" spans="2:2" ht="12.75" customHeight="1" x14ac:dyDescent="0.3">
      <c r="B188" s="18"/>
    </row>
    <row r="189" spans="2:2" ht="12.75" customHeight="1" x14ac:dyDescent="0.3">
      <c r="B189" s="18"/>
    </row>
    <row r="190" spans="2:2" ht="12.75" customHeight="1" x14ac:dyDescent="0.3">
      <c r="B190" s="18"/>
    </row>
    <row r="191" spans="2:2" ht="12.75" customHeight="1" x14ac:dyDescent="0.3">
      <c r="B191" s="18"/>
    </row>
    <row r="192" spans="2:2" ht="12.75" customHeight="1" x14ac:dyDescent="0.3">
      <c r="B192" s="18"/>
    </row>
    <row r="193" spans="2:2" ht="12.75" customHeight="1" x14ac:dyDescent="0.3">
      <c r="B193" s="18"/>
    </row>
    <row r="194" spans="2:2" ht="12.75" customHeight="1" x14ac:dyDescent="0.3">
      <c r="B194" s="18"/>
    </row>
    <row r="195" spans="2:2" ht="12.75" customHeight="1" x14ac:dyDescent="0.3">
      <c r="B195" s="18"/>
    </row>
    <row r="196" spans="2:2" ht="12.75" customHeight="1" x14ac:dyDescent="0.3">
      <c r="B196" s="18"/>
    </row>
    <row r="197" spans="2:2" ht="12.75" customHeight="1" x14ac:dyDescent="0.3">
      <c r="B197" s="18"/>
    </row>
    <row r="198" spans="2:2" ht="12.75" customHeight="1" x14ac:dyDescent="0.3">
      <c r="B198" s="18"/>
    </row>
    <row r="199" spans="2:2" ht="12.75" customHeight="1" x14ac:dyDescent="0.3">
      <c r="B199" s="18"/>
    </row>
    <row r="200" spans="2:2" ht="12.75" customHeight="1" x14ac:dyDescent="0.3">
      <c r="B200" s="18"/>
    </row>
    <row r="201" spans="2:2" ht="12.75" customHeight="1" x14ac:dyDescent="0.3">
      <c r="B201" s="18"/>
    </row>
    <row r="202" spans="2:2" ht="12.75" customHeight="1" x14ac:dyDescent="0.3">
      <c r="B202" s="18"/>
    </row>
    <row r="203" spans="2:2" ht="12.75" customHeight="1" x14ac:dyDescent="0.3">
      <c r="B203" s="18"/>
    </row>
    <row r="204" spans="2:2" ht="12.75" customHeight="1" x14ac:dyDescent="0.3">
      <c r="B204" s="18"/>
    </row>
    <row r="205" spans="2:2" ht="12.75" customHeight="1" x14ac:dyDescent="0.3">
      <c r="B205" s="18"/>
    </row>
    <row r="206" spans="2:2" ht="12.75" customHeight="1" x14ac:dyDescent="0.3">
      <c r="B206" s="18"/>
    </row>
    <row r="207" spans="2:2" ht="12.75" customHeight="1" x14ac:dyDescent="0.3">
      <c r="B207" s="18"/>
    </row>
    <row r="208" spans="2:2" ht="12.75" customHeight="1" x14ac:dyDescent="0.3">
      <c r="B208" s="18"/>
    </row>
    <row r="209" spans="2:2" ht="12.75" customHeight="1" x14ac:dyDescent="0.3">
      <c r="B209" s="18"/>
    </row>
    <row r="210" spans="2:2" ht="12.75" customHeight="1" x14ac:dyDescent="0.3">
      <c r="B210" s="18"/>
    </row>
    <row r="211" spans="2:2" ht="12.75" customHeight="1" x14ac:dyDescent="0.3">
      <c r="B211" s="18"/>
    </row>
    <row r="212" spans="2:2" ht="12.75" customHeight="1" x14ac:dyDescent="0.3">
      <c r="B212" s="18"/>
    </row>
    <row r="213" spans="2:2" ht="12.75" customHeight="1" x14ac:dyDescent="0.3">
      <c r="B213" s="18"/>
    </row>
    <row r="214" spans="2:2" ht="12.75" customHeight="1" x14ac:dyDescent="0.3">
      <c r="B214" s="18"/>
    </row>
    <row r="215" spans="2:2" ht="12.75" customHeight="1" x14ac:dyDescent="0.3">
      <c r="B215" s="18"/>
    </row>
    <row r="216" spans="2:2" ht="12.75" customHeight="1" x14ac:dyDescent="0.3">
      <c r="B216" s="18"/>
    </row>
    <row r="217" spans="2:2" ht="12.75" customHeight="1" x14ac:dyDescent="0.3">
      <c r="B217" s="18"/>
    </row>
    <row r="218" spans="2:2" ht="12.75" customHeight="1" x14ac:dyDescent="0.3">
      <c r="B218" s="18"/>
    </row>
    <row r="219" spans="2:2" ht="12.75" customHeight="1" x14ac:dyDescent="0.3">
      <c r="B219" s="18"/>
    </row>
    <row r="220" spans="2:2" ht="12.75" customHeight="1" x14ac:dyDescent="0.3">
      <c r="B220" s="18"/>
    </row>
    <row r="221" spans="2:2" ht="12.75" customHeight="1" x14ac:dyDescent="0.3">
      <c r="B221" s="18"/>
    </row>
    <row r="222" spans="2:2" ht="12.75" customHeight="1" x14ac:dyDescent="0.3">
      <c r="B222" s="18"/>
    </row>
    <row r="223" spans="2:2" ht="12.75" customHeight="1" x14ac:dyDescent="0.3">
      <c r="B223" s="18"/>
    </row>
    <row r="224" spans="2:2" ht="12.75" customHeight="1" x14ac:dyDescent="0.3">
      <c r="B224" s="18"/>
    </row>
    <row r="225" spans="2:2" ht="12.75" customHeight="1" x14ac:dyDescent="0.3">
      <c r="B225" s="18"/>
    </row>
    <row r="226" spans="2:2" ht="12.75" customHeight="1" x14ac:dyDescent="0.3">
      <c r="B226" s="18"/>
    </row>
    <row r="227" spans="2:2" ht="12.75" customHeight="1" x14ac:dyDescent="0.3">
      <c r="B227" s="18"/>
    </row>
    <row r="228" spans="2:2" ht="12.75" customHeight="1" x14ac:dyDescent="0.3">
      <c r="B228" s="18"/>
    </row>
    <row r="229" spans="2:2" ht="12.75" customHeight="1" x14ac:dyDescent="0.3">
      <c r="B229" s="18"/>
    </row>
    <row r="230" spans="2:2" ht="12.75" customHeight="1" x14ac:dyDescent="0.3">
      <c r="B230" s="18"/>
    </row>
    <row r="231" spans="2:2" ht="12.75" customHeight="1" x14ac:dyDescent="0.3">
      <c r="B231" s="18"/>
    </row>
    <row r="232" spans="2:2" ht="12.75" customHeight="1" x14ac:dyDescent="0.3">
      <c r="B232" s="18"/>
    </row>
    <row r="233" spans="2:2" ht="12.75" customHeight="1" x14ac:dyDescent="0.3">
      <c r="B233" s="18"/>
    </row>
    <row r="234" spans="2:2" ht="12.75" customHeight="1" x14ac:dyDescent="0.3">
      <c r="B234" s="18"/>
    </row>
    <row r="235" spans="2:2" ht="12.75" customHeight="1" x14ac:dyDescent="0.3">
      <c r="B235" s="18"/>
    </row>
    <row r="236" spans="2:2" ht="12.75" customHeight="1" x14ac:dyDescent="0.3">
      <c r="B236" s="18"/>
    </row>
    <row r="237" spans="2:2" ht="12.75" customHeight="1" x14ac:dyDescent="0.3">
      <c r="B237" s="18"/>
    </row>
    <row r="238" spans="2:2" ht="12.75" customHeight="1" x14ac:dyDescent="0.3">
      <c r="B238" s="18"/>
    </row>
    <row r="239" spans="2:2" ht="12.75" customHeight="1" x14ac:dyDescent="0.3">
      <c r="B239" s="18"/>
    </row>
    <row r="240" spans="2:2" ht="12.75" customHeight="1" x14ac:dyDescent="0.3">
      <c r="B240" s="18"/>
    </row>
    <row r="241" spans="2:2" ht="12.75" customHeight="1" x14ac:dyDescent="0.3">
      <c r="B241" s="18"/>
    </row>
    <row r="242" spans="2:2" ht="15.75" customHeight="1" x14ac:dyDescent="0.3"/>
    <row r="243" spans="2:2" ht="15.75" customHeight="1" x14ac:dyDescent="0.3"/>
    <row r="244" spans="2:2" ht="15.75" customHeight="1" x14ac:dyDescent="0.3"/>
    <row r="245" spans="2:2" ht="15.75" customHeight="1" x14ac:dyDescent="0.3"/>
    <row r="246" spans="2:2" ht="15.75" customHeight="1" x14ac:dyDescent="0.3"/>
    <row r="247" spans="2:2" ht="15.75" customHeight="1" x14ac:dyDescent="0.3"/>
    <row r="248" spans="2:2" ht="15.75" customHeight="1" x14ac:dyDescent="0.3"/>
    <row r="249" spans="2:2" ht="15.75" customHeight="1" x14ac:dyDescent="0.3"/>
    <row r="250" spans="2:2" ht="15.75" customHeight="1" x14ac:dyDescent="0.3"/>
    <row r="251" spans="2:2" ht="15.75" customHeight="1" x14ac:dyDescent="0.3"/>
    <row r="252" spans="2:2" ht="15.75" customHeight="1" x14ac:dyDescent="0.3"/>
    <row r="253" spans="2:2" ht="15.75" customHeight="1" x14ac:dyDescent="0.3"/>
    <row r="254" spans="2:2" ht="15.75" customHeight="1" x14ac:dyDescent="0.3"/>
    <row r="255" spans="2:2" ht="15.75" customHeight="1" x14ac:dyDescent="0.3"/>
    <row r="256" spans="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1:H2"/>
    <mergeCell ref="J1:K1"/>
    <mergeCell ref="J2:K2"/>
    <mergeCell ref="A40:K40"/>
    <mergeCell ref="A41:K51"/>
  </mergeCells>
  <conditionalFormatting sqref="B19:C19">
    <cfRule type="expression" dxfId="23" priority="1">
      <formula>IF($B19="",FALSE,#REF!="")</formula>
    </cfRule>
  </conditionalFormatting>
  <conditionalFormatting sqref="C20:C27">
    <cfRule type="expression" dxfId="22" priority="2">
      <formula>IF($C20="",FALSE,$B20="")</formula>
    </cfRule>
  </conditionalFormatting>
  <conditionalFormatting sqref="C33">
    <cfRule type="expression" dxfId="21" priority="3">
      <formula>IF($B25="",FALSE,#REF!="")</formula>
    </cfRule>
  </conditionalFormatting>
  <conditionalFormatting sqref="D4:D27">
    <cfRule type="expression" dxfId="20" priority="4">
      <formula>IF($B4="",FALSE,#REF!="")</formula>
    </cfRule>
  </conditionalFormatting>
  <conditionalFormatting sqref="E19">
    <cfRule type="expression" dxfId="19" priority="5">
      <formula>IF($B19="",FALSE,#REF!="")</formula>
    </cfRule>
  </conditionalFormatting>
  <pageMargins left="0.51181102362204722" right="0.51181102362204722" top="0.74803149606299213" bottom="0.74803149606299213" header="0" footer="0"/>
  <pageSetup paperSize="9" scale="94"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P1000"/>
  <sheetViews>
    <sheetView workbookViewId="0">
      <selection activeCell="A4" sqref="A4"/>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6" width="10.69921875" customWidth="1"/>
  </cols>
  <sheetData>
    <row r="1" spans="1:16" ht="20" x14ac:dyDescent="0.4">
      <c r="A1" s="111" t="s">
        <v>515</v>
      </c>
      <c r="B1" s="112"/>
      <c r="C1" s="112"/>
      <c r="D1" s="112"/>
      <c r="E1" s="112"/>
      <c r="F1" s="112"/>
      <c r="G1" s="112"/>
      <c r="H1" s="112"/>
      <c r="I1" s="112"/>
      <c r="J1" s="112"/>
      <c r="K1" s="112"/>
      <c r="L1" s="112"/>
      <c r="M1" s="112"/>
      <c r="N1" s="112"/>
      <c r="O1" s="113"/>
      <c r="P1" s="26">
        <v>46095</v>
      </c>
    </row>
    <row r="2" spans="1:16"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6" ht="12.75" customHeight="1" x14ac:dyDescent="0.3">
      <c r="A3" s="30">
        <v>1</v>
      </c>
      <c r="B3" s="35" t="s">
        <v>95</v>
      </c>
      <c r="C3" s="30">
        <f>Punkte!D6</f>
        <v>200</v>
      </c>
      <c r="E3" s="30">
        <v>1</v>
      </c>
      <c r="F3" s="31" t="s">
        <v>105</v>
      </c>
      <c r="G3" s="30">
        <f>IF(ISNA(VLOOKUP(ROUND(COUNTA(B3:B34)*Offset,0),A3:C34,3,FALSE)-1)=TRUE,177,VLOOKUP(ROUND(COUNTA(B3:B34)*Offset,0),A3:C34,3,FALSE)-1)</f>
        <v>193</v>
      </c>
      <c r="I3" s="30">
        <v>1</v>
      </c>
      <c r="J3" s="43" t="s">
        <v>121</v>
      </c>
      <c r="K3" s="30">
        <f>IF(ISNA(VLOOKUP(ROUND(COUNTA(F3:F34)*Offset,0),E3:G34,3,FALSE)-1)=TRUE,154,VLOOKUP(ROUND(COUNTA(F3:F34)*Offset,0),E3:G34,3,FALSE)-1)</f>
        <v>170</v>
      </c>
      <c r="M3" s="30">
        <v>1</v>
      </c>
      <c r="N3" s="43" t="s">
        <v>303</v>
      </c>
      <c r="O3" s="30">
        <f>IF(ISNA(VLOOKUP(ROUND(COUNTA(J3:J34)*Offset,0),I3:K34,3,FALSE)-1)=TRUE,131,VLOOKUP(ROUND(COUNTA(J3:J34)*Offset,0),I3:K34,3,FALSE)-1)</f>
        <v>143</v>
      </c>
    </row>
    <row r="4" spans="1:16" ht="12.75" customHeight="1" x14ac:dyDescent="0.3">
      <c r="A4" s="34">
        <v>2</v>
      </c>
      <c r="B4" s="35" t="s">
        <v>207</v>
      </c>
      <c r="C4" s="34">
        <f t="shared" ref="C4:C18" si="0">C3-2</f>
        <v>198</v>
      </c>
      <c r="E4" s="34">
        <v>2</v>
      </c>
      <c r="F4" s="35" t="s">
        <v>74</v>
      </c>
      <c r="G4" s="34">
        <f t="shared" ref="G4:G20" si="1">G3-2</f>
        <v>191</v>
      </c>
      <c r="I4" s="34">
        <v>2</v>
      </c>
      <c r="J4" s="43" t="s">
        <v>512</v>
      </c>
      <c r="K4" s="34">
        <f t="shared" ref="K4:K22" si="2">K3-2</f>
        <v>168</v>
      </c>
      <c r="M4" s="34">
        <v>2</v>
      </c>
      <c r="N4" s="43" t="s">
        <v>527</v>
      </c>
      <c r="O4" s="34">
        <f t="shared" ref="O4:O21" si="3">O3-2</f>
        <v>141</v>
      </c>
    </row>
    <row r="5" spans="1:16" ht="12.75" customHeight="1" x14ac:dyDescent="0.3">
      <c r="A5" s="34">
        <v>3</v>
      </c>
      <c r="B5" s="35" t="s">
        <v>56</v>
      </c>
      <c r="C5" s="34">
        <f t="shared" si="0"/>
        <v>196</v>
      </c>
      <c r="E5" s="34">
        <v>3</v>
      </c>
      <c r="F5" s="16" t="s">
        <v>295</v>
      </c>
      <c r="G5" s="34">
        <f t="shared" si="1"/>
        <v>189</v>
      </c>
      <c r="I5" s="34">
        <v>3</v>
      </c>
      <c r="J5" s="43" t="s">
        <v>170</v>
      </c>
      <c r="K5" s="34">
        <f t="shared" si="2"/>
        <v>166</v>
      </c>
      <c r="M5" s="34">
        <v>3</v>
      </c>
      <c r="N5" s="43" t="s">
        <v>247</v>
      </c>
      <c r="O5" s="34">
        <f t="shared" si="3"/>
        <v>139</v>
      </c>
    </row>
    <row r="6" spans="1:16" ht="12.75" customHeight="1" x14ac:dyDescent="0.3">
      <c r="A6" s="34">
        <v>4</v>
      </c>
      <c r="B6" s="35" t="s">
        <v>297</v>
      </c>
      <c r="C6" s="34">
        <f t="shared" si="0"/>
        <v>194</v>
      </c>
      <c r="E6" s="34">
        <v>4</v>
      </c>
      <c r="F6" s="16" t="s">
        <v>151</v>
      </c>
      <c r="G6" s="34">
        <f t="shared" si="1"/>
        <v>187</v>
      </c>
      <c r="I6" s="34">
        <v>4</v>
      </c>
      <c r="J6" s="43" t="s">
        <v>302</v>
      </c>
      <c r="K6" s="34">
        <f t="shared" si="2"/>
        <v>164</v>
      </c>
      <c r="M6" s="34">
        <v>4</v>
      </c>
      <c r="N6" s="43" t="s">
        <v>528</v>
      </c>
      <c r="O6" s="34">
        <f t="shared" si="3"/>
        <v>137</v>
      </c>
    </row>
    <row r="7" spans="1:16" ht="12.75" customHeight="1" x14ac:dyDescent="0.3">
      <c r="A7" s="34">
        <v>5</v>
      </c>
      <c r="B7" s="35" t="s">
        <v>66</v>
      </c>
      <c r="C7" s="34">
        <f t="shared" si="0"/>
        <v>192</v>
      </c>
      <c r="E7" s="34">
        <v>5</v>
      </c>
      <c r="F7" s="16" t="s">
        <v>132</v>
      </c>
      <c r="G7" s="34">
        <f t="shared" si="1"/>
        <v>185</v>
      </c>
      <c r="I7" s="34">
        <v>5</v>
      </c>
      <c r="J7" s="43" t="s">
        <v>518</v>
      </c>
      <c r="K7" s="34">
        <f t="shared" si="2"/>
        <v>162</v>
      </c>
      <c r="M7" s="34">
        <v>5</v>
      </c>
      <c r="N7" s="43" t="s">
        <v>529</v>
      </c>
      <c r="O7" s="34">
        <f t="shared" si="3"/>
        <v>135</v>
      </c>
    </row>
    <row r="8" spans="1:16" ht="12.75" customHeight="1" x14ac:dyDescent="0.3">
      <c r="A8" s="34">
        <v>6</v>
      </c>
      <c r="B8" s="16"/>
      <c r="C8" s="34">
        <f t="shared" si="0"/>
        <v>190</v>
      </c>
      <c r="E8" s="34">
        <v>6</v>
      </c>
      <c r="F8" s="16" t="s">
        <v>50</v>
      </c>
      <c r="G8" s="34">
        <f t="shared" si="1"/>
        <v>183</v>
      </c>
      <c r="I8" s="34">
        <v>6</v>
      </c>
      <c r="J8" s="43" t="s">
        <v>244</v>
      </c>
      <c r="K8" s="34">
        <f t="shared" si="2"/>
        <v>160</v>
      </c>
      <c r="M8" s="34">
        <v>6</v>
      </c>
      <c r="N8" s="43" t="s">
        <v>530</v>
      </c>
      <c r="O8" s="34">
        <f t="shared" si="3"/>
        <v>133</v>
      </c>
    </row>
    <row r="9" spans="1:16" ht="12.75" customHeight="1" x14ac:dyDescent="0.3">
      <c r="A9" s="34">
        <v>7</v>
      </c>
      <c r="B9" s="16"/>
      <c r="C9" s="34">
        <f t="shared" si="0"/>
        <v>188</v>
      </c>
      <c r="E9" s="34">
        <v>7</v>
      </c>
      <c r="F9" s="16" t="s">
        <v>139</v>
      </c>
      <c r="G9" s="34">
        <f t="shared" si="1"/>
        <v>181</v>
      </c>
      <c r="I9" s="34">
        <v>7</v>
      </c>
      <c r="J9" s="43" t="s">
        <v>519</v>
      </c>
      <c r="K9" s="34">
        <f t="shared" si="2"/>
        <v>158</v>
      </c>
      <c r="M9" s="34">
        <v>7</v>
      </c>
      <c r="N9" s="43" t="s">
        <v>531</v>
      </c>
      <c r="O9" s="34">
        <f t="shared" si="3"/>
        <v>131</v>
      </c>
    </row>
    <row r="10" spans="1:16" ht="12.75" customHeight="1" x14ac:dyDescent="0.3">
      <c r="A10" s="34">
        <v>8</v>
      </c>
      <c r="B10" s="35"/>
      <c r="C10" s="34">
        <f t="shared" si="0"/>
        <v>186</v>
      </c>
      <c r="E10" s="34">
        <v>8</v>
      </c>
      <c r="F10" s="35" t="s">
        <v>145</v>
      </c>
      <c r="G10" s="34">
        <f t="shared" si="1"/>
        <v>179</v>
      </c>
      <c r="I10" s="34">
        <v>8</v>
      </c>
      <c r="J10" s="43" t="s">
        <v>520</v>
      </c>
      <c r="K10" s="34">
        <f t="shared" si="2"/>
        <v>156</v>
      </c>
      <c r="M10" s="34">
        <v>8</v>
      </c>
      <c r="N10" s="43" t="s">
        <v>532</v>
      </c>
      <c r="O10" s="34">
        <f t="shared" si="3"/>
        <v>129</v>
      </c>
    </row>
    <row r="11" spans="1:16" ht="12.75" customHeight="1" x14ac:dyDescent="0.3">
      <c r="A11" s="34">
        <v>9</v>
      </c>
      <c r="B11" s="16"/>
      <c r="C11" s="34">
        <f t="shared" si="0"/>
        <v>184</v>
      </c>
      <c r="E11" s="34">
        <v>9</v>
      </c>
      <c r="F11" s="16" t="s">
        <v>59</v>
      </c>
      <c r="G11" s="34">
        <f t="shared" si="1"/>
        <v>177</v>
      </c>
      <c r="I11" s="34">
        <v>9</v>
      </c>
      <c r="J11" s="43" t="s">
        <v>521</v>
      </c>
      <c r="K11" s="34">
        <f t="shared" si="2"/>
        <v>154</v>
      </c>
      <c r="M11" s="34">
        <v>9</v>
      </c>
      <c r="N11" s="43" t="s">
        <v>533</v>
      </c>
      <c r="O11" s="34">
        <f t="shared" si="3"/>
        <v>127</v>
      </c>
    </row>
    <row r="12" spans="1:16" ht="12.75" customHeight="1" x14ac:dyDescent="0.3">
      <c r="A12" s="34">
        <v>10</v>
      </c>
      <c r="B12" s="16"/>
      <c r="C12" s="34">
        <f t="shared" si="0"/>
        <v>182</v>
      </c>
      <c r="E12" s="34">
        <v>10</v>
      </c>
      <c r="F12" s="16" t="s">
        <v>67</v>
      </c>
      <c r="G12" s="34">
        <f t="shared" si="1"/>
        <v>175</v>
      </c>
      <c r="I12" s="34">
        <v>10</v>
      </c>
      <c r="J12" s="43" t="s">
        <v>246</v>
      </c>
      <c r="K12" s="34">
        <f t="shared" si="2"/>
        <v>152</v>
      </c>
      <c r="M12" s="34">
        <v>10</v>
      </c>
      <c r="N12" s="43" t="s">
        <v>534</v>
      </c>
      <c r="O12" s="34">
        <f t="shared" si="3"/>
        <v>125</v>
      </c>
    </row>
    <row r="13" spans="1:16" ht="12.75" customHeight="1" x14ac:dyDescent="0.3">
      <c r="A13" s="34">
        <v>11</v>
      </c>
      <c r="B13" s="16"/>
      <c r="C13" s="34">
        <f t="shared" si="0"/>
        <v>180</v>
      </c>
      <c r="E13" s="34">
        <v>11</v>
      </c>
      <c r="F13" s="16" t="s">
        <v>298</v>
      </c>
      <c r="G13" s="34">
        <f t="shared" si="1"/>
        <v>173</v>
      </c>
      <c r="I13" s="34">
        <v>11</v>
      </c>
      <c r="J13" s="43" t="s">
        <v>106</v>
      </c>
      <c r="K13" s="34">
        <f t="shared" si="2"/>
        <v>150</v>
      </c>
      <c r="M13" s="34">
        <v>11</v>
      </c>
      <c r="N13" s="43" t="s">
        <v>535</v>
      </c>
      <c r="O13" s="34">
        <f t="shared" si="3"/>
        <v>123</v>
      </c>
    </row>
    <row r="14" spans="1:16" ht="12.75" customHeight="1" x14ac:dyDescent="0.3">
      <c r="A14" s="34">
        <v>12</v>
      </c>
      <c r="B14" s="35"/>
      <c r="C14" s="34">
        <f t="shared" si="0"/>
        <v>178</v>
      </c>
      <c r="E14" s="34">
        <v>12</v>
      </c>
      <c r="F14" s="16" t="s">
        <v>516</v>
      </c>
      <c r="G14" s="34">
        <f t="shared" si="1"/>
        <v>171</v>
      </c>
      <c r="I14" s="34">
        <v>12</v>
      </c>
      <c r="J14" s="43" t="s">
        <v>307</v>
      </c>
      <c r="K14" s="34">
        <f t="shared" si="2"/>
        <v>148</v>
      </c>
      <c r="M14" s="34">
        <v>12</v>
      </c>
      <c r="N14" s="43" t="s">
        <v>308</v>
      </c>
      <c r="O14" s="34">
        <f t="shared" si="3"/>
        <v>121</v>
      </c>
    </row>
    <row r="15" spans="1:16" ht="12.75" customHeight="1" x14ac:dyDescent="0.3">
      <c r="A15" s="34">
        <v>13</v>
      </c>
      <c r="B15" s="35"/>
      <c r="C15" s="34">
        <f t="shared" si="0"/>
        <v>176</v>
      </c>
      <c r="E15" s="34">
        <v>13</v>
      </c>
      <c r="F15" s="16" t="s">
        <v>75</v>
      </c>
      <c r="G15" s="34">
        <f t="shared" si="1"/>
        <v>169</v>
      </c>
      <c r="I15" s="34">
        <v>13</v>
      </c>
      <c r="J15" s="43" t="s">
        <v>522</v>
      </c>
      <c r="K15" s="34">
        <f t="shared" si="2"/>
        <v>146</v>
      </c>
      <c r="M15" s="34">
        <v>13</v>
      </c>
      <c r="N15" s="43" t="s">
        <v>536</v>
      </c>
      <c r="O15" s="34">
        <f t="shared" si="3"/>
        <v>119</v>
      </c>
    </row>
    <row r="16" spans="1:16" ht="12.75" customHeight="1" x14ac:dyDescent="0.3">
      <c r="A16" s="34">
        <v>14</v>
      </c>
      <c r="B16" s="16"/>
      <c r="C16" s="34">
        <f t="shared" si="0"/>
        <v>174</v>
      </c>
      <c r="E16" s="34">
        <v>14</v>
      </c>
      <c r="F16" s="16" t="s">
        <v>152</v>
      </c>
      <c r="G16" s="34">
        <f t="shared" si="1"/>
        <v>167</v>
      </c>
      <c r="I16" s="34">
        <v>14</v>
      </c>
      <c r="J16" s="43" t="s">
        <v>523</v>
      </c>
      <c r="K16" s="34">
        <f t="shared" si="2"/>
        <v>144</v>
      </c>
      <c r="M16" s="34">
        <v>14</v>
      </c>
      <c r="N16" s="43" t="s">
        <v>537</v>
      </c>
      <c r="O16" s="34">
        <f t="shared" si="3"/>
        <v>117</v>
      </c>
    </row>
    <row r="17" spans="1:15" ht="12.75" customHeight="1" x14ac:dyDescent="0.3">
      <c r="A17" s="34">
        <v>15</v>
      </c>
      <c r="B17" s="16"/>
      <c r="C17" s="34">
        <f t="shared" si="0"/>
        <v>172</v>
      </c>
      <c r="E17" s="34">
        <v>15</v>
      </c>
      <c r="F17" s="16" t="s">
        <v>177</v>
      </c>
      <c r="G17" s="34">
        <f t="shared" si="1"/>
        <v>165</v>
      </c>
      <c r="I17" s="34">
        <v>15</v>
      </c>
      <c r="J17" s="43" t="s">
        <v>524</v>
      </c>
      <c r="K17" s="34">
        <f t="shared" si="2"/>
        <v>142</v>
      </c>
      <c r="M17" s="34">
        <v>15</v>
      </c>
      <c r="N17" s="43" t="s">
        <v>309</v>
      </c>
      <c r="O17" s="34">
        <f t="shared" si="3"/>
        <v>115</v>
      </c>
    </row>
    <row r="18" spans="1:15" ht="12.75" customHeight="1" thickBot="1" x14ac:dyDescent="0.35">
      <c r="A18" s="27">
        <v>16</v>
      </c>
      <c r="B18" s="28"/>
      <c r="C18" s="27">
        <f t="shared" si="0"/>
        <v>170</v>
      </c>
      <c r="E18" s="34">
        <v>16</v>
      </c>
      <c r="F18" s="16" t="s">
        <v>517</v>
      </c>
      <c r="G18" s="34">
        <f t="shared" si="1"/>
        <v>163</v>
      </c>
      <c r="I18" s="34">
        <v>16</v>
      </c>
      <c r="J18" s="43" t="s">
        <v>250</v>
      </c>
      <c r="K18" s="34">
        <f t="shared" si="2"/>
        <v>140</v>
      </c>
      <c r="M18" s="34">
        <v>16</v>
      </c>
      <c r="N18" s="43" t="s">
        <v>538</v>
      </c>
      <c r="O18" s="34">
        <f t="shared" si="3"/>
        <v>113</v>
      </c>
    </row>
    <row r="19" spans="1:15" ht="12.75" customHeight="1" x14ac:dyDescent="0.3">
      <c r="E19" s="34">
        <v>17</v>
      </c>
      <c r="F19" s="16"/>
      <c r="G19" s="34">
        <f t="shared" si="1"/>
        <v>161</v>
      </c>
      <c r="I19" s="34">
        <v>17</v>
      </c>
      <c r="J19" s="43" t="s">
        <v>525</v>
      </c>
      <c r="K19" s="34">
        <f t="shared" si="2"/>
        <v>138</v>
      </c>
      <c r="M19" s="34">
        <v>17</v>
      </c>
      <c r="N19" s="43" t="s">
        <v>539</v>
      </c>
      <c r="O19" s="34">
        <f t="shared" si="3"/>
        <v>111</v>
      </c>
    </row>
    <row r="20" spans="1:15" ht="12.75" customHeight="1" x14ac:dyDescent="0.3">
      <c r="E20" s="34">
        <v>18</v>
      </c>
      <c r="F20" s="16"/>
      <c r="G20" s="34">
        <f t="shared" si="1"/>
        <v>159</v>
      </c>
      <c r="I20" s="34">
        <v>18</v>
      </c>
      <c r="J20" s="43" t="s">
        <v>526</v>
      </c>
      <c r="K20" s="34">
        <f t="shared" si="2"/>
        <v>136</v>
      </c>
      <c r="M20" s="34">
        <v>18</v>
      </c>
      <c r="N20" s="43" t="s">
        <v>540</v>
      </c>
      <c r="O20" s="34">
        <f t="shared" si="3"/>
        <v>109</v>
      </c>
    </row>
    <row r="21" spans="1:15" ht="12.75" customHeight="1" x14ac:dyDescent="0.3">
      <c r="I21" s="34">
        <v>19</v>
      </c>
      <c r="J21" s="43"/>
      <c r="K21" s="34">
        <f t="shared" si="2"/>
        <v>134</v>
      </c>
      <c r="M21" s="34">
        <v>19</v>
      </c>
      <c r="N21" s="43" t="s">
        <v>541</v>
      </c>
      <c r="O21" s="34">
        <f t="shared" si="3"/>
        <v>107</v>
      </c>
    </row>
    <row r="22" spans="1:15" ht="12.75" customHeight="1" x14ac:dyDescent="0.3">
      <c r="I22" s="34">
        <v>20</v>
      </c>
      <c r="J22" s="43"/>
      <c r="K22" s="34">
        <f t="shared" si="2"/>
        <v>132</v>
      </c>
    </row>
    <row r="23" spans="1:15" ht="12.75" customHeight="1" x14ac:dyDescent="0.3"/>
    <row r="24" spans="1:15" ht="12.75" customHeight="1" x14ac:dyDescent="0.3"/>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7">
    <cfRule type="expression" dxfId="18" priority="1">
      <formula>IF($W5="",FALSE,$V5="")</formula>
    </cfRule>
  </conditionalFormatting>
  <conditionalFormatting sqref="F14:F20">
    <cfRule type="expression" dxfId="17" priority="2">
      <formula>IF($W14="",FALSE,$V14="")</formula>
    </cfRule>
  </conditionalFormatting>
  <pageMargins left="0.7" right="0.7" top="0.78740157499999996" bottom="0.78740157499999996"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P1000"/>
  <sheetViews>
    <sheetView workbookViewId="0">
      <selection activeCell="A3" sqref="A3"/>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6" width="10.69921875" customWidth="1"/>
  </cols>
  <sheetData>
    <row r="1" spans="1:16" ht="20" x14ac:dyDescent="0.4">
      <c r="A1" s="111" t="s">
        <v>607</v>
      </c>
      <c r="B1" s="112"/>
      <c r="C1" s="112"/>
      <c r="D1" s="112"/>
      <c r="E1" s="112"/>
      <c r="F1" s="112"/>
      <c r="G1" s="112"/>
      <c r="H1" s="112"/>
      <c r="I1" s="112"/>
      <c r="J1" s="112"/>
      <c r="K1" s="112"/>
      <c r="L1" s="112"/>
      <c r="M1" s="112"/>
      <c r="N1" s="112"/>
      <c r="O1" s="113"/>
      <c r="P1" s="26" t="s">
        <v>608</v>
      </c>
    </row>
    <row r="2" spans="1:16"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6" ht="12.75" customHeight="1" x14ac:dyDescent="0.3">
      <c r="A3" s="30">
        <v>1</v>
      </c>
      <c r="B3" t="s">
        <v>207</v>
      </c>
      <c r="C3" s="30">
        <f>Punkte!D6</f>
        <v>200</v>
      </c>
      <c r="E3" s="30">
        <v>1</v>
      </c>
      <c r="F3" t="s">
        <v>516</v>
      </c>
      <c r="G3" s="30">
        <f>IF(ISNA(VLOOKUP(ROUND(COUNTA(B3:B34)*Offset,0),A3:C34,3,FALSE)-1)=TRUE,177,VLOOKUP(ROUND(COUNTA(B3:B34)*Offset,0),A3:C34,3,FALSE)-1)</f>
        <v>193</v>
      </c>
      <c r="I3" s="30">
        <v>1</v>
      </c>
      <c r="J3" t="s">
        <v>612</v>
      </c>
      <c r="K3" s="30">
        <f>IF(ISNA(VLOOKUP(ROUND(COUNTA(F3:F34)*Offset,0),E3:G34,3,FALSE)-1)=TRUE,154,VLOOKUP(ROUND(COUNTA(F3:F34)*Offset,0),E3:G34,3,FALSE)-1)</f>
        <v>170</v>
      </c>
      <c r="M3" s="30">
        <v>1</v>
      </c>
      <c r="N3" t="s">
        <v>302</v>
      </c>
      <c r="O3" s="30">
        <f>IF(ISNA(VLOOKUP(ROUND(COUNTA(J3:J34)*Offset,0),I3:K34,3,FALSE)-1)=TRUE,131,VLOOKUP(ROUND(COUNTA(J3:J34)*Offset,0),I3:K34,3,FALSE)-1)</f>
        <v>141</v>
      </c>
    </row>
    <row r="4" spans="1:16" ht="12.75" customHeight="1" x14ac:dyDescent="0.3">
      <c r="A4" s="34">
        <v>2</v>
      </c>
      <c r="B4" t="s">
        <v>188</v>
      </c>
      <c r="C4" s="34">
        <f t="shared" ref="C4:C18" si="0">C3-2</f>
        <v>198</v>
      </c>
      <c r="E4" s="34">
        <v>2</v>
      </c>
      <c r="F4" t="s">
        <v>598</v>
      </c>
      <c r="G4" s="34">
        <f t="shared" ref="G4:G18" si="1">G3-2</f>
        <v>191</v>
      </c>
      <c r="I4" s="34">
        <v>2</v>
      </c>
      <c r="J4" t="s">
        <v>307</v>
      </c>
      <c r="K4" s="34">
        <f t="shared" ref="K4:K24" si="2">K3-2</f>
        <v>168</v>
      </c>
      <c r="M4" s="34">
        <v>2</v>
      </c>
      <c r="N4" t="s">
        <v>619</v>
      </c>
      <c r="O4" s="34">
        <f t="shared" ref="O4:O18" si="3">O3-2</f>
        <v>139</v>
      </c>
    </row>
    <row r="5" spans="1:16" ht="12.75" customHeight="1" x14ac:dyDescent="0.3">
      <c r="A5" s="34">
        <v>3</v>
      </c>
      <c r="B5" t="s">
        <v>32</v>
      </c>
      <c r="C5" s="34">
        <f t="shared" si="0"/>
        <v>196</v>
      </c>
      <c r="E5" s="34">
        <v>3</v>
      </c>
      <c r="F5" t="s">
        <v>50</v>
      </c>
      <c r="G5" s="34">
        <f t="shared" si="1"/>
        <v>189</v>
      </c>
      <c r="I5" s="34">
        <v>3</v>
      </c>
      <c r="J5" t="s">
        <v>170</v>
      </c>
      <c r="K5" s="34">
        <f t="shared" si="2"/>
        <v>166</v>
      </c>
      <c r="M5" s="34">
        <v>3</v>
      </c>
      <c r="N5" t="s">
        <v>620</v>
      </c>
      <c r="O5" s="34">
        <f t="shared" si="3"/>
        <v>137</v>
      </c>
    </row>
    <row r="6" spans="1:16" ht="12.75" customHeight="1" x14ac:dyDescent="0.3">
      <c r="A6" s="34">
        <v>4</v>
      </c>
      <c r="B6" t="s">
        <v>295</v>
      </c>
      <c r="C6" s="34">
        <f t="shared" si="0"/>
        <v>194</v>
      </c>
      <c r="E6" s="34">
        <v>4</v>
      </c>
      <c r="F6" t="s">
        <v>298</v>
      </c>
      <c r="G6" s="34">
        <f t="shared" si="1"/>
        <v>187</v>
      </c>
      <c r="I6" s="34">
        <v>4</v>
      </c>
      <c r="J6" t="s">
        <v>159</v>
      </c>
      <c r="K6" s="34">
        <f t="shared" si="2"/>
        <v>164</v>
      </c>
      <c r="M6" s="34">
        <v>4</v>
      </c>
      <c r="N6" t="s">
        <v>529</v>
      </c>
      <c r="O6" s="34">
        <f t="shared" si="3"/>
        <v>135</v>
      </c>
    </row>
    <row r="7" spans="1:16" ht="12.75" customHeight="1" x14ac:dyDescent="0.3">
      <c r="A7" s="34">
        <v>5</v>
      </c>
      <c r="B7" t="s">
        <v>139</v>
      </c>
      <c r="C7" s="34">
        <f t="shared" si="0"/>
        <v>192</v>
      </c>
      <c r="E7" s="34">
        <v>5</v>
      </c>
      <c r="F7" t="s">
        <v>609</v>
      </c>
      <c r="G7" s="34">
        <f t="shared" si="1"/>
        <v>185</v>
      </c>
      <c r="I7" s="34">
        <v>5</v>
      </c>
      <c r="J7" t="s">
        <v>613</v>
      </c>
      <c r="K7" s="34">
        <f t="shared" si="2"/>
        <v>162</v>
      </c>
      <c r="M7" s="34">
        <v>5</v>
      </c>
      <c r="N7" t="s">
        <v>106</v>
      </c>
      <c r="O7" s="34">
        <f t="shared" si="3"/>
        <v>133</v>
      </c>
    </row>
    <row r="8" spans="1:16" ht="12.75" customHeight="1" x14ac:dyDescent="0.3">
      <c r="A8" s="34">
        <v>6</v>
      </c>
      <c r="B8" s="43"/>
      <c r="C8" s="34">
        <f t="shared" si="0"/>
        <v>190</v>
      </c>
      <c r="E8" s="34">
        <v>6</v>
      </c>
      <c r="F8" t="s">
        <v>151</v>
      </c>
      <c r="G8" s="34">
        <f t="shared" si="1"/>
        <v>183</v>
      </c>
      <c r="I8" s="34">
        <v>6</v>
      </c>
      <c r="J8" t="s">
        <v>614</v>
      </c>
      <c r="K8" s="34">
        <f t="shared" si="2"/>
        <v>160</v>
      </c>
      <c r="M8" s="34">
        <v>6</v>
      </c>
      <c r="N8" t="s">
        <v>539</v>
      </c>
      <c r="O8" s="34">
        <f t="shared" si="3"/>
        <v>131</v>
      </c>
    </row>
    <row r="9" spans="1:16" ht="12.75" customHeight="1" x14ac:dyDescent="0.3">
      <c r="A9" s="34">
        <v>7</v>
      </c>
      <c r="B9" s="43"/>
      <c r="C9" s="34">
        <f t="shared" si="0"/>
        <v>188</v>
      </c>
      <c r="E9" s="34">
        <v>7</v>
      </c>
      <c r="F9" t="s">
        <v>610</v>
      </c>
      <c r="G9" s="34">
        <f t="shared" si="1"/>
        <v>181</v>
      </c>
      <c r="I9" s="34">
        <v>7</v>
      </c>
      <c r="J9" t="s">
        <v>599</v>
      </c>
      <c r="K9" s="34">
        <f t="shared" si="2"/>
        <v>158</v>
      </c>
      <c r="M9" s="34">
        <v>7</v>
      </c>
      <c r="N9" t="s">
        <v>308</v>
      </c>
      <c r="O9" s="34">
        <f t="shared" si="3"/>
        <v>129</v>
      </c>
    </row>
    <row r="10" spans="1:16" ht="12.75" customHeight="1" x14ac:dyDescent="0.3">
      <c r="A10" s="34">
        <v>8</v>
      </c>
      <c r="B10" s="43"/>
      <c r="C10" s="34">
        <f t="shared" si="0"/>
        <v>186</v>
      </c>
      <c r="E10" s="34">
        <v>8</v>
      </c>
      <c r="F10" t="s">
        <v>512</v>
      </c>
      <c r="G10" s="34">
        <f t="shared" si="1"/>
        <v>179</v>
      </c>
      <c r="I10" s="34">
        <v>8</v>
      </c>
      <c r="J10" t="s">
        <v>528</v>
      </c>
      <c r="K10" s="34">
        <f t="shared" si="2"/>
        <v>156</v>
      </c>
      <c r="M10" s="34">
        <v>8</v>
      </c>
      <c r="N10" t="s">
        <v>537</v>
      </c>
      <c r="O10" s="34">
        <f t="shared" si="3"/>
        <v>127</v>
      </c>
    </row>
    <row r="11" spans="1:16" ht="12.75" customHeight="1" x14ac:dyDescent="0.3">
      <c r="A11" s="34">
        <v>9</v>
      </c>
      <c r="B11" s="16"/>
      <c r="C11" s="34">
        <f t="shared" si="0"/>
        <v>184</v>
      </c>
      <c r="E11" s="34">
        <v>9</v>
      </c>
      <c r="F11" t="s">
        <v>145</v>
      </c>
      <c r="G11" s="34">
        <f t="shared" si="1"/>
        <v>177</v>
      </c>
      <c r="I11" s="34">
        <v>9</v>
      </c>
      <c r="J11" t="s">
        <v>531</v>
      </c>
      <c r="K11" s="34">
        <f t="shared" si="2"/>
        <v>154</v>
      </c>
      <c r="M11" s="34">
        <v>9</v>
      </c>
      <c r="N11" t="s">
        <v>621</v>
      </c>
      <c r="O11" s="34">
        <f t="shared" si="3"/>
        <v>125</v>
      </c>
    </row>
    <row r="12" spans="1:16" ht="12.75" customHeight="1" x14ac:dyDescent="0.3">
      <c r="A12" s="34">
        <v>10</v>
      </c>
      <c r="B12" s="16"/>
      <c r="C12" s="34">
        <f t="shared" si="0"/>
        <v>182</v>
      </c>
      <c r="E12" s="34">
        <v>10</v>
      </c>
      <c r="F12" t="s">
        <v>132</v>
      </c>
      <c r="G12" s="34">
        <f t="shared" si="1"/>
        <v>175</v>
      </c>
      <c r="I12" s="34">
        <v>10</v>
      </c>
      <c r="J12" t="s">
        <v>600</v>
      </c>
      <c r="K12" s="34">
        <f t="shared" si="2"/>
        <v>152</v>
      </c>
      <c r="M12" s="34">
        <v>10</v>
      </c>
      <c r="N12" t="s">
        <v>533</v>
      </c>
      <c r="O12" s="34">
        <f t="shared" si="3"/>
        <v>123</v>
      </c>
    </row>
    <row r="13" spans="1:16" ht="12.75" customHeight="1" x14ac:dyDescent="0.3">
      <c r="A13" s="34">
        <v>11</v>
      </c>
      <c r="B13" s="16"/>
      <c r="C13" s="34">
        <f t="shared" si="0"/>
        <v>180</v>
      </c>
      <c r="E13" s="34">
        <v>11</v>
      </c>
      <c r="F13" t="s">
        <v>41</v>
      </c>
      <c r="G13" s="34">
        <f t="shared" si="1"/>
        <v>173</v>
      </c>
      <c r="I13" s="34">
        <v>11</v>
      </c>
      <c r="J13" t="s">
        <v>534</v>
      </c>
      <c r="K13" s="34">
        <f t="shared" si="2"/>
        <v>150</v>
      </c>
      <c r="M13" s="34">
        <v>11</v>
      </c>
      <c r="N13" t="s">
        <v>622</v>
      </c>
      <c r="O13" s="34">
        <f t="shared" si="3"/>
        <v>121</v>
      </c>
    </row>
    <row r="14" spans="1:16" ht="12.75" customHeight="1" x14ac:dyDescent="0.3">
      <c r="A14" s="34">
        <v>12</v>
      </c>
      <c r="B14" s="35"/>
      <c r="C14" s="34">
        <f t="shared" si="0"/>
        <v>178</v>
      </c>
      <c r="E14" s="34">
        <v>12</v>
      </c>
      <c r="F14" t="s">
        <v>67</v>
      </c>
      <c r="G14" s="34">
        <f t="shared" si="1"/>
        <v>171</v>
      </c>
      <c r="I14" s="34">
        <v>12</v>
      </c>
      <c r="J14" t="s">
        <v>615</v>
      </c>
      <c r="K14" s="34">
        <f t="shared" si="2"/>
        <v>148</v>
      </c>
      <c r="M14" s="34">
        <v>12</v>
      </c>
      <c r="N14" t="s">
        <v>623</v>
      </c>
      <c r="O14" s="34">
        <f t="shared" si="3"/>
        <v>119</v>
      </c>
    </row>
    <row r="15" spans="1:16" ht="12.75" customHeight="1" x14ac:dyDescent="0.3">
      <c r="A15" s="34">
        <v>13</v>
      </c>
      <c r="B15" s="35"/>
      <c r="C15" s="34">
        <f t="shared" si="0"/>
        <v>176</v>
      </c>
      <c r="E15" s="34">
        <v>13</v>
      </c>
      <c r="F15" t="s">
        <v>121</v>
      </c>
      <c r="G15" s="34">
        <f t="shared" si="1"/>
        <v>169</v>
      </c>
      <c r="I15" s="34">
        <v>13</v>
      </c>
      <c r="J15" t="s">
        <v>247</v>
      </c>
      <c r="K15" s="34">
        <f t="shared" si="2"/>
        <v>146</v>
      </c>
      <c r="M15" s="34">
        <v>13</v>
      </c>
      <c r="N15" t="s">
        <v>624</v>
      </c>
      <c r="O15" s="34">
        <f t="shared" si="3"/>
        <v>117</v>
      </c>
    </row>
    <row r="16" spans="1:16" ht="12.75" customHeight="1" x14ac:dyDescent="0.3">
      <c r="A16" s="34">
        <v>14</v>
      </c>
      <c r="B16" s="16"/>
      <c r="C16" s="34">
        <f t="shared" si="0"/>
        <v>174</v>
      </c>
      <c r="E16" s="34">
        <v>14</v>
      </c>
      <c r="F16" t="s">
        <v>244</v>
      </c>
      <c r="G16" s="34">
        <f t="shared" si="1"/>
        <v>167</v>
      </c>
      <c r="I16" s="34">
        <v>14</v>
      </c>
      <c r="J16" t="s">
        <v>616</v>
      </c>
      <c r="K16" s="34">
        <f t="shared" si="2"/>
        <v>144</v>
      </c>
      <c r="M16" s="34">
        <v>14</v>
      </c>
      <c r="N16" t="s">
        <v>314</v>
      </c>
      <c r="O16" s="34">
        <f t="shared" si="3"/>
        <v>115</v>
      </c>
    </row>
    <row r="17" spans="1:15" ht="12.75" customHeight="1" x14ac:dyDescent="0.3">
      <c r="A17" s="34">
        <v>15</v>
      </c>
      <c r="B17" s="16"/>
      <c r="C17" s="34">
        <f t="shared" si="0"/>
        <v>172</v>
      </c>
      <c r="E17" s="34">
        <v>15</v>
      </c>
      <c r="F17" t="s">
        <v>152</v>
      </c>
      <c r="G17" s="34">
        <f t="shared" si="1"/>
        <v>165</v>
      </c>
      <c r="I17" s="34">
        <v>15</v>
      </c>
      <c r="J17" t="s">
        <v>617</v>
      </c>
      <c r="K17" s="34">
        <f t="shared" si="2"/>
        <v>142</v>
      </c>
      <c r="M17" s="34">
        <v>15</v>
      </c>
      <c r="N17" s="61"/>
      <c r="O17" s="34">
        <f t="shared" si="3"/>
        <v>113</v>
      </c>
    </row>
    <row r="18" spans="1:15" ht="12.75" customHeight="1" x14ac:dyDescent="0.3">
      <c r="A18" s="27">
        <v>16</v>
      </c>
      <c r="B18" s="28"/>
      <c r="C18" s="27">
        <f t="shared" si="0"/>
        <v>170</v>
      </c>
      <c r="E18" s="27">
        <v>16</v>
      </c>
      <c r="F18" t="s">
        <v>611</v>
      </c>
      <c r="G18" s="27">
        <f t="shared" si="1"/>
        <v>163</v>
      </c>
      <c r="I18" s="34">
        <v>16</v>
      </c>
      <c r="J18" t="s">
        <v>524</v>
      </c>
      <c r="K18" s="34">
        <f t="shared" si="2"/>
        <v>140</v>
      </c>
      <c r="M18" s="27">
        <v>16</v>
      </c>
      <c r="N18" s="61"/>
      <c r="O18" s="27">
        <f t="shared" si="3"/>
        <v>111</v>
      </c>
    </row>
    <row r="19" spans="1:15" ht="12.75" customHeight="1" x14ac:dyDescent="0.3">
      <c r="I19" s="34">
        <v>17</v>
      </c>
      <c r="J19" t="s">
        <v>618</v>
      </c>
      <c r="K19" s="34">
        <f t="shared" si="2"/>
        <v>138</v>
      </c>
    </row>
    <row r="20" spans="1:15" ht="12.75" customHeight="1" x14ac:dyDescent="0.3">
      <c r="I20" s="34">
        <v>18</v>
      </c>
      <c r="J20" t="s">
        <v>527</v>
      </c>
      <c r="K20" s="34">
        <f t="shared" si="2"/>
        <v>136</v>
      </c>
    </row>
    <row r="21" spans="1:15" ht="12.75" customHeight="1" x14ac:dyDescent="0.3">
      <c r="I21" s="34">
        <v>19</v>
      </c>
      <c r="J21" t="s">
        <v>311</v>
      </c>
      <c r="K21" s="34">
        <f t="shared" si="2"/>
        <v>134</v>
      </c>
    </row>
    <row r="22" spans="1:15" ht="12.75" customHeight="1" x14ac:dyDescent="0.3">
      <c r="I22" s="34">
        <v>20</v>
      </c>
      <c r="J22" t="s">
        <v>526</v>
      </c>
      <c r="K22" s="34">
        <f t="shared" si="2"/>
        <v>132</v>
      </c>
    </row>
    <row r="23" spans="1:15" ht="12.75" customHeight="1" x14ac:dyDescent="0.3">
      <c r="I23" s="34">
        <v>21</v>
      </c>
      <c r="J23" s="43"/>
      <c r="K23" s="34">
        <f t="shared" si="2"/>
        <v>130</v>
      </c>
    </row>
    <row r="24" spans="1:15" ht="12.75" customHeight="1" x14ac:dyDescent="0.3">
      <c r="I24" s="34">
        <v>22</v>
      </c>
      <c r="J24" s="43"/>
      <c r="K24" s="34">
        <f t="shared" si="2"/>
        <v>128</v>
      </c>
    </row>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12">
    <cfRule type="expression" dxfId="16" priority="1">
      <formula>IF($W5="",FALSE,$V5="")</formula>
    </cfRule>
  </conditionalFormatting>
  <pageMargins left="0.7" right="0.7" top="0.78740157499999996" bottom="0.78740157499999996"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Q1000"/>
  <sheetViews>
    <sheetView topLeftCell="E1" workbookViewId="0">
      <selection activeCell="Q2" sqref="Q2"/>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5" width="10.69921875" customWidth="1"/>
    <col min="16" max="16" width="11.09765625" customWidth="1"/>
  </cols>
  <sheetData>
    <row r="1" spans="1:17" ht="20" x14ac:dyDescent="0.4">
      <c r="A1" s="111" t="s">
        <v>445</v>
      </c>
      <c r="B1" s="112"/>
      <c r="C1" s="112"/>
      <c r="D1" s="112"/>
      <c r="E1" s="112"/>
      <c r="F1" s="112"/>
      <c r="G1" s="112"/>
      <c r="H1" s="112"/>
      <c r="I1" s="112"/>
      <c r="J1" s="112"/>
      <c r="K1" s="112"/>
      <c r="L1" s="112"/>
      <c r="M1" s="112"/>
      <c r="N1" s="112"/>
      <c r="O1" s="113"/>
      <c r="P1" s="26">
        <v>45445</v>
      </c>
      <c r="Q1" s="104" t="s">
        <v>606</v>
      </c>
    </row>
    <row r="2" spans="1:17"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7" ht="12.75" customHeight="1" x14ac:dyDescent="0.3">
      <c r="A3" s="30">
        <v>1</v>
      </c>
      <c r="B3" s="31"/>
      <c r="C3" s="30">
        <f>Punkte!D6</f>
        <v>200</v>
      </c>
      <c r="E3" s="30">
        <v>1</v>
      </c>
      <c r="F3" s="43"/>
      <c r="G3" s="30">
        <f>IF(ISNA(VLOOKUP(ROUND(COUNTA(B3:B34)*Offset,0),A3:C34,3,FALSE)-1)=TRUE,177,VLOOKUP(ROUND(COUNTA(B3:B34)*Offset,0),A3:C34,3,FALSE)-1)</f>
        <v>177</v>
      </c>
      <c r="I3" s="30">
        <v>1</v>
      </c>
      <c r="J3" s="43"/>
      <c r="K3" s="30">
        <f>IF(ISNA(VLOOKUP(ROUND(COUNTA(F3:F34)*Offset,0),E3:G34,3,FALSE)-1)=TRUE,154,VLOOKUP(ROUND(COUNTA(F3:F34)*Offset,0),E3:G34,3,FALSE)-1)</f>
        <v>154</v>
      </c>
      <c r="M3" s="30">
        <v>1</v>
      </c>
      <c r="N3" s="61"/>
      <c r="O3" s="30">
        <f>IF(ISNA(VLOOKUP(ROUND(COUNTA(J3:J34)*Offset,0),I3:K34,3,FALSE)-1)=TRUE,131,VLOOKUP(ROUND(COUNTA(J3:J34)*Offset,0),I3:K34,3,FALSE)-1)</f>
        <v>131</v>
      </c>
    </row>
    <row r="4" spans="1:17" ht="12.75" customHeight="1" x14ac:dyDescent="0.3">
      <c r="A4" s="34">
        <v>2</v>
      </c>
      <c r="B4" s="43"/>
      <c r="C4" s="34">
        <f t="shared" ref="C4:C18" si="0">C3-2</f>
        <v>198</v>
      </c>
      <c r="E4" s="34">
        <v>2</v>
      </c>
      <c r="F4" s="43"/>
      <c r="G4" s="34">
        <f t="shared" ref="G4:G18" si="1">G3-2</f>
        <v>175</v>
      </c>
      <c r="I4" s="34">
        <v>2</v>
      </c>
      <c r="J4" s="43"/>
      <c r="K4" s="34">
        <f t="shared" ref="K4:K19" si="2">K3-2</f>
        <v>152</v>
      </c>
      <c r="M4" s="34">
        <v>2</v>
      </c>
      <c r="N4" s="61"/>
      <c r="O4" s="34">
        <f t="shared" ref="O4:O18" si="3">O3-2</f>
        <v>129</v>
      </c>
    </row>
    <row r="5" spans="1:17" ht="12.75" customHeight="1" x14ac:dyDescent="0.3">
      <c r="A5" s="34">
        <v>3</v>
      </c>
      <c r="B5" s="16"/>
      <c r="C5" s="34">
        <f t="shared" si="0"/>
        <v>196</v>
      </c>
      <c r="E5" s="34">
        <v>3</v>
      </c>
      <c r="F5" s="16"/>
      <c r="G5" s="34">
        <f t="shared" si="1"/>
        <v>173</v>
      </c>
      <c r="I5" s="34">
        <v>3</v>
      </c>
      <c r="J5" s="43"/>
      <c r="K5" s="34">
        <f t="shared" si="2"/>
        <v>150</v>
      </c>
      <c r="M5" s="34">
        <v>3</v>
      </c>
      <c r="N5" s="61"/>
      <c r="O5" s="34">
        <f t="shared" si="3"/>
        <v>127</v>
      </c>
    </row>
    <row r="6" spans="1:17" ht="12.75" customHeight="1" x14ac:dyDescent="0.3">
      <c r="A6" s="34">
        <v>4</v>
      </c>
      <c r="B6" s="16"/>
      <c r="C6" s="34">
        <f t="shared" si="0"/>
        <v>194</v>
      </c>
      <c r="E6" s="34">
        <v>4</v>
      </c>
      <c r="F6" s="16"/>
      <c r="G6" s="34">
        <f t="shared" si="1"/>
        <v>171</v>
      </c>
      <c r="I6" s="34">
        <v>4</v>
      </c>
      <c r="J6" s="43"/>
      <c r="K6" s="34">
        <f t="shared" si="2"/>
        <v>148</v>
      </c>
      <c r="M6" s="34">
        <v>4</v>
      </c>
      <c r="N6" s="61"/>
      <c r="O6" s="34">
        <f t="shared" si="3"/>
        <v>125</v>
      </c>
    </row>
    <row r="7" spans="1:17" ht="12.75" customHeight="1" x14ac:dyDescent="0.3">
      <c r="A7" s="34">
        <v>5</v>
      </c>
      <c r="B7" s="16"/>
      <c r="C7" s="34">
        <f t="shared" si="0"/>
        <v>192</v>
      </c>
      <c r="E7" s="34">
        <v>5</v>
      </c>
      <c r="F7" s="16"/>
      <c r="G7" s="34">
        <f t="shared" si="1"/>
        <v>169</v>
      </c>
      <c r="I7" s="34">
        <v>5</v>
      </c>
      <c r="J7" s="43"/>
      <c r="K7" s="34">
        <f t="shared" si="2"/>
        <v>146</v>
      </c>
      <c r="M7" s="34">
        <v>5</v>
      </c>
      <c r="N7" s="61"/>
      <c r="O7" s="34">
        <f t="shared" si="3"/>
        <v>123</v>
      </c>
    </row>
    <row r="8" spans="1:17" ht="12.75" customHeight="1" x14ac:dyDescent="0.3">
      <c r="A8" s="34">
        <v>6</v>
      </c>
      <c r="B8" s="16"/>
      <c r="C8" s="34">
        <f t="shared" si="0"/>
        <v>190</v>
      </c>
      <c r="E8" s="34">
        <v>6</v>
      </c>
      <c r="F8" s="16"/>
      <c r="G8" s="34">
        <f t="shared" si="1"/>
        <v>167</v>
      </c>
      <c r="I8" s="34">
        <v>6</v>
      </c>
      <c r="J8" s="43"/>
      <c r="K8" s="34">
        <f t="shared" si="2"/>
        <v>144</v>
      </c>
      <c r="M8" s="34">
        <v>6</v>
      </c>
      <c r="N8" s="61"/>
      <c r="O8" s="34">
        <f t="shared" si="3"/>
        <v>121</v>
      </c>
    </row>
    <row r="9" spans="1:17" ht="12.75" customHeight="1" x14ac:dyDescent="0.3">
      <c r="A9" s="34">
        <v>7</v>
      </c>
      <c r="B9" s="16"/>
      <c r="C9" s="34">
        <f t="shared" si="0"/>
        <v>188</v>
      </c>
      <c r="E9" s="34">
        <v>7</v>
      </c>
      <c r="F9" s="16"/>
      <c r="G9" s="34">
        <f t="shared" si="1"/>
        <v>165</v>
      </c>
      <c r="I9" s="34">
        <v>7</v>
      </c>
      <c r="J9" s="43"/>
      <c r="K9" s="34">
        <f t="shared" si="2"/>
        <v>142</v>
      </c>
      <c r="M9" s="34">
        <v>7</v>
      </c>
      <c r="N9" s="61"/>
      <c r="O9" s="34">
        <f t="shared" si="3"/>
        <v>119</v>
      </c>
    </row>
    <row r="10" spans="1:17" ht="12.75" customHeight="1" x14ac:dyDescent="0.3">
      <c r="A10" s="34">
        <v>8</v>
      </c>
      <c r="B10" s="35"/>
      <c r="C10" s="34">
        <f t="shared" si="0"/>
        <v>186</v>
      </c>
      <c r="E10" s="34">
        <v>8</v>
      </c>
      <c r="F10" s="16"/>
      <c r="G10" s="34">
        <f t="shared" si="1"/>
        <v>163</v>
      </c>
      <c r="I10" s="34">
        <v>8</v>
      </c>
      <c r="J10" s="43"/>
      <c r="K10" s="34">
        <f t="shared" si="2"/>
        <v>140</v>
      </c>
      <c r="M10" s="34">
        <v>8</v>
      </c>
      <c r="N10" s="61"/>
      <c r="O10" s="34">
        <f t="shared" si="3"/>
        <v>117</v>
      </c>
    </row>
    <row r="11" spans="1:17" ht="12.75" customHeight="1" x14ac:dyDescent="0.3">
      <c r="A11" s="34">
        <v>9</v>
      </c>
      <c r="B11" s="16"/>
      <c r="C11" s="34">
        <f t="shared" si="0"/>
        <v>184</v>
      </c>
      <c r="E11" s="34">
        <v>9</v>
      </c>
      <c r="F11" s="16"/>
      <c r="G11" s="34">
        <f t="shared" si="1"/>
        <v>161</v>
      </c>
      <c r="I11" s="34">
        <v>9</v>
      </c>
      <c r="J11" s="43"/>
      <c r="K11" s="34">
        <f t="shared" si="2"/>
        <v>138</v>
      </c>
      <c r="M11" s="34">
        <v>9</v>
      </c>
      <c r="N11" s="61"/>
      <c r="O11" s="34">
        <f t="shared" si="3"/>
        <v>115</v>
      </c>
    </row>
    <row r="12" spans="1:17" ht="12.75" customHeight="1" x14ac:dyDescent="0.3">
      <c r="A12" s="34">
        <v>10</v>
      </c>
      <c r="B12" s="16"/>
      <c r="C12" s="34">
        <f t="shared" si="0"/>
        <v>182</v>
      </c>
      <c r="E12" s="34">
        <v>10</v>
      </c>
      <c r="F12" s="16"/>
      <c r="G12" s="34">
        <f t="shared" si="1"/>
        <v>159</v>
      </c>
      <c r="I12" s="34">
        <v>10</v>
      </c>
      <c r="J12" s="43"/>
      <c r="K12" s="34">
        <f t="shared" si="2"/>
        <v>136</v>
      </c>
      <c r="M12" s="34">
        <v>10</v>
      </c>
      <c r="N12" s="61"/>
      <c r="O12" s="34">
        <f t="shared" si="3"/>
        <v>113</v>
      </c>
    </row>
    <row r="13" spans="1:17" ht="12.75" customHeight="1" x14ac:dyDescent="0.3">
      <c r="A13" s="34">
        <v>11</v>
      </c>
      <c r="B13" s="16"/>
      <c r="C13" s="34">
        <f t="shared" si="0"/>
        <v>180</v>
      </c>
      <c r="E13" s="34">
        <v>11</v>
      </c>
      <c r="F13" s="16"/>
      <c r="G13" s="34">
        <f t="shared" si="1"/>
        <v>157</v>
      </c>
      <c r="I13" s="34">
        <v>11</v>
      </c>
      <c r="J13" s="43"/>
      <c r="K13" s="34">
        <f t="shared" si="2"/>
        <v>134</v>
      </c>
      <c r="M13" s="34">
        <v>11</v>
      </c>
      <c r="N13" s="61"/>
      <c r="O13" s="34">
        <f t="shared" si="3"/>
        <v>111</v>
      </c>
    </row>
    <row r="14" spans="1:17" ht="12.75" customHeight="1" x14ac:dyDescent="0.3">
      <c r="A14" s="34">
        <v>12</v>
      </c>
      <c r="B14" s="35"/>
      <c r="C14" s="34">
        <f t="shared" si="0"/>
        <v>178</v>
      </c>
      <c r="E14" s="34">
        <v>12</v>
      </c>
      <c r="F14" s="16"/>
      <c r="G14" s="34">
        <f t="shared" si="1"/>
        <v>155</v>
      </c>
      <c r="I14" s="34">
        <v>12</v>
      </c>
      <c r="J14" s="43"/>
      <c r="K14" s="34">
        <f t="shared" si="2"/>
        <v>132</v>
      </c>
      <c r="M14" s="34">
        <v>12</v>
      </c>
      <c r="N14" s="61"/>
      <c r="O14" s="34">
        <f t="shared" si="3"/>
        <v>109</v>
      </c>
    </row>
    <row r="15" spans="1:17" ht="12.75" customHeight="1" x14ac:dyDescent="0.3">
      <c r="A15" s="34">
        <v>13</v>
      </c>
      <c r="B15" s="35"/>
      <c r="C15" s="34">
        <f t="shared" si="0"/>
        <v>176</v>
      </c>
      <c r="E15" s="34">
        <v>13</v>
      </c>
      <c r="F15" s="35"/>
      <c r="G15" s="34">
        <f t="shared" si="1"/>
        <v>153</v>
      </c>
      <c r="I15" s="34">
        <v>13</v>
      </c>
      <c r="J15" s="43"/>
      <c r="K15" s="34">
        <f t="shared" si="2"/>
        <v>130</v>
      </c>
      <c r="M15" s="34">
        <v>13</v>
      </c>
      <c r="N15" s="35"/>
      <c r="O15" s="34">
        <f t="shared" si="3"/>
        <v>107</v>
      </c>
    </row>
    <row r="16" spans="1:17" ht="12.75" customHeight="1" x14ac:dyDescent="0.3">
      <c r="A16" s="34">
        <v>14</v>
      </c>
      <c r="B16" s="16"/>
      <c r="C16" s="34">
        <f t="shared" si="0"/>
        <v>174</v>
      </c>
      <c r="E16" s="34">
        <v>14</v>
      </c>
      <c r="F16" s="35"/>
      <c r="G16" s="34">
        <f t="shared" si="1"/>
        <v>151</v>
      </c>
      <c r="I16" s="34">
        <v>14</v>
      </c>
      <c r="J16" s="43"/>
      <c r="K16" s="34">
        <f t="shared" si="2"/>
        <v>128</v>
      </c>
      <c r="M16" s="34">
        <v>14</v>
      </c>
      <c r="N16" s="35"/>
      <c r="O16" s="34">
        <f t="shared" si="3"/>
        <v>105</v>
      </c>
    </row>
    <row r="17" spans="1:15" ht="12.75" customHeight="1" x14ac:dyDescent="0.3">
      <c r="A17" s="34">
        <v>15</v>
      </c>
      <c r="B17" s="16"/>
      <c r="C17" s="34">
        <f t="shared" si="0"/>
        <v>172</v>
      </c>
      <c r="E17" s="34">
        <v>15</v>
      </c>
      <c r="F17" s="35"/>
      <c r="G17" s="34">
        <f t="shared" si="1"/>
        <v>149</v>
      </c>
      <c r="I17" s="34">
        <v>15</v>
      </c>
      <c r="J17" s="43"/>
      <c r="K17" s="34">
        <f t="shared" si="2"/>
        <v>126</v>
      </c>
      <c r="M17" s="34">
        <v>15</v>
      </c>
      <c r="N17" s="35"/>
      <c r="O17" s="34">
        <f t="shared" si="3"/>
        <v>103</v>
      </c>
    </row>
    <row r="18" spans="1:15" ht="12.75" customHeight="1" x14ac:dyDescent="0.3">
      <c r="A18" s="27">
        <v>16</v>
      </c>
      <c r="B18" s="28"/>
      <c r="C18" s="27">
        <f t="shared" si="0"/>
        <v>170</v>
      </c>
      <c r="E18" s="27">
        <v>16</v>
      </c>
      <c r="F18" s="28"/>
      <c r="G18" s="27">
        <f t="shared" si="1"/>
        <v>147</v>
      </c>
      <c r="I18" s="34">
        <v>16</v>
      </c>
      <c r="J18" s="43"/>
      <c r="K18" s="34">
        <f t="shared" si="2"/>
        <v>124</v>
      </c>
      <c r="M18" s="27">
        <v>16</v>
      </c>
      <c r="N18" s="28"/>
      <c r="O18" s="27">
        <f t="shared" si="3"/>
        <v>101</v>
      </c>
    </row>
    <row r="19" spans="1:15" ht="12.75" customHeight="1" x14ac:dyDescent="0.3">
      <c r="I19" s="34">
        <v>17</v>
      </c>
      <c r="J19" s="43"/>
      <c r="K19" s="34">
        <f t="shared" si="2"/>
        <v>122</v>
      </c>
    </row>
    <row r="20" spans="1:15" ht="12.75" customHeight="1" x14ac:dyDescent="0.3"/>
    <row r="21" spans="1:15" ht="12.75" customHeight="1" x14ac:dyDescent="0.3"/>
    <row r="22" spans="1:15" ht="12.75" customHeight="1" x14ac:dyDescent="0.3"/>
    <row r="23" spans="1:15" ht="12.75" customHeight="1" x14ac:dyDescent="0.3"/>
    <row r="24" spans="1:15" ht="12.75" customHeight="1" x14ac:dyDescent="0.3"/>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14">
    <cfRule type="expression" dxfId="15" priority="1">
      <formula>IF($W5="",FALSE,$V5="")</formula>
    </cfRule>
  </conditionalFormatting>
  <pageMargins left="0.7" right="0.7" top="0.78740157499999996" bottom="0.78740157499999996"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Q1000"/>
  <sheetViews>
    <sheetView workbookViewId="0">
      <selection activeCell="A2" sqref="A2"/>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7" width="10.69921875" customWidth="1"/>
  </cols>
  <sheetData>
    <row r="1" spans="1:17" ht="20.5" thickBot="1" x14ac:dyDescent="0.45">
      <c r="A1" s="140" t="s">
        <v>560</v>
      </c>
      <c r="B1" s="112"/>
      <c r="C1" s="112"/>
      <c r="D1" s="112"/>
      <c r="E1" s="112"/>
      <c r="F1" s="112"/>
      <c r="G1" s="112"/>
      <c r="H1" s="112"/>
      <c r="I1" s="112"/>
      <c r="J1" s="112"/>
      <c r="K1" s="112"/>
      <c r="L1" s="112"/>
      <c r="M1" s="112"/>
      <c r="N1" s="112"/>
      <c r="O1" s="113"/>
      <c r="P1" s="26">
        <v>45929</v>
      </c>
      <c r="Q1" s="43" t="s">
        <v>502</v>
      </c>
    </row>
    <row r="2" spans="1:17" ht="12.75" customHeight="1" thickBot="1" x14ac:dyDescent="0.35">
      <c r="A2" s="27" t="s">
        <v>346</v>
      </c>
      <c r="B2" s="28" t="s">
        <v>1</v>
      </c>
      <c r="C2" s="29" t="s">
        <v>347</v>
      </c>
      <c r="E2" s="27" t="s">
        <v>348</v>
      </c>
      <c r="F2" s="28" t="s">
        <v>1</v>
      </c>
      <c r="G2" s="29" t="s">
        <v>347</v>
      </c>
      <c r="I2" s="27" t="s">
        <v>349</v>
      </c>
      <c r="J2" s="28" t="s">
        <v>1</v>
      </c>
      <c r="K2" s="29" t="s">
        <v>347</v>
      </c>
      <c r="M2" s="27" t="s">
        <v>350</v>
      </c>
      <c r="N2" s="28" t="s">
        <v>1</v>
      </c>
      <c r="O2" s="29" t="s">
        <v>347</v>
      </c>
      <c r="P2" s="103" t="s">
        <v>503</v>
      </c>
    </row>
    <row r="3" spans="1:17" ht="12.75" customHeight="1" x14ac:dyDescent="0.3">
      <c r="A3" s="30">
        <v>1</v>
      </c>
      <c r="B3" t="s">
        <v>146</v>
      </c>
      <c r="C3" s="30">
        <f>Punkte!D6</f>
        <v>200</v>
      </c>
      <c r="E3" s="30">
        <v>1</v>
      </c>
      <c r="F3" t="s">
        <v>96</v>
      </c>
      <c r="G3" s="30">
        <f>IF(ISNA(VLOOKUP(ROUND(COUNTA(B3:B34)*Offset,0),A3:C34,3,FALSE)-1)=TRUE,177,VLOOKUP(ROUND(COUNTA(B3:B34)*Offset,0),A3:C34,3,FALSE)-1)</f>
        <v>193</v>
      </c>
      <c r="I3" s="30">
        <v>1</v>
      </c>
      <c r="J3" t="s">
        <v>71</v>
      </c>
      <c r="K3" s="30">
        <f>IF(ISNA(VLOOKUP(ROUND(COUNTA(F3:F34)*Offset,0),E3:G34,3,FALSE)-1)=TRUE,154,VLOOKUP(ROUND(COUNTA(F3:F34)*Offset,0),E3:G34,3,FALSE)-1)</f>
        <v>184</v>
      </c>
      <c r="M3" s="30">
        <v>1</v>
      </c>
      <c r="N3" s="61"/>
      <c r="O3" s="30">
        <f>IF(ISNA(VLOOKUP(ROUND(COUNTA(J3:J34)*Offset,0),I3:K34,3,FALSE)-1)=TRUE,131,VLOOKUP(ROUND(COUNTA(J3:J34)*Offset,0),I3:K34,3,FALSE)-1)</f>
        <v>157</v>
      </c>
    </row>
    <row r="4" spans="1:17" ht="12.75" customHeight="1" x14ac:dyDescent="0.3">
      <c r="A4" s="34">
        <v>2</v>
      </c>
      <c r="B4" t="s">
        <v>168</v>
      </c>
      <c r="C4" s="34">
        <f t="shared" ref="C4:C18" si="0">C3-2</f>
        <v>198</v>
      </c>
      <c r="E4" s="34">
        <v>2</v>
      </c>
      <c r="F4" t="s">
        <v>201</v>
      </c>
      <c r="G4" s="34">
        <f t="shared" ref="G4:G18" si="1">G3-2</f>
        <v>191</v>
      </c>
      <c r="I4" s="34">
        <v>2</v>
      </c>
      <c r="J4" t="s">
        <v>104</v>
      </c>
      <c r="K4" s="34">
        <f t="shared" ref="K4:K21" si="2">K3-2</f>
        <v>182</v>
      </c>
      <c r="M4" s="34">
        <v>2</v>
      </c>
      <c r="N4" s="61"/>
      <c r="O4" s="34">
        <f t="shared" ref="O4:O18" si="3">O3-2</f>
        <v>155</v>
      </c>
    </row>
    <row r="5" spans="1:17" ht="12.75" customHeight="1" x14ac:dyDescent="0.3">
      <c r="A5" s="34">
        <v>3</v>
      </c>
      <c r="B5" t="s">
        <v>42</v>
      </c>
      <c r="C5" s="34">
        <f t="shared" si="0"/>
        <v>196</v>
      </c>
      <c r="E5" s="34">
        <v>3</v>
      </c>
      <c r="F5" t="s">
        <v>60</v>
      </c>
      <c r="G5" s="34">
        <f t="shared" si="1"/>
        <v>189</v>
      </c>
      <c r="I5" s="34">
        <v>3</v>
      </c>
      <c r="J5" t="s">
        <v>99</v>
      </c>
      <c r="K5" s="34">
        <f t="shared" si="2"/>
        <v>180</v>
      </c>
      <c r="M5" s="34">
        <v>3</v>
      </c>
      <c r="N5" s="61"/>
      <c r="O5" s="34">
        <f t="shared" si="3"/>
        <v>153</v>
      </c>
    </row>
    <row r="6" spans="1:17" ht="12.75" customHeight="1" x14ac:dyDescent="0.3">
      <c r="A6" s="34">
        <v>4</v>
      </c>
      <c r="B6" t="s">
        <v>53</v>
      </c>
      <c r="C6" s="34">
        <f t="shared" si="0"/>
        <v>194</v>
      </c>
      <c r="E6" s="34">
        <v>4</v>
      </c>
      <c r="F6" t="s">
        <v>92</v>
      </c>
      <c r="G6" s="34">
        <f t="shared" si="1"/>
        <v>187</v>
      </c>
      <c r="I6" s="34">
        <v>4</v>
      </c>
      <c r="J6" t="s">
        <v>229</v>
      </c>
      <c r="K6" s="34">
        <f t="shared" si="2"/>
        <v>178</v>
      </c>
      <c r="M6" s="34">
        <v>4</v>
      </c>
      <c r="N6" s="61"/>
      <c r="O6" s="34">
        <f t="shared" si="3"/>
        <v>151</v>
      </c>
    </row>
    <row r="7" spans="1:17" ht="12.75" customHeight="1" x14ac:dyDescent="0.3">
      <c r="A7" s="34">
        <v>5</v>
      </c>
      <c r="B7" t="s">
        <v>33</v>
      </c>
      <c r="C7" s="34">
        <f t="shared" si="0"/>
        <v>192</v>
      </c>
      <c r="E7" s="34">
        <v>5</v>
      </c>
      <c r="F7" t="s">
        <v>119</v>
      </c>
      <c r="G7" s="34">
        <f t="shared" si="1"/>
        <v>185</v>
      </c>
      <c r="I7" s="34">
        <v>5</v>
      </c>
      <c r="J7" t="s">
        <v>63</v>
      </c>
      <c r="K7" s="34">
        <f t="shared" si="2"/>
        <v>176</v>
      </c>
      <c r="M7" s="34">
        <v>5</v>
      </c>
      <c r="N7" s="61"/>
      <c r="O7" s="34">
        <f t="shared" si="3"/>
        <v>149</v>
      </c>
    </row>
    <row r="8" spans="1:17" ht="12.75" customHeight="1" x14ac:dyDescent="0.35">
      <c r="A8" s="34">
        <v>6</v>
      </c>
      <c r="B8" s="62"/>
      <c r="C8" s="34">
        <f t="shared" si="0"/>
        <v>190</v>
      </c>
      <c r="E8" s="34">
        <v>6</v>
      </c>
      <c r="F8" t="s">
        <v>158</v>
      </c>
      <c r="G8" s="34">
        <f t="shared" si="1"/>
        <v>183</v>
      </c>
      <c r="I8" s="34">
        <v>6</v>
      </c>
      <c r="J8" t="s">
        <v>112</v>
      </c>
      <c r="K8" s="34">
        <f t="shared" si="2"/>
        <v>174</v>
      </c>
      <c r="M8" s="34">
        <v>6</v>
      </c>
      <c r="N8" s="61"/>
      <c r="O8" s="34">
        <f t="shared" si="3"/>
        <v>147</v>
      </c>
    </row>
    <row r="9" spans="1:17" ht="12.75" customHeight="1" x14ac:dyDescent="0.35">
      <c r="A9" s="34">
        <v>7</v>
      </c>
      <c r="B9" s="62"/>
      <c r="C9" s="34">
        <f t="shared" si="0"/>
        <v>188</v>
      </c>
      <c r="E9" s="34">
        <v>7</v>
      </c>
      <c r="F9" t="s">
        <v>128</v>
      </c>
      <c r="G9" s="34">
        <f t="shared" si="1"/>
        <v>181</v>
      </c>
      <c r="I9" s="34">
        <v>7</v>
      </c>
      <c r="J9" t="s">
        <v>216</v>
      </c>
      <c r="K9" s="34">
        <f t="shared" si="2"/>
        <v>172</v>
      </c>
      <c r="M9" s="34">
        <v>7</v>
      </c>
      <c r="N9" s="61"/>
      <c r="O9" s="34">
        <f t="shared" si="3"/>
        <v>145</v>
      </c>
    </row>
    <row r="10" spans="1:17" ht="12.75" customHeight="1" x14ac:dyDescent="0.35">
      <c r="A10" s="34">
        <v>8</v>
      </c>
      <c r="B10" s="62"/>
      <c r="C10" s="34">
        <f t="shared" si="0"/>
        <v>186</v>
      </c>
      <c r="E10" s="34">
        <v>8</v>
      </c>
      <c r="F10" s="62"/>
      <c r="G10" s="34">
        <f t="shared" si="1"/>
        <v>179</v>
      </c>
      <c r="I10" s="34">
        <v>8</v>
      </c>
      <c r="J10" t="s">
        <v>494</v>
      </c>
      <c r="K10" s="34">
        <f t="shared" si="2"/>
        <v>170</v>
      </c>
      <c r="M10" s="34">
        <v>8</v>
      </c>
      <c r="N10" s="61"/>
      <c r="O10" s="34">
        <f t="shared" si="3"/>
        <v>143</v>
      </c>
    </row>
    <row r="11" spans="1:17" ht="12.75" customHeight="1" x14ac:dyDescent="0.35">
      <c r="A11" s="34">
        <v>9</v>
      </c>
      <c r="B11" s="62"/>
      <c r="C11" s="34">
        <f t="shared" si="0"/>
        <v>184</v>
      </c>
      <c r="E11" s="34">
        <v>9</v>
      </c>
      <c r="F11" s="62"/>
      <c r="G11" s="34">
        <f t="shared" si="1"/>
        <v>177</v>
      </c>
      <c r="I11" s="34">
        <v>9</v>
      </c>
      <c r="J11" t="s">
        <v>495</v>
      </c>
      <c r="K11" s="34">
        <f t="shared" si="2"/>
        <v>168</v>
      </c>
      <c r="M11" s="34">
        <v>9</v>
      </c>
      <c r="N11" s="61"/>
      <c r="O11" s="34">
        <f t="shared" si="3"/>
        <v>141</v>
      </c>
    </row>
    <row r="12" spans="1:17" ht="12.75" customHeight="1" x14ac:dyDescent="0.35">
      <c r="A12" s="34">
        <v>10</v>
      </c>
      <c r="B12" s="16"/>
      <c r="C12" s="34">
        <f t="shared" si="0"/>
        <v>182</v>
      </c>
      <c r="E12" s="34">
        <v>10</v>
      </c>
      <c r="F12" s="62"/>
      <c r="G12" s="34">
        <f t="shared" si="1"/>
        <v>175</v>
      </c>
      <c r="I12" s="34">
        <v>10</v>
      </c>
      <c r="J12" t="s">
        <v>496</v>
      </c>
      <c r="K12" s="34">
        <f t="shared" si="2"/>
        <v>166</v>
      </c>
      <c r="M12" s="34">
        <v>10</v>
      </c>
      <c r="N12" s="61"/>
      <c r="O12" s="34">
        <f t="shared" si="3"/>
        <v>139</v>
      </c>
    </row>
    <row r="13" spans="1:17" ht="12.75" customHeight="1" x14ac:dyDescent="0.3">
      <c r="A13" s="34">
        <v>11</v>
      </c>
      <c r="B13" s="16"/>
      <c r="C13" s="34">
        <f t="shared" si="0"/>
        <v>180</v>
      </c>
      <c r="E13" s="34">
        <v>11</v>
      </c>
      <c r="F13" s="16"/>
      <c r="G13" s="34">
        <f t="shared" si="1"/>
        <v>173</v>
      </c>
      <c r="I13" s="34">
        <v>11</v>
      </c>
      <c r="J13" t="s">
        <v>224</v>
      </c>
      <c r="K13" s="34">
        <f t="shared" si="2"/>
        <v>164</v>
      </c>
      <c r="M13" s="34">
        <v>11</v>
      </c>
      <c r="N13" s="61"/>
      <c r="O13" s="34">
        <f t="shared" si="3"/>
        <v>137</v>
      </c>
    </row>
    <row r="14" spans="1:17" ht="12.75" customHeight="1" x14ac:dyDescent="0.3">
      <c r="A14" s="34">
        <v>12</v>
      </c>
      <c r="B14" s="35"/>
      <c r="C14" s="34">
        <f t="shared" si="0"/>
        <v>178</v>
      </c>
      <c r="E14" s="34">
        <v>12</v>
      </c>
      <c r="F14" s="16"/>
      <c r="G14" s="34">
        <f t="shared" si="1"/>
        <v>171</v>
      </c>
      <c r="I14" s="34">
        <v>12</v>
      </c>
      <c r="J14" t="s">
        <v>219</v>
      </c>
      <c r="K14" s="34">
        <f t="shared" si="2"/>
        <v>162</v>
      </c>
      <c r="M14" s="34">
        <v>12</v>
      </c>
      <c r="N14" s="61"/>
      <c r="O14" s="34">
        <f t="shared" si="3"/>
        <v>135</v>
      </c>
    </row>
    <row r="15" spans="1:17" ht="12.75" customHeight="1" x14ac:dyDescent="0.3">
      <c r="A15" s="34">
        <v>13</v>
      </c>
      <c r="B15" s="35"/>
      <c r="C15" s="34">
        <f t="shared" si="0"/>
        <v>176</v>
      </c>
      <c r="E15" s="34">
        <v>13</v>
      </c>
      <c r="F15" s="35"/>
      <c r="G15" s="34">
        <f t="shared" si="1"/>
        <v>169</v>
      </c>
      <c r="I15" s="34">
        <v>13</v>
      </c>
      <c r="J15" t="s">
        <v>497</v>
      </c>
      <c r="K15" s="34">
        <f t="shared" si="2"/>
        <v>160</v>
      </c>
      <c r="M15" s="34">
        <v>13</v>
      </c>
      <c r="N15" s="35"/>
      <c r="O15" s="34">
        <f t="shared" si="3"/>
        <v>133</v>
      </c>
    </row>
    <row r="16" spans="1:17" ht="12.75" customHeight="1" x14ac:dyDescent="0.3">
      <c r="A16" s="34">
        <v>14</v>
      </c>
      <c r="B16" s="16"/>
      <c r="C16" s="34">
        <f t="shared" si="0"/>
        <v>174</v>
      </c>
      <c r="E16" s="34">
        <v>14</v>
      </c>
      <c r="F16" s="35"/>
      <c r="G16" s="34">
        <f t="shared" si="1"/>
        <v>167</v>
      </c>
      <c r="I16" s="34">
        <v>14</v>
      </c>
      <c r="J16" t="s">
        <v>498</v>
      </c>
      <c r="K16" s="34">
        <f t="shared" si="2"/>
        <v>158</v>
      </c>
      <c r="M16" s="34">
        <v>14</v>
      </c>
      <c r="N16" s="35"/>
      <c r="O16" s="34">
        <f t="shared" si="3"/>
        <v>131</v>
      </c>
    </row>
    <row r="17" spans="1:15" ht="12.75" customHeight="1" x14ac:dyDescent="0.3">
      <c r="A17" s="34">
        <v>15</v>
      </c>
      <c r="B17" s="16"/>
      <c r="C17" s="34">
        <f t="shared" si="0"/>
        <v>172</v>
      </c>
      <c r="E17" s="34">
        <v>15</v>
      </c>
      <c r="F17" s="35"/>
      <c r="G17" s="34">
        <f t="shared" si="1"/>
        <v>165</v>
      </c>
      <c r="I17" s="34">
        <v>15</v>
      </c>
      <c r="J17" t="s">
        <v>156</v>
      </c>
      <c r="K17" s="34">
        <f t="shared" si="2"/>
        <v>156</v>
      </c>
      <c r="M17" s="34">
        <v>15</v>
      </c>
      <c r="N17" s="35"/>
      <c r="O17" s="34">
        <f t="shared" si="3"/>
        <v>129</v>
      </c>
    </row>
    <row r="18" spans="1:15" ht="12.75" customHeight="1" thickBot="1" x14ac:dyDescent="0.35">
      <c r="A18" s="27">
        <v>16</v>
      </c>
      <c r="B18" s="28"/>
      <c r="C18" s="27">
        <f t="shared" si="0"/>
        <v>170</v>
      </c>
      <c r="E18" s="27">
        <v>16</v>
      </c>
      <c r="F18" s="28"/>
      <c r="G18" s="27">
        <f t="shared" si="1"/>
        <v>163</v>
      </c>
      <c r="I18" s="27">
        <v>16</v>
      </c>
      <c r="J18" t="s">
        <v>499</v>
      </c>
      <c r="K18" s="27">
        <f t="shared" si="2"/>
        <v>154</v>
      </c>
      <c r="M18" s="27">
        <v>16</v>
      </c>
      <c r="N18" s="28"/>
      <c r="O18" s="27">
        <f t="shared" si="3"/>
        <v>127</v>
      </c>
    </row>
    <row r="19" spans="1:15" ht="12.75" customHeight="1" x14ac:dyDescent="0.3">
      <c r="I19" s="34">
        <v>17</v>
      </c>
      <c r="J19" t="s">
        <v>242</v>
      </c>
      <c r="K19" s="34">
        <f t="shared" si="2"/>
        <v>152</v>
      </c>
    </row>
    <row r="20" spans="1:15" ht="12.75" customHeight="1" x14ac:dyDescent="0.3">
      <c r="I20" s="34">
        <v>18</v>
      </c>
      <c r="J20" t="s">
        <v>500</v>
      </c>
      <c r="K20" s="34">
        <f t="shared" si="2"/>
        <v>150</v>
      </c>
    </row>
    <row r="21" spans="1:15" ht="12.75" customHeight="1" thickBot="1" x14ac:dyDescent="0.35">
      <c r="I21" s="27">
        <v>19</v>
      </c>
      <c r="J21" t="s">
        <v>501</v>
      </c>
      <c r="K21" s="27">
        <f t="shared" si="2"/>
        <v>148</v>
      </c>
    </row>
    <row r="22" spans="1:15" ht="12.75" customHeight="1" x14ac:dyDescent="0.3"/>
    <row r="23" spans="1:15" ht="12.75" customHeight="1" x14ac:dyDescent="0.3"/>
    <row r="24" spans="1:15" ht="12.75" customHeight="1" x14ac:dyDescent="0.3"/>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14">
    <cfRule type="expression" dxfId="14" priority="1">
      <formula>IF($W5="",FALSE,$V5="")</formula>
    </cfRule>
  </conditionalFormatting>
  <hyperlinks>
    <hyperlink ref="P2" r:id="rId1" xr:uid="{1DD2D712-0385-4424-8619-0703B417C227}"/>
  </hyperlinks>
  <pageMargins left="0.7" right="0.7" top="0.78740157499999996" bottom="0.78740157499999996"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P1000"/>
  <sheetViews>
    <sheetView workbookViewId="0">
      <selection activeCell="B8" sqref="B8"/>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6" width="10.69921875" customWidth="1"/>
  </cols>
  <sheetData>
    <row r="1" spans="1:16" ht="20" x14ac:dyDescent="0.4">
      <c r="A1" s="140" t="s">
        <v>561</v>
      </c>
      <c r="B1" s="112"/>
      <c r="C1" s="112"/>
      <c r="D1" s="112"/>
      <c r="E1" s="112"/>
      <c r="F1" s="112"/>
      <c r="G1" s="112"/>
      <c r="H1" s="112"/>
      <c r="I1" s="112"/>
      <c r="J1" s="112"/>
      <c r="K1" s="112"/>
      <c r="L1" s="112"/>
      <c r="M1" s="112"/>
      <c r="N1" s="112"/>
      <c r="O1" s="113"/>
      <c r="P1" s="104" t="s">
        <v>562</v>
      </c>
    </row>
    <row r="2" spans="1:16"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6" ht="12.75" customHeight="1" x14ac:dyDescent="0.3">
      <c r="A3" s="30">
        <v>1</v>
      </c>
      <c r="B3" t="s">
        <v>374</v>
      </c>
      <c r="C3" s="30">
        <f>Punkte!D6</f>
        <v>200</v>
      </c>
      <c r="E3" s="30">
        <v>1</v>
      </c>
      <c r="F3" t="s">
        <v>180</v>
      </c>
      <c r="G3" s="30">
        <f>IF(ISNA(VLOOKUP(ROUND(COUNTA(B3:B34)*Offset,0),A3:C34,3,FALSE)-1)=TRUE,177,VLOOKUP(ROUND(COUNTA(B3:B34)*Offset,0),A3:C34,3,FALSE)-1)</f>
        <v>191</v>
      </c>
      <c r="I3" s="30">
        <v>1</v>
      </c>
      <c r="J3" t="s">
        <v>571</v>
      </c>
      <c r="K3" s="30">
        <f>IF(ISNA(VLOOKUP(ROUND(COUNTA(F3:F34)*Offset,0),E3:G34,3,FALSE)-1)=TRUE,154,VLOOKUP(ROUND(COUNTA(F3:F34)*Offset,0),E3:G34,3,FALSE)-1)</f>
        <v>170</v>
      </c>
      <c r="M3" s="30">
        <v>1</v>
      </c>
      <c r="N3" s="43"/>
      <c r="O3" s="30">
        <f>IF(ISNA(VLOOKUP(ROUND(COUNTA(J3:J34)*Offset,0),I3:K34,3,FALSE)-1)=TRUE,131,VLOOKUP(ROUND(COUNTA(J3:J34)*Offset,0),I3:K34,3,FALSE)-1)</f>
        <v>143</v>
      </c>
    </row>
    <row r="4" spans="1:16" ht="12.75" customHeight="1" x14ac:dyDescent="0.3">
      <c r="A4" s="34">
        <v>2</v>
      </c>
      <c r="B4" t="s">
        <v>33</v>
      </c>
      <c r="C4" s="34">
        <f t="shared" ref="C4:C18" si="0">C3-2</f>
        <v>198</v>
      </c>
      <c r="E4" s="34">
        <v>2</v>
      </c>
      <c r="F4" t="s">
        <v>186</v>
      </c>
      <c r="G4" s="34">
        <f t="shared" ref="G4:G18" si="1">G3-2</f>
        <v>189</v>
      </c>
      <c r="I4" s="34">
        <v>2</v>
      </c>
      <c r="J4" t="s">
        <v>209</v>
      </c>
      <c r="K4" s="34">
        <f t="shared" ref="K4:K25" si="2">K3-2</f>
        <v>168</v>
      </c>
      <c r="M4" s="34">
        <v>2</v>
      </c>
      <c r="N4" s="61"/>
      <c r="O4" s="34">
        <f t="shared" ref="O4:O18" si="3">O3-2</f>
        <v>141</v>
      </c>
    </row>
    <row r="5" spans="1:16" ht="12.75" customHeight="1" x14ac:dyDescent="0.3">
      <c r="A5" s="34">
        <v>3</v>
      </c>
      <c r="B5" t="s">
        <v>101</v>
      </c>
      <c r="C5" s="34">
        <f t="shared" si="0"/>
        <v>196</v>
      </c>
      <c r="E5" s="34">
        <v>3</v>
      </c>
      <c r="F5" t="s">
        <v>60</v>
      </c>
      <c r="G5" s="34">
        <f t="shared" si="1"/>
        <v>187</v>
      </c>
      <c r="I5" s="34">
        <v>3</v>
      </c>
      <c r="J5" t="s">
        <v>572</v>
      </c>
      <c r="K5" s="34">
        <f t="shared" si="2"/>
        <v>166</v>
      </c>
      <c r="M5" s="34">
        <v>3</v>
      </c>
      <c r="N5" s="61"/>
      <c r="O5" s="34">
        <f t="shared" si="3"/>
        <v>139</v>
      </c>
    </row>
    <row r="6" spans="1:16" ht="12.75" customHeight="1" x14ac:dyDescent="0.3">
      <c r="A6" s="34">
        <v>4</v>
      </c>
      <c r="B6" t="s">
        <v>319</v>
      </c>
      <c r="C6" s="34">
        <f t="shared" si="0"/>
        <v>194</v>
      </c>
      <c r="E6" s="34">
        <v>4</v>
      </c>
      <c r="F6" t="s">
        <v>563</v>
      </c>
      <c r="G6" s="34">
        <f t="shared" si="1"/>
        <v>185</v>
      </c>
      <c r="I6" s="34">
        <v>4</v>
      </c>
      <c r="J6" t="s">
        <v>63</v>
      </c>
      <c r="K6" s="34">
        <f t="shared" si="2"/>
        <v>164</v>
      </c>
      <c r="M6" s="34">
        <v>4</v>
      </c>
      <c r="N6" s="61"/>
      <c r="O6" s="34">
        <f t="shared" si="3"/>
        <v>137</v>
      </c>
    </row>
    <row r="7" spans="1:16" ht="12.75" customHeight="1" x14ac:dyDescent="0.3">
      <c r="A7" s="34">
        <v>5</v>
      </c>
      <c r="B7" t="s">
        <v>27</v>
      </c>
      <c r="C7" s="34">
        <f t="shared" si="0"/>
        <v>192</v>
      </c>
      <c r="E7" s="34">
        <v>5</v>
      </c>
      <c r="F7" t="s">
        <v>71</v>
      </c>
      <c r="G7" s="34">
        <f t="shared" si="1"/>
        <v>183</v>
      </c>
      <c r="I7" s="34">
        <v>5</v>
      </c>
      <c r="J7" t="s">
        <v>126</v>
      </c>
      <c r="K7" s="34">
        <f t="shared" si="2"/>
        <v>162</v>
      </c>
      <c r="M7" s="34">
        <v>5</v>
      </c>
      <c r="N7" s="61"/>
      <c r="O7" s="34">
        <f t="shared" si="3"/>
        <v>135</v>
      </c>
    </row>
    <row r="8" spans="1:16" ht="12.75" customHeight="1" x14ac:dyDescent="0.3">
      <c r="A8" s="34">
        <v>6</v>
      </c>
      <c r="B8" t="s">
        <v>42</v>
      </c>
      <c r="C8" s="34">
        <f t="shared" si="0"/>
        <v>190</v>
      </c>
      <c r="E8" s="34">
        <v>6</v>
      </c>
      <c r="F8" t="s">
        <v>323</v>
      </c>
      <c r="G8" s="34">
        <f t="shared" si="1"/>
        <v>181</v>
      </c>
      <c r="I8" s="34">
        <v>6</v>
      </c>
      <c r="J8" t="s">
        <v>230</v>
      </c>
      <c r="K8" s="34">
        <f t="shared" si="2"/>
        <v>160</v>
      </c>
      <c r="M8" s="34">
        <v>6</v>
      </c>
      <c r="N8" s="61"/>
      <c r="O8" s="34">
        <f t="shared" si="3"/>
        <v>133</v>
      </c>
    </row>
    <row r="9" spans="1:16" ht="12.75" customHeight="1" x14ac:dyDescent="0.3">
      <c r="A9" s="34">
        <v>7</v>
      </c>
      <c r="B9" s="43"/>
      <c r="C9" s="34">
        <f t="shared" si="0"/>
        <v>188</v>
      </c>
      <c r="E9" s="34">
        <v>7</v>
      </c>
      <c r="F9" t="s">
        <v>564</v>
      </c>
      <c r="G9" s="34">
        <f t="shared" si="1"/>
        <v>179</v>
      </c>
      <c r="I9" s="34">
        <v>7</v>
      </c>
      <c r="J9" t="s">
        <v>573</v>
      </c>
      <c r="K9" s="34">
        <f t="shared" si="2"/>
        <v>158</v>
      </c>
      <c r="M9" s="34">
        <v>7</v>
      </c>
      <c r="N9" s="61"/>
      <c r="O9" s="34">
        <f t="shared" si="3"/>
        <v>131</v>
      </c>
    </row>
    <row r="10" spans="1:16" ht="12.75" customHeight="1" x14ac:dyDescent="0.3">
      <c r="A10" s="34">
        <v>8</v>
      </c>
      <c r="B10" s="43"/>
      <c r="C10" s="34">
        <f t="shared" si="0"/>
        <v>186</v>
      </c>
      <c r="E10" s="34">
        <v>8</v>
      </c>
      <c r="F10" t="s">
        <v>565</v>
      </c>
      <c r="G10" s="34">
        <f t="shared" si="1"/>
        <v>177</v>
      </c>
      <c r="I10" s="34">
        <v>8</v>
      </c>
      <c r="J10" t="s">
        <v>574</v>
      </c>
      <c r="K10" s="34">
        <f t="shared" si="2"/>
        <v>156</v>
      </c>
      <c r="M10" s="34">
        <v>8</v>
      </c>
      <c r="N10" s="61"/>
      <c r="O10" s="34">
        <f t="shared" si="3"/>
        <v>129</v>
      </c>
    </row>
    <row r="11" spans="1:16" ht="12.75" customHeight="1" x14ac:dyDescent="0.3">
      <c r="A11" s="34">
        <v>9</v>
      </c>
      <c r="B11" s="16"/>
      <c r="C11" s="34">
        <f t="shared" si="0"/>
        <v>184</v>
      </c>
      <c r="E11" s="34">
        <v>9</v>
      </c>
      <c r="F11" t="s">
        <v>566</v>
      </c>
      <c r="G11" s="34">
        <f t="shared" si="1"/>
        <v>175</v>
      </c>
      <c r="I11" s="34">
        <v>9</v>
      </c>
      <c r="J11" t="s">
        <v>224</v>
      </c>
      <c r="K11" s="34">
        <f t="shared" si="2"/>
        <v>154</v>
      </c>
      <c r="M11" s="34">
        <v>9</v>
      </c>
      <c r="N11" s="61"/>
      <c r="O11" s="34">
        <f t="shared" si="3"/>
        <v>127</v>
      </c>
    </row>
    <row r="12" spans="1:16" ht="12.75" customHeight="1" x14ac:dyDescent="0.3">
      <c r="A12" s="34">
        <v>10</v>
      </c>
      <c r="B12" s="16"/>
      <c r="C12" s="34">
        <f t="shared" si="0"/>
        <v>182</v>
      </c>
      <c r="E12" s="34">
        <v>10</v>
      </c>
      <c r="F12" t="s">
        <v>567</v>
      </c>
      <c r="G12" s="34">
        <f t="shared" si="1"/>
        <v>173</v>
      </c>
      <c r="I12" s="34">
        <v>10</v>
      </c>
      <c r="J12" t="s">
        <v>206</v>
      </c>
      <c r="K12" s="34">
        <f t="shared" si="2"/>
        <v>152</v>
      </c>
      <c r="M12" s="34">
        <v>10</v>
      </c>
      <c r="N12" s="61"/>
      <c r="O12" s="34">
        <f t="shared" si="3"/>
        <v>125</v>
      </c>
    </row>
    <row r="13" spans="1:16" ht="12.75" customHeight="1" x14ac:dyDescent="0.3">
      <c r="A13" s="34">
        <v>11</v>
      </c>
      <c r="B13" s="16"/>
      <c r="C13" s="34">
        <f t="shared" si="0"/>
        <v>180</v>
      </c>
      <c r="E13" s="34">
        <v>11</v>
      </c>
      <c r="F13" t="s">
        <v>568</v>
      </c>
      <c r="G13" s="34">
        <f t="shared" si="1"/>
        <v>171</v>
      </c>
      <c r="I13" s="34">
        <v>11</v>
      </c>
      <c r="J13" t="s">
        <v>499</v>
      </c>
      <c r="K13" s="34">
        <f t="shared" si="2"/>
        <v>150</v>
      </c>
      <c r="M13" s="34">
        <v>11</v>
      </c>
      <c r="N13" s="61"/>
      <c r="O13" s="34">
        <f t="shared" si="3"/>
        <v>123</v>
      </c>
    </row>
    <row r="14" spans="1:16" ht="12.75" customHeight="1" x14ac:dyDescent="0.3">
      <c r="A14" s="34">
        <v>12</v>
      </c>
      <c r="B14" s="35"/>
      <c r="C14" s="34">
        <f t="shared" si="0"/>
        <v>178</v>
      </c>
      <c r="E14" s="34">
        <v>12</v>
      </c>
      <c r="F14" t="s">
        <v>569</v>
      </c>
      <c r="G14" s="34">
        <f t="shared" si="1"/>
        <v>169</v>
      </c>
      <c r="I14" s="34">
        <v>12</v>
      </c>
      <c r="J14" t="s">
        <v>86</v>
      </c>
      <c r="K14" s="34">
        <f t="shared" si="2"/>
        <v>148</v>
      </c>
      <c r="M14" s="34">
        <v>12</v>
      </c>
      <c r="N14" s="61"/>
      <c r="O14" s="34">
        <f t="shared" si="3"/>
        <v>121</v>
      </c>
    </row>
    <row r="15" spans="1:16" ht="12.75" customHeight="1" x14ac:dyDescent="0.3">
      <c r="A15" s="34">
        <v>13</v>
      </c>
      <c r="B15" s="35"/>
      <c r="C15" s="34">
        <f t="shared" si="0"/>
        <v>176</v>
      </c>
      <c r="E15" s="34">
        <v>13</v>
      </c>
      <c r="F15" t="s">
        <v>107</v>
      </c>
      <c r="G15" s="34">
        <f t="shared" si="1"/>
        <v>167</v>
      </c>
      <c r="I15" s="34">
        <v>13</v>
      </c>
      <c r="J15" t="s">
        <v>221</v>
      </c>
      <c r="K15" s="34">
        <f t="shared" si="2"/>
        <v>146</v>
      </c>
      <c r="M15" s="34">
        <v>13</v>
      </c>
      <c r="N15" s="35"/>
      <c r="O15" s="34">
        <f t="shared" si="3"/>
        <v>119</v>
      </c>
    </row>
    <row r="16" spans="1:16" ht="12.75" customHeight="1" x14ac:dyDescent="0.3">
      <c r="A16" s="34">
        <v>14</v>
      </c>
      <c r="B16" s="16"/>
      <c r="C16" s="34">
        <f t="shared" si="0"/>
        <v>174</v>
      </c>
      <c r="E16" s="34">
        <v>14</v>
      </c>
      <c r="F16" t="s">
        <v>570</v>
      </c>
      <c r="G16" s="34">
        <f t="shared" si="1"/>
        <v>165</v>
      </c>
      <c r="I16" s="34">
        <v>14</v>
      </c>
      <c r="J16" t="s">
        <v>242</v>
      </c>
      <c r="K16" s="34">
        <f t="shared" si="2"/>
        <v>144</v>
      </c>
      <c r="M16" s="34">
        <v>14</v>
      </c>
      <c r="N16" s="35"/>
      <c r="O16" s="34">
        <f t="shared" si="3"/>
        <v>117</v>
      </c>
    </row>
    <row r="17" spans="1:15" ht="12.75" customHeight="1" x14ac:dyDescent="0.3">
      <c r="A17" s="34">
        <v>15</v>
      </c>
      <c r="B17" s="16"/>
      <c r="C17" s="34">
        <f t="shared" si="0"/>
        <v>172</v>
      </c>
      <c r="E17" s="34">
        <v>15</v>
      </c>
      <c r="F17" t="s">
        <v>219</v>
      </c>
      <c r="G17" s="34">
        <f t="shared" si="1"/>
        <v>163</v>
      </c>
      <c r="I17" s="34">
        <v>15</v>
      </c>
      <c r="J17" t="s">
        <v>575</v>
      </c>
      <c r="K17" s="34">
        <f t="shared" si="2"/>
        <v>142</v>
      </c>
      <c r="M17" s="34">
        <v>15</v>
      </c>
      <c r="N17" s="35"/>
      <c r="O17" s="34">
        <f t="shared" si="3"/>
        <v>115</v>
      </c>
    </row>
    <row r="18" spans="1:15" ht="12.75" customHeight="1" x14ac:dyDescent="0.3">
      <c r="A18" s="27">
        <v>16</v>
      </c>
      <c r="B18" s="28"/>
      <c r="C18" s="27">
        <f t="shared" si="0"/>
        <v>170</v>
      </c>
      <c r="E18" s="27">
        <v>16</v>
      </c>
      <c r="F18" s="28"/>
      <c r="G18" s="27">
        <f t="shared" si="1"/>
        <v>161</v>
      </c>
      <c r="I18" s="34">
        <v>16</v>
      </c>
      <c r="J18" t="s">
        <v>576</v>
      </c>
      <c r="K18" s="34">
        <f t="shared" si="2"/>
        <v>140</v>
      </c>
      <c r="M18" s="27">
        <v>16</v>
      </c>
      <c r="N18" s="28"/>
      <c r="O18" s="27">
        <f t="shared" si="3"/>
        <v>113</v>
      </c>
    </row>
    <row r="19" spans="1:15" ht="12.75" customHeight="1" x14ac:dyDescent="0.3">
      <c r="I19" s="34">
        <v>17</v>
      </c>
      <c r="J19" t="s">
        <v>94</v>
      </c>
      <c r="K19" s="34">
        <f t="shared" si="2"/>
        <v>138</v>
      </c>
    </row>
    <row r="20" spans="1:15" ht="12.75" customHeight="1" x14ac:dyDescent="0.3">
      <c r="I20" s="34">
        <v>18</v>
      </c>
      <c r="J20" t="s">
        <v>167</v>
      </c>
      <c r="K20" s="34">
        <f t="shared" si="2"/>
        <v>136</v>
      </c>
    </row>
    <row r="21" spans="1:15" ht="12.75" customHeight="1" x14ac:dyDescent="0.3">
      <c r="I21" s="34">
        <v>19</v>
      </c>
      <c r="J21" t="s">
        <v>577</v>
      </c>
      <c r="K21" s="34">
        <f t="shared" si="2"/>
        <v>134</v>
      </c>
    </row>
    <row r="22" spans="1:15" ht="12.75" customHeight="1" x14ac:dyDescent="0.3">
      <c r="I22" s="34">
        <v>20</v>
      </c>
      <c r="J22" s="43"/>
      <c r="K22" s="34">
        <f t="shared" si="2"/>
        <v>132</v>
      </c>
    </row>
    <row r="23" spans="1:15" ht="12.75" customHeight="1" x14ac:dyDescent="0.3">
      <c r="I23" s="34">
        <v>21</v>
      </c>
      <c r="J23" s="43"/>
      <c r="K23" s="34">
        <f t="shared" si="2"/>
        <v>130</v>
      </c>
    </row>
    <row r="24" spans="1:15" ht="12.75" customHeight="1" x14ac:dyDescent="0.3">
      <c r="I24" s="34">
        <v>22</v>
      </c>
      <c r="J24" s="43"/>
      <c r="K24" s="34">
        <f t="shared" si="2"/>
        <v>128</v>
      </c>
    </row>
    <row r="25" spans="1:15" ht="12.75" customHeight="1" x14ac:dyDescent="0.3">
      <c r="I25" s="27">
        <v>23</v>
      </c>
      <c r="J25" s="63"/>
      <c r="K25" s="27">
        <f t="shared" si="2"/>
        <v>126</v>
      </c>
    </row>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14">
    <cfRule type="expression" dxfId="13" priority="1">
      <formula>IF($W5="",FALSE,$V5="")</formula>
    </cfRule>
  </conditionalFormatting>
  <pageMargins left="0.7" right="0.7" top="0.78740157499999996" bottom="0.78740157499999996"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P1000"/>
  <sheetViews>
    <sheetView workbookViewId="0">
      <selection activeCell="N3" sqref="N3:N6"/>
    </sheetView>
  </sheetViews>
  <sheetFormatPr defaultColWidth="14.3984375" defaultRowHeight="15" customHeight="1" x14ac:dyDescent="0.3"/>
  <cols>
    <col min="1" max="1" width="11.39843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6" width="10.69921875" customWidth="1"/>
  </cols>
  <sheetData>
    <row r="1" spans="1:16" ht="20" x14ac:dyDescent="0.4">
      <c r="A1" s="141" t="s">
        <v>638</v>
      </c>
      <c r="B1" s="112"/>
      <c r="C1" s="112"/>
      <c r="D1" s="112"/>
      <c r="E1" s="112"/>
      <c r="F1" s="112"/>
      <c r="G1" s="112"/>
      <c r="H1" s="112"/>
      <c r="I1" s="112"/>
      <c r="J1" s="112"/>
      <c r="K1" s="112"/>
      <c r="L1" s="112"/>
      <c r="M1" s="112"/>
      <c r="N1" s="112"/>
      <c r="O1" s="113"/>
      <c r="P1" s="26" t="s">
        <v>639</v>
      </c>
    </row>
    <row r="2" spans="1:16"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row>
    <row r="3" spans="1:16" ht="12.75" customHeight="1" x14ac:dyDescent="0.3">
      <c r="A3" s="30">
        <v>1</v>
      </c>
      <c r="B3" s="43" t="s">
        <v>27</v>
      </c>
      <c r="C3" s="30">
        <f>Punkte!D6</f>
        <v>200</v>
      </c>
      <c r="E3" s="30">
        <v>1</v>
      </c>
      <c r="F3" s="43" t="s">
        <v>201</v>
      </c>
      <c r="G3" s="30">
        <f>IF(ISNA(VLOOKUP(ROUND(COUNTA(B3:B34)*Offset,0),A3:C34,3,FALSE)-1)=TRUE,177,VLOOKUP(ROUND(COUNTA(B3:B34)*Offset,0),A3:C34,3,FALSE)-1)</f>
        <v>195</v>
      </c>
      <c r="I3" s="30">
        <v>1</v>
      </c>
      <c r="J3" s="43" t="s">
        <v>615</v>
      </c>
      <c r="K3" s="30">
        <f>IF(ISNA(VLOOKUP(ROUND(COUNTA(F3:F34)*Offset,0),E3:G34,3,FALSE)-1)=TRUE,154,VLOOKUP(ROUND(COUNTA(F3:F34)*Offset,0),E3:G34,3,FALSE)-1)</f>
        <v>186</v>
      </c>
      <c r="M3" s="30">
        <v>1</v>
      </c>
      <c r="N3" s="61" t="s">
        <v>623</v>
      </c>
      <c r="O3" s="30">
        <f>IF(ISNA(VLOOKUP(ROUND(COUNTA(J3:J34)*Offset,0),I3:K34,3,FALSE)-1)=TRUE,131,VLOOKUP(ROUND(COUNTA(J3:J34)*Offset,0),I3:K34,3,FALSE)-1)</f>
        <v>171</v>
      </c>
    </row>
    <row r="4" spans="1:16" ht="12.75" customHeight="1" x14ac:dyDescent="0.3">
      <c r="A4" s="34">
        <v>2</v>
      </c>
      <c r="B4" s="43" t="s">
        <v>96</v>
      </c>
      <c r="C4" s="34">
        <f t="shared" ref="C4:C18" si="0">C3-2</f>
        <v>198</v>
      </c>
      <c r="E4" s="34">
        <v>2</v>
      </c>
      <c r="F4" s="43" t="s">
        <v>60</v>
      </c>
      <c r="G4" s="34">
        <f t="shared" ref="G4:G18" si="1">G3-2</f>
        <v>193</v>
      </c>
      <c r="I4" s="34">
        <v>2</v>
      </c>
      <c r="J4" s="43" t="s">
        <v>640</v>
      </c>
      <c r="K4" s="34">
        <f t="shared" ref="K4:K24" si="2">K3-2</f>
        <v>184</v>
      </c>
      <c r="M4" s="34">
        <v>2</v>
      </c>
      <c r="N4" s="61" t="s">
        <v>642</v>
      </c>
      <c r="O4" s="34">
        <f t="shared" ref="O4:O18" si="3">O3-2</f>
        <v>169</v>
      </c>
    </row>
    <row r="5" spans="1:16" ht="12.75" customHeight="1" x14ac:dyDescent="0.3">
      <c r="A5" s="34">
        <v>3</v>
      </c>
      <c r="B5" s="43" t="s">
        <v>74</v>
      </c>
      <c r="C5" s="34">
        <f t="shared" si="0"/>
        <v>196</v>
      </c>
      <c r="E5" s="34">
        <v>3</v>
      </c>
      <c r="F5" s="43" t="s">
        <v>568</v>
      </c>
      <c r="G5" s="34">
        <f t="shared" si="1"/>
        <v>191</v>
      </c>
      <c r="I5" s="34">
        <v>3</v>
      </c>
      <c r="J5" s="43" t="s">
        <v>565</v>
      </c>
      <c r="K5" s="34">
        <f t="shared" si="2"/>
        <v>182</v>
      </c>
      <c r="M5" s="34">
        <v>3</v>
      </c>
      <c r="N5" s="61" t="s">
        <v>643</v>
      </c>
      <c r="O5" s="34">
        <f t="shared" si="3"/>
        <v>167</v>
      </c>
    </row>
    <row r="6" spans="1:16" ht="12.75" customHeight="1" x14ac:dyDescent="0.3">
      <c r="A6" s="34">
        <v>4</v>
      </c>
      <c r="B6" s="43" t="s">
        <v>92</v>
      </c>
      <c r="C6" s="34">
        <f t="shared" si="0"/>
        <v>194</v>
      </c>
      <c r="E6" s="34">
        <v>4</v>
      </c>
      <c r="F6" s="43" t="s">
        <v>107</v>
      </c>
      <c r="G6" s="34">
        <f t="shared" si="1"/>
        <v>189</v>
      </c>
      <c r="I6" s="34">
        <v>4</v>
      </c>
      <c r="J6" s="43" t="s">
        <v>63</v>
      </c>
      <c r="K6" s="34">
        <f t="shared" si="2"/>
        <v>180</v>
      </c>
      <c r="M6" s="34">
        <v>4</v>
      </c>
      <c r="N6" s="61" t="s">
        <v>644</v>
      </c>
      <c r="O6" s="34">
        <f t="shared" si="3"/>
        <v>165</v>
      </c>
    </row>
    <row r="7" spans="1:16" ht="12.75" customHeight="1" x14ac:dyDescent="0.3">
      <c r="A7" s="34">
        <v>5</v>
      </c>
      <c r="B7" s="43"/>
      <c r="C7" s="34">
        <f t="shared" si="0"/>
        <v>192</v>
      </c>
      <c r="E7" s="34">
        <v>5</v>
      </c>
      <c r="F7" s="43" t="s">
        <v>497</v>
      </c>
      <c r="G7" s="34">
        <f t="shared" si="1"/>
        <v>187</v>
      </c>
      <c r="I7" s="34">
        <v>5</v>
      </c>
      <c r="J7" s="43" t="s">
        <v>209</v>
      </c>
      <c r="K7" s="34">
        <f t="shared" si="2"/>
        <v>178</v>
      </c>
      <c r="M7" s="34">
        <v>5</v>
      </c>
      <c r="N7" s="61"/>
      <c r="O7" s="34">
        <f t="shared" si="3"/>
        <v>163</v>
      </c>
    </row>
    <row r="8" spans="1:16" ht="12.75" customHeight="1" x14ac:dyDescent="0.3">
      <c r="A8" s="34">
        <v>6</v>
      </c>
      <c r="C8" s="34">
        <f t="shared" si="0"/>
        <v>190</v>
      </c>
      <c r="E8" s="34">
        <v>6</v>
      </c>
      <c r="F8" s="64" t="s">
        <v>219</v>
      </c>
      <c r="G8" s="34">
        <f t="shared" si="1"/>
        <v>185</v>
      </c>
      <c r="I8" s="34">
        <v>6</v>
      </c>
      <c r="J8" s="43" t="s">
        <v>229</v>
      </c>
      <c r="K8" s="34">
        <f t="shared" si="2"/>
        <v>176</v>
      </c>
      <c r="M8" s="34">
        <v>6</v>
      </c>
      <c r="N8" s="61"/>
      <c r="O8" s="34">
        <f t="shared" si="3"/>
        <v>161</v>
      </c>
    </row>
    <row r="9" spans="1:16" ht="12.75" customHeight="1" x14ac:dyDescent="0.3">
      <c r="A9" s="34">
        <v>7</v>
      </c>
      <c r="C9" s="34">
        <f t="shared" si="0"/>
        <v>188</v>
      </c>
      <c r="E9" s="34">
        <v>7</v>
      </c>
      <c r="F9" s="16"/>
      <c r="G9" s="34">
        <f t="shared" si="1"/>
        <v>183</v>
      </c>
      <c r="I9" s="34">
        <v>7</v>
      </c>
      <c r="J9" s="43" t="s">
        <v>112</v>
      </c>
      <c r="K9" s="34">
        <f t="shared" si="2"/>
        <v>174</v>
      </c>
      <c r="M9" s="34">
        <v>7</v>
      </c>
      <c r="N9" s="61"/>
      <c r="O9" s="34">
        <f t="shared" si="3"/>
        <v>159</v>
      </c>
    </row>
    <row r="10" spans="1:16" ht="12.75" customHeight="1" x14ac:dyDescent="0.3">
      <c r="A10" s="34">
        <v>8</v>
      </c>
      <c r="C10" s="34">
        <f t="shared" si="0"/>
        <v>186</v>
      </c>
      <c r="E10" s="34">
        <v>8</v>
      </c>
      <c r="F10" s="16"/>
      <c r="G10" s="34">
        <f t="shared" si="1"/>
        <v>181</v>
      </c>
      <c r="I10" s="34">
        <v>8</v>
      </c>
      <c r="J10" s="43" t="s">
        <v>104</v>
      </c>
      <c r="K10" s="34">
        <f t="shared" si="2"/>
        <v>172</v>
      </c>
      <c r="M10" s="34">
        <v>8</v>
      </c>
      <c r="N10" s="61"/>
      <c r="O10" s="34">
        <f t="shared" si="3"/>
        <v>157</v>
      </c>
    </row>
    <row r="11" spans="1:16" ht="12.75" customHeight="1" x14ac:dyDescent="0.3">
      <c r="A11" s="34">
        <v>9</v>
      </c>
      <c r="B11" s="16"/>
      <c r="C11" s="34">
        <f t="shared" si="0"/>
        <v>184</v>
      </c>
      <c r="E11" s="34">
        <v>9</v>
      </c>
      <c r="F11" s="16"/>
      <c r="G11" s="34">
        <f t="shared" si="1"/>
        <v>179</v>
      </c>
      <c r="I11" s="34">
        <v>9</v>
      </c>
      <c r="J11" s="43" t="s">
        <v>499</v>
      </c>
      <c r="K11" s="34">
        <f t="shared" si="2"/>
        <v>170</v>
      </c>
      <c r="M11" s="34">
        <v>9</v>
      </c>
      <c r="N11" s="61"/>
      <c r="O11" s="34">
        <f t="shared" si="3"/>
        <v>155</v>
      </c>
    </row>
    <row r="12" spans="1:16" ht="12.75" customHeight="1" x14ac:dyDescent="0.3">
      <c r="A12" s="34">
        <v>10</v>
      </c>
      <c r="B12" s="16"/>
      <c r="C12" s="34">
        <f t="shared" si="0"/>
        <v>182</v>
      </c>
      <c r="E12" s="34">
        <v>10</v>
      </c>
      <c r="F12" s="16"/>
      <c r="G12" s="34">
        <f t="shared" si="1"/>
        <v>177</v>
      </c>
      <c r="I12" s="34">
        <v>10</v>
      </c>
      <c r="J12" s="43" t="s">
        <v>224</v>
      </c>
      <c r="K12" s="34">
        <f t="shared" si="2"/>
        <v>168</v>
      </c>
      <c r="M12" s="34">
        <v>10</v>
      </c>
      <c r="N12" s="61"/>
      <c r="O12" s="34">
        <f t="shared" si="3"/>
        <v>153</v>
      </c>
    </row>
    <row r="13" spans="1:16" ht="12.75" customHeight="1" x14ac:dyDescent="0.3">
      <c r="A13" s="34">
        <v>11</v>
      </c>
      <c r="B13" s="16"/>
      <c r="C13" s="34">
        <f t="shared" si="0"/>
        <v>180</v>
      </c>
      <c r="E13" s="34">
        <v>11</v>
      </c>
      <c r="F13" s="16"/>
      <c r="G13" s="34">
        <f t="shared" si="1"/>
        <v>175</v>
      </c>
      <c r="I13" s="34">
        <v>11</v>
      </c>
      <c r="J13" s="43" t="s">
        <v>641</v>
      </c>
      <c r="K13" s="34">
        <f t="shared" si="2"/>
        <v>166</v>
      </c>
      <c r="M13" s="34">
        <v>11</v>
      </c>
      <c r="N13" s="61"/>
      <c r="O13" s="34">
        <f t="shared" si="3"/>
        <v>151</v>
      </c>
    </row>
    <row r="14" spans="1:16" ht="12.75" customHeight="1" x14ac:dyDescent="0.3">
      <c r="A14" s="34">
        <v>12</v>
      </c>
      <c r="B14" s="35"/>
      <c r="C14" s="34">
        <f t="shared" si="0"/>
        <v>178</v>
      </c>
      <c r="E14" s="34">
        <v>12</v>
      </c>
      <c r="F14" s="16"/>
      <c r="G14" s="34">
        <f t="shared" si="1"/>
        <v>173</v>
      </c>
      <c r="I14" s="34">
        <v>12</v>
      </c>
      <c r="J14" s="43"/>
      <c r="K14" s="34">
        <f t="shared" si="2"/>
        <v>164</v>
      </c>
      <c r="M14" s="34">
        <v>12</v>
      </c>
      <c r="N14" s="61"/>
      <c r="O14" s="34">
        <f t="shared" si="3"/>
        <v>149</v>
      </c>
    </row>
    <row r="15" spans="1:16" ht="12.75" customHeight="1" x14ac:dyDescent="0.3">
      <c r="A15" s="34">
        <v>13</v>
      </c>
      <c r="B15" s="35"/>
      <c r="C15" s="34">
        <f t="shared" si="0"/>
        <v>176</v>
      </c>
      <c r="E15" s="34">
        <v>13</v>
      </c>
      <c r="F15" s="35"/>
      <c r="G15" s="34">
        <f t="shared" si="1"/>
        <v>171</v>
      </c>
      <c r="I15" s="34">
        <v>13</v>
      </c>
      <c r="J15" s="43"/>
      <c r="K15" s="34">
        <f t="shared" si="2"/>
        <v>162</v>
      </c>
      <c r="M15" s="34">
        <v>13</v>
      </c>
      <c r="N15" s="35"/>
      <c r="O15" s="34">
        <f t="shared" si="3"/>
        <v>147</v>
      </c>
    </row>
    <row r="16" spans="1:16" ht="12.75" customHeight="1" x14ac:dyDescent="0.3">
      <c r="A16" s="34">
        <v>14</v>
      </c>
      <c r="B16" s="16"/>
      <c r="C16" s="34">
        <f t="shared" si="0"/>
        <v>174</v>
      </c>
      <c r="E16" s="34">
        <v>14</v>
      </c>
      <c r="F16" s="35"/>
      <c r="G16" s="34">
        <f t="shared" si="1"/>
        <v>169</v>
      </c>
      <c r="I16" s="34">
        <v>14</v>
      </c>
      <c r="J16" s="43"/>
      <c r="K16" s="34">
        <f t="shared" si="2"/>
        <v>160</v>
      </c>
      <c r="M16" s="34">
        <v>14</v>
      </c>
      <c r="N16" s="35"/>
      <c r="O16" s="34">
        <f t="shared" si="3"/>
        <v>145</v>
      </c>
    </row>
    <row r="17" spans="1:15" ht="12.75" customHeight="1" x14ac:dyDescent="0.3">
      <c r="A17" s="34">
        <v>15</v>
      </c>
      <c r="B17" s="16"/>
      <c r="C17" s="34">
        <f t="shared" si="0"/>
        <v>172</v>
      </c>
      <c r="E17" s="34">
        <v>15</v>
      </c>
      <c r="F17" s="35"/>
      <c r="G17" s="34">
        <f t="shared" si="1"/>
        <v>167</v>
      </c>
      <c r="I17" s="34">
        <v>15</v>
      </c>
      <c r="J17" s="43"/>
      <c r="K17" s="34">
        <f t="shared" si="2"/>
        <v>158</v>
      </c>
      <c r="M17" s="34">
        <v>15</v>
      </c>
      <c r="N17" s="35"/>
      <c r="O17" s="34">
        <f t="shared" si="3"/>
        <v>143</v>
      </c>
    </row>
    <row r="18" spans="1:15" ht="12.75" customHeight="1" x14ac:dyDescent="0.3">
      <c r="A18" s="27">
        <v>16</v>
      </c>
      <c r="B18" s="28"/>
      <c r="C18" s="27">
        <f t="shared" si="0"/>
        <v>170</v>
      </c>
      <c r="E18" s="27">
        <v>16</v>
      </c>
      <c r="F18" s="28"/>
      <c r="G18" s="27">
        <f t="shared" si="1"/>
        <v>165</v>
      </c>
      <c r="I18" s="34">
        <v>16</v>
      </c>
      <c r="J18" s="43"/>
      <c r="K18" s="34">
        <f t="shared" si="2"/>
        <v>156</v>
      </c>
      <c r="M18" s="27">
        <v>16</v>
      </c>
      <c r="N18" s="28"/>
      <c r="O18" s="27">
        <f t="shared" si="3"/>
        <v>141</v>
      </c>
    </row>
    <row r="19" spans="1:15" ht="12.75" customHeight="1" x14ac:dyDescent="0.3">
      <c r="I19" s="34">
        <v>17</v>
      </c>
      <c r="J19" s="43"/>
      <c r="K19" s="34">
        <f t="shared" si="2"/>
        <v>154</v>
      </c>
    </row>
    <row r="20" spans="1:15" ht="12.75" customHeight="1" x14ac:dyDescent="0.3">
      <c r="I20" s="34">
        <v>18</v>
      </c>
      <c r="J20" s="43"/>
      <c r="K20" s="34">
        <f t="shared" si="2"/>
        <v>152</v>
      </c>
    </row>
    <row r="21" spans="1:15" ht="12.75" customHeight="1" x14ac:dyDescent="0.3">
      <c r="I21" s="34">
        <v>19</v>
      </c>
      <c r="J21" s="43"/>
      <c r="K21" s="34">
        <f t="shared" si="2"/>
        <v>150</v>
      </c>
    </row>
    <row r="22" spans="1:15" ht="12.75" customHeight="1" x14ac:dyDescent="0.3">
      <c r="I22" s="34">
        <v>20</v>
      </c>
      <c r="J22" s="43"/>
      <c r="K22" s="34">
        <f t="shared" si="2"/>
        <v>148</v>
      </c>
    </row>
    <row r="23" spans="1:15" ht="12.75" customHeight="1" x14ac:dyDescent="0.3">
      <c r="I23" s="34">
        <v>21</v>
      </c>
      <c r="J23" s="43"/>
      <c r="K23" s="34">
        <f t="shared" si="2"/>
        <v>146</v>
      </c>
    </row>
    <row r="24" spans="1:15" ht="12.75" customHeight="1" x14ac:dyDescent="0.3">
      <c r="I24" s="27">
        <v>22</v>
      </c>
      <c r="J24" s="43"/>
      <c r="K24" s="27">
        <f t="shared" si="2"/>
        <v>144</v>
      </c>
    </row>
    <row r="25" spans="1:15" ht="12.75" customHeight="1" x14ac:dyDescent="0.3"/>
    <row r="26" spans="1:15" ht="12.75" customHeight="1" x14ac:dyDescent="0.3"/>
    <row r="27" spans="1:15" ht="12.75" customHeight="1" x14ac:dyDescent="0.3"/>
    <row r="28" spans="1:15" ht="12.75" customHeight="1" x14ac:dyDescent="0.3"/>
    <row r="29" spans="1:15" ht="12.75" customHeight="1" x14ac:dyDescent="0.3"/>
    <row r="30" spans="1:15" ht="12.75" customHeight="1" x14ac:dyDescent="0.3"/>
    <row r="31" spans="1:15" ht="12.75" customHeight="1" x14ac:dyDescent="0.3"/>
    <row r="32" spans="1:15"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O1"/>
  </mergeCells>
  <conditionalFormatting sqref="F5:F14">
    <cfRule type="expression" dxfId="12" priority="1">
      <formula>IF($W5="",FALSE,$V5="")</formula>
    </cfRule>
  </conditionalFormatting>
  <pageMargins left="0.7" right="0.7" top="0.78740157499999996" bottom="0.78740157499999996"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AA1000"/>
  <sheetViews>
    <sheetView workbookViewId="0">
      <selection activeCell="A12" sqref="A12"/>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5" width="10.69921875" customWidth="1"/>
    <col min="16" max="16" width="12.296875" customWidth="1"/>
    <col min="17" max="17" width="10.69921875" customWidth="1"/>
    <col min="18" max="18" width="16.8984375" customWidth="1"/>
    <col min="19" max="21" width="10.69921875" customWidth="1"/>
    <col min="22" max="22" width="20.09765625" customWidth="1"/>
    <col min="23" max="25" width="10.69921875" customWidth="1"/>
    <col min="26" max="26" width="22.8984375" customWidth="1"/>
  </cols>
  <sheetData>
    <row r="1" spans="1:27" ht="20" x14ac:dyDescent="0.4">
      <c r="B1" s="65" t="s">
        <v>446</v>
      </c>
      <c r="C1" s="66"/>
      <c r="D1" s="111" t="s">
        <v>509</v>
      </c>
      <c r="E1" s="112"/>
      <c r="F1" s="112"/>
      <c r="G1" s="112"/>
      <c r="H1" s="112"/>
      <c r="I1" s="112"/>
      <c r="J1" s="112"/>
      <c r="K1" s="112"/>
      <c r="L1" s="112"/>
      <c r="M1" s="112"/>
      <c r="N1" s="112"/>
      <c r="O1" s="113"/>
      <c r="P1" s="26">
        <v>45972</v>
      </c>
      <c r="R1" s="67" t="s">
        <v>447</v>
      </c>
    </row>
    <row r="2" spans="1:27" ht="12.75" customHeight="1" x14ac:dyDescent="0.3">
      <c r="A2" s="68" t="s">
        <v>346</v>
      </c>
      <c r="B2" s="69" t="s">
        <v>1</v>
      </c>
      <c r="C2" s="29" t="s">
        <v>347</v>
      </c>
      <c r="E2" s="27" t="s">
        <v>348</v>
      </c>
      <c r="F2" s="28" t="s">
        <v>1</v>
      </c>
      <c r="G2" s="29" t="s">
        <v>347</v>
      </c>
      <c r="I2" s="27" t="s">
        <v>349</v>
      </c>
      <c r="J2" s="28" t="s">
        <v>1</v>
      </c>
      <c r="K2" s="29" t="s">
        <v>347</v>
      </c>
      <c r="M2" s="27" t="s">
        <v>350</v>
      </c>
      <c r="N2" s="28" t="s">
        <v>1</v>
      </c>
      <c r="O2" s="29" t="s">
        <v>347</v>
      </c>
      <c r="Q2" s="27" t="s">
        <v>346</v>
      </c>
      <c r="R2" s="69" t="s">
        <v>1</v>
      </c>
      <c r="S2" s="29" t="s">
        <v>347</v>
      </c>
      <c r="U2" s="27" t="s">
        <v>348</v>
      </c>
      <c r="V2" s="28" t="s">
        <v>1</v>
      </c>
      <c r="W2" s="29" t="s">
        <v>347</v>
      </c>
      <c r="Y2" s="27" t="s">
        <v>349</v>
      </c>
      <c r="Z2" s="28" t="s">
        <v>1</v>
      </c>
      <c r="AA2" s="29" t="s">
        <v>347</v>
      </c>
    </row>
    <row r="3" spans="1:27" ht="12.75" customHeight="1" x14ac:dyDescent="0.3">
      <c r="A3" s="34">
        <v>1</v>
      </c>
      <c r="B3" s="43" t="s">
        <v>30</v>
      </c>
      <c r="C3" s="30">
        <f>Punkte!B6</f>
        <v>220</v>
      </c>
      <c r="E3" s="30">
        <v>1</v>
      </c>
      <c r="F3" s="43" t="s">
        <v>32</v>
      </c>
      <c r="G3" s="30">
        <f>IF(ISNA(VLOOKUP(ROUND(COUNTA(B3:B34)*Offset,0),A3:C34,3,FALSE)-1)=TRUE,377,VLOOKUP(ROUND(COUNTA(B3:B34)*Offset,0),A3:C34,3,FALSE)-1)</f>
        <v>201</v>
      </c>
      <c r="I3" s="30">
        <v>1</v>
      </c>
      <c r="K3" s="30">
        <f>IF(ISNA(VLOOKUP(ROUND(COUNTA(F12:F34)*Offset,0),E3:G34,3,FALSE)-1)=TRUE,355,VLOOKUP(ROUND(COUNTA(F12:F34)*Offset,0),E3:G34,3,FALSE)-1)</f>
        <v>192</v>
      </c>
      <c r="M3" s="30">
        <v>1</v>
      </c>
      <c r="N3" s="31"/>
      <c r="O3" s="30">
        <f>IF(ISNA(VLOOKUP(ROUND(COUNTA(J11:J34)*Offset,0),I3:K34,3,FALSE)-1)=TRUE,336,VLOOKUP(ROUND(COUNTA(J11:J34)*Offset,0),I3:K34,3,FALSE)-1)</f>
        <v>336</v>
      </c>
      <c r="Q3" s="30">
        <v>1</v>
      </c>
      <c r="R3" s="43" t="s">
        <v>50</v>
      </c>
      <c r="S3" s="30">
        <f>Punkte!C6</f>
        <v>200</v>
      </c>
      <c r="U3" s="30">
        <v>1</v>
      </c>
      <c r="V3" s="43" t="s">
        <v>60</v>
      </c>
      <c r="W3" s="70">
        <f>IF(ISNA(VLOOKUP(ROUND(COUNTA(R6:R34)*Offset,0),Q3:S34,3,FALSE)-1)=TRUE,377,VLOOKUP(ROUND(COUNTA(R6:R34)*Offset,0),Q3:S34,3,FALSE)-1)</f>
        <v>199</v>
      </c>
      <c r="Y3" s="30">
        <v>1</v>
      </c>
      <c r="Z3" s="31"/>
      <c r="AA3" s="30">
        <f>IF(ISNA(VLOOKUP(ROUND(COUNTA(V8:V34)*Offset,0),U3:W34,3,FALSE)-1)=TRUE,355,VLOOKUP(ROUND(COUNTA(V8:V34)*Offset,0),U3:W34,3,FALSE)-1)</f>
        <v>193</v>
      </c>
    </row>
    <row r="4" spans="1:27" ht="12.75" customHeight="1" x14ac:dyDescent="0.3">
      <c r="A4" s="34">
        <v>2</v>
      </c>
      <c r="B4" s="43" t="s">
        <v>77</v>
      </c>
      <c r="C4" s="34">
        <f t="shared" ref="C4:C18" si="0">C3-2</f>
        <v>218</v>
      </c>
      <c r="E4" s="34">
        <v>2</v>
      </c>
      <c r="F4" s="43" t="s">
        <v>510</v>
      </c>
      <c r="G4" s="34">
        <f t="shared" ref="G4:G18" si="1">G3-2</f>
        <v>199</v>
      </c>
      <c r="I4" s="34">
        <v>2</v>
      </c>
      <c r="K4" s="34">
        <f t="shared" ref="K4:K18" si="2">K3-2</f>
        <v>190</v>
      </c>
      <c r="M4" s="34">
        <v>2</v>
      </c>
      <c r="O4" s="34">
        <f t="shared" ref="O4:O18" si="3">O3-2</f>
        <v>334</v>
      </c>
      <c r="Q4" s="34">
        <v>2</v>
      </c>
      <c r="R4" s="43" t="s">
        <v>66</v>
      </c>
      <c r="S4" s="34">
        <f t="shared" ref="S4:S18" si="4">S3-5</f>
        <v>195</v>
      </c>
      <c r="U4" s="34">
        <v>2</v>
      </c>
      <c r="V4" s="43" t="s">
        <v>59</v>
      </c>
      <c r="W4" s="71">
        <f t="shared" ref="W4:W18" si="5">W3-5</f>
        <v>194</v>
      </c>
      <c r="Y4" s="34">
        <v>2</v>
      </c>
      <c r="Z4" s="16"/>
      <c r="AA4" s="34">
        <f t="shared" ref="AA4:AA18" si="6">AA3-5</f>
        <v>188</v>
      </c>
    </row>
    <row r="5" spans="1:27" ht="12.75" customHeight="1" x14ac:dyDescent="0.3">
      <c r="A5" s="34">
        <v>3</v>
      </c>
      <c r="B5" s="43" t="s">
        <v>24</v>
      </c>
      <c r="C5" s="34">
        <f t="shared" si="0"/>
        <v>216</v>
      </c>
      <c r="E5" s="34">
        <v>3</v>
      </c>
      <c r="F5" s="43" t="s">
        <v>298</v>
      </c>
      <c r="G5" s="34">
        <f t="shared" si="1"/>
        <v>197</v>
      </c>
      <c r="I5" s="34">
        <v>3</v>
      </c>
      <c r="K5" s="34">
        <f t="shared" si="2"/>
        <v>188</v>
      </c>
      <c r="M5" s="34">
        <v>3</v>
      </c>
      <c r="N5" s="16"/>
      <c r="O5" s="34">
        <f t="shared" si="3"/>
        <v>332</v>
      </c>
      <c r="Q5" s="34">
        <v>3</v>
      </c>
      <c r="R5" s="43" t="s">
        <v>201</v>
      </c>
      <c r="S5" s="34">
        <f t="shared" si="4"/>
        <v>190</v>
      </c>
      <c r="U5" s="34">
        <v>3</v>
      </c>
      <c r="V5" s="43" t="s">
        <v>67</v>
      </c>
      <c r="W5" s="71">
        <f t="shared" si="5"/>
        <v>189</v>
      </c>
      <c r="Y5" s="34">
        <v>3</v>
      </c>
      <c r="Z5" s="16"/>
      <c r="AA5" s="34">
        <f t="shared" si="6"/>
        <v>183</v>
      </c>
    </row>
    <row r="6" spans="1:27" ht="12.75" customHeight="1" x14ac:dyDescent="0.3">
      <c r="A6" s="34">
        <v>4</v>
      </c>
      <c r="B6" s="43" t="s">
        <v>179</v>
      </c>
      <c r="C6" s="34">
        <f t="shared" si="0"/>
        <v>214</v>
      </c>
      <c r="E6" s="34">
        <v>4</v>
      </c>
      <c r="F6" s="43" t="s">
        <v>511</v>
      </c>
      <c r="G6" s="34">
        <f t="shared" si="1"/>
        <v>195</v>
      </c>
      <c r="I6" s="34">
        <v>4</v>
      </c>
      <c r="K6" s="34">
        <f t="shared" si="2"/>
        <v>186</v>
      </c>
      <c r="M6" s="34">
        <v>4</v>
      </c>
      <c r="N6" s="16"/>
      <c r="O6" s="34">
        <f t="shared" si="3"/>
        <v>330</v>
      </c>
      <c r="Q6" s="34">
        <v>4</v>
      </c>
      <c r="R6" s="43" t="s">
        <v>295</v>
      </c>
      <c r="S6" s="34">
        <f t="shared" si="4"/>
        <v>185</v>
      </c>
      <c r="U6" s="34">
        <v>4</v>
      </c>
      <c r="V6" s="43" t="s">
        <v>497</v>
      </c>
      <c r="W6" s="71">
        <f t="shared" si="5"/>
        <v>184</v>
      </c>
      <c r="Y6" s="34">
        <v>4</v>
      </c>
      <c r="Z6" s="16"/>
      <c r="AA6" s="34">
        <f t="shared" si="6"/>
        <v>178</v>
      </c>
    </row>
    <row r="7" spans="1:27" ht="12.75" customHeight="1" x14ac:dyDescent="0.3">
      <c r="A7" s="34">
        <v>5</v>
      </c>
      <c r="B7" s="43" t="s">
        <v>95</v>
      </c>
      <c r="C7" s="34">
        <f t="shared" si="0"/>
        <v>212</v>
      </c>
      <c r="E7" s="34">
        <v>5</v>
      </c>
      <c r="F7" s="43" t="s">
        <v>145</v>
      </c>
      <c r="G7" s="34">
        <f t="shared" si="1"/>
        <v>193</v>
      </c>
      <c r="I7" s="34">
        <v>5</v>
      </c>
      <c r="K7" s="34">
        <f t="shared" si="2"/>
        <v>184</v>
      </c>
      <c r="M7" s="34">
        <v>5</v>
      </c>
      <c r="N7" s="16"/>
      <c r="O7" s="34">
        <f t="shared" si="3"/>
        <v>328</v>
      </c>
      <c r="Q7" s="34">
        <v>5</v>
      </c>
      <c r="R7" s="35"/>
      <c r="S7" s="34">
        <f t="shared" si="4"/>
        <v>180</v>
      </c>
      <c r="U7" s="34">
        <v>5</v>
      </c>
      <c r="V7" s="43" t="s">
        <v>250</v>
      </c>
      <c r="W7" s="71">
        <f t="shared" si="5"/>
        <v>179</v>
      </c>
      <c r="Y7" s="34">
        <v>5</v>
      </c>
      <c r="Z7" s="16"/>
      <c r="AA7" s="34">
        <f t="shared" si="6"/>
        <v>173</v>
      </c>
    </row>
    <row r="8" spans="1:27" ht="12.75" customHeight="1" x14ac:dyDescent="0.3">
      <c r="A8" s="34">
        <v>6</v>
      </c>
      <c r="B8" s="43" t="s">
        <v>207</v>
      </c>
      <c r="C8" s="34">
        <f t="shared" si="0"/>
        <v>210</v>
      </c>
      <c r="E8" s="34">
        <v>6</v>
      </c>
      <c r="F8" s="43" t="s">
        <v>158</v>
      </c>
      <c r="G8" s="34">
        <f t="shared" si="1"/>
        <v>191</v>
      </c>
      <c r="I8" s="34">
        <v>6</v>
      </c>
      <c r="K8" s="34">
        <f t="shared" si="2"/>
        <v>182</v>
      </c>
      <c r="M8" s="34">
        <v>6</v>
      </c>
      <c r="N8" s="16"/>
      <c r="O8" s="34">
        <f t="shared" si="3"/>
        <v>326</v>
      </c>
      <c r="Q8" s="34">
        <v>6</v>
      </c>
      <c r="R8" s="35"/>
      <c r="S8" s="34">
        <f t="shared" si="4"/>
        <v>175</v>
      </c>
      <c r="U8" s="34">
        <v>6</v>
      </c>
      <c r="V8" s="43" t="s">
        <v>513</v>
      </c>
      <c r="W8" s="71">
        <f t="shared" si="5"/>
        <v>174</v>
      </c>
      <c r="Y8" s="34">
        <v>6</v>
      </c>
      <c r="Z8" s="35"/>
      <c r="AA8" s="34">
        <f t="shared" si="6"/>
        <v>168</v>
      </c>
    </row>
    <row r="9" spans="1:27" ht="12.75" customHeight="1" x14ac:dyDescent="0.3">
      <c r="A9" s="34">
        <v>7</v>
      </c>
      <c r="B9" s="43" t="s">
        <v>45</v>
      </c>
      <c r="C9" s="34">
        <f t="shared" si="0"/>
        <v>208</v>
      </c>
      <c r="E9" s="34">
        <v>7</v>
      </c>
      <c r="F9" s="43" t="s">
        <v>41</v>
      </c>
      <c r="G9" s="34">
        <f t="shared" si="1"/>
        <v>189</v>
      </c>
      <c r="I9" s="34">
        <v>7</v>
      </c>
      <c r="K9" s="34">
        <f t="shared" si="2"/>
        <v>180</v>
      </c>
      <c r="M9" s="34">
        <v>7</v>
      </c>
      <c r="N9" s="16"/>
      <c r="O9" s="34">
        <f t="shared" si="3"/>
        <v>324</v>
      </c>
      <c r="Q9" s="34">
        <v>7</v>
      </c>
      <c r="R9" s="35"/>
      <c r="S9" s="34">
        <f t="shared" si="4"/>
        <v>170</v>
      </c>
      <c r="U9" s="34">
        <v>7</v>
      </c>
      <c r="V9" s="43" t="s">
        <v>514</v>
      </c>
      <c r="W9" s="71">
        <f t="shared" si="5"/>
        <v>169</v>
      </c>
      <c r="Y9" s="34">
        <v>7</v>
      </c>
      <c r="Z9" s="35"/>
      <c r="AA9" s="34">
        <f t="shared" si="6"/>
        <v>163</v>
      </c>
    </row>
    <row r="10" spans="1:27" ht="12.75" customHeight="1" x14ac:dyDescent="0.3">
      <c r="A10" s="34">
        <v>8</v>
      </c>
      <c r="B10" s="43" t="s">
        <v>33</v>
      </c>
      <c r="C10" s="34">
        <f t="shared" si="0"/>
        <v>206</v>
      </c>
      <c r="E10" s="34">
        <v>8</v>
      </c>
      <c r="F10" s="43" t="s">
        <v>512</v>
      </c>
      <c r="G10" s="34">
        <f t="shared" si="1"/>
        <v>187</v>
      </c>
      <c r="I10" s="34">
        <v>8</v>
      </c>
      <c r="K10" s="34">
        <f t="shared" si="2"/>
        <v>178</v>
      </c>
      <c r="M10" s="34">
        <v>8</v>
      </c>
      <c r="N10" s="35"/>
      <c r="O10" s="34">
        <f t="shared" si="3"/>
        <v>322</v>
      </c>
      <c r="Q10" s="34">
        <v>8</v>
      </c>
      <c r="R10" s="35"/>
      <c r="S10" s="34">
        <f t="shared" si="4"/>
        <v>165</v>
      </c>
      <c r="U10" s="34">
        <v>8</v>
      </c>
      <c r="V10" s="43" t="s">
        <v>309</v>
      </c>
      <c r="W10" s="71">
        <f t="shared" si="5"/>
        <v>164</v>
      </c>
      <c r="Y10" s="34">
        <v>8</v>
      </c>
      <c r="Z10" s="35"/>
      <c r="AA10" s="34">
        <f t="shared" si="6"/>
        <v>158</v>
      </c>
    </row>
    <row r="11" spans="1:27" ht="12.75" customHeight="1" x14ac:dyDescent="0.3">
      <c r="A11" s="34">
        <v>9</v>
      </c>
      <c r="B11" s="43" t="s">
        <v>96</v>
      </c>
      <c r="C11" s="34">
        <f t="shared" si="0"/>
        <v>204</v>
      </c>
      <c r="E11" s="34">
        <v>9</v>
      </c>
      <c r="F11" s="43" t="s">
        <v>75</v>
      </c>
      <c r="G11" s="34">
        <f t="shared" si="1"/>
        <v>185</v>
      </c>
      <c r="I11" s="34">
        <v>9</v>
      </c>
      <c r="K11" s="34">
        <f t="shared" si="2"/>
        <v>176</v>
      </c>
      <c r="M11" s="34">
        <v>9</v>
      </c>
      <c r="N11" s="16"/>
      <c r="O11" s="34">
        <f t="shared" si="3"/>
        <v>320</v>
      </c>
      <c r="Q11" s="34">
        <v>9</v>
      </c>
      <c r="R11" s="35"/>
      <c r="S11" s="34">
        <f t="shared" si="4"/>
        <v>160</v>
      </c>
      <c r="U11" s="34">
        <v>9</v>
      </c>
      <c r="V11" s="16"/>
      <c r="W11" s="71">
        <f t="shared" si="5"/>
        <v>159</v>
      </c>
      <c r="Y11" s="34">
        <v>9</v>
      </c>
      <c r="Z11" s="16"/>
      <c r="AA11" s="34">
        <f t="shared" si="6"/>
        <v>153</v>
      </c>
    </row>
    <row r="12" spans="1:27" ht="12.75" customHeight="1" x14ac:dyDescent="0.3">
      <c r="A12" s="34">
        <v>10</v>
      </c>
      <c r="B12" s="43" t="s">
        <v>27</v>
      </c>
      <c r="C12" s="34">
        <f t="shared" si="0"/>
        <v>202</v>
      </c>
      <c r="E12" s="34">
        <v>10</v>
      </c>
      <c r="F12" s="43" t="s">
        <v>128</v>
      </c>
      <c r="G12" s="34">
        <f t="shared" si="1"/>
        <v>183</v>
      </c>
      <c r="I12" s="34">
        <v>10</v>
      </c>
      <c r="K12" s="34">
        <f t="shared" si="2"/>
        <v>174</v>
      </c>
      <c r="M12" s="34">
        <v>10</v>
      </c>
      <c r="N12" s="16"/>
      <c r="O12" s="34">
        <f t="shared" si="3"/>
        <v>318</v>
      </c>
      <c r="Q12" s="34">
        <v>10</v>
      </c>
      <c r="R12" s="35"/>
      <c r="S12" s="34">
        <f t="shared" si="4"/>
        <v>155</v>
      </c>
      <c r="U12" s="34">
        <v>10</v>
      </c>
      <c r="V12" s="16"/>
      <c r="W12" s="71">
        <f t="shared" si="5"/>
        <v>154</v>
      </c>
      <c r="Y12" s="34">
        <v>10</v>
      </c>
      <c r="Z12" s="16"/>
      <c r="AA12" s="34">
        <f t="shared" si="6"/>
        <v>148</v>
      </c>
    </row>
    <row r="13" spans="1:27" ht="12.75" customHeight="1" x14ac:dyDescent="0.3">
      <c r="A13" s="34">
        <v>11</v>
      </c>
      <c r="B13" s="43" t="s">
        <v>110</v>
      </c>
      <c r="C13" s="34">
        <f t="shared" si="0"/>
        <v>200</v>
      </c>
      <c r="E13" s="34">
        <v>11</v>
      </c>
      <c r="F13" s="43" t="s">
        <v>112</v>
      </c>
      <c r="G13" s="34">
        <f t="shared" si="1"/>
        <v>181</v>
      </c>
      <c r="I13" s="34">
        <v>11</v>
      </c>
      <c r="K13" s="34">
        <f t="shared" si="2"/>
        <v>172</v>
      </c>
      <c r="M13" s="34">
        <v>11</v>
      </c>
      <c r="N13" s="16"/>
      <c r="O13" s="34">
        <f t="shared" si="3"/>
        <v>316</v>
      </c>
      <c r="Q13" s="34">
        <v>11</v>
      </c>
      <c r="R13" s="16"/>
      <c r="S13" s="34">
        <f t="shared" si="4"/>
        <v>150</v>
      </c>
      <c r="U13" s="34">
        <v>11</v>
      </c>
      <c r="V13" s="16"/>
      <c r="W13" s="71">
        <f t="shared" si="5"/>
        <v>149</v>
      </c>
      <c r="Y13" s="34">
        <v>11</v>
      </c>
      <c r="Z13" s="16"/>
      <c r="AA13" s="34">
        <f t="shared" si="6"/>
        <v>143</v>
      </c>
    </row>
    <row r="14" spans="1:27" ht="12.75" customHeight="1" x14ac:dyDescent="0.3">
      <c r="A14" s="34">
        <v>12</v>
      </c>
      <c r="B14" s="43" t="s">
        <v>243</v>
      </c>
      <c r="C14" s="34">
        <f t="shared" si="0"/>
        <v>198</v>
      </c>
      <c r="E14" s="34">
        <v>12</v>
      </c>
      <c r="F14" s="43" t="s">
        <v>224</v>
      </c>
      <c r="G14" s="34">
        <f t="shared" si="1"/>
        <v>179</v>
      </c>
      <c r="I14" s="34">
        <v>12</v>
      </c>
      <c r="K14" s="34">
        <f t="shared" si="2"/>
        <v>170</v>
      </c>
      <c r="M14" s="34">
        <v>12</v>
      </c>
      <c r="N14" s="35"/>
      <c r="O14" s="34">
        <f t="shared" si="3"/>
        <v>314</v>
      </c>
      <c r="Q14" s="34">
        <v>12</v>
      </c>
      <c r="R14" s="35"/>
      <c r="S14" s="34">
        <f t="shared" si="4"/>
        <v>145</v>
      </c>
      <c r="U14" s="34">
        <v>12</v>
      </c>
      <c r="V14" s="35"/>
      <c r="W14" s="71">
        <f t="shared" si="5"/>
        <v>144</v>
      </c>
      <c r="Y14" s="34">
        <v>12</v>
      </c>
      <c r="Z14" s="35"/>
      <c r="AA14" s="34">
        <f t="shared" si="6"/>
        <v>138</v>
      </c>
    </row>
    <row r="15" spans="1:27" ht="12.75" customHeight="1" x14ac:dyDescent="0.3">
      <c r="A15" s="34">
        <v>13</v>
      </c>
      <c r="B15" s="43" t="s">
        <v>138</v>
      </c>
      <c r="C15" s="34">
        <f t="shared" si="0"/>
        <v>196</v>
      </c>
      <c r="E15" s="34">
        <v>13</v>
      </c>
      <c r="F15" s="43" t="s">
        <v>159</v>
      </c>
      <c r="G15" s="34">
        <f t="shared" si="1"/>
        <v>177</v>
      </c>
      <c r="I15" s="34">
        <v>13</v>
      </c>
      <c r="K15" s="34">
        <f t="shared" si="2"/>
        <v>168</v>
      </c>
      <c r="M15" s="34">
        <v>13</v>
      </c>
      <c r="N15" s="35"/>
      <c r="O15" s="34">
        <f t="shared" si="3"/>
        <v>312</v>
      </c>
      <c r="Q15" s="34">
        <v>13</v>
      </c>
      <c r="S15" s="34">
        <f t="shared" si="4"/>
        <v>140</v>
      </c>
      <c r="U15" s="34">
        <v>13</v>
      </c>
      <c r="W15" s="71">
        <f t="shared" si="5"/>
        <v>139</v>
      </c>
      <c r="Y15" s="34">
        <v>13</v>
      </c>
      <c r="Z15" s="35"/>
      <c r="AA15" s="34">
        <f t="shared" si="6"/>
        <v>133</v>
      </c>
    </row>
    <row r="16" spans="1:27" ht="12.75" customHeight="1" x14ac:dyDescent="0.3">
      <c r="A16" s="34">
        <v>14</v>
      </c>
      <c r="C16" s="34">
        <f t="shared" si="0"/>
        <v>194</v>
      </c>
      <c r="E16" s="34">
        <v>14</v>
      </c>
      <c r="F16" t="s">
        <v>246</v>
      </c>
      <c r="G16" s="34">
        <f t="shared" si="1"/>
        <v>175</v>
      </c>
      <c r="I16" s="34">
        <v>14</v>
      </c>
      <c r="J16" s="35"/>
      <c r="K16" s="34">
        <f t="shared" si="2"/>
        <v>166</v>
      </c>
      <c r="M16" s="34">
        <v>14</v>
      </c>
      <c r="N16" s="35"/>
      <c r="O16" s="34">
        <f t="shared" si="3"/>
        <v>310</v>
      </c>
      <c r="Q16" s="34">
        <v>14</v>
      </c>
      <c r="R16" s="16"/>
      <c r="S16" s="34">
        <f t="shared" si="4"/>
        <v>135</v>
      </c>
      <c r="U16" s="34">
        <v>14</v>
      </c>
      <c r="V16" s="35"/>
      <c r="W16" s="71">
        <f t="shared" si="5"/>
        <v>134</v>
      </c>
      <c r="Y16" s="34">
        <v>14</v>
      </c>
      <c r="AA16" s="34">
        <f t="shared" si="6"/>
        <v>128</v>
      </c>
    </row>
    <row r="17" spans="1:27" ht="12.75" customHeight="1" x14ac:dyDescent="0.3">
      <c r="A17" s="34">
        <v>15</v>
      </c>
      <c r="C17" s="34">
        <f t="shared" si="0"/>
        <v>192</v>
      </c>
      <c r="E17" s="34">
        <v>15</v>
      </c>
      <c r="F17" t="s">
        <v>304</v>
      </c>
      <c r="G17" s="34">
        <f t="shared" si="1"/>
        <v>173</v>
      </c>
      <c r="I17" s="34">
        <v>15</v>
      </c>
      <c r="J17" s="35"/>
      <c r="K17" s="34">
        <f t="shared" si="2"/>
        <v>164</v>
      </c>
      <c r="M17" s="34">
        <v>15</v>
      </c>
      <c r="N17" s="35"/>
      <c r="O17" s="34">
        <f t="shared" si="3"/>
        <v>308</v>
      </c>
      <c r="Q17" s="34">
        <v>15</v>
      </c>
      <c r="R17" s="16"/>
      <c r="S17" s="34">
        <f t="shared" si="4"/>
        <v>130</v>
      </c>
      <c r="U17" s="34">
        <v>15</v>
      </c>
      <c r="V17" s="35"/>
      <c r="W17" s="71">
        <f t="shared" si="5"/>
        <v>129</v>
      </c>
      <c r="Y17" s="34">
        <v>15</v>
      </c>
      <c r="AA17" s="34">
        <f t="shared" si="6"/>
        <v>123</v>
      </c>
    </row>
    <row r="18" spans="1:27" ht="12.75" customHeight="1" x14ac:dyDescent="0.3">
      <c r="A18" s="27">
        <v>16</v>
      </c>
      <c r="B18" s="28"/>
      <c r="C18" s="27">
        <f t="shared" si="0"/>
        <v>190</v>
      </c>
      <c r="E18" s="27">
        <v>16</v>
      </c>
      <c r="F18" t="s">
        <v>307</v>
      </c>
      <c r="G18" s="27">
        <f t="shared" si="1"/>
        <v>171</v>
      </c>
      <c r="I18" s="27">
        <v>16</v>
      </c>
      <c r="J18" s="28"/>
      <c r="K18" s="27">
        <f t="shared" si="2"/>
        <v>162</v>
      </c>
      <c r="M18" s="27">
        <v>16</v>
      </c>
      <c r="N18" s="28"/>
      <c r="O18" s="27">
        <f t="shared" si="3"/>
        <v>306</v>
      </c>
      <c r="Q18" s="27">
        <v>16</v>
      </c>
      <c r="R18" s="28"/>
      <c r="S18" s="27">
        <f t="shared" si="4"/>
        <v>125</v>
      </c>
      <c r="U18" s="27">
        <v>16</v>
      </c>
      <c r="V18" s="28"/>
      <c r="W18" s="72">
        <f t="shared" si="5"/>
        <v>124</v>
      </c>
      <c r="Y18" s="27">
        <v>16</v>
      </c>
      <c r="Z18" s="28"/>
      <c r="AA18" s="27">
        <f t="shared" si="6"/>
        <v>118</v>
      </c>
    </row>
    <row r="19" spans="1:27" ht="12.75" customHeight="1" x14ac:dyDescent="0.3"/>
    <row r="20" spans="1:27" ht="12.75" customHeight="1" x14ac:dyDescent="0.3"/>
    <row r="21" spans="1:27" ht="12.75" customHeight="1" x14ac:dyDescent="0.3"/>
    <row r="22" spans="1:27" ht="12.75" customHeight="1" x14ac:dyDescent="0.3"/>
    <row r="23" spans="1:27" ht="12.75" customHeight="1" x14ac:dyDescent="0.3"/>
    <row r="24" spans="1:27" ht="12.75" customHeight="1" x14ac:dyDescent="0.3"/>
    <row r="25" spans="1:27" ht="12.75" customHeight="1" x14ac:dyDescent="0.3"/>
    <row r="26" spans="1:27" ht="12.75" customHeight="1" x14ac:dyDescent="0.3"/>
    <row r="27" spans="1:27" ht="12.75" customHeight="1" x14ac:dyDescent="0.3"/>
    <row r="28" spans="1:27" ht="12.75" customHeight="1" x14ac:dyDescent="0.3"/>
    <row r="29" spans="1:27" ht="12.75" customHeight="1" x14ac:dyDescent="0.3"/>
    <row r="30" spans="1:27" ht="12.75" customHeight="1" x14ac:dyDescent="0.3"/>
    <row r="31" spans="1:27" ht="12.75" customHeight="1" x14ac:dyDescent="0.3"/>
    <row r="32" spans="1:27"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D1:O1"/>
  </mergeCells>
  <pageMargins left="0.7" right="0.7" top="0.78740157499999996" bottom="0.78740157499999996"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A1000"/>
  <sheetViews>
    <sheetView topLeftCell="F1" workbookViewId="0">
      <selection activeCell="V7" sqref="V7"/>
    </sheetView>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8" width="10.69921875" customWidth="1"/>
    <col min="9" max="9" width="32" customWidth="1"/>
    <col min="10" max="10" width="24.69921875" customWidth="1"/>
    <col min="11" max="13" width="10.69921875" customWidth="1"/>
    <col min="14" max="14" width="24.69921875" customWidth="1"/>
    <col min="15" max="15" width="10.69921875" customWidth="1"/>
    <col min="16" max="16" width="12.3984375" customWidth="1"/>
    <col min="17" max="17" width="10.69921875" customWidth="1"/>
    <col min="18" max="18" width="24.69921875" customWidth="1"/>
    <col min="19" max="21" width="10.69921875" customWidth="1"/>
    <col min="22" max="22" width="22.296875" customWidth="1"/>
    <col min="23" max="25" width="10.69921875" customWidth="1"/>
    <col min="26" max="26" width="17.8984375" customWidth="1"/>
  </cols>
  <sheetData>
    <row r="1" spans="1:27" ht="20" x14ac:dyDescent="0.4">
      <c r="B1" s="65" t="s">
        <v>446</v>
      </c>
      <c r="C1" s="66"/>
      <c r="D1" s="142" t="s">
        <v>597</v>
      </c>
      <c r="E1" s="112"/>
      <c r="F1" s="112"/>
      <c r="G1" s="112"/>
      <c r="H1" s="112"/>
      <c r="I1" s="112"/>
      <c r="J1" s="112"/>
      <c r="K1" s="112"/>
      <c r="L1" s="112"/>
      <c r="M1" s="112"/>
      <c r="N1" s="112"/>
      <c r="O1" s="113"/>
      <c r="P1" s="26">
        <v>46096</v>
      </c>
      <c r="R1" s="67" t="s">
        <v>447</v>
      </c>
    </row>
    <row r="2" spans="1:27"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c r="Q2" s="27" t="s">
        <v>346</v>
      </c>
      <c r="R2" s="69" t="s">
        <v>1</v>
      </c>
      <c r="S2" s="29" t="s">
        <v>347</v>
      </c>
      <c r="U2" s="27" t="s">
        <v>348</v>
      </c>
      <c r="V2" s="28" t="s">
        <v>1</v>
      </c>
      <c r="W2" s="29" t="s">
        <v>347</v>
      </c>
      <c r="Y2" s="27" t="s">
        <v>349</v>
      </c>
      <c r="Z2" s="28" t="s">
        <v>1</v>
      </c>
      <c r="AA2" s="29" t="s">
        <v>347</v>
      </c>
    </row>
    <row r="3" spans="1:27" ht="12.75" customHeight="1" x14ac:dyDescent="0.3">
      <c r="A3" s="30">
        <v>1</v>
      </c>
      <c r="B3" t="s">
        <v>24</v>
      </c>
      <c r="C3" s="30">
        <f>Punkte!B6</f>
        <v>220</v>
      </c>
      <c r="E3" s="30">
        <v>1</v>
      </c>
      <c r="F3" t="s">
        <v>110</v>
      </c>
      <c r="G3" s="30">
        <f>IF(ISNA(VLOOKUP(ROUND(COUNTA(B3:B34)*Offset,0),A3:C34,3,FALSE)-1)=TRUE,377,VLOOKUP(ROUND(COUNTA(B3:B34)*Offset,0),A3:C34,3,FALSE)-1)</f>
        <v>207</v>
      </c>
      <c r="I3" s="30">
        <v>1</v>
      </c>
      <c r="J3" t="s">
        <v>568</v>
      </c>
      <c r="K3" s="30">
        <f>IF(ISNA(VLOOKUP(ROUND(COUNTA(F3:F34)*Offset,0),E3:G34,3,FALSE)-1)=TRUE,355,VLOOKUP(ROUND(COUNTA(F3:F34)*Offset,0),E3:G34,3,FALSE)-1)</f>
        <v>194</v>
      </c>
      <c r="M3" s="30">
        <v>1</v>
      </c>
      <c r="N3" s="31"/>
      <c r="O3" s="30">
        <f>IF(ISNA(VLOOKUP(ROUND(COUNTA(J3:J34)*Offset,0),I3:K34,3,FALSE)-1)=TRUE,336,VLOOKUP(ROUND(COUNTA(J3:J34)*Offset,0),I3:K34,3,FALSE)-1)</f>
        <v>185</v>
      </c>
      <c r="Q3" s="30">
        <v>1</v>
      </c>
      <c r="R3" t="s">
        <v>47</v>
      </c>
      <c r="S3" s="30">
        <f>Punkte!C6</f>
        <v>200</v>
      </c>
      <c r="U3" s="30">
        <v>1</v>
      </c>
      <c r="V3" t="s">
        <v>63</v>
      </c>
      <c r="W3" s="30">
        <f>IF(ISNA(VLOOKUP(ROUND(COUNTA(R3:R34)*Offset,0),Q3:S34,3,FALSE)-1)=TRUE,377,VLOOKUP(ROUND(COUNTA(R3:R34)*Offset,0),Q3:S34,3,FALSE)-1)</f>
        <v>184</v>
      </c>
      <c r="Y3" s="30">
        <v>1</v>
      </c>
      <c r="Z3" s="31"/>
      <c r="AA3" s="30">
        <f>IF(ISNA(VLOOKUP(ROUND(COUNTA(V3:V34)*Offset,0),U3:W34,3,FALSE)-1)=TRUE,355,VLOOKUP(ROUND(COUNTA(V3:V34)*Offset,0),U3:W34,3,FALSE)-1)</f>
        <v>168</v>
      </c>
    </row>
    <row r="4" spans="1:27" ht="12.75" customHeight="1" x14ac:dyDescent="0.3">
      <c r="A4" s="34">
        <v>2</v>
      </c>
      <c r="B4" t="s">
        <v>20</v>
      </c>
      <c r="C4" s="34">
        <f t="shared" ref="C4:C18" si="0">C3-2</f>
        <v>218</v>
      </c>
      <c r="E4" s="34">
        <v>2</v>
      </c>
      <c r="F4" t="s">
        <v>32</v>
      </c>
      <c r="G4" s="34">
        <f t="shared" ref="G4:G18" si="1">G3-2</f>
        <v>205</v>
      </c>
      <c r="I4" s="34">
        <v>2</v>
      </c>
      <c r="J4" t="s">
        <v>303</v>
      </c>
      <c r="K4" s="34">
        <f t="shared" ref="K4:K18" si="2">K3-2</f>
        <v>192</v>
      </c>
      <c r="M4" s="34">
        <v>2</v>
      </c>
      <c r="O4" s="34">
        <f t="shared" ref="O4:O18" si="3">O3-2</f>
        <v>183</v>
      </c>
      <c r="Q4" s="34">
        <v>2</v>
      </c>
      <c r="R4" t="s">
        <v>50</v>
      </c>
      <c r="S4" s="34">
        <f t="shared" ref="S4:S18" si="4">S3-5</f>
        <v>195</v>
      </c>
      <c r="U4" s="34">
        <v>2</v>
      </c>
      <c r="V4" t="s">
        <v>497</v>
      </c>
      <c r="W4" s="34">
        <f t="shared" ref="W4:W18" si="5">W3-5</f>
        <v>179</v>
      </c>
      <c r="Y4" s="34">
        <v>2</v>
      </c>
      <c r="Z4" s="16"/>
      <c r="AA4" s="34">
        <f t="shared" ref="AA4:AA18" si="6">AA3-5</f>
        <v>163</v>
      </c>
    </row>
    <row r="5" spans="1:27" ht="12.75" customHeight="1" x14ac:dyDescent="0.3">
      <c r="A5" s="34">
        <v>3</v>
      </c>
      <c r="B5" t="s">
        <v>95</v>
      </c>
      <c r="C5" s="34">
        <f t="shared" si="0"/>
        <v>216</v>
      </c>
      <c r="E5" s="34">
        <v>3</v>
      </c>
      <c r="F5" t="s">
        <v>598</v>
      </c>
      <c r="G5" s="34">
        <f t="shared" si="1"/>
        <v>203</v>
      </c>
      <c r="I5" s="34">
        <v>3</v>
      </c>
      <c r="J5" t="s">
        <v>599</v>
      </c>
      <c r="K5" s="34">
        <f t="shared" si="2"/>
        <v>190</v>
      </c>
      <c r="M5" s="34">
        <v>3</v>
      </c>
      <c r="N5" s="16"/>
      <c r="O5" s="34">
        <f t="shared" si="3"/>
        <v>181</v>
      </c>
      <c r="Q5" s="34">
        <v>3</v>
      </c>
      <c r="R5" t="s">
        <v>66</v>
      </c>
      <c r="S5" s="34">
        <f t="shared" si="4"/>
        <v>190</v>
      </c>
      <c r="U5" s="34">
        <v>3</v>
      </c>
      <c r="V5" t="s">
        <v>94</v>
      </c>
      <c r="W5" s="34">
        <f t="shared" si="5"/>
        <v>174</v>
      </c>
      <c r="Y5" s="34">
        <v>3</v>
      </c>
      <c r="Z5" s="16"/>
      <c r="AA5" s="34">
        <f t="shared" si="6"/>
        <v>158</v>
      </c>
    </row>
    <row r="6" spans="1:27" ht="12.75" customHeight="1" x14ac:dyDescent="0.3">
      <c r="A6" s="34">
        <v>4</v>
      </c>
      <c r="B6" t="s">
        <v>82</v>
      </c>
      <c r="C6" s="34">
        <f t="shared" si="0"/>
        <v>214</v>
      </c>
      <c r="E6" s="34">
        <v>4</v>
      </c>
      <c r="F6" t="s">
        <v>158</v>
      </c>
      <c r="G6" s="34">
        <f t="shared" si="1"/>
        <v>201</v>
      </c>
      <c r="I6" s="34">
        <v>4</v>
      </c>
      <c r="J6" t="s">
        <v>224</v>
      </c>
      <c r="K6" s="34">
        <f t="shared" si="2"/>
        <v>188</v>
      </c>
      <c r="M6" s="34">
        <v>4</v>
      </c>
      <c r="N6" s="16"/>
      <c r="O6" s="34">
        <f t="shared" si="3"/>
        <v>179</v>
      </c>
      <c r="Q6" s="34">
        <v>4</v>
      </c>
      <c r="R6" t="s">
        <v>60</v>
      </c>
      <c r="S6" s="34">
        <f t="shared" si="4"/>
        <v>185</v>
      </c>
      <c r="U6" s="34">
        <v>4</v>
      </c>
      <c r="V6" t="s">
        <v>250</v>
      </c>
      <c r="W6" s="34">
        <f t="shared" si="5"/>
        <v>169</v>
      </c>
      <c r="Y6" s="34">
        <v>4</v>
      </c>
      <c r="Z6" s="16"/>
      <c r="AA6" s="34">
        <f t="shared" si="6"/>
        <v>153</v>
      </c>
    </row>
    <row r="7" spans="1:27" ht="12.75" customHeight="1" x14ac:dyDescent="0.3">
      <c r="A7" s="34">
        <v>5</v>
      </c>
      <c r="B7" t="s">
        <v>179</v>
      </c>
      <c r="C7" s="34">
        <f t="shared" si="0"/>
        <v>212</v>
      </c>
      <c r="E7" s="34">
        <v>5</v>
      </c>
      <c r="F7" t="s">
        <v>71</v>
      </c>
      <c r="G7" s="34">
        <f t="shared" si="1"/>
        <v>199</v>
      </c>
      <c r="I7" s="34">
        <v>5</v>
      </c>
      <c r="J7" t="s">
        <v>302</v>
      </c>
      <c r="K7" s="34">
        <f t="shared" si="2"/>
        <v>186</v>
      </c>
      <c r="M7" s="34">
        <v>5</v>
      </c>
      <c r="N7" s="16"/>
      <c r="O7" s="34">
        <f t="shared" si="3"/>
        <v>177</v>
      </c>
      <c r="Q7" s="34">
        <v>5</v>
      </c>
      <c r="R7" t="s">
        <v>59</v>
      </c>
      <c r="S7" s="34">
        <f t="shared" si="4"/>
        <v>180</v>
      </c>
      <c r="U7" s="34">
        <v>5</v>
      </c>
      <c r="V7" t="s">
        <v>600</v>
      </c>
      <c r="W7" s="34">
        <f t="shared" si="5"/>
        <v>164</v>
      </c>
      <c r="Y7" s="34">
        <v>5</v>
      </c>
      <c r="Z7" s="16"/>
      <c r="AA7" s="34">
        <f t="shared" si="6"/>
        <v>148</v>
      </c>
    </row>
    <row r="8" spans="1:27" ht="12.75" customHeight="1" x14ac:dyDescent="0.3">
      <c r="A8" s="34">
        <v>6</v>
      </c>
      <c r="B8" t="s">
        <v>207</v>
      </c>
      <c r="C8" s="34">
        <f t="shared" si="0"/>
        <v>210</v>
      </c>
      <c r="E8" s="34">
        <v>6</v>
      </c>
      <c r="F8" t="s">
        <v>496</v>
      </c>
      <c r="G8" s="34">
        <f t="shared" si="1"/>
        <v>197</v>
      </c>
      <c r="I8" s="34">
        <v>6</v>
      </c>
      <c r="J8" t="s">
        <v>246</v>
      </c>
      <c r="K8" s="34">
        <f t="shared" si="2"/>
        <v>184</v>
      </c>
      <c r="M8" s="34">
        <v>6</v>
      </c>
      <c r="N8" s="16"/>
      <c r="O8" s="34">
        <f t="shared" si="3"/>
        <v>175</v>
      </c>
      <c r="Q8" s="34">
        <v>6</v>
      </c>
      <c r="R8" s="16"/>
      <c r="S8" s="34">
        <f t="shared" si="4"/>
        <v>175</v>
      </c>
      <c r="U8" s="34">
        <v>6</v>
      </c>
      <c r="V8" s="16"/>
      <c r="W8" s="34">
        <f t="shared" si="5"/>
        <v>159</v>
      </c>
      <c r="Y8" s="34">
        <v>6</v>
      </c>
      <c r="Z8" s="35"/>
      <c r="AA8" s="34">
        <f t="shared" si="6"/>
        <v>143</v>
      </c>
    </row>
    <row r="9" spans="1:27" ht="12.75" customHeight="1" x14ac:dyDescent="0.3">
      <c r="A9" s="34">
        <v>7</v>
      </c>
      <c r="B9" t="s">
        <v>33</v>
      </c>
      <c r="C9" s="34">
        <f t="shared" si="0"/>
        <v>208</v>
      </c>
      <c r="E9" s="34">
        <v>7</v>
      </c>
      <c r="F9" t="s">
        <v>107</v>
      </c>
      <c r="G9" s="34">
        <f t="shared" si="1"/>
        <v>195</v>
      </c>
      <c r="I9" s="34">
        <v>7</v>
      </c>
      <c r="J9" s="35"/>
      <c r="K9" s="34">
        <f t="shared" si="2"/>
        <v>182</v>
      </c>
      <c r="M9" s="34">
        <v>7</v>
      </c>
      <c r="N9" s="16"/>
      <c r="O9" s="34">
        <f t="shared" si="3"/>
        <v>173</v>
      </c>
      <c r="Q9" s="34">
        <v>7</v>
      </c>
      <c r="R9" s="16"/>
      <c r="S9" s="34">
        <f t="shared" si="4"/>
        <v>170</v>
      </c>
      <c r="U9" s="34">
        <v>7</v>
      </c>
      <c r="V9" s="16"/>
      <c r="W9" s="34">
        <f t="shared" si="5"/>
        <v>154</v>
      </c>
      <c r="Y9" s="34">
        <v>7</v>
      </c>
      <c r="Z9" s="35"/>
      <c r="AA9" s="34">
        <f t="shared" si="6"/>
        <v>138</v>
      </c>
    </row>
    <row r="10" spans="1:27" ht="12.75" customHeight="1" x14ac:dyDescent="0.3">
      <c r="A10" s="34">
        <v>8</v>
      </c>
      <c r="B10" t="s">
        <v>42</v>
      </c>
      <c r="C10" s="34">
        <f t="shared" si="0"/>
        <v>206</v>
      </c>
      <c r="E10" s="34">
        <v>8</v>
      </c>
      <c r="F10" t="s">
        <v>159</v>
      </c>
      <c r="G10" s="34">
        <f t="shared" si="1"/>
        <v>193</v>
      </c>
      <c r="I10" s="34">
        <v>8</v>
      </c>
      <c r="J10" s="35"/>
      <c r="K10" s="34">
        <f t="shared" si="2"/>
        <v>180</v>
      </c>
      <c r="M10" s="34">
        <v>8</v>
      </c>
      <c r="N10" s="35"/>
      <c r="O10" s="34">
        <f t="shared" si="3"/>
        <v>171</v>
      </c>
      <c r="Q10" s="34">
        <v>8</v>
      </c>
      <c r="S10" s="34">
        <f t="shared" si="4"/>
        <v>165</v>
      </c>
      <c r="U10" s="34">
        <v>8</v>
      </c>
      <c r="W10" s="34">
        <f t="shared" si="5"/>
        <v>149</v>
      </c>
      <c r="Y10" s="34">
        <v>8</v>
      </c>
      <c r="Z10" s="35"/>
      <c r="AA10" s="34">
        <f t="shared" si="6"/>
        <v>133</v>
      </c>
    </row>
    <row r="11" spans="1:27" ht="12.75" customHeight="1" x14ac:dyDescent="0.3">
      <c r="A11" s="34">
        <v>9</v>
      </c>
      <c r="B11" t="s">
        <v>27</v>
      </c>
      <c r="C11" s="34">
        <f t="shared" si="0"/>
        <v>204</v>
      </c>
      <c r="E11" s="34">
        <v>9</v>
      </c>
      <c r="F11" t="s">
        <v>219</v>
      </c>
      <c r="G11" s="34">
        <f t="shared" si="1"/>
        <v>191</v>
      </c>
      <c r="I11" s="34">
        <v>9</v>
      </c>
      <c r="J11" s="16"/>
      <c r="K11" s="34">
        <f t="shared" si="2"/>
        <v>178</v>
      </c>
      <c r="M11" s="34">
        <v>9</v>
      </c>
      <c r="N11" s="16"/>
      <c r="O11" s="34">
        <f t="shared" si="3"/>
        <v>169</v>
      </c>
      <c r="Q11" s="34">
        <v>9</v>
      </c>
      <c r="R11" s="16"/>
      <c r="S11" s="34">
        <f t="shared" si="4"/>
        <v>160</v>
      </c>
      <c r="U11" s="34">
        <v>9</v>
      </c>
      <c r="V11" s="16"/>
      <c r="W11" s="34">
        <f t="shared" si="5"/>
        <v>144</v>
      </c>
      <c r="Y11" s="34">
        <v>9</v>
      </c>
      <c r="Z11" s="16"/>
      <c r="AA11" s="34">
        <f t="shared" si="6"/>
        <v>128</v>
      </c>
    </row>
    <row r="12" spans="1:27" ht="12.75" customHeight="1" x14ac:dyDescent="0.3">
      <c r="A12" s="34">
        <v>10</v>
      </c>
      <c r="B12" s="16"/>
      <c r="C12" s="34">
        <f t="shared" si="0"/>
        <v>202</v>
      </c>
      <c r="E12" s="34">
        <v>10</v>
      </c>
      <c r="F12" s="16"/>
      <c r="G12" s="34">
        <f t="shared" si="1"/>
        <v>189</v>
      </c>
      <c r="I12" s="34">
        <v>10</v>
      </c>
      <c r="J12" s="16"/>
      <c r="K12" s="34">
        <f t="shared" si="2"/>
        <v>176</v>
      </c>
      <c r="M12" s="34">
        <v>10</v>
      </c>
      <c r="N12" s="16"/>
      <c r="O12" s="34">
        <f t="shared" si="3"/>
        <v>167</v>
      </c>
      <c r="Q12" s="34">
        <v>10</v>
      </c>
      <c r="R12" s="16"/>
      <c r="S12" s="34">
        <f t="shared" si="4"/>
        <v>155</v>
      </c>
      <c r="U12" s="34">
        <v>10</v>
      </c>
      <c r="V12" s="16"/>
      <c r="W12" s="34">
        <f t="shared" si="5"/>
        <v>139</v>
      </c>
      <c r="Y12" s="34">
        <v>10</v>
      </c>
      <c r="Z12" s="16"/>
      <c r="AA12" s="34">
        <f t="shared" si="6"/>
        <v>123</v>
      </c>
    </row>
    <row r="13" spans="1:27" ht="12.75" customHeight="1" x14ac:dyDescent="0.3">
      <c r="A13" s="34">
        <v>11</v>
      </c>
      <c r="B13" s="16"/>
      <c r="C13" s="34">
        <f t="shared" si="0"/>
        <v>200</v>
      </c>
      <c r="E13" s="34">
        <v>11</v>
      </c>
      <c r="F13" s="16"/>
      <c r="G13" s="34">
        <f t="shared" si="1"/>
        <v>187</v>
      </c>
      <c r="I13" s="34">
        <v>11</v>
      </c>
      <c r="J13" s="16"/>
      <c r="K13" s="34">
        <f t="shared" si="2"/>
        <v>174</v>
      </c>
      <c r="M13" s="34">
        <v>11</v>
      </c>
      <c r="N13" s="16"/>
      <c r="O13" s="34">
        <f t="shared" si="3"/>
        <v>165</v>
      </c>
      <c r="Q13" s="34">
        <v>11</v>
      </c>
      <c r="R13" s="16"/>
      <c r="S13" s="34">
        <f t="shared" si="4"/>
        <v>150</v>
      </c>
      <c r="U13" s="34">
        <v>11</v>
      </c>
      <c r="V13" s="16"/>
      <c r="W13" s="34">
        <f t="shared" si="5"/>
        <v>134</v>
      </c>
      <c r="Y13" s="34">
        <v>11</v>
      </c>
      <c r="Z13" s="16"/>
      <c r="AA13" s="34">
        <f t="shared" si="6"/>
        <v>118</v>
      </c>
    </row>
    <row r="14" spans="1:27" ht="12.75" customHeight="1" x14ac:dyDescent="0.3">
      <c r="A14" s="34">
        <v>12</v>
      </c>
      <c r="B14" s="35"/>
      <c r="C14" s="34">
        <f t="shared" si="0"/>
        <v>198</v>
      </c>
      <c r="E14" s="34">
        <v>12</v>
      </c>
      <c r="F14" s="35"/>
      <c r="G14" s="34">
        <f t="shared" si="1"/>
        <v>185</v>
      </c>
      <c r="I14" s="34">
        <v>12</v>
      </c>
      <c r="J14" s="35"/>
      <c r="K14" s="34">
        <f t="shared" si="2"/>
        <v>172</v>
      </c>
      <c r="M14" s="34">
        <v>12</v>
      </c>
      <c r="N14" s="35"/>
      <c r="O14" s="34">
        <f t="shared" si="3"/>
        <v>163</v>
      </c>
      <c r="Q14" s="34">
        <v>12</v>
      </c>
      <c r="R14" s="35"/>
      <c r="S14" s="34">
        <f t="shared" si="4"/>
        <v>145</v>
      </c>
      <c r="U14" s="34">
        <v>12</v>
      </c>
      <c r="V14" s="35"/>
      <c r="W14" s="34">
        <f t="shared" si="5"/>
        <v>129</v>
      </c>
      <c r="Y14" s="34">
        <v>12</v>
      </c>
      <c r="Z14" s="35"/>
      <c r="AA14" s="34">
        <f t="shared" si="6"/>
        <v>113</v>
      </c>
    </row>
    <row r="15" spans="1:27" ht="12.75" customHeight="1" x14ac:dyDescent="0.3">
      <c r="A15" s="34">
        <v>13</v>
      </c>
      <c r="B15" s="35"/>
      <c r="C15" s="34">
        <f t="shared" si="0"/>
        <v>196</v>
      </c>
      <c r="E15" s="34">
        <v>13</v>
      </c>
      <c r="F15" s="35"/>
      <c r="G15" s="34">
        <f t="shared" si="1"/>
        <v>183</v>
      </c>
      <c r="I15" s="34">
        <v>13</v>
      </c>
      <c r="J15" s="35"/>
      <c r="K15" s="34">
        <f t="shared" si="2"/>
        <v>170</v>
      </c>
      <c r="M15" s="34">
        <v>13</v>
      </c>
      <c r="N15" s="35"/>
      <c r="O15" s="34">
        <f t="shared" si="3"/>
        <v>161</v>
      </c>
      <c r="Q15" s="34">
        <v>13</v>
      </c>
      <c r="S15" s="34">
        <f t="shared" si="4"/>
        <v>140</v>
      </c>
      <c r="U15" s="34">
        <v>13</v>
      </c>
      <c r="W15" s="34">
        <f t="shared" si="5"/>
        <v>124</v>
      </c>
      <c r="Y15" s="34">
        <v>13</v>
      </c>
      <c r="Z15" s="35"/>
      <c r="AA15" s="34">
        <f t="shared" si="6"/>
        <v>108</v>
      </c>
    </row>
    <row r="16" spans="1:27" ht="12.75" customHeight="1" x14ac:dyDescent="0.3">
      <c r="A16" s="34">
        <v>14</v>
      </c>
      <c r="B16" s="16"/>
      <c r="C16" s="34">
        <f t="shared" si="0"/>
        <v>194</v>
      </c>
      <c r="E16" s="34">
        <v>14</v>
      </c>
      <c r="F16" s="35"/>
      <c r="G16" s="34">
        <f t="shared" si="1"/>
        <v>181</v>
      </c>
      <c r="I16" s="34">
        <v>14</v>
      </c>
      <c r="J16" s="35"/>
      <c r="K16" s="34">
        <f t="shared" si="2"/>
        <v>168</v>
      </c>
      <c r="M16" s="34">
        <v>14</v>
      </c>
      <c r="N16" s="35"/>
      <c r="O16" s="34">
        <f t="shared" si="3"/>
        <v>159</v>
      </c>
      <c r="Q16" s="34">
        <v>14</v>
      </c>
      <c r="R16" s="16"/>
      <c r="S16" s="34">
        <f t="shared" si="4"/>
        <v>135</v>
      </c>
      <c r="U16" s="34">
        <v>14</v>
      </c>
      <c r="V16" s="35"/>
      <c r="W16" s="34">
        <f t="shared" si="5"/>
        <v>119</v>
      </c>
      <c r="Y16" s="34">
        <v>14</v>
      </c>
      <c r="AA16" s="34">
        <f t="shared" si="6"/>
        <v>103</v>
      </c>
    </row>
    <row r="17" spans="1:27" ht="12.75" customHeight="1" x14ac:dyDescent="0.3">
      <c r="A17" s="34">
        <v>15</v>
      </c>
      <c r="B17" s="16"/>
      <c r="C17" s="34">
        <f t="shared" si="0"/>
        <v>192</v>
      </c>
      <c r="E17" s="34">
        <v>15</v>
      </c>
      <c r="F17" s="35"/>
      <c r="G17" s="34">
        <f t="shared" si="1"/>
        <v>179</v>
      </c>
      <c r="I17" s="34">
        <v>15</v>
      </c>
      <c r="J17" s="35"/>
      <c r="K17" s="34">
        <f t="shared" si="2"/>
        <v>166</v>
      </c>
      <c r="M17" s="34">
        <v>15</v>
      </c>
      <c r="N17" s="35"/>
      <c r="O17" s="34">
        <f t="shared" si="3"/>
        <v>157</v>
      </c>
      <c r="Q17" s="34">
        <v>15</v>
      </c>
      <c r="R17" s="16"/>
      <c r="S17" s="34">
        <f t="shared" si="4"/>
        <v>130</v>
      </c>
      <c r="U17" s="34">
        <v>15</v>
      </c>
      <c r="V17" s="35"/>
      <c r="W17" s="34">
        <f t="shared" si="5"/>
        <v>114</v>
      </c>
      <c r="Y17" s="34">
        <v>15</v>
      </c>
      <c r="AA17" s="34">
        <f t="shared" si="6"/>
        <v>98</v>
      </c>
    </row>
    <row r="18" spans="1:27" ht="12.75" customHeight="1" x14ac:dyDescent="0.3">
      <c r="A18" s="27">
        <v>16</v>
      </c>
      <c r="B18" s="28"/>
      <c r="C18" s="27">
        <f t="shared" si="0"/>
        <v>190</v>
      </c>
      <c r="E18" s="27">
        <v>16</v>
      </c>
      <c r="F18" s="28"/>
      <c r="G18" s="27">
        <f t="shared" si="1"/>
        <v>177</v>
      </c>
      <c r="I18" s="27">
        <v>16</v>
      </c>
      <c r="J18" s="28"/>
      <c r="K18" s="27">
        <f t="shared" si="2"/>
        <v>164</v>
      </c>
      <c r="M18" s="27">
        <v>16</v>
      </c>
      <c r="N18" s="28"/>
      <c r="O18" s="27">
        <f t="shared" si="3"/>
        <v>155</v>
      </c>
      <c r="Q18" s="27">
        <v>16</v>
      </c>
      <c r="R18" s="28"/>
      <c r="S18" s="27">
        <f t="shared" si="4"/>
        <v>125</v>
      </c>
      <c r="U18" s="27">
        <v>16</v>
      </c>
      <c r="V18" s="28"/>
      <c r="W18" s="27">
        <f t="shared" si="5"/>
        <v>109</v>
      </c>
      <c r="Y18" s="27">
        <v>16</v>
      </c>
      <c r="Z18" s="28"/>
      <c r="AA18" s="27">
        <f t="shared" si="6"/>
        <v>93</v>
      </c>
    </row>
    <row r="19" spans="1:27" ht="12.75" customHeight="1" x14ac:dyDescent="0.3"/>
    <row r="20" spans="1:27" ht="12.75" customHeight="1" x14ac:dyDescent="0.3"/>
    <row r="21" spans="1:27" ht="12.75" customHeight="1" x14ac:dyDescent="0.3"/>
    <row r="22" spans="1:27" ht="12.75" customHeight="1" x14ac:dyDescent="0.3"/>
    <row r="23" spans="1:27" ht="12.75" customHeight="1" x14ac:dyDescent="0.3"/>
    <row r="24" spans="1:27" ht="12.75" customHeight="1" x14ac:dyDescent="0.3"/>
    <row r="25" spans="1:27" ht="12.75" customHeight="1" x14ac:dyDescent="0.3"/>
    <row r="26" spans="1:27" ht="12.75" customHeight="1" x14ac:dyDescent="0.3"/>
    <row r="27" spans="1:27" ht="12.75" customHeight="1" x14ac:dyDescent="0.3"/>
    <row r="28" spans="1:27" ht="12.75" customHeight="1" x14ac:dyDescent="0.3"/>
    <row r="29" spans="1:27" ht="12.75" customHeight="1" x14ac:dyDescent="0.3"/>
    <row r="30" spans="1:27" ht="12.75" customHeight="1" x14ac:dyDescent="0.3"/>
    <row r="31" spans="1:27" ht="12.75" customHeight="1" x14ac:dyDescent="0.3"/>
    <row r="32" spans="1:27"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D1:O1"/>
  </mergeCells>
  <pageMargins left="0.7" right="0.7" top="0.78740157499999996" bottom="0.78740157499999996"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AA1000"/>
  <sheetViews>
    <sheetView workbookViewId="0"/>
  </sheetViews>
  <sheetFormatPr defaultColWidth="14.3984375" defaultRowHeight="15" customHeight="1" x14ac:dyDescent="0.3"/>
  <cols>
    <col min="1" max="1" width="10.69921875" customWidth="1"/>
    <col min="2" max="2" width="24.69921875" customWidth="1"/>
    <col min="3" max="5" width="10.69921875" customWidth="1"/>
    <col min="6" max="6" width="24.69921875" customWidth="1"/>
    <col min="7" max="9" width="10.69921875" customWidth="1"/>
    <col min="10" max="10" width="24.69921875" customWidth="1"/>
    <col min="11" max="13" width="10.69921875" customWidth="1"/>
    <col min="14" max="14" width="24.69921875" customWidth="1"/>
    <col min="15" max="17" width="10.69921875" customWidth="1"/>
    <col min="18" max="18" width="23" customWidth="1"/>
    <col min="19" max="21" width="10.69921875" customWidth="1"/>
    <col min="22" max="22" width="25.69921875" customWidth="1"/>
    <col min="23" max="25" width="10.69921875" customWidth="1"/>
    <col min="26" max="26" width="26.8984375" customWidth="1"/>
  </cols>
  <sheetData>
    <row r="1" spans="1:27" ht="20" x14ac:dyDescent="0.4">
      <c r="B1" s="65" t="s">
        <v>446</v>
      </c>
      <c r="C1" s="66"/>
      <c r="D1" s="142" t="s">
        <v>601</v>
      </c>
      <c r="E1" s="112"/>
      <c r="F1" s="112"/>
      <c r="G1" s="112"/>
      <c r="H1" s="112"/>
      <c r="I1" s="112"/>
      <c r="J1" s="112"/>
      <c r="K1" s="112"/>
      <c r="L1" s="112"/>
      <c r="M1" s="112"/>
      <c r="N1" s="112"/>
      <c r="O1" s="113"/>
      <c r="P1" s="104" t="s">
        <v>602</v>
      </c>
      <c r="R1" s="67" t="s">
        <v>447</v>
      </c>
    </row>
    <row r="2" spans="1:27" ht="12.75" customHeight="1" x14ac:dyDescent="0.3">
      <c r="A2" s="27" t="s">
        <v>346</v>
      </c>
      <c r="B2" s="28" t="s">
        <v>1</v>
      </c>
      <c r="C2" s="29" t="s">
        <v>347</v>
      </c>
      <c r="E2" s="27" t="s">
        <v>348</v>
      </c>
      <c r="F2" s="28" t="s">
        <v>1</v>
      </c>
      <c r="G2" s="29" t="s">
        <v>347</v>
      </c>
      <c r="I2" s="27" t="s">
        <v>349</v>
      </c>
      <c r="J2" s="28" t="s">
        <v>1</v>
      </c>
      <c r="K2" s="29" t="s">
        <v>347</v>
      </c>
      <c r="M2" s="27" t="s">
        <v>350</v>
      </c>
      <c r="N2" s="28" t="s">
        <v>1</v>
      </c>
      <c r="O2" s="29" t="s">
        <v>347</v>
      </c>
      <c r="Q2" s="27" t="s">
        <v>346</v>
      </c>
      <c r="R2" s="69" t="s">
        <v>1</v>
      </c>
      <c r="S2" s="29" t="s">
        <v>347</v>
      </c>
      <c r="U2" s="27" t="s">
        <v>348</v>
      </c>
      <c r="V2" s="28" t="s">
        <v>1</v>
      </c>
      <c r="W2" s="29" t="s">
        <v>347</v>
      </c>
      <c r="Y2" s="27" t="s">
        <v>349</v>
      </c>
      <c r="Z2" s="28" t="s">
        <v>1</v>
      </c>
      <c r="AA2" s="29" t="s">
        <v>347</v>
      </c>
    </row>
    <row r="3" spans="1:27" ht="12.75" customHeight="1" x14ac:dyDescent="0.3">
      <c r="A3" s="30">
        <v>1</v>
      </c>
      <c r="B3" s="31"/>
      <c r="C3" s="30">
        <f>Punkte!B6</f>
        <v>220</v>
      </c>
      <c r="E3" s="30">
        <v>1</v>
      </c>
      <c r="F3" s="31"/>
      <c r="G3" s="30">
        <f>IF(ISNA(VLOOKUP(ROUND(COUNTA(B3:B34)*Offset,0),A3:C34,3,FALSE)-1)=TRUE,377,VLOOKUP(ROUND(COUNTA(B3:B34)*Offset,0),A3:C34,3,FALSE)-1)</f>
        <v>377</v>
      </c>
      <c r="I3" s="30">
        <v>1</v>
      </c>
      <c r="J3" s="43"/>
      <c r="K3" s="30">
        <f>IF(ISNA(VLOOKUP(ROUND(COUNTA(F3:F34)*Offset,0),E3:G34,3,FALSE)-1)=TRUE,355,VLOOKUP(ROUND(COUNTA(F3:F34)*Offset,0),E3:G34,3,FALSE)-1)</f>
        <v>355</v>
      </c>
      <c r="M3" s="30">
        <v>1</v>
      </c>
      <c r="N3" s="31"/>
      <c r="O3" s="30">
        <f>IF(ISNA(VLOOKUP(ROUND(COUNTA(J3:J34)*Offset,0),I3:K34,3,FALSE)-1)=TRUE,336,VLOOKUP(ROUND(COUNTA(J3:J34)*Offset,0),I3:K34,3,FALSE)-1)</f>
        <v>336</v>
      </c>
      <c r="Q3" s="30">
        <v>1</v>
      </c>
      <c r="R3" s="16"/>
      <c r="S3" s="30">
        <f>Punkte!C6</f>
        <v>200</v>
      </c>
      <c r="U3" s="30">
        <v>1</v>
      </c>
      <c r="V3" s="31"/>
      <c r="W3" s="30">
        <f>IF(ISNA(VLOOKUP(ROUND(COUNTA(R3:R34)*Offset,0),Q3:S34,3,FALSE)-1)=TRUE,377,VLOOKUP(ROUND(COUNTA(R3:R34)*Offset,0),Q3:S34,3,FALSE)-1)</f>
        <v>377</v>
      </c>
      <c r="Y3" s="30">
        <v>1</v>
      </c>
      <c r="Z3" s="43"/>
      <c r="AA3" s="30">
        <f>IF(ISNA(VLOOKUP(ROUND(COUNTA(V3:V34)*Offset,0),U3:W34,3,FALSE)-1)=TRUE,355,VLOOKUP(ROUND(COUNTA(V3:V34)*Offset,0),U3:W34,3,FALSE)-1)</f>
        <v>355</v>
      </c>
    </row>
    <row r="4" spans="1:27" ht="12.75" customHeight="1" x14ac:dyDescent="0.3">
      <c r="A4" s="34">
        <v>2</v>
      </c>
      <c r="B4" s="35"/>
      <c r="C4" s="34">
        <f t="shared" ref="C4:C18" si="0">C3-2</f>
        <v>218</v>
      </c>
      <c r="E4" s="34">
        <v>2</v>
      </c>
      <c r="F4" s="35"/>
      <c r="G4" s="34">
        <f t="shared" ref="G4:G18" si="1">G3-2</f>
        <v>375</v>
      </c>
      <c r="I4" s="34">
        <v>2</v>
      </c>
      <c r="J4" s="16"/>
      <c r="K4" s="34">
        <f t="shared" ref="K4:K18" si="2">K3-2</f>
        <v>353</v>
      </c>
      <c r="M4" s="34">
        <v>2</v>
      </c>
      <c r="N4" s="16"/>
      <c r="O4" s="34">
        <f t="shared" ref="O4:O18" si="3">O3-2</f>
        <v>334</v>
      </c>
      <c r="Q4" s="34">
        <v>2</v>
      </c>
      <c r="R4" s="16"/>
      <c r="S4" s="34">
        <f t="shared" ref="S4:S18" si="4">S3-5</f>
        <v>195</v>
      </c>
      <c r="U4" s="34">
        <v>2</v>
      </c>
      <c r="V4" s="16"/>
      <c r="W4" s="34">
        <f t="shared" ref="W4:W18" si="5">W3-5</f>
        <v>372</v>
      </c>
      <c r="Y4" s="34">
        <v>2</v>
      </c>
      <c r="Z4" s="16"/>
      <c r="AA4" s="34">
        <f t="shared" ref="AA4:AA18" si="6">AA3-5</f>
        <v>350</v>
      </c>
    </row>
    <row r="5" spans="1:27" ht="12.75" customHeight="1" x14ac:dyDescent="0.3">
      <c r="A5" s="34">
        <v>3</v>
      </c>
      <c r="B5" s="16"/>
      <c r="C5" s="34">
        <f t="shared" si="0"/>
        <v>216</v>
      </c>
      <c r="E5" s="34">
        <v>3</v>
      </c>
      <c r="F5" s="16"/>
      <c r="G5" s="34">
        <f t="shared" si="1"/>
        <v>373</v>
      </c>
      <c r="I5" s="34">
        <v>3</v>
      </c>
      <c r="J5" s="16"/>
      <c r="K5" s="34">
        <f t="shared" si="2"/>
        <v>351</v>
      </c>
      <c r="M5" s="34">
        <v>3</v>
      </c>
      <c r="N5" s="16"/>
      <c r="O5" s="34">
        <f t="shared" si="3"/>
        <v>332</v>
      </c>
      <c r="Q5" s="34">
        <v>3</v>
      </c>
      <c r="R5" s="35"/>
      <c r="S5" s="34">
        <f t="shared" si="4"/>
        <v>190</v>
      </c>
      <c r="U5" s="34">
        <v>3</v>
      </c>
      <c r="V5" s="16"/>
      <c r="W5" s="34">
        <f t="shared" si="5"/>
        <v>367</v>
      </c>
      <c r="Y5" s="34">
        <v>3</v>
      </c>
      <c r="Z5" s="16"/>
      <c r="AA5" s="34">
        <f t="shared" si="6"/>
        <v>345</v>
      </c>
    </row>
    <row r="6" spans="1:27" ht="12.75" customHeight="1" x14ac:dyDescent="0.3">
      <c r="A6" s="34">
        <v>4</v>
      </c>
      <c r="B6" s="16"/>
      <c r="C6" s="34">
        <f t="shared" si="0"/>
        <v>214</v>
      </c>
      <c r="E6" s="34">
        <v>4</v>
      </c>
      <c r="F6" s="16"/>
      <c r="G6" s="34">
        <f t="shared" si="1"/>
        <v>371</v>
      </c>
      <c r="I6" s="34">
        <v>4</v>
      </c>
      <c r="J6" s="16"/>
      <c r="K6" s="34">
        <f t="shared" si="2"/>
        <v>349</v>
      </c>
      <c r="M6" s="34">
        <v>4</v>
      </c>
      <c r="N6" s="35"/>
      <c r="O6" s="34">
        <f t="shared" si="3"/>
        <v>330</v>
      </c>
      <c r="Q6" s="34">
        <v>4</v>
      </c>
      <c r="R6" s="43"/>
      <c r="S6" s="34">
        <f t="shared" si="4"/>
        <v>185</v>
      </c>
      <c r="U6" s="34">
        <v>4</v>
      </c>
      <c r="V6" s="35"/>
      <c r="W6" s="34">
        <f t="shared" si="5"/>
        <v>362</v>
      </c>
      <c r="Y6" s="34">
        <v>4</v>
      </c>
      <c r="Z6" s="16"/>
      <c r="AA6" s="34">
        <f t="shared" si="6"/>
        <v>340</v>
      </c>
    </row>
    <row r="7" spans="1:27" ht="12.75" customHeight="1" x14ac:dyDescent="0.3">
      <c r="A7" s="34">
        <v>5</v>
      </c>
      <c r="B7" s="16"/>
      <c r="C7" s="34">
        <f t="shared" si="0"/>
        <v>212</v>
      </c>
      <c r="E7" s="34">
        <v>5</v>
      </c>
      <c r="F7" s="16"/>
      <c r="G7" s="34">
        <f t="shared" si="1"/>
        <v>369</v>
      </c>
      <c r="I7" s="34">
        <v>5</v>
      </c>
      <c r="J7" s="16"/>
      <c r="K7" s="34">
        <f t="shared" si="2"/>
        <v>347</v>
      </c>
      <c r="M7" s="34">
        <v>5</v>
      </c>
      <c r="N7" s="16"/>
      <c r="O7" s="34">
        <f t="shared" si="3"/>
        <v>328</v>
      </c>
      <c r="Q7" s="34">
        <v>5</v>
      </c>
      <c r="R7" s="16"/>
      <c r="S7" s="34">
        <f t="shared" si="4"/>
        <v>180</v>
      </c>
      <c r="U7" s="34">
        <v>5</v>
      </c>
      <c r="V7" s="16"/>
      <c r="W7" s="34">
        <f t="shared" si="5"/>
        <v>357</v>
      </c>
      <c r="Y7" s="34">
        <v>5</v>
      </c>
      <c r="Z7" s="16"/>
      <c r="AA7" s="34">
        <f t="shared" si="6"/>
        <v>335</v>
      </c>
    </row>
    <row r="8" spans="1:27" ht="12.75" customHeight="1" x14ac:dyDescent="0.3">
      <c r="A8" s="34">
        <v>6</v>
      </c>
      <c r="B8" s="16"/>
      <c r="C8" s="34">
        <f t="shared" si="0"/>
        <v>210</v>
      </c>
      <c r="E8" s="34">
        <v>6</v>
      </c>
      <c r="F8" s="16"/>
      <c r="G8" s="34">
        <f t="shared" si="1"/>
        <v>367</v>
      </c>
      <c r="I8" s="34">
        <v>6</v>
      </c>
      <c r="J8" s="16"/>
      <c r="K8" s="34">
        <f t="shared" si="2"/>
        <v>345</v>
      </c>
      <c r="M8" s="34">
        <v>6</v>
      </c>
      <c r="N8" s="35"/>
      <c r="O8" s="34">
        <f t="shared" si="3"/>
        <v>326</v>
      </c>
      <c r="Q8" s="34">
        <v>6</v>
      </c>
      <c r="R8" s="16"/>
      <c r="S8" s="34">
        <f t="shared" si="4"/>
        <v>175</v>
      </c>
      <c r="U8" s="34">
        <v>6</v>
      </c>
      <c r="V8" s="16"/>
      <c r="W8" s="34">
        <f t="shared" si="5"/>
        <v>352</v>
      </c>
      <c r="Y8" s="34">
        <v>6</v>
      </c>
      <c r="Z8" s="16"/>
      <c r="AA8" s="34">
        <f t="shared" si="6"/>
        <v>330</v>
      </c>
    </row>
    <row r="9" spans="1:27" ht="12.75" customHeight="1" x14ac:dyDescent="0.3">
      <c r="A9" s="34">
        <v>7</v>
      </c>
      <c r="B9" s="16"/>
      <c r="C9" s="34">
        <f t="shared" si="0"/>
        <v>208</v>
      </c>
      <c r="E9" s="34">
        <v>7</v>
      </c>
      <c r="F9" s="35"/>
      <c r="G9" s="34">
        <f t="shared" si="1"/>
        <v>365</v>
      </c>
      <c r="I9" s="34">
        <v>7</v>
      </c>
      <c r="J9" s="35"/>
      <c r="K9" s="34">
        <f t="shared" si="2"/>
        <v>343</v>
      </c>
      <c r="M9" s="34">
        <v>7</v>
      </c>
      <c r="N9" s="35"/>
      <c r="O9" s="34">
        <f t="shared" si="3"/>
        <v>324</v>
      </c>
      <c r="Q9" s="34">
        <v>7</v>
      </c>
      <c r="R9" s="16"/>
      <c r="S9" s="34">
        <f t="shared" si="4"/>
        <v>170</v>
      </c>
      <c r="U9" s="34">
        <v>7</v>
      </c>
      <c r="W9" s="34">
        <f t="shared" si="5"/>
        <v>347</v>
      </c>
      <c r="Y9" s="34">
        <v>7</v>
      </c>
      <c r="Z9" s="35"/>
      <c r="AA9" s="34">
        <f t="shared" si="6"/>
        <v>325</v>
      </c>
    </row>
    <row r="10" spans="1:27" ht="12.75" customHeight="1" x14ac:dyDescent="0.3">
      <c r="A10" s="34">
        <v>8</v>
      </c>
      <c r="B10" s="35"/>
      <c r="C10" s="34">
        <f t="shared" si="0"/>
        <v>206</v>
      </c>
      <c r="E10" s="34">
        <v>8</v>
      </c>
      <c r="F10" s="16"/>
      <c r="G10" s="34">
        <f t="shared" si="1"/>
        <v>363</v>
      </c>
      <c r="I10" s="34">
        <v>8</v>
      </c>
      <c r="J10" s="35"/>
      <c r="K10" s="34">
        <f t="shared" si="2"/>
        <v>341</v>
      </c>
      <c r="M10" s="34">
        <v>8</v>
      </c>
      <c r="N10" s="35"/>
      <c r="O10" s="34">
        <f t="shared" si="3"/>
        <v>322</v>
      </c>
      <c r="Q10" s="34">
        <v>8</v>
      </c>
      <c r="R10" s="35"/>
      <c r="S10" s="34">
        <f t="shared" si="4"/>
        <v>165</v>
      </c>
      <c r="U10" s="34">
        <v>8</v>
      </c>
      <c r="W10" s="34">
        <f t="shared" si="5"/>
        <v>342</v>
      </c>
      <c r="Y10" s="34">
        <v>8</v>
      </c>
      <c r="Z10" s="35"/>
      <c r="AA10" s="34">
        <f t="shared" si="6"/>
        <v>320</v>
      </c>
    </row>
    <row r="11" spans="1:27" ht="12.75" customHeight="1" x14ac:dyDescent="0.3">
      <c r="A11" s="34">
        <v>9</v>
      </c>
      <c r="B11" s="16"/>
      <c r="C11" s="34">
        <f t="shared" si="0"/>
        <v>204</v>
      </c>
      <c r="E11" s="34">
        <v>9</v>
      </c>
      <c r="F11" s="16"/>
      <c r="G11" s="34">
        <f t="shared" si="1"/>
        <v>361</v>
      </c>
      <c r="I11" s="34">
        <v>9</v>
      </c>
      <c r="J11" s="35"/>
      <c r="K11" s="34">
        <f t="shared" si="2"/>
        <v>339</v>
      </c>
      <c r="M11" s="34">
        <v>9</v>
      </c>
      <c r="N11" s="16"/>
      <c r="O11" s="34">
        <f t="shared" si="3"/>
        <v>320</v>
      </c>
      <c r="Q11" s="34">
        <v>9</v>
      </c>
      <c r="R11" s="16"/>
      <c r="S11" s="34">
        <f t="shared" si="4"/>
        <v>160</v>
      </c>
      <c r="U11" s="34">
        <v>9</v>
      </c>
      <c r="V11" s="16"/>
      <c r="W11" s="34">
        <f t="shared" si="5"/>
        <v>337</v>
      </c>
      <c r="Y11" s="34">
        <v>9</v>
      </c>
      <c r="AA11" s="34">
        <f t="shared" si="6"/>
        <v>315</v>
      </c>
    </row>
    <row r="12" spans="1:27" ht="12.75" customHeight="1" x14ac:dyDescent="0.3">
      <c r="A12" s="34">
        <v>10</v>
      </c>
      <c r="B12" s="16"/>
      <c r="C12" s="34">
        <f t="shared" si="0"/>
        <v>202</v>
      </c>
      <c r="E12" s="34">
        <v>10</v>
      </c>
      <c r="F12" s="35"/>
      <c r="G12" s="34">
        <f t="shared" si="1"/>
        <v>359</v>
      </c>
      <c r="I12" s="34">
        <v>10</v>
      </c>
      <c r="J12" s="35"/>
      <c r="K12" s="34">
        <f t="shared" si="2"/>
        <v>337</v>
      </c>
      <c r="M12" s="34">
        <v>10</v>
      </c>
      <c r="O12" s="34">
        <f t="shared" si="3"/>
        <v>318</v>
      </c>
      <c r="Q12" s="34">
        <v>10</v>
      </c>
      <c r="S12" s="34">
        <f t="shared" si="4"/>
        <v>155</v>
      </c>
      <c r="U12" s="34">
        <v>10</v>
      </c>
      <c r="W12" s="34">
        <f t="shared" si="5"/>
        <v>332</v>
      </c>
      <c r="Y12" s="34">
        <v>10</v>
      </c>
      <c r="Z12" s="16"/>
      <c r="AA12" s="34">
        <f t="shared" si="6"/>
        <v>310</v>
      </c>
    </row>
    <row r="13" spans="1:27" ht="12.75" customHeight="1" x14ac:dyDescent="0.3">
      <c r="A13" s="34">
        <v>11</v>
      </c>
      <c r="B13" s="16"/>
      <c r="C13" s="34">
        <f t="shared" si="0"/>
        <v>200</v>
      </c>
      <c r="E13" s="34">
        <v>11</v>
      </c>
      <c r="G13" s="34">
        <f t="shared" si="1"/>
        <v>357</v>
      </c>
      <c r="I13" s="34">
        <v>11</v>
      </c>
      <c r="K13" s="34">
        <f t="shared" si="2"/>
        <v>335</v>
      </c>
      <c r="M13" s="34">
        <v>11</v>
      </c>
      <c r="N13" s="16"/>
      <c r="O13" s="34">
        <f t="shared" si="3"/>
        <v>316</v>
      </c>
      <c r="Q13" s="34">
        <v>11</v>
      </c>
      <c r="R13" s="16"/>
      <c r="S13" s="34">
        <f t="shared" si="4"/>
        <v>150</v>
      </c>
      <c r="U13" s="34">
        <v>11</v>
      </c>
      <c r="V13" s="16"/>
      <c r="W13" s="34">
        <f t="shared" si="5"/>
        <v>327</v>
      </c>
      <c r="Y13" s="34">
        <v>11</v>
      </c>
      <c r="AA13" s="34">
        <f t="shared" si="6"/>
        <v>305</v>
      </c>
    </row>
    <row r="14" spans="1:27" ht="12.75" customHeight="1" x14ac:dyDescent="0.3">
      <c r="A14" s="34">
        <v>12</v>
      </c>
      <c r="B14" s="35"/>
      <c r="C14" s="34">
        <f t="shared" si="0"/>
        <v>198</v>
      </c>
      <c r="E14" s="34">
        <v>12</v>
      </c>
      <c r="G14" s="34">
        <f t="shared" si="1"/>
        <v>355</v>
      </c>
      <c r="I14" s="34">
        <v>12</v>
      </c>
      <c r="K14" s="34">
        <f t="shared" si="2"/>
        <v>333</v>
      </c>
      <c r="M14" s="34">
        <v>12</v>
      </c>
      <c r="N14" s="35"/>
      <c r="O14" s="34">
        <f t="shared" si="3"/>
        <v>314</v>
      </c>
      <c r="Q14" s="34">
        <v>12</v>
      </c>
      <c r="R14" s="35"/>
      <c r="S14" s="34">
        <f t="shared" si="4"/>
        <v>145</v>
      </c>
      <c r="U14" s="34">
        <v>12</v>
      </c>
      <c r="V14" s="35"/>
      <c r="W14" s="34">
        <f t="shared" si="5"/>
        <v>322</v>
      </c>
      <c r="Y14" s="34">
        <v>12</v>
      </c>
      <c r="AA14" s="34">
        <f t="shared" si="6"/>
        <v>300</v>
      </c>
    </row>
    <row r="15" spans="1:27" ht="12.75" customHeight="1" x14ac:dyDescent="0.3">
      <c r="A15" s="34">
        <v>13</v>
      </c>
      <c r="B15" s="35"/>
      <c r="C15" s="34">
        <f t="shared" si="0"/>
        <v>196</v>
      </c>
      <c r="E15" s="34">
        <v>13</v>
      </c>
      <c r="F15" s="35"/>
      <c r="G15" s="34">
        <f t="shared" si="1"/>
        <v>353</v>
      </c>
      <c r="I15" s="34">
        <v>13</v>
      </c>
      <c r="K15" s="34">
        <f t="shared" si="2"/>
        <v>331</v>
      </c>
      <c r="M15" s="34">
        <v>13</v>
      </c>
      <c r="O15" s="34">
        <f t="shared" si="3"/>
        <v>312</v>
      </c>
      <c r="Q15" s="34">
        <v>13</v>
      </c>
      <c r="S15" s="34">
        <f t="shared" si="4"/>
        <v>140</v>
      </c>
      <c r="U15" s="34">
        <v>13</v>
      </c>
      <c r="V15" s="35"/>
      <c r="W15" s="34">
        <f t="shared" si="5"/>
        <v>317</v>
      </c>
      <c r="Y15" s="34">
        <v>13</v>
      </c>
      <c r="Z15" s="35"/>
      <c r="AA15" s="34">
        <f t="shared" si="6"/>
        <v>295</v>
      </c>
    </row>
    <row r="16" spans="1:27" ht="12.75" customHeight="1" x14ac:dyDescent="0.3">
      <c r="A16" s="34">
        <v>14</v>
      </c>
      <c r="B16" s="16"/>
      <c r="C16" s="34">
        <f t="shared" si="0"/>
        <v>194</v>
      </c>
      <c r="E16" s="34">
        <v>14</v>
      </c>
      <c r="F16" s="35"/>
      <c r="G16" s="34">
        <f t="shared" si="1"/>
        <v>351</v>
      </c>
      <c r="I16" s="34">
        <v>14</v>
      </c>
      <c r="K16" s="34">
        <f t="shared" si="2"/>
        <v>329</v>
      </c>
      <c r="M16" s="34">
        <v>14</v>
      </c>
      <c r="O16" s="34">
        <f t="shared" si="3"/>
        <v>310</v>
      </c>
      <c r="Q16" s="34">
        <v>14</v>
      </c>
      <c r="R16" s="16"/>
      <c r="S16" s="34">
        <f t="shared" si="4"/>
        <v>135</v>
      </c>
      <c r="U16" s="34">
        <v>14</v>
      </c>
      <c r="V16" s="35"/>
      <c r="W16" s="34">
        <f t="shared" si="5"/>
        <v>312</v>
      </c>
      <c r="Y16" s="34">
        <v>14</v>
      </c>
      <c r="Z16" s="35"/>
      <c r="AA16" s="34">
        <f t="shared" si="6"/>
        <v>290</v>
      </c>
    </row>
    <row r="17" spans="1:27" ht="12.75" customHeight="1" x14ac:dyDescent="0.3">
      <c r="A17" s="34">
        <v>15</v>
      </c>
      <c r="B17" s="16"/>
      <c r="C17" s="34">
        <f t="shared" si="0"/>
        <v>192</v>
      </c>
      <c r="E17" s="34">
        <v>15</v>
      </c>
      <c r="F17" s="35"/>
      <c r="G17" s="34">
        <f t="shared" si="1"/>
        <v>349</v>
      </c>
      <c r="I17" s="34">
        <v>15</v>
      </c>
      <c r="K17" s="34">
        <f t="shared" si="2"/>
        <v>327</v>
      </c>
      <c r="M17" s="34">
        <v>15</v>
      </c>
      <c r="N17" s="35"/>
      <c r="O17" s="34">
        <f t="shared" si="3"/>
        <v>308</v>
      </c>
      <c r="Q17" s="34">
        <v>15</v>
      </c>
      <c r="R17" s="16"/>
      <c r="S17" s="34">
        <f t="shared" si="4"/>
        <v>130</v>
      </c>
      <c r="U17" s="34">
        <v>15</v>
      </c>
      <c r="V17" s="35"/>
      <c r="W17" s="34">
        <f t="shared" si="5"/>
        <v>307</v>
      </c>
      <c r="Y17" s="34">
        <v>15</v>
      </c>
      <c r="AA17" s="34">
        <f t="shared" si="6"/>
        <v>285</v>
      </c>
    </row>
    <row r="18" spans="1:27" ht="12.75" customHeight="1" x14ac:dyDescent="0.3">
      <c r="A18" s="27">
        <v>16</v>
      </c>
      <c r="B18" s="28"/>
      <c r="C18" s="27">
        <f t="shared" si="0"/>
        <v>190</v>
      </c>
      <c r="E18" s="27">
        <v>16</v>
      </c>
      <c r="F18" s="28"/>
      <c r="G18" s="27">
        <f t="shared" si="1"/>
        <v>347</v>
      </c>
      <c r="I18" s="27">
        <v>16</v>
      </c>
      <c r="J18" s="28"/>
      <c r="K18" s="27">
        <f t="shared" si="2"/>
        <v>325</v>
      </c>
      <c r="M18" s="27">
        <v>16</v>
      </c>
      <c r="N18" s="28"/>
      <c r="O18" s="27">
        <f t="shared" si="3"/>
        <v>306</v>
      </c>
      <c r="Q18" s="27">
        <v>16</v>
      </c>
      <c r="R18" s="28"/>
      <c r="S18" s="27">
        <f t="shared" si="4"/>
        <v>125</v>
      </c>
      <c r="U18" s="27">
        <v>16</v>
      </c>
      <c r="V18" s="28"/>
      <c r="W18" s="27">
        <f t="shared" si="5"/>
        <v>302</v>
      </c>
      <c r="Y18" s="27">
        <v>16</v>
      </c>
      <c r="Z18" s="28"/>
      <c r="AA18" s="27">
        <f t="shared" si="6"/>
        <v>280</v>
      </c>
    </row>
    <row r="19" spans="1:27" ht="12.75" customHeight="1" x14ac:dyDescent="0.3"/>
    <row r="20" spans="1:27" ht="12.75" customHeight="1" x14ac:dyDescent="0.3"/>
    <row r="21" spans="1:27" ht="12.75" customHeight="1" x14ac:dyDescent="0.3"/>
    <row r="22" spans="1:27" ht="12.75" customHeight="1" x14ac:dyDescent="0.3"/>
    <row r="23" spans="1:27" ht="12.75" customHeight="1" x14ac:dyDescent="0.3"/>
    <row r="24" spans="1:27" ht="12.75" customHeight="1" x14ac:dyDescent="0.3"/>
    <row r="25" spans="1:27" ht="12.75" customHeight="1" x14ac:dyDescent="0.3"/>
    <row r="26" spans="1:27" ht="12.75" customHeight="1" x14ac:dyDescent="0.3"/>
    <row r="27" spans="1:27" ht="12.75" customHeight="1" x14ac:dyDescent="0.3"/>
    <row r="28" spans="1:27" ht="12.75" customHeight="1" x14ac:dyDescent="0.3"/>
    <row r="29" spans="1:27" ht="12.75" customHeight="1" x14ac:dyDescent="0.3"/>
    <row r="30" spans="1:27" ht="12.75" customHeight="1" x14ac:dyDescent="0.3"/>
    <row r="31" spans="1:27" ht="12.75" customHeight="1" x14ac:dyDescent="0.3"/>
    <row r="32" spans="1:27"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D1:O1"/>
  </mergeCells>
  <pageMargins left="0.7" right="0.7" top="0.78740157499999996" bottom="0.78740157499999996"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000"/>
  <sheetViews>
    <sheetView workbookViewId="0">
      <selection activeCell="A11" sqref="A11"/>
    </sheetView>
  </sheetViews>
  <sheetFormatPr defaultColWidth="14.3984375" defaultRowHeight="15" customHeight="1" x14ac:dyDescent="0.3"/>
  <cols>
    <col min="1" max="1" width="60.3984375" customWidth="1"/>
    <col min="2" max="6" width="10.69921875" customWidth="1"/>
  </cols>
  <sheetData>
    <row r="1" spans="1:1" ht="12.75" customHeight="1" x14ac:dyDescent="0.3">
      <c r="A1" s="73" t="s">
        <v>448</v>
      </c>
    </row>
    <row r="2" spans="1:1" ht="12.75" customHeight="1" x14ac:dyDescent="0.3"/>
    <row r="3" spans="1:1" ht="12.75" customHeight="1" x14ac:dyDescent="0.3">
      <c r="A3" s="73" t="s">
        <v>449</v>
      </c>
    </row>
    <row r="4" spans="1:1" ht="12.75" customHeight="1" x14ac:dyDescent="0.3"/>
    <row r="5" spans="1:1" ht="12.75" customHeight="1" x14ac:dyDescent="0.3">
      <c r="A5" s="73" t="s">
        <v>450</v>
      </c>
    </row>
    <row r="6" spans="1:1" ht="12.75" customHeight="1" x14ac:dyDescent="0.3"/>
    <row r="7" spans="1:1" ht="12.75" customHeight="1" x14ac:dyDescent="0.3">
      <c r="A7" s="73" t="s">
        <v>451</v>
      </c>
    </row>
    <row r="8" spans="1:1" ht="12.75" customHeight="1" x14ac:dyDescent="0.3"/>
    <row r="9" spans="1:1" ht="12.75" customHeight="1" x14ac:dyDescent="0.3">
      <c r="A9" s="25" t="s">
        <v>452</v>
      </c>
    </row>
    <row r="10" spans="1:1" ht="12.75" customHeight="1" x14ac:dyDescent="0.3">
      <c r="A10" s="43" t="s">
        <v>453</v>
      </c>
    </row>
    <row r="11" spans="1:1" ht="12.75" customHeight="1" x14ac:dyDescent="0.3">
      <c r="A11" s="43" t="s">
        <v>454</v>
      </c>
    </row>
    <row r="12" spans="1:1" ht="12.75" customHeight="1" x14ac:dyDescent="0.3"/>
    <row r="13" spans="1:1" ht="12.75" customHeight="1" x14ac:dyDescent="0.3">
      <c r="A13" s="74" t="s">
        <v>455</v>
      </c>
    </row>
    <row r="14" spans="1:1" ht="12.75" customHeight="1" x14ac:dyDescent="0.3">
      <c r="A14" s="75"/>
    </row>
    <row r="15" spans="1:1" ht="12.75" customHeight="1" x14ac:dyDescent="0.3"/>
    <row r="16" spans="1:1"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8740157499999996" bottom="0.78740157499999996"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1571"/>
  <sheetViews>
    <sheetView topLeftCell="B1" workbookViewId="0">
      <selection activeCell="G6" sqref="G6:G10"/>
    </sheetView>
  </sheetViews>
  <sheetFormatPr defaultColWidth="14.3984375" defaultRowHeight="15" customHeight="1" x14ac:dyDescent="0.3"/>
  <cols>
    <col min="1" max="1" width="27.3984375" hidden="1" customWidth="1"/>
    <col min="2" max="2" width="21.3984375" customWidth="1"/>
    <col min="3" max="3" width="22.59765625" customWidth="1"/>
    <col min="4" max="4" width="8.69921875" customWidth="1"/>
    <col min="5" max="6" width="8" customWidth="1"/>
    <col min="7" max="7" width="18.3984375" customWidth="1"/>
    <col min="8" max="9" width="8" customWidth="1"/>
    <col min="10" max="10" width="10" customWidth="1"/>
    <col min="11" max="11" width="22.59765625" customWidth="1"/>
    <col min="12" max="12" width="8.69921875" customWidth="1"/>
    <col min="13" max="13" width="9.296875" customWidth="1"/>
    <col min="14" max="14" width="10" customWidth="1"/>
    <col min="15" max="15" width="7.59765625" customWidth="1"/>
    <col min="16" max="16" width="8" customWidth="1"/>
    <col min="17" max="17" width="7.59765625" customWidth="1"/>
    <col min="18" max="18" width="8" customWidth="1"/>
    <col min="20" max="20" width="18.09765625" customWidth="1"/>
    <col min="21" max="21" width="17.59765625" customWidth="1"/>
    <col min="22" max="22" width="17" customWidth="1"/>
    <col min="24" max="24" width="18.09765625" customWidth="1"/>
    <col min="25" max="25" width="15.59765625" customWidth="1"/>
    <col min="26" max="26" width="17.8984375" customWidth="1"/>
  </cols>
  <sheetData>
    <row r="1" spans="1:27" ht="14.5" x14ac:dyDescent="0.35">
      <c r="A1" s="76"/>
      <c r="B1" s="77"/>
      <c r="C1" s="76" t="s">
        <v>456</v>
      </c>
      <c r="D1" s="78" t="s">
        <v>457</v>
      </c>
      <c r="E1" s="79"/>
      <c r="F1" s="79"/>
      <c r="G1" s="80" t="s">
        <v>458</v>
      </c>
      <c r="K1" s="81"/>
      <c r="L1" s="82"/>
    </row>
    <row r="2" spans="1:27" ht="14.5" hidden="1" x14ac:dyDescent="0.35">
      <c r="A2" s="76">
        <v>0</v>
      </c>
      <c r="B2" s="77"/>
      <c r="C2" s="76"/>
      <c r="D2" s="78">
        <f>IF(C2=0,0,_xludf.IFNA(IF( MATCH(C2,Rangliste!B:B,0)&gt;0,0,1),1))</f>
        <v>0</v>
      </c>
      <c r="E2" s="79"/>
      <c r="F2" s="79"/>
      <c r="G2" s="83" t="e">
        <f t="array" aca="1" ref="G2:G3" ca="1">_xludf.UNIQUE(E:E)</f>
        <v>#NAME?</v>
      </c>
      <c r="K2" s="81"/>
      <c r="L2" s="82"/>
    </row>
    <row r="3" spans="1:27" ht="14.5" hidden="1" x14ac:dyDescent="0.35">
      <c r="A3" s="76">
        <v>0</v>
      </c>
      <c r="B3" s="77"/>
      <c r="C3" s="76"/>
      <c r="D3" s="78">
        <f>IF(C3=0,0,_xludf.IFNA(IF( MATCH(C3,Rangliste!B:B,0)&gt;0,0,1),1))</f>
        <v>0</v>
      </c>
      <c r="E3" s="79"/>
      <c r="F3" s="79"/>
      <c r="G3" s="80" t="e">
        <f ca="1"/>
        <v>#NAME?</v>
      </c>
      <c r="K3" s="81"/>
      <c r="L3" s="82"/>
    </row>
    <row r="4" spans="1:27" ht="14.25" customHeight="1" x14ac:dyDescent="0.35">
      <c r="A4" s="76" t="str">
        <f t="array" ref="A4:A19">'WBV 1'!$B$3:$B$18</f>
        <v>Ziqi Li</v>
      </c>
      <c r="B4" s="84" t="str">
        <f t="array" ref="B4:B35">'WBV 1'!$B$3:$B$34</f>
        <v>Ziqi Li</v>
      </c>
      <c r="C4" s="76" cm="1">
        <f t="array" ref="C4:C178">_xlfn.UNIQUE(B:B)</f>
        <v>0</v>
      </c>
      <c r="D4" s="78">
        <f>IF(C4=0,0,_xlfn.IFNA(IF( MATCH(C4,Rangliste!B:B,0)&gt;0,0,1),1))</f>
        <v>0</v>
      </c>
      <c r="E4" s="85" t="str">
        <f t="shared" ref="E4:E258" si="0">IF(D4=1,C4,"")</f>
        <v/>
      </c>
      <c r="F4" s="85"/>
      <c r="G4" s="80" cm="1">
        <f t="array" ref="G4:G5">_xlfn.UNIQUE(E:E)</f>
        <v>0</v>
      </c>
      <c r="H4" s="86"/>
      <c r="I4" s="86"/>
      <c r="J4" s="86"/>
      <c r="K4" s="81"/>
      <c r="L4" s="82"/>
      <c r="M4" s="86"/>
      <c r="N4" s="86"/>
      <c r="O4" s="86"/>
      <c r="P4" s="86"/>
      <c r="Q4" s="86"/>
      <c r="R4" s="86"/>
      <c r="S4" s="86"/>
      <c r="T4" s="86"/>
      <c r="U4" s="86"/>
      <c r="V4" s="86"/>
      <c r="W4" s="86"/>
      <c r="X4" s="86"/>
      <c r="Y4" s="86"/>
      <c r="Z4" s="86"/>
      <c r="AA4" s="86"/>
    </row>
    <row r="5" spans="1:27" ht="14.25" customHeight="1" x14ac:dyDescent="0.35">
      <c r="A5" s="76" t="str">
        <v>Zhenhui Tang</v>
      </c>
      <c r="B5" s="77" t="str">
        <v>Zhenhui Tang</v>
      </c>
      <c r="C5" s="76" t="str">
        <v>Ziqi Li</v>
      </c>
      <c r="D5" s="78">
        <f>IF(C5=0,0,_xlfn.IFNA(IF( MATCH(C5,Rangliste!B:B,0)&gt;0,0,1),1))</f>
        <v>0</v>
      </c>
      <c r="E5" s="85" t="str">
        <f t="shared" si="0"/>
        <v/>
      </c>
      <c r="F5" s="85"/>
      <c r="G5" s="83" t="str">
        <v/>
      </c>
      <c r="H5" s="86"/>
      <c r="I5" s="86"/>
      <c r="J5" s="86"/>
      <c r="K5" s="81"/>
      <c r="L5" s="82"/>
      <c r="M5" s="86"/>
      <c r="N5" s="86"/>
      <c r="O5" s="86"/>
      <c r="P5" s="86"/>
      <c r="Q5" s="86"/>
      <c r="R5" s="86"/>
      <c r="S5" s="86"/>
      <c r="T5" s="86"/>
      <c r="U5" s="86"/>
      <c r="V5" s="86"/>
      <c r="W5" s="86"/>
      <c r="X5" s="86"/>
      <c r="Y5" s="86"/>
      <c r="Z5" s="86"/>
      <c r="AA5" s="86"/>
    </row>
    <row r="6" spans="1:27" ht="14.25" customHeight="1" x14ac:dyDescent="0.35">
      <c r="A6" s="76" t="str">
        <v>Ricky Chen</v>
      </c>
      <c r="B6" s="77" t="str">
        <v>Ricky Chen</v>
      </c>
      <c r="C6" s="76" t="str">
        <v>Zhenhui Tang</v>
      </c>
      <c r="D6" s="78">
        <f>IF(C6=0,0,_xlfn.IFNA(IF( MATCH(C6,Rangliste!B:B,0)&gt;0,0,1),1))</f>
        <v>0</v>
      </c>
      <c r="E6" s="85" t="str">
        <f t="shared" si="0"/>
        <v/>
      </c>
      <c r="F6" s="85"/>
      <c r="G6" s="83"/>
      <c r="H6" s="86"/>
      <c r="I6" s="86"/>
      <c r="J6" s="86"/>
      <c r="K6" s="81"/>
      <c r="L6" s="82"/>
      <c r="M6" s="86"/>
      <c r="N6" s="86"/>
      <c r="O6" s="86"/>
      <c r="P6" s="86"/>
      <c r="Q6" s="86"/>
      <c r="R6" s="86"/>
      <c r="S6" s="86"/>
      <c r="T6" s="86"/>
      <c r="U6" s="86"/>
      <c r="V6" s="86"/>
      <c r="W6" s="86"/>
      <c r="X6" s="86"/>
      <c r="Y6" s="86"/>
      <c r="Z6" s="86"/>
      <c r="AA6" s="86"/>
    </row>
    <row r="7" spans="1:27" ht="14.25" customHeight="1" x14ac:dyDescent="0.35">
      <c r="A7" s="76" t="str">
        <v>Xinjie Chen</v>
      </c>
      <c r="B7" s="77" t="str">
        <v>Xinjie Chen</v>
      </c>
      <c r="C7" s="76" t="str">
        <v>Ricky Chen</v>
      </c>
      <c r="D7" s="78">
        <f>IF(C7=0,0,_xlfn.IFNA(IF( MATCH(C7,Rangliste!B:B,0)&gt;0,0,1),1))</f>
        <v>0</v>
      </c>
      <c r="E7" s="85" t="str">
        <f t="shared" si="0"/>
        <v/>
      </c>
      <c r="F7" s="85"/>
      <c r="G7" s="83"/>
      <c r="H7" s="86"/>
      <c r="I7" s="86"/>
      <c r="J7" s="86"/>
      <c r="K7" s="81"/>
      <c r="L7" s="82"/>
      <c r="M7" s="86"/>
      <c r="N7" s="86"/>
      <c r="O7" s="86"/>
      <c r="P7" s="86"/>
      <c r="Q7" s="86"/>
      <c r="R7" s="86"/>
      <c r="S7" s="86"/>
      <c r="T7" s="86"/>
      <c r="U7" s="86"/>
      <c r="V7" s="86"/>
      <c r="W7" s="86"/>
      <c r="X7" s="86"/>
      <c r="Y7" s="86"/>
      <c r="Z7" s="86"/>
      <c r="AA7" s="86"/>
    </row>
    <row r="8" spans="1:27" ht="14.25" customHeight="1" x14ac:dyDescent="0.35">
      <c r="A8" s="76">
        <v>0</v>
      </c>
      <c r="B8" s="77">
        <v>0</v>
      </c>
      <c r="C8" s="76" t="str">
        <v>Xinjie Chen</v>
      </c>
      <c r="D8" s="78">
        <f>IF(C8=0,0,_xlfn.IFNA(IF( MATCH(C8,Rangliste!B:B,0)&gt;0,0,1),1))</f>
        <v>0</v>
      </c>
      <c r="E8" s="85" t="str">
        <f t="shared" si="0"/>
        <v/>
      </c>
      <c r="F8" s="85"/>
      <c r="G8" s="83"/>
      <c r="H8" s="86"/>
      <c r="I8" s="86"/>
      <c r="J8" s="86"/>
      <c r="K8" s="81"/>
      <c r="L8" s="82"/>
      <c r="M8" s="86"/>
      <c r="N8" s="86"/>
      <c r="O8" s="86"/>
      <c r="P8" s="86"/>
      <c r="Q8" s="86"/>
      <c r="R8" s="86"/>
      <c r="S8" s="86"/>
      <c r="T8" s="86"/>
      <c r="U8" s="86"/>
      <c r="V8" s="86"/>
      <c r="W8" s="86"/>
      <c r="X8" s="86"/>
      <c r="Y8" s="86"/>
      <c r="Z8" s="86"/>
      <c r="AA8" s="86"/>
    </row>
    <row r="9" spans="1:27" ht="14.25" customHeight="1" x14ac:dyDescent="0.35">
      <c r="A9" s="76">
        <v>0</v>
      </c>
      <c r="B9" s="77">
        <v>0</v>
      </c>
      <c r="C9" s="76">
        <v>0</v>
      </c>
      <c r="D9" s="78">
        <f>IF(C9=0,0,_xlfn.IFNA(IF( MATCH(C9,Rangliste!B:B,0)&gt;0,0,1),1))</f>
        <v>0</v>
      </c>
      <c r="E9" s="85" t="str">
        <f t="shared" si="0"/>
        <v/>
      </c>
      <c r="F9" s="85"/>
      <c r="G9" s="83"/>
      <c r="H9" s="86"/>
      <c r="I9" s="86"/>
      <c r="J9" s="86"/>
      <c r="K9" s="81"/>
      <c r="L9" s="82"/>
      <c r="M9" s="86"/>
      <c r="N9" s="86"/>
      <c r="O9" s="86"/>
      <c r="P9" s="86"/>
      <c r="Q9" s="86"/>
      <c r="R9" s="86"/>
      <c r="S9" s="86"/>
      <c r="T9" s="86"/>
      <c r="U9" s="86"/>
      <c r="V9" s="86"/>
      <c r="W9" s="86"/>
      <c r="X9" s="86"/>
      <c r="Y9" s="86"/>
      <c r="Z9" s="86"/>
      <c r="AA9" s="86"/>
    </row>
    <row r="10" spans="1:27" ht="14.25" customHeight="1" x14ac:dyDescent="0.35">
      <c r="A10" s="76">
        <v>0</v>
      </c>
      <c r="B10" s="77">
        <v>0</v>
      </c>
      <c r="C10" s="76" t="str">
        <v>Dominika Sobotova</v>
      </c>
      <c r="D10" s="78">
        <f>IF(C10=0,0,_xlfn.IFNA(IF( MATCH(C10,Rangliste!B:B,0)&gt;0,0,1),1))</f>
        <v>0</v>
      </c>
      <c r="E10" s="85" t="str">
        <f t="shared" si="0"/>
        <v/>
      </c>
      <c r="F10" s="85"/>
      <c r="G10" s="83"/>
      <c r="H10" s="86"/>
      <c r="I10" s="86"/>
      <c r="J10" s="86"/>
      <c r="K10" s="81"/>
      <c r="L10" s="82"/>
      <c r="M10" s="86"/>
      <c r="N10" s="86"/>
      <c r="O10" s="86"/>
      <c r="P10" s="86"/>
      <c r="Q10" s="86"/>
      <c r="R10" s="86"/>
      <c r="S10" s="86"/>
      <c r="T10" s="86"/>
      <c r="U10" s="86"/>
      <c r="V10" s="86"/>
      <c r="W10" s="86"/>
      <c r="X10" s="86"/>
      <c r="Y10" s="86"/>
      <c r="Z10" s="86"/>
      <c r="AA10" s="86"/>
    </row>
    <row r="11" spans="1:27" ht="14.25" customHeight="1" x14ac:dyDescent="0.35">
      <c r="A11" s="76">
        <v>0</v>
      </c>
      <c r="B11" s="77">
        <v>0</v>
      </c>
      <c r="C11" s="76" t="str">
        <v>Michaela Shi</v>
      </c>
      <c r="D11" s="78">
        <f>IF(C11=0,0,_xlfn.IFNA(IF( MATCH(C11,Rangliste!B:B,0)&gt;0,0,1),1))</f>
        <v>0</v>
      </c>
      <c r="E11" s="85" t="str">
        <f t="shared" si="0"/>
        <v/>
      </c>
      <c r="F11" s="85"/>
      <c r="G11" s="83"/>
      <c r="H11" s="86"/>
      <c r="I11" s="86"/>
      <c r="J11" s="86"/>
      <c r="K11" s="81"/>
      <c r="L11" s="82"/>
      <c r="M11" s="86"/>
      <c r="N11" s="86"/>
      <c r="O11" s="86"/>
      <c r="P11" s="86"/>
      <c r="Q11" s="86"/>
      <c r="R11" s="86"/>
      <c r="S11" s="86"/>
      <c r="T11" s="86"/>
      <c r="U11" s="86"/>
      <c r="V11" s="86"/>
      <c r="W11" s="86"/>
      <c r="X11" s="86"/>
      <c r="Y11" s="86"/>
      <c r="Z11" s="86"/>
      <c r="AA11" s="86"/>
    </row>
    <row r="12" spans="1:27" ht="14.25" customHeight="1" x14ac:dyDescent="0.35">
      <c r="A12" s="76">
        <v>0</v>
      </c>
      <c r="B12" s="77">
        <v>0</v>
      </c>
      <c r="C12" s="76" t="str">
        <v>Sebastian Dollinger</v>
      </c>
      <c r="D12" s="78">
        <f>IF(C12=0,0,_xlfn.IFNA(IF( MATCH(C12,Rangliste!B:B,0)&gt;0,0,1),1))</f>
        <v>0</v>
      </c>
      <c r="E12" s="85" t="str">
        <f t="shared" si="0"/>
        <v/>
      </c>
      <c r="F12" s="85"/>
      <c r="G12" s="83"/>
      <c r="H12" s="86"/>
      <c r="I12" s="86"/>
      <c r="J12" s="86"/>
      <c r="K12" s="81"/>
      <c r="L12" s="82"/>
      <c r="M12" s="86"/>
      <c r="N12" s="86"/>
      <c r="O12" s="86"/>
      <c r="P12" s="86"/>
      <c r="Q12" s="86"/>
      <c r="R12" s="86"/>
      <c r="S12" s="86"/>
      <c r="T12" s="86"/>
      <c r="U12" s="86"/>
      <c r="V12" s="86"/>
      <c r="W12" s="86"/>
      <c r="X12" s="86"/>
      <c r="Y12" s="86"/>
      <c r="Z12" s="86"/>
      <c r="AA12" s="86"/>
    </row>
    <row r="13" spans="1:27" ht="14.25" customHeight="1" x14ac:dyDescent="0.35">
      <c r="A13" s="76">
        <v>0</v>
      </c>
      <c r="B13" s="77">
        <v>0</v>
      </c>
      <c r="C13" s="76" t="str">
        <v>Henrik Novi</v>
      </c>
      <c r="D13" s="78">
        <f>IF(C13=0,0,_xlfn.IFNA(IF( MATCH(C13,Rangliste!B:B,0)&gt;0,0,1),1))</f>
        <v>0</v>
      </c>
      <c r="E13" s="85" t="str">
        <f t="shared" si="0"/>
        <v/>
      </c>
      <c r="F13" s="85"/>
      <c r="G13" s="83"/>
      <c r="H13" s="86"/>
      <c r="I13" s="86"/>
      <c r="J13" s="86"/>
      <c r="K13" s="81"/>
      <c r="L13" s="82"/>
      <c r="M13" s="86"/>
      <c r="N13" s="86"/>
      <c r="O13" s="86"/>
      <c r="P13" s="86"/>
      <c r="Q13" s="86"/>
      <c r="R13" s="86"/>
      <c r="S13" s="86"/>
      <c r="T13" s="86"/>
      <c r="U13" s="86"/>
      <c r="V13" s="86"/>
      <c r="W13" s="86"/>
      <c r="X13" s="86"/>
      <c r="Y13" s="86"/>
      <c r="Z13" s="86"/>
      <c r="AA13" s="86"/>
    </row>
    <row r="14" spans="1:27" ht="14.25" customHeight="1" x14ac:dyDescent="0.35">
      <c r="A14" s="76">
        <v>0</v>
      </c>
      <c r="B14" s="77">
        <v>0</v>
      </c>
      <c r="C14" s="76" t="str">
        <v>Mina Ruenroeng</v>
      </c>
      <c r="D14" s="78">
        <f>IF(C14=0,0,_xlfn.IFNA(IF( MATCH(C14,Rangliste!B:B,0)&gt;0,0,1),1))</f>
        <v>0</v>
      </c>
      <c r="E14" s="85" t="str">
        <f t="shared" si="0"/>
        <v/>
      </c>
      <c r="F14" s="85"/>
      <c r="G14" s="83"/>
      <c r="H14" s="86"/>
      <c r="I14" s="86"/>
      <c r="J14" s="86"/>
      <c r="K14" s="81"/>
      <c r="L14" s="82"/>
      <c r="M14" s="86"/>
      <c r="N14" s="86"/>
      <c r="O14" s="86"/>
      <c r="P14" s="86"/>
      <c r="Q14" s="86"/>
      <c r="R14" s="86"/>
      <c r="S14" s="86"/>
      <c r="T14" s="86"/>
      <c r="U14" s="86"/>
      <c r="V14" s="86"/>
      <c r="W14" s="86"/>
      <c r="X14" s="86"/>
      <c r="Y14" s="86"/>
      <c r="Z14" s="86"/>
      <c r="AA14" s="86"/>
    </row>
    <row r="15" spans="1:27" ht="14.25" customHeight="1" x14ac:dyDescent="0.35">
      <c r="A15" s="76">
        <v>0</v>
      </c>
      <c r="B15" s="77">
        <v>0</v>
      </c>
      <c r="C15" s="76" t="str">
        <v>Mustafa Hussaini</v>
      </c>
      <c r="D15" s="78">
        <f>IF(C15=0,0,_xlfn.IFNA(IF( MATCH(C15,Rangliste!B:B,0)&gt;0,0,1),1))</f>
        <v>0</v>
      </c>
      <c r="E15" s="85" t="str">
        <f t="shared" si="0"/>
        <v/>
      </c>
      <c r="F15" s="85"/>
      <c r="G15" s="83"/>
      <c r="H15" s="86"/>
      <c r="I15" s="86"/>
      <c r="J15" s="86"/>
      <c r="K15" s="81"/>
      <c r="L15" s="82"/>
      <c r="M15" s="86"/>
      <c r="N15" s="86"/>
      <c r="O15" s="86"/>
      <c r="P15" s="86"/>
      <c r="Q15" s="86"/>
      <c r="R15" s="86"/>
      <c r="S15" s="86"/>
      <c r="T15" s="86"/>
      <c r="U15" s="86"/>
      <c r="V15" s="86"/>
      <c r="W15" s="86"/>
      <c r="X15" s="86"/>
      <c r="Y15" s="86"/>
      <c r="Z15" s="86"/>
      <c r="AA15" s="86"/>
    </row>
    <row r="16" spans="1:27" ht="14.25" customHeight="1" x14ac:dyDescent="0.35">
      <c r="A16" s="76">
        <v>0</v>
      </c>
      <c r="B16" s="77">
        <v>0</v>
      </c>
      <c r="C16" s="76" t="str">
        <v>Aleksandar Zaharieski</v>
      </c>
      <c r="D16" s="78">
        <f>IF(C16=0,0,_xlfn.IFNA(IF( MATCH(C16,Rangliste!B:B,0)&gt;0,0,1),1))</f>
        <v>0</v>
      </c>
      <c r="E16" s="85" t="str">
        <f t="shared" si="0"/>
        <v/>
      </c>
      <c r="F16" s="85"/>
      <c r="G16" s="83"/>
      <c r="H16" s="86"/>
      <c r="I16" s="86"/>
      <c r="J16" s="86"/>
      <c r="K16" s="81"/>
      <c r="L16" s="82"/>
      <c r="M16" s="86"/>
      <c r="N16" s="86"/>
      <c r="O16" s="86"/>
      <c r="P16" s="86"/>
      <c r="Q16" s="86"/>
      <c r="R16" s="86"/>
      <c r="S16" s="86"/>
      <c r="T16" s="86"/>
      <c r="U16" s="86"/>
      <c r="V16" s="86"/>
      <c r="W16" s="86"/>
      <c r="X16" s="86"/>
      <c r="Y16" s="86"/>
      <c r="Z16" s="86"/>
      <c r="AA16" s="86"/>
    </row>
    <row r="17" spans="1:27" ht="14.25" customHeight="1" x14ac:dyDescent="0.35">
      <c r="A17" s="76">
        <v>0</v>
      </c>
      <c r="B17" s="77">
        <v>0</v>
      </c>
      <c r="C17" s="76" t="str">
        <v>Emilia Nagy</v>
      </c>
      <c r="D17" s="78">
        <f>IF(C17=0,0,_xlfn.IFNA(IF( MATCH(C17,Rangliste!B:B,0)&gt;0,0,1),1))</f>
        <v>0</v>
      </c>
      <c r="E17" s="85" t="str">
        <f t="shared" si="0"/>
        <v/>
      </c>
      <c r="F17" s="85"/>
      <c r="G17" s="83"/>
      <c r="H17" s="86"/>
      <c r="I17" s="86"/>
      <c r="J17" s="86"/>
      <c r="K17" s="81"/>
      <c r="L17" s="82"/>
      <c r="M17" s="86"/>
      <c r="N17" s="86"/>
      <c r="O17" s="86"/>
      <c r="P17" s="86"/>
      <c r="Q17" s="86"/>
      <c r="R17" s="86"/>
      <c r="S17" s="86"/>
      <c r="T17" s="86"/>
      <c r="U17" s="86"/>
      <c r="V17" s="86"/>
      <c r="W17" s="86"/>
      <c r="X17" s="86"/>
      <c r="Y17" s="86"/>
      <c r="Z17" s="86"/>
      <c r="AA17" s="86"/>
    </row>
    <row r="18" spans="1:27" ht="14.25" customHeight="1" x14ac:dyDescent="0.35">
      <c r="A18" s="76">
        <v>0</v>
      </c>
      <c r="B18" s="77">
        <v>0</v>
      </c>
      <c r="C18" s="76" t="str">
        <v>Levin Anderwald</v>
      </c>
      <c r="D18" s="78">
        <f>IF(C18=0,0,_xlfn.IFNA(IF( MATCH(C18,Rangliste!B:B,0)&gt;0,0,1),1))</f>
        <v>0</v>
      </c>
      <c r="E18" s="85" t="str">
        <f t="shared" si="0"/>
        <v/>
      </c>
      <c r="F18" s="85"/>
      <c r="G18" s="83"/>
      <c r="H18" s="86"/>
      <c r="I18" s="86"/>
      <c r="J18" s="86"/>
      <c r="K18" s="81"/>
      <c r="L18" s="82"/>
      <c r="M18" s="86"/>
      <c r="N18" s="86"/>
      <c r="O18" s="86"/>
      <c r="P18" s="86"/>
      <c r="Q18" s="86"/>
      <c r="R18" s="86"/>
      <c r="S18" s="86"/>
      <c r="T18" s="86"/>
      <c r="U18" s="86"/>
      <c r="V18" s="86"/>
      <c r="W18" s="86"/>
      <c r="X18" s="86"/>
      <c r="Y18" s="86"/>
      <c r="Z18" s="86"/>
      <c r="AA18" s="86"/>
    </row>
    <row r="19" spans="1:27" ht="14.25" customHeight="1" x14ac:dyDescent="0.35">
      <c r="A19" s="76">
        <v>0</v>
      </c>
      <c r="B19" s="77">
        <v>0</v>
      </c>
      <c r="C19" s="76" t="str">
        <v>Faraz Ahmed</v>
      </c>
      <c r="D19" s="78">
        <f>IF(C19=0,0,_xlfn.IFNA(IF( MATCH(C19,Rangliste!B:B,0)&gt;0,0,1),1))</f>
        <v>0</v>
      </c>
      <c r="E19" s="85" t="str">
        <f t="shared" si="0"/>
        <v/>
      </c>
      <c r="F19" s="85"/>
      <c r="G19" s="83"/>
      <c r="H19" s="86"/>
      <c r="I19" s="86"/>
      <c r="J19" s="86"/>
      <c r="K19" s="81"/>
      <c r="L19" s="82"/>
      <c r="M19" s="86"/>
      <c r="N19" s="86"/>
      <c r="O19" s="86"/>
      <c r="P19" s="86"/>
      <c r="Q19" s="86"/>
      <c r="R19" s="86"/>
      <c r="S19" s="86"/>
      <c r="T19" s="86"/>
      <c r="U19" s="86"/>
      <c r="V19" s="86"/>
      <c r="W19" s="86"/>
      <c r="X19" s="86"/>
      <c r="Y19" s="86"/>
      <c r="Z19" s="86"/>
      <c r="AA19" s="86"/>
    </row>
    <row r="20" spans="1:27" ht="14.25" customHeight="1" x14ac:dyDescent="0.35">
      <c r="A20" s="76" t="str">
        <f t="array" ref="A20:A35">'WBV 1'!$F$3:$F$18</f>
        <v>Dominika Sobotova</v>
      </c>
      <c r="B20" s="77">
        <v>0</v>
      </c>
      <c r="C20" s="76" t="str">
        <v>Rafael Markus Gálos</v>
      </c>
      <c r="D20" s="78">
        <f>IF(C20=0,0,_xlfn.IFNA(IF( MATCH(C20,Rangliste!B:B,0)&gt;0,0,1),1))</f>
        <v>0</v>
      </c>
      <c r="E20" s="85" t="str">
        <f t="shared" si="0"/>
        <v/>
      </c>
      <c r="F20" s="85"/>
      <c r="G20" s="83"/>
      <c r="H20" s="86"/>
      <c r="I20" s="86"/>
      <c r="J20" s="86"/>
      <c r="K20" s="81"/>
      <c r="L20" s="82"/>
      <c r="M20" s="86"/>
      <c r="N20" s="86"/>
      <c r="O20" s="86"/>
      <c r="P20" s="86"/>
      <c r="Q20" s="86"/>
      <c r="R20" s="86"/>
      <c r="S20" s="86"/>
      <c r="T20" s="86"/>
      <c r="U20" s="86"/>
      <c r="V20" s="86"/>
      <c r="W20" s="86"/>
      <c r="X20" s="86"/>
      <c r="Y20" s="86"/>
      <c r="Z20" s="86"/>
      <c r="AA20" s="86"/>
    </row>
    <row r="21" spans="1:27" ht="14.25" customHeight="1" x14ac:dyDescent="0.35">
      <c r="A21" s="76" t="str">
        <v>Michaela Shi</v>
      </c>
      <c r="B21" s="77">
        <v>0</v>
      </c>
      <c r="C21" s="76" t="str">
        <v>Boen Yan</v>
      </c>
      <c r="D21" s="78">
        <f>IF(C21=0,0,_xlfn.IFNA(IF( MATCH(C21,Rangliste!B:B,0)&gt;0,0,1),1))</f>
        <v>0</v>
      </c>
      <c r="E21" s="85" t="str">
        <f t="shared" si="0"/>
        <v/>
      </c>
      <c r="F21" s="85"/>
      <c r="G21" s="83"/>
      <c r="H21" s="86"/>
      <c r="I21" s="86"/>
      <c r="J21" s="86"/>
      <c r="K21" s="81"/>
      <c r="L21" s="82"/>
      <c r="M21" s="86"/>
      <c r="N21" s="86"/>
      <c r="O21" s="86"/>
      <c r="P21" s="86"/>
      <c r="Q21" s="86"/>
      <c r="R21" s="86"/>
      <c r="S21" s="86"/>
      <c r="T21" s="86"/>
      <c r="U21" s="86"/>
      <c r="V21" s="86"/>
      <c r="W21" s="86"/>
      <c r="X21" s="86"/>
      <c r="Y21" s="86"/>
      <c r="Z21" s="86"/>
      <c r="AA21" s="86"/>
    </row>
    <row r="22" spans="1:27" ht="14.25" customHeight="1" x14ac:dyDescent="0.35">
      <c r="A22" s="76" t="str">
        <v>Sebastian Dollinger</v>
      </c>
      <c r="B22" s="77">
        <v>0</v>
      </c>
      <c r="C22" s="76" t="str">
        <v>Christoph Fessl</v>
      </c>
      <c r="D22" s="78">
        <f>IF(C22=0,0,_xlfn.IFNA(IF( MATCH(C22,Rangliste!B:B,0)&gt;0,0,1),1))</f>
        <v>0</v>
      </c>
      <c r="E22" s="85" t="str">
        <f t="shared" si="0"/>
        <v/>
      </c>
      <c r="F22" s="85"/>
      <c r="G22" s="83"/>
      <c r="H22" s="86"/>
      <c r="I22" s="86"/>
      <c r="J22" s="86"/>
      <c r="K22" s="81"/>
      <c r="L22" s="82"/>
      <c r="M22" s="86"/>
      <c r="N22" s="86"/>
      <c r="O22" s="86"/>
      <c r="P22" s="86"/>
      <c r="Q22" s="86"/>
      <c r="R22" s="86"/>
      <c r="S22" s="86"/>
      <c r="T22" s="86"/>
      <c r="U22" s="86"/>
      <c r="V22" s="86"/>
      <c r="W22" s="86"/>
      <c r="X22" s="86"/>
      <c r="Y22" s="86"/>
      <c r="Z22" s="86"/>
      <c r="AA22" s="86"/>
    </row>
    <row r="23" spans="1:27" ht="14.25" customHeight="1" x14ac:dyDescent="0.35">
      <c r="A23" s="76" t="str">
        <v>Henrik Novi</v>
      </c>
      <c r="B23" s="77">
        <v>0</v>
      </c>
      <c r="C23" s="76" t="str">
        <v>Melanie Pichler</v>
      </c>
      <c r="D23" s="78">
        <f>IF(C23=0,0,_xlfn.IFNA(IF( MATCH(C23,Rangliste!B:B,0)&gt;0,0,1),1))</f>
        <v>0</v>
      </c>
      <c r="E23" s="85" t="str">
        <f t="shared" si="0"/>
        <v/>
      </c>
      <c r="F23" s="85"/>
      <c r="G23" s="83"/>
      <c r="H23" s="86"/>
      <c r="I23" s="86"/>
      <c r="J23" s="86"/>
      <c r="K23" s="81"/>
      <c r="L23" s="82"/>
      <c r="M23" s="86"/>
      <c r="N23" s="86"/>
      <c r="O23" s="86"/>
      <c r="P23" s="86"/>
      <c r="Q23" s="86"/>
      <c r="R23" s="86"/>
      <c r="S23" s="86"/>
      <c r="T23" s="86"/>
      <c r="U23" s="86"/>
      <c r="V23" s="86"/>
      <c r="W23" s="86"/>
      <c r="X23" s="86"/>
      <c r="Y23" s="86"/>
      <c r="Z23" s="86"/>
      <c r="AA23" s="86"/>
    </row>
    <row r="24" spans="1:27" ht="14.25" customHeight="1" x14ac:dyDescent="0.35">
      <c r="A24" s="76" t="str">
        <v>Mina Ruenroeng</v>
      </c>
      <c r="B24" s="77">
        <v>0</v>
      </c>
      <c r="C24" s="76" t="str">
        <v>Golsamin Harandi</v>
      </c>
      <c r="D24" s="78">
        <f>IF(C24=0,0,_xlfn.IFNA(IF( MATCH(C24,Rangliste!B:B,0)&gt;0,0,1),1))</f>
        <v>0</v>
      </c>
      <c r="E24" s="85" t="str">
        <f t="shared" si="0"/>
        <v/>
      </c>
      <c r="F24" s="85"/>
      <c r="G24" s="83"/>
      <c r="H24" s="86"/>
      <c r="I24" s="86"/>
      <c r="J24" s="86"/>
      <c r="K24" s="81"/>
      <c r="L24" s="82"/>
      <c r="M24" s="86"/>
      <c r="N24" s="86"/>
      <c r="O24" s="86"/>
      <c r="P24" s="86"/>
      <c r="Q24" s="86"/>
      <c r="R24" s="86"/>
      <c r="S24" s="86"/>
      <c r="T24" s="86"/>
      <c r="U24" s="86"/>
      <c r="V24" s="86"/>
      <c r="W24" s="86"/>
      <c r="X24" s="86"/>
      <c r="Y24" s="86"/>
      <c r="Z24" s="86"/>
      <c r="AA24" s="86"/>
    </row>
    <row r="25" spans="1:27" ht="14.25" customHeight="1" x14ac:dyDescent="0.35">
      <c r="A25" s="76" t="str">
        <v>Mustafa Hussaini</v>
      </c>
      <c r="B25" s="77">
        <v>0</v>
      </c>
      <c r="C25" s="76" t="str">
        <v>Adrian Novotny</v>
      </c>
      <c r="D25" s="78">
        <f>IF(C25=0,0,_xlfn.IFNA(IF( MATCH(C25,Rangliste!B:B,0)&gt;0,0,1),1))</f>
        <v>0</v>
      </c>
      <c r="E25" s="85" t="str">
        <f t="shared" si="0"/>
        <v/>
      </c>
      <c r="F25" s="85"/>
      <c r="G25" s="83"/>
      <c r="H25" s="86"/>
      <c r="I25" s="86"/>
      <c r="J25" s="86"/>
      <c r="K25" s="81"/>
      <c r="L25" s="82"/>
      <c r="M25" s="86"/>
      <c r="N25" s="86"/>
      <c r="O25" s="86"/>
      <c r="P25" s="86"/>
      <c r="Q25" s="86"/>
      <c r="R25" s="86"/>
      <c r="S25" s="86"/>
      <c r="T25" s="86"/>
      <c r="U25" s="86"/>
      <c r="V25" s="86"/>
      <c r="W25" s="86"/>
      <c r="X25" s="86"/>
      <c r="Y25" s="86"/>
      <c r="Z25" s="86"/>
      <c r="AA25" s="86"/>
    </row>
    <row r="26" spans="1:27" ht="14.25" customHeight="1" x14ac:dyDescent="0.35">
      <c r="A26" s="76" t="str">
        <v>Aleksandar Zaharieski</v>
      </c>
      <c r="B26" s="77">
        <v>0</v>
      </c>
      <c r="C26" s="76" t="str">
        <v>Alexander Huang</v>
      </c>
      <c r="D26" s="78">
        <f>IF(C26=0,0,_xlfn.IFNA(IF( MATCH(C26,Rangliste!B:B,0)&gt;0,0,1),1))</f>
        <v>0</v>
      </c>
      <c r="E26" s="85" t="str">
        <f t="shared" si="0"/>
        <v/>
      </c>
      <c r="F26" s="85"/>
      <c r="G26" s="83"/>
      <c r="H26" s="86"/>
      <c r="I26" s="86"/>
      <c r="J26" s="86"/>
      <c r="K26" s="81"/>
      <c r="L26" s="82"/>
      <c r="M26" s="86"/>
      <c r="N26" s="86"/>
      <c r="O26" s="86"/>
      <c r="P26" s="86"/>
      <c r="Q26" s="86"/>
      <c r="R26" s="86"/>
      <c r="S26" s="86"/>
      <c r="T26" s="86"/>
      <c r="U26" s="86"/>
      <c r="V26" s="86"/>
      <c r="W26" s="86"/>
      <c r="X26" s="86"/>
      <c r="Y26" s="86"/>
      <c r="Z26" s="86"/>
      <c r="AA26" s="86"/>
    </row>
    <row r="27" spans="1:27" ht="14.25" customHeight="1" x14ac:dyDescent="0.35">
      <c r="A27" s="76" t="str">
        <v>Emilia Nagy</v>
      </c>
      <c r="B27" s="77">
        <v>0</v>
      </c>
      <c r="C27" s="76" t="str">
        <v>Jacob Chen</v>
      </c>
      <c r="D27" s="78">
        <f>IF(C27=0,0,_xlfn.IFNA(IF( MATCH(C27,Rangliste!B:B,0)&gt;0,0,1),1))</f>
        <v>0</v>
      </c>
      <c r="E27" s="85" t="str">
        <f t="shared" si="0"/>
        <v/>
      </c>
      <c r="F27" s="85"/>
      <c r="G27" s="83"/>
      <c r="H27" s="86"/>
      <c r="I27" s="86"/>
      <c r="J27" s="86"/>
      <c r="K27" s="81"/>
      <c r="L27" s="82"/>
      <c r="M27" s="86"/>
      <c r="N27" s="86"/>
      <c r="O27" s="86"/>
      <c r="P27" s="86"/>
      <c r="Q27" s="86"/>
      <c r="R27" s="86"/>
      <c r="S27" s="86"/>
      <c r="T27" s="86"/>
      <c r="U27" s="86"/>
      <c r="V27" s="86"/>
      <c r="W27" s="86"/>
      <c r="X27" s="86"/>
      <c r="Y27" s="86"/>
      <c r="Z27" s="86"/>
      <c r="AA27" s="86"/>
    </row>
    <row r="28" spans="1:27" ht="14.25" customHeight="1" x14ac:dyDescent="0.35">
      <c r="A28" s="76">
        <v>0</v>
      </c>
      <c r="B28" s="77">
        <v>0</v>
      </c>
      <c r="C28" s="76" t="str">
        <v>Louis Mayer</v>
      </c>
      <c r="D28" s="78">
        <f>IF(C28=0,0,_xlfn.IFNA(IF( MATCH(C28,Rangliste!B:B,0)&gt;0,0,1),1))</f>
        <v>0</v>
      </c>
      <c r="E28" s="85" t="str">
        <f t="shared" si="0"/>
        <v/>
      </c>
      <c r="F28" s="85"/>
      <c r="G28" s="83"/>
      <c r="H28" s="86"/>
      <c r="I28" s="86"/>
      <c r="J28" s="86"/>
      <c r="K28" s="81"/>
      <c r="L28" s="82"/>
      <c r="M28" s="86"/>
      <c r="N28" s="86"/>
      <c r="O28" s="86"/>
      <c r="P28" s="86"/>
      <c r="Q28" s="86"/>
      <c r="R28" s="86"/>
      <c r="S28" s="86"/>
      <c r="T28" s="86"/>
      <c r="U28" s="86"/>
      <c r="V28" s="86"/>
      <c r="W28" s="86"/>
      <c r="X28" s="86"/>
      <c r="Y28" s="86"/>
      <c r="Z28" s="86"/>
      <c r="AA28" s="86"/>
    </row>
    <row r="29" spans="1:27" ht="14.25" customHeight="1" x14ac:dyDescent="0.35">
      <c r="A29" s="76">
        <v>0</v>
      </c>
      <c r="B29" s="77">
        <v>0</v>
      </c>
      <c r="C29" s="76" t="str">
        <v>Frederik Braun</v>
      </c>
      <c r="D29" s="78">
        <f>IF(C29=0,0,_xlfn.IFNA(IF( MATCH(C29,Rangliste!B:B,0)&gt;0,0,1),1))</f>
        <v>0</v>
      </c>
      <c r="E29" s="85" t="str">
        <f t="shared" si="0"/>
        <v/>
      </c>
      <c r="F29" s="85"/>
      <c r="G29" s="83"/>
      <c r="H29" s="86"/>
      <c r="I29" s="86"/>
      <c r="J29" s="86"/>
      <c r="K29" s="81"/>
      <c r="L29" s="82"/>
      <c r="M29" s="86"/>
      <c r="N29" s="86"/>
      <c r="O29" s="86"/>
      <c r="P29" s="86"/>
      <c r="Q29" s="86"/>
      <c r="R29" s="86"/>
      <c r="S29" s="86"/>
      <c r="T29" s="86"/>
      <c r="U29" s="86"/>
      <c r="V29" s="86"/>
      <c r="W29" s="86"/>
      <c r="X29" s="86"/>
      <c r="Y29" s="86"/>
      <c r="Z29" s="86"/>
      <c r="AA29" s="86"/>
    </row>
    <row r="30" spans="1:27" ht="14.25" customHeight="1" x14ac:dyDescent="0.35">
      <c r="A30" s="76">
        <v>0</v>
      </c>
      <c r="B30" s="77">
        <v>0</v>
      </c>
      <c r="C30" s="76" t="str">
        <v>Anton Baier</v>
      </c>
      <c r="D30" s="78">
        <f>IF(C30=0,0,_xlfn.IFNA(IF( MATCH(C30,Rangliste!B:B,0)&gt;0,0,1),1))</f>
        <v>0</v>
      </c>
      <c r="E30" s="85" t="str">
        <f t="shared" si="0"/>
        <v/>
      </c>
      <c r="F30" s="85"/>
      <c r="G30" s="83"/>
      <c r="H30" s="86"/>
      <c r="I30" s="86"/>
      <c r="J30" s="86"/>
      <c r="K30" s="81"/>
      <c r="L30" s="82"/>
      <c r="M30" s="86"/>
      <c r="N30" s="86"/>
      <c r="O30" s="86"/>
      <c r="P30" s="86"/>
      <c r="Q30" s="86"/>
      <c r="R30" s="86"/>
      <c r="S30" s="86"/>
      <c r="T30" s="86"/>
      <c r="U30" s="86"/>
      <c r="V30" s="86"/>
      <c r="W30" s="86"/>
      <c r="X30" s="86"/>
      <c r="Y30" s="86"/>
      <c r="Z30" s="86"/>
      <c r="AA30" s="86"/>
    </row>
    <row r="31" spans="1:27" ht="14.25" customHeight="1" x14ac:dyDescent="0.35">
      <c r="A31" s="76">
        <v>0</v>
      </c>
      <c r="B31" s="77">
        <v>0</v>
      </c>
      <c r="C31" s="76" t="str">
        <v>Matthias Fessl</v>
      </c>
      <c r="D31" s="78">
        <f>IF(C31=0,0,_xlfn.IFNA(IF( MATCH(C31,Rangliste!B:B,0)&gt;0,0,1),1))</f>
        <v>0</v>
      </c>
      <c r="E31" s="85" t="str">
        <f t="shared" si="0"/>
        <v/>
      </c>
      <c r="F31" s="85"/>
      <c r="G31" s="83"/>
      <c r="H31" s="86"/>
      <c r="I31" s="86"/>
      <c r="J31" s="86"/>
      <c r="K31" s="81"/>
      <c r="L31" s="82"/>
      <c r="M31" s="86"/>
      <c r="N31" s="86"/>
      <c r="O31" s="86"/>
      <c r="P31" s="86"/>
      <c r="Q31" s="86"/>
      <c r="R31" s="86"/>
      <c r="S31" s="86"/>
      <c r="T31" s="86"/>
      <c r="U31" s="86"/>
      <c r="V31" s="86"/>
      <c r="W31" s="86"/>
      <c r="X31" s="86"/>
      <c r="Y31" s="86"/>
      <c r="Z31" s="86"/>
      <c r="AA31" s="86"/>
    </row>
    <row r="32" spans="1:27" ht="14.25" customHeight="1" x14ac:dyDescent="0.35">
      <c r="A32" s="76">
        <v>0</v>
      </c>
      <c r="B32" s="77">
        <v>0</v>
      </c>
      <c r="C32" s="76" t="str">
        <v>Julian Stöger</v>
      </c>
      <c r="D32" s="78">
        <f>IF(C32=0,0,_xlfn.IFNA(IF( MATCH(C32,Rangliste!B:B,0)&gt;0,0,1),1))</f>
        <v>0</v>
      </c>
      <c r="E32" s="85" t="str">
        <f t="shared" si="0"/>
        <v/>
      </c>
      <c r="F32" s="85"/>
      <c r="G32" s="83"/>
      <c r="H32" s="86"/>
      <c r="I32" s="86"/>
      <c r="J32" s="86"/>
      <c r="K32" s="81"/>
      <c r="L32" s="82"/>
      <c r="M32" s="86"/>
      <c r="N32" s="86"/>
      <c r="O32" s="86"/>
      <c r="P32" s="86"/>
      <c r="Q32" s="86"/>
      <c r="R32" s="86"/>
      <c r="S32" s="86"/>
      <c r="T32" s="86"/>
      <c r="U32" s="86"/>
      <c r="V32" s="86"/>
      <c r="W32" s="86"/>
      <c r="X32" s="86"/>
      <c r="Y32" s="86"/>
      <c r="Z32" s="86"/>
      <c r="AA32" s="86"/>
    </row>
    <row r="33" spans="1:27" ht="14.25" customHeight="1" x14ac:dyDescent="0.35">
      <c r="A33" s="76">
        <v>0</v>
      </c>
      <c r="B33" s="77">
        <v>0</v>
      </c>
      <c r="C33" s="76" t="str">
        <v>Alisha Huang</v>
      </c>
      <c r="D33" s="78">
        <f>IF(C33=0,0,_xlfn.IFNA(IF( MATCH(C33,Rangliste!B:B,0)&gt;0,0,1),1))</f>
        <v>0</v>
      </c>
      <c r="E33" s="85" t="str">
        <f t="shared" si="0"/>
        <v/>
      </c>
      <c r="F33" s="85"/>
      <c r="G33" s="83"/>
      <c r="H33" s="86"/>
      <c r="I33" s="86"/>
      <c r="J33" s="86"/>
      <c r="K33" s="81"/>
      <c r="L33" s="82"/>
      <c r="M33" s="86"/>
      <c r="N33" s="86"/>
      <c r="O33" s="86"/>
      <c r="P33" s="86"/>
      <c r="Q33" s="86"/>
      <c r="R33" s="86"/>
      <c r="S33" s="86"/>
      <c r="T33" s="86"/>
      <c r="U33" s="86"/>
      <c r="V33" s="86"/>
      <c r="W33" s="86"/>
      <c r="X33" s="86"/>
      <c r="Y33" s="86"/>
      <c r="Z33" s="86"/>
      <c r="AA33" s="86"/>
    </row>
    <row r="34" spans="1:27" ht="14.25" customHeight="1" x14ac:dyDescent="0.35">
      <c r="A34" s="76">
        <v>0</v>
      </c>
      <c r="B34" s="77">
        <v>0</v>
      </c>
      <c r="C34" s="76" t="str">
        <v>Alvin Huang</v>
      </c>
      <c r="D34" s="78">
        <f>IF(C34=0,0,_xlfn.IFNA(IF( MATCH(C34,Rangliste!B:B,0)&gt;0,0,1),1))</f>
        <v>0</v>
      </c>
      <c r="E34" s="85" t="str">
        <f t="shared" si="0"/>
        <v/>
      </c>
      <c r="F34" s="85"/>
      <c r="G34" s="83"/>
      <c r="H34" s="86"/>
      <c r="I34" s="86"/>
      <c r="J34" s="86"/>
      <c r="K34" s="81"/>
      <c r="L34" s="82"/>
      <c r="M34" s="86"/>
      <c r="N34" s="86"/>
      <c r="O34" s="86"/>
      <c r="P34" s="86"/>
      <c r="Q34" s="86"/>
      <c r="R34" s="86"/>
      <c r="S34" s="86"/>
      <c r="T34" s="86"/>
      <c r="U34" s="86"/>
      <c r="V34" s="86"/>
      <c r="W34" s="86"/>
      <c r="X34" s="86"/>
      <c r="Y34" s="86"/>
      <c r="Z34" s="86"/>
      <c r="AA34" s="86"/>
    </row>
    <row r="35" spans="1:27" ht="14.25" customHeight="1" x14ac:dyDescent="0.35">
      <c r="A35" s="76">
        <v>0</v>
      </c>
      <c r="B35" s="77">
        <v>0</v>
      </c>
      <c r="C35" s="76" t="str">
        <v>Tobias Gerner</v>
      </c>
      <c r="D35" s="78">
        <f>IF(C35=0,0,_xlfn.IFNA(IF( MATCH(C35,Rangliste!B:B,0)&gt;0,0,1),1))</f>
        <v>0</v>
      </c>
      <c r="E35" s="85" t="str">
        <f t="shared" si="0"/>
        <v/>
      </c>
      <c r="F35" s="85"/>
      <c r="G35" s="83"/>
      <c r="H35" s="86"/>
      <c r="I35" s="86"/>
      <c r="J35" s="86"/>
      <c r="K35" s="81"/>
      <c r="L35" s="82"/>
      <c r="M35" s="86"/>
      <c r="N35" s="86"/>
      <c r="O35" s="86"/>
      <c r="P35" s="86"/>
      <c r="Q35" s="86"/>
      <c r="R35" s="86"/>
      <c r="S35" s="86"/>
      <c r="T35" s="86"/>
      <c r="U35" s="86"/>
      <c r="V35" s="86"/>
      <c r="W35" s="86"/>
      <c r="X35" s="86"/>
      <c r="Y35" s="86"/>
      <c r="Z35" s="86"/>
      <c r="AA35" s="86"/>
    </row>
    <row r="36" spans="1:27" ht="14.25" customHeight="1" x14ac:dyDescent="0.35">
      <c r="A36" s="76" t="str">
        <f t="array" ref="A36:A51">'WBV 1'!$J$3:$J$18</f>
        <v>Levin Anderwald</v>
      </c>
      <c r="B36" s="77" t="str">
        <f t="array" ref="B36:B67">'WBV 1'!$F$3:$F$34</f>
        <v>Dominika Sobotova</v>
      </c>
      <c r="C36" s="76" t="str">
        <v>Clemens Braun</v>
      </c>
      <c r="D36" s="78">
        <f>IF(C36=0,0,_xlfn.IFNA(IF( MATCH(C36,Rangliste!B:B,0)&gt;0,0,1),1))</f>
        <v>0</v>
      </c>
      <c r="E36" s="85" t="str">
        <f t="shared" si="0"/>
        <v/>
      </c>
      <c r="F36" s="85"/>
      <c r="G36" s="83"/>
      <c r="H36" s="86"/>
      <c r="I36" s="86"/>
      <c r="J36" s="86"/>
      <c r="K36" s="81"/>
      <c r="L36" s="82"/>
      <c r="M36" s="86"/>
      <c r="N36" s="86"/>
      <c r="O36" s="86"/>
      <c r="P36" s="86"/>
      <c r="Q36" s="86"/>
      <c r="R36" s="86"/>
      <c r="S36" s="86"/>
      <c r="T36" s="86"/>
      <c r="U36" s="86"/>
      <c r="V36" s="86"/>
      <c r="W36" s="86"/>
      <c r="X36" s="86"/>
      <c r="Y36" s="86"/>
      <c r="Z36" s="86"/>
      <c r="AA36" s="86"/>
    </row>
    <row r="37" spans="1:27" ht="14.25" customHeight="1" x14ac:dyDescent="0.35">
      <c r="A37" s="76" t="str">
        <v>Faraz Ahmed</v>
      </c>
      <c r="B37" s="77" t="str">
        <v>Michaela Shi</v>
      </c>
      <c r="C37" s="76" t="str">
        <v>Anesia Brar</v>
      </c>
      <c r="D37" s="78">
        <f>IF(C37=0,0,_xlfn.IFNA(IF( MATCH(C37,Rangliste!B:B,0)&gt;0,0,1),1))</f>
        <v>0</v>
      </c>
      <c r="E37" s="85" t="str">
        <f t="shared" si="0"/>
        <v/>
      </c>
      <c r="F37" s="85"/>
      <c r="G37" s="83"/>
      <c r="H37" s="86"/>
      <c r="I37" s="86"/>
      <c r="J37" s="86"/>
      <c r="K37" s="81"/>
      <c r="L37" s="82"/>
      <c r="M37" s="86"/>
      <c r="N37" s="86"/>
      <c r="O37" s="86"/>
      <c r="P37" s="86"/>
      <c r="Q37" s="86"/>
      <c r="R37" s="86"/>
      <c r="S37" s="86"/>
      <c r="T37" s="86"/>
      <c r="U37" s="86"/>
      <c r="V37" s="86"/>
      <c r="W37" s="86"/>
      <c r="X37" s="86"/>
      <c r="Y37" s="86"/>
      <c r="Z37" s="86"/>
      <c r="AA37" s="86"/>
    </row>
    <row r="38" spans="1:27" ht="14.25" customHeight="1" x14ac:dyDescent="0.35">
      <c r="A38" s="76" t="str">
        <v>Rafael Markus Gálos</v>
      </c>
      <c r="B38" s="77" t="str">
        <v>Sebastian Dollinger</v>
      </c>
      <c r="C38" s="76" t="str">
        <v>Martin Müller</v>
      </c>
      <c r="D38" s="78">
        <f>IF(C38=0,0,_xlfn.IFNA(IF( MATCH(C38,Rangliste!B:B,0)&gt;0,0,1),1))</f>
        <v>0</v>
      </c>
      <c r="E38" s="85" t="str">
        <f t="shared" si="0"/>
        <v/>
      </c>
      <c r="F38" s="85"/>
      <c r="G38" s="83"/>
      <c r="H38" s="86"/>
      <c r="I38" s="86"/>
      <c r="J38" s="86"/>
      <c r="K38" s="81"/>
      <c r="L38" s="82"/>
      <c r="M38" s="86"/>
      <c r="N38" s="86"/>
      <c r="O38" s="86"/>
      <c r="P38" s="86"/>
      <c r="Q38" s="86"/>
      <c r="R38" s="86"/>
      <c r="S38" s="86"/>
      <c r="T38" s="86"/>
      <c r="U38" s="86"/>
      <c r="V38" s="86"/>
      <c r="W38" s="86"/>
      <c r="X38" s="86"/>
      <c r="Y38" s="86"/>
      <c r="Z38" s="86"/>
      <c r="AA38" s="86"/>
    </row>
    <row r="39" spans="1:27" ht="14.25" customHeight="1" x14ac:dyDescent="0.35">
      <c r="A39" s="76" t="str">
        <v>Boen Yan</v>
      </c>
      <c r="B39" s="77" t="str">
        <v>Henrik Novi</v>
      </c>
      <c r="C39" s="76" t="str">
        <v>Lina Tantawy</v>
      </c>
      <c r="D39" s="78">
        <f>IF(C39=0,0,_xlfn.IFNA(IF( MATCH(C39,Rangliste!B:B,0)&gt;0,0,1),1))</f>
        <v>0</v>
      </c>
      <c r="E39" s="85" t="str">
        <f t="shared" si="0"/>
        <v/>
      </c>
      <c r="F39" s="85"/>
      <c r="G39" s="83"/>
      <c r="H39" s="86"/>
      <c r="I39" s="86"/>
      <c r="J39" s="86"/>
      <c r="K39" s="81"/>
      <c r="L39" s="82"/>
      <c r="M39" s="86"/>
      <c r="N39" s="86"/>
      <c r="O39" s="86"/>
      <c r="P39" s="86"/>
      <c r="Q39" s="86"/>
      <c r="R39" s="86"/>
      <c r="S39" s="86"/>
      <c r="T39" s="86"/>
      <c r="U39" s="86"/>
      <c r="V39" s="86"/>
      <c r="W39" s="86"/>
      <c r="X39" s="86"/>
      <c r="Y39" s="86"/>
      <c r="Z39" s="86"/>
      <c r="AA39" s="86"/>
    </row>
    <row r="40" spans="1:27" ht="14.25" customHeight="1" x14ac:dyDescent="0.35">
      <c r="A40" s="76" t="str">
        <v>Christoph Fessl</v>
      </c>
      <c r="B40" s="77" t="str">
        <v>Mina Ruenroeng</v>
      </c>
      <c r="C40" s="76" t="str">
        <v>Fabian Müller</v>
      </c>
      <c r="D40" s="78">
        <f>IF(C40=0,0,_xlfn.IFNA(IF( MATCH(C40,Rangliste!B:B,0)&gt;0,0,1),1))</f>
        <v>0</v>
      </c>
      <c r="E40" s="85" t="str">
        <f t="shared" si="0"/>
        <v/>
      </c>
      <c r="F40" s="85"/>
      <c r="G40" s="83"/>
      <c r="H40" s="86"/>
      <c r="I40" s="86"/>
      <c r="J40" s="86"/>
      <c r="K40" s="81"/>
      <c r="L40" s="82"/>
      <c r="M40" s="86"/>
      <c r="N40" s="86"/>
      <c r="O40" s="86"/>
      <c r="P40" s="86"/>
      <c r="Q40" s="86"/>
      <c r="R40" s="86"/>
      <c r="S40" s="86"/>
      <c r="T40" s="86"/>
      <c r="U40" s="86"/>
      <c r="V40" s="86"/>
      <c r="W40" s="86"/>
      <c r="X40" s="86"/>
      <c r="Y40" s="86"/>
      <c r="Z40" s="86"/>
      <c r="AA40" s="86"/>
    </row>
    <row r="41" spans="1:27" ht="14.25" customHeight="1" x14ac:dyDescent="0.35">
      <c r="A41" s="76" t="str">
        <v>Melanie Pichler</v>
      </c>
      <c r="B41" s="77" t="str">
        <v>Mustafa Hussaini</v>
      </c>
      <c r="C41" s="76" t="str">
        <v>Louis Liu</v>
      </c>
      <c r="D41" s="78">
        <f>IF(C41=0,0,_xlfn.IFNA(IF( MATCH(C41,Rangliste!B:B,0)&gt;0,0,1),1))</f>
        <v>0</v>
      </c>
      <c r="E41" s="85" t="str">
        <f t="shared" si="0"/>
        <v/>
      </c>
      <c r="F41" s="85"/>
      <c r="G41" s="83"/>
      <c r="H41" s="86"/>
      <c r="I41" s="86"/>
      <c r="J41" s="86"/>
      <c r="K41" s="81"/>
      <c r="L41" s="82"/>
      <c r="M41" s="86"/>
      <c r="N41" s="86"/>
      <c r="O41" s="86"/>
      <c r="P41" s="86"/>
      <c r="Q41" s="86"/>
      <c r="R41" s="86"/>
      <c r="S41" s="86"/>
      <c r="T41" s="86"/>
      <c r="U41" s="86"/>
      <c r="V41" s="86"/>
      <c r="W41" s="86"/>
      <c r="X41" s="86"/>
      <c r="Y41" s="86"/>
      <c r="Z41" s="86"/>
      <c r="AA41" s="86"/>
    </row>
    <row r="42" spans="1:27" ht="14.25" customHeight="1" x14ac:dyDescent="0.35">
      <c r="A42" s="76" t="str">
        <v>Golsamin Harandi</v>
      </c>
      <c r="B42" s="77" t="str">
        <v>Aleksandar Zaharieski</v>
      </c>
      <c r="C42" s="76" t="str">
        <v>Max Xia</v>
      </c>
      <c r="D42" s="78">
        <f>IF(C42=0,0,_xlfn.IFNA(IF( MATCH(C42,Rangliste!B:B,0)&gt;0,0,1),1))</f>
        <v>0</v>
      </c>
      <c r="E42" s="85" t="str">
        <f t="shared" si="0"/>
        <v/>
      </c>
      <c r="F42" s="85"/>
      <c r="G42" s="83"/>
      <c r="H42" s="86"/>
      <c r="I42" s="86"/>
      <c r="J42" s="86"/>
      <c r="K42" s="81"/>
      <c r="L42" s="82"/>
      <c r="M42" s="86"/>
      <c r="N42" s="86"/>
      <c r="O42" s="86"/>
      <c r="P42" s="86"/>
      <c r="Q42" s="86"/>
      <c r="R42" s="86"/>
      <c r="S42" s="86"/>
      <c r="T42" s="86"/>
      <c r="U42" s="86"/>
      <c r="V42" s="86"/>
      <c r="W42" s="86"/>
      <c r="X42" s="86"/>
      <c r="Y42" s="86"/>
      <c r="Z42" s="86"/>
      <c r="AA42" s="86"/>
    </row>
    <row r="43" spans="1:27" ht="14.25" customHeight="1" x14ac:dyDescent="0.35">
      <c r="A43" s="76" t="str">
        <v>Adrian Novotny</v>
      </c>
      <c r="B43" s="77" t="str">
        <v>Emilia Nagy</v>
      </c>
      <c r="C43" s="76" t="str">
        <v>Terrence Chen</v>
      </c>
      <c r="D43" s="78">
        <f>IF(C43=0,0,_xlfn.IFNA(IF( MATCH(C43,Rangliste!B:B,0)&gt;0,0,1),1))</f>
        <v>0</v>
      </c>
      <c r="E43" s="85" t="str">
        <f t="shared" si="0"/>
        <v/>
      </c>
      <c r="F43" s="85"/>
      <c r="G43" s="83"/>
      <c r="H43" s="86"/>
      <c r="I43" s="86"/>
      <c r="J43" s="86"/>
      <c r="K43" s="81"/>
      <c r="L43" s="82"/>
      <c r="M43" s="86"/>
      <c r="N43" s="86"/>
      <c r="O43" s="86"/>
      <c r="P43" s="86"/>
      <c r="Q43" s="86"/>
      <c r="R43" s="86"/>
      <c r="S43" s="86"/>
      <c r="T43" s="86"/>
      <c r="U43" s="86"/>
      <c r="V43" s="86"/>
      <c r="W43" s="86"/>
      <c r="X43" s="86"/>
      <c r="Y43" s="86"/>
      <c r="Z43" s="86"/>
      <c r="AA43" s="86"/>
    </row>
    <row r="44" spans="1:27" ht="14.25" customHeight="1" x14ac:dyDescent="0.35">
      <c r="A44" s="76" t="str">
        <v>Alexander Huang</v>
      </c>
      <c r="B44" s="77">
        <v>0</v>
      </c>
      <c r="C44" s="76" t="str">
        <v>Kiril Barthel</v>
      </c>
      <c r="D44" s="78">
        <f>IF(C44=0,0,_xlfn.IFNA(IF( MATCH(C44,Rangliste!B:B,0)&gt;0,0,1),1))</f>
        <v>0</v>
      </c>
      <c r="E44" s="85" t="str">
        <f t="shared" si="0"/>
        <v/>
      </c>
      <c r="F44" s="85"/>
      <c r="G44" s="83"/>
      <c r="H44" s="86"/>
      <c r="I44" s="86"/>
      <c r="J44" s="86"/>
      <c r="K44" s="81"/>
      <c r="L44" s="82"/>
      <c r="M44" s="86"/>
      <c r="N44" s="86"/>
      <c r="O44" s="86"/>
      <c r="P44" s="86"/>
      <c r="Q44" s="86"/>
      <c r="R44" s="86"/>
      <c r="S44" s="86"/>
      <c r="T44" s="86"/>
      <c r="U44" s="86"/>
      <c r="V44" s="86"/>
      <c r="W44" s="86"/>
      <c r="X44" s="86"/>
      <c r="Y44" s="86"/>
      <c r="Z44" s="86"/>
      <c r="AA44" s="86"/>
    </row>
    <row r="45" spans="1:27" ht="14.25" customHeight="1" x14ac:dyDescent="0.35">
      <c r="A45" s="76">
        <v>0</v>
      </c>
      <c r="B45" s="77">
        <v>0</v>
      </c>
      <c r="C45" s="76" t="str">
        <v>Maximilian Wegenstein</v>
      </c>
      <c r="D45" s="78">
        <f>IF(C45=0,0,_xlfn.IFNA(IF( MATCH(C45,Rangliste!B:B,0)&gt;0,0,1),1))</f>
        <v>0</v>
      </c>
      <c r="E45" s="85" t="str">
        <f t="shared" si="0"/>
        <v/>
      </c>
      <c r="F45" s="85"/>
      <c r="G45" s="83"/>
      <c r="H45" s="86"/>
      <c r="I45" s="86"/>
      <c r="J45" s="86"/>
      <c r="K45" s="81"/>
      <c r="L45" s="82"/>
      <c r="M45" s="86"/>
      <c r="N45" s="86"/>
      <c r="O45" s="86"/>
      <c r="P45" s="86"/>
      <c r="Q45" s="86"/>
      <c r="R45" s="86"/>
      <c r="S45" s="86"/>
      <c r="T45" s="86"/>
      <c r="U45" s="86"/>
      <c r="V45" s="86"/>
      <c r="W45" s="86"/>
      <c r="X45" s="86"/>
      <c r="Y45" s="86"/>
      <c r="Z45" s="86"/>
      <c r="AA45" s="86"/>
    </row>
    <row r="46" spans="1:27" ht="14.25" customHeight="1" x14ac:dyDescent="0.35">
      <c r="A46" s="76">
        <v>0</v>
      </c>
      <c r="B46" s="77">
        <v>0</v>
      </c>
      <c r="C46" s="76" t="str">
        <v>Laura Schindler</v>
      </c>
      <c r="D46" s="78">
        <f>IF(C46=0,0,_xlfn.IFNA(IF( MATCH(C46,Rangliste!B:B,0)&gt;0,0,1),1))</f>
        <v>0</v>
      </c>
      <c r="E46" s="85" t="str">
        <f t="shared" si="0"/>
        <v/>
      </c>
      <c r="F46" s="85"/>
      <c r="G46" s="83"/>
      <c r="H46" s="86"/>
      <c r="I46" s="86"/>
      <c r="J46" s="86"/>
      <c r="K46" s="81"/>
      <c r="L46" s="82"/>
      <c r="M46" s="86"/>
      <c r="N46" s="86"/>
      <c r="O46" s="86"/>
      <c r="P46" s="86"/>
      <c r="Q46" s="86"/>
      <c r="R46" s="86"/>
      <c r="S46" s="86"/>
      <c r="T46" s="86"/>
      <c r="U46" s="86"/>
      <c r="V46" s="86"/>
      <c r="W46" s="86"/>
      <c r="X46" s="86"/>
      <c r="Y46" s="86"/>
      <c r="Z46" s="86"/>
      <c r="AA46" s="86"/>
    </row>
    <row r="47" spans="1:27" ht="14.25" customHeight="1" x14ac:dyDescent="0.35">
      <c r="A47" s="76">
        <v>0</v>
      </c>
      <c r="B47" s="77">
        <v>0</v>
      </c>
      <c r="C47" s="76" t="str">
        <v>Lola Ahammer</v>
      </c>
      <c r="D47" s="78">
        <f>IF(C47=0,0,_xlfn.IFNA(IF( MATCH(C47,Rangliste!B:B,0)&gt;0,0,1),1))</f>
        <v>0</v>
      </c>
      <c r="E47" s="85" t="str">
        <f t="shared" si="0"/>
        <v/>
      </c>
      <c r="F47" s="85"/>
      <c r="G47" s="83"/>
      <c r="H47" s="86"/>
      <c r="I47" s="86"/>
      <c r="J47" s="86"/>
      <c r="K47" s="81"/>
      <c r="L47" s="82"/>
      <c r="M47" s="86"/>
      <c r="N47" s="86"/>
      <c r="O47" s="86"/>
      <c r="P47" s="86"/>
      <c r="Q47" s="86"/>
      <c r="R47" s="86"/>
      <c r="S47" s="86"/>
      <c r="T47" s="86"/>
      <c r="U47" s="86"/>
      <c r="V47" s="86"/>
      <c r="W47" s="86"/>
      <c r="X47" s="86"/>
      <c r="Y47" s="86"/>
      <c r="Z47" s="86"/>
      <c r="AA47" s="86"/>
    </row>
    <row r="48" spans="1:27" ht="14.25" customHeight="1" x14ac:dyDescent="0.35">
      <c r="A48" s="76">
        <v>0</v>
      </c>
      <c r="B48" s="77">
        <v>0</v>
      </c>
      <c r="C48" s="76" t="str">
        <v>Miriam Duchac-Oberndorfer</v>
      </c>
      <c r="D48" s="78">
        <f>IF(C48=0,0,_xlfn.IFNA(IF( MATCH(C48,Rangliste!B:B,0)&gt;0,0,1),1))</f>
        <v>0</v>
      </c>
      <c r="E48" s="85" t="str">
        <f t="shared" si="0"/>
        <v/>
      </c>
      <c r="F48" s="85"/>
      <c r="G48" s="83"/>
      <c r="H48" s="86"/>
      <c r="I48" s="86"/>
      <c r="J48" s="86"/>
      <c r="K48" s="81"/>
      <c r="L48" s="82"/>
      <c r="M48" s="86"/>
      <c r="N48" s="86"/>
      <c r="O48" s="86"/>
      <c r="P48" s="86"/>
      <c r="Q48" s="86"/>
      <c r="R48" s="86"/>
      <c r="S48" s="86"/>
      <c r="T48" s="86"/>
      <c r="U48" s="86"/>
      <c r="V48" s="86"/>
      <c r="W48" s="86"/>
      <c r="X48" s="86"/>
      <c r="Y48" s="86"/>
      <c r="Z48" s="86"/>
      <c r="AA48" s="86"/>
    </row>
    <row r="49" spans="1:27" ht="14.25" customHeight="1" x14ac:dyDescent="0.35">
      <c r="A49" s="76">
        <v>0</v>
      </c>
      <c r="B49" s="77">
        <v>0</v>
      </c>
      <c r="C49" s="76" t="str">
        <v>Moritz Köstl</v>
      </c>
      <c r="D49" s="78">
        <f>IF(C49=0,0,_xlfn.IFNA(IF( MATCH(C49,Rangliste!B:B,0)&gt;0,0,1),1))</f>
        <v>0</v>
      </c>
      <c r="E49" s="85" t="str">
        <f t="shared" si="0"/>
        <v/>
      </c>
      <c r="F49" s="85"/>
      <c r="G49" s="83"/>
      <c r="H49" s="86"/>
      <c r="I49" s="86"/>
      <c r="J49" s="86"/>
      <c r="K49" s="81"/>
      <c r="L49" s="82"/>
      <c r="M49" s="86"/>
      <c r="N49" s="86"/>
      <c r="O49" s="86"/>
      <c r="P49" s="86"/>
      <c r="Q49" s="86"/>
      <c r="R49" s="86"/>
      <c r="S49" s="86"/>
      <c r="T49" s="86"/>
      <c r="U49" s="86"/>
      <c r="V49" s="86"/>
      <c r="W49" s="86"/>
      <c r="X49" s="86"/>
      <c r="Y49" s="86"/>
      <c r="Z49" s="86"/>
      <c r="AA49" s="86"/>
    </row>
    <row r="50" spans="1:27" ht="14.25" customHeight="1" x14ac:dyDescent="0.35">
      <c r="A50" s="76">
        <v>0</v>
      </c>
      <c r="B50" s="77">
        <v>0</v>
      </c>
      <c r="C50" s="76" t="str">
        <v>Leonhard Keiler</v>
      </c>
      <c r="D50" s="78">
        <f>IF(C50=0,0,_xlfn.IFNA(IF( MATCH(C50,Rangliste!B:B,0)&gt;0,0,1),1))</f>
        <v>0</v>
      </c>
      <c r="E50" s="85" t="str">
        <f t="shared" si="0"/>
        <v/>
      </c>
      <c r="F50" s="85"/>
      <c r="G50" s="83"/>
      <c r="H50" s="86"/>
      <c r="I50" s="86"/>
      <c r="J50" s="86"/>
      <c r="K50" s="81"/>
      <c r="L50" s="82"/>
      <c r="M50" s="86"/>
      <c r="N50" s="86"/>
      <c r="O50" s="86"/>
      <c r="P50" s="86"/>
      <c r="Q50" s="86"/>
      <c r="R50" s="86"/>
      <c r="S50" s="86"/>
      <c r="T50" s="86"/>
      <c r="U50" s="86"/>
      <c r="V50" s="86"/>
      <c r="W50" s="86"/>
      <c r="X50" s="86"/>
      <c r="Y50" s="86"/>
      <c r="Z50" s="86"/>
      <c r="AA50" s="86"/>
    </row>
    <row r="51" spans="1:27" ht="14.25" customHeight="1" x14ac:dyDescent="0.35">
      <c r="A51" s="76">
        <v>0</v>
      </c>
      <c r="B51" s="77">
        <v>0</v>
      </c>
      <c r="C51" s="76" t="str">
        <v>Alen Sosyan</v>
      </c>
      <c r="D51" s="78">
        <f>IF(C51=0,0,_xlfn.IFNA(IF( MATCH(C51,Rangliste!B:B,0)&gt;0,0,1),1))</f>
        <v>0</v>
      </c>
      <c r="E51" s="85" t="str">
        <f t="shared" si="0"/>
        <v/>
      </c>
      <c r="F51" s="85"/>
      <c r="G51" s="83"/>
      <c r="H51" s="86"/>
      <c r="I51" s="86"/>
      <c r="J51" s="86"/>
      <c r="K51" s="81"/>
      <c r="L51" s="82"/>
      <c r="M51" s="86"/>
      <c r="N51" s="86"/>
      <c r="O51" s="86"/>
      <c r="P51" s="86"/>
      <c r="Q51" s="86"/>
      <c r="R51" s="86"/>
      <c r="S51" s="86"/>
      <c r="T51" s="86"/>
      <c r="U51" s="86"/>
      <c r="V51" s="86"/>
      <c r="W51" s="86"/>
      <c r="X51" s="86"/>
      <c r="Y51" s="86"/>
      <c r="Z51" s="86"/>
      <c r="AA51" s="86"/>
    </row>
    <row r="52" spans="1:27" ht="14.25" customHeight="1" x14ac:dyDescent="0.35">
      <c r="A52" s="76" t="str">
        <f t="array" ref="A52:A67">'WBV 1'!$N$3:$N$18</f>
        <v>Jacob Chen</v>
      </c>
      <c r="B52" s="77">
        <v>0</v>
      </c>
      <c r="C52" s="76" t="str">
        <v>Valentina Krenn</v>
      </c>
      <c r="D52" s="78">
        <f>IF(C52=0,0,_xlfn.IFNA(IF( MATCH(C52,Rangliste!B:B,0)&gt;0,0,1),1))</f>
        <v>0</v>
      </c>
      <c r="E52" s="85" t="str">
        <f t="shared" si="0"/>
        <v/>
      </c>
      <c r="F52" s="85"/>
      <c r="G52" s="83"/>
      <c r="H52" s="86"/>
      <c r="I52" s="86"/>
      <c r="J52" s="86"/>
      <c r="K52" s="81"/>
      <c r="L52" s="82"/>
      <c r="M52" s="86"/>
      <c r="N52" s="86"/>
      <c r="O52" s="86"/>
      <c r="P52" s="86"/>
      <c r="Q52" s="86"/>
      <c r="R52" s="86"/>
      <c r="S52" s="86"/>
      <c r="T52" s="86"/>
      <c r="U52" s="86"/>
      <c r="V52" s="86"/>
      <c r="W52" s="86"/>
      <c r="X52" s="86"/>
      <c r="Y52" s="86"/>
      <c r="Z52" s="86"/>
      <c r="AA52" s="86"/>
    </row>
    <row r="53" spans="1:27" ht="14.25" customHeight="1" x14ac:dyDescent="0.35">
      <c r="A53" s="76" t="str">
        <v>Louis Mayer</v>
      </c>
      <c r="B53" s="77">
        <v>0</v>
      </c>
      <c r="C53" s="76" t="str">
        <v>Louyi Zhang</v>
      </c>
      <c r="D53" s="78">
        <f>IF(C53=0,0,_xlfn.IFNA(IF( MATCH(C53,Rangliste!B:B,0)&gt;0,0,1),1))</f>
        <v>0</v>
      </c>
      <c r="E53" s="85" t="str">
        <f t="shared" si="0"/>
        <v/>
      </c>
      <c r="F53" s="85"/>
      <c r="G53" s="83"/>
      <c r="H53" s="86"/>
      <c r="I53" s="86"/>
      <c r="J53" s="86"/>
      <c r="K53" s="81"/>
      <c r="L53" s="82"/>
      <c r="M53" s="86"/>
      <c r="N53" s="86"/>
      <c r="O53" s="86"/>
      <c r="P53" s="86"/>
      <c r="Q53" s="86"/>
      <c r="R53" s="86"/>
      <c r="S53" s="86"/>
      <c r="T53" s="86"/>
      <c r="U53" s="86"/>
      <c r="V53" s="86"/>
      <c r="W53" s="86"/>
      <c r="X53" s="86"/>
      <c r="Y53" s="86"/>
      <c r="Z53" s="86"/>
      <c r="AA53" s="86"/>
    </row>
    <row r="54" spans="1:27" ht="14.25" customHeight="1" x14ac:dyDescent="0.35">
      <c r="A54" s="76" t="str">
        <v>Frederik Braun</v>
      </c>
      <c r="B54" s="77">
        <v>0</v>
      </c>
      <c r="C54" s="76" t="str">
        <v>Emil Fathulla</v>
      </c>
      <c r="D54" s="78">
        <f>IF(C54=0,0,_xlfn.IFNA(IF( MATCH(C54,Rangliste!B:B,0)&gt;0,0,1),1))</f>
        <v>0</v>
      </c>
      <c r="E54" s="85" t="str">
        <f t="shared" si="0"/>
        <v/>
      </c>
      <c r="F54" s="85"/>
      <c r="G54" s="83"/>
      <c r="H54" s="86"/>
      <c r="I54" s="86"/>
      <c r="J54" s="86"/>
      <c r="K54" s="81"/>
      <c r="L54" s="82"/>
      <c r="M54" s="86"/>
      <c r="N54" s="86"/>
      <c r="O54" s="86"/>
      <c r="P54" s="86"/>
      <c r="Q54" s="86"/>
      <c r="R54" s="86"/>
      <c r="S54" s="86"/>
      <c r="T54" s="86"/>
      <c r="U54" s="86"/>
      <c r="V54" s="86"/>
      <c r="W54" s="86"/>
      <c r="X54" s="86"/>
      <c r="Y54" s="86"/>
      <c r="Z54" s="86"/>
      <c r="AA54" s="86"/>
    </row>
    <row r="55" spans="1:27" ht="14.25" customHeight="1" x14ac:dyDescent="0.35">
      <c r="A55" s="76" t="str">
        <v>Anton Baier</v>
      </c>
      <c r="B55" s="77">
        <v>0</v>
      </c>
      <c r="C55" s="76" t="str">
        <v>Elias Reichel-Teng</v>
      </c>
      <c r="D55" s="78">
        <f>IF(C55=0,0,_xlfn.IFNA(IF( MATCH(C55,Rangliste!B:B,0)&gt;0,0,1),1))</f>
        <v>0</v>
      </c>
      <c r="E55" s="85" t="str">
        <f t="shared" si="0"/>
        <v/>
      </c>
      <c r="F55" s="85"/>
      <c r="G55" s="83"/>
      <c r="H55" s="86"/>
      <c r="I55" s="86"/>
      <c r="J55" s="86"/>
      <c r="K55" s="81"/>
      <c r="L55" s="82"/>
      <c r="M55" s="86"/>
      <c r="N55" s="86"/>
      <c r="O55" s="86"/>
      <c r="P55" s="86"/>
      <c r="Q55" s="86"/>
      <c r="R55" s="86"/>
      <c r="S55" s="86"/>
      <c r="T55" s="86"/>
      <c r="U55" s="86"/>
      <c r="V55" s="86"/>
      <c r="W55" s="86"/>
      <c r="X55" s="86"/>
      <c r="Y55" s="86"/>
      <c r="Z55" s="86"/>
      <c r="AA55" s="86"/>
    </row>
    <row r="56" spans="1:27" ht="14.25" customHeight="1" x14ac:dyDescent="0.35">
      <c r="A56" s="76" t="str">
        <v>Matthias Fessl</v>
      </c>
      <c r="B56" s="77">
        <v>0</v>
      </c>
      <c r="C56" s="76" t="str">
        <v>Oscar Hsu</v>
      </c>
      <c r="D56" s="78">
        <f>IF(C56=0,0,_xlfn.IFNA(IF( MATCH(C56,Rangliste!B:B,0)&gt;0,0,1),1))</f>
        <v>0</v>
      </c>
      <c r="E56" s="85" t="str">
        <f t="shared" si="0"/>
        <v/>
      </c>
      <c r="F56" s="85"/>
      <c r="G56" s="83"/>
      <c r="H56" s="86"/>
      <c r="I56" s="86"/>
      <c r="J56" s="86"/>
      <c r="K56" s="81"/>
      <c r="L56" s="82"/>
      <c r="M56" s="86"/>
      <c r="N56" s="86"/>
      <c r="O56" s="86"/>
      <c r="P56" s="86"/>
      <c r="Q56" s="86"/>
      <c r="R56" s="86"/>
      <c r="S56" s="86"/>
      <c r="T56" s="86"/>
      <c r="U56" s="86"/>
      <c r="V56" s="86"/>
      <c r="W56" s="86"/>
      <c r="X56" s="86"/>
      <c r="Y56" s="86"/>
      <c r="Z56" s="86"/>
      <c r="AA56" s="86"/>
    </row>
    <row r="57" spans="1:27" ht="14.25" customHeight="1" x14ac:dyDescent="0.35">
      <c r="A57" s="76" t="str">
        <v>Julian Stöger</v>
      </c>
      <c r="B57" s="77">
        <v>0</v>
      </c>
      <c r="C57" s="76" t="str">
        <v>Giuliana Tasotti</v>
      </c>
      <c r="D57" s="78">
        <f>IF(C57=0,0,_xlfn.IFNA(IF( MATCH(C57,Rangliste!B:B,0)&gt;0,0,1),1))</f>
        <v>0</v>
      </c>
      <c r="E57" s="85" t="str">
        <f t="shared" si="0"/>
        <v/>
      </c>
      <c r="F57" s="85"/>
      <c r="G57" s="83"/>
      <c r="H57" s="86"/>
      <c r="I57" s="86"/>
      <c r="J57" s="86"/>
      <c r="K57" s="81"/>
      <c r="L57" s="82"/>
      <c r="M57" s="86"/>
      <c r="N57" s="86"/>
      <c r="O57" s="86"/>
      <c r="P57" s="86"/>
      <c r="Q57" s="86"/>
      <c r="R57" s="86"/>
      <c r="S57" s="86"/>
      <c r="T57" s="86"/>
      <c r="U57" s="86"/>
      <c r="V57" s="86"/>
      <c r="W57" s="86"/>
      <c r="X57" s="86"/>
      <c r="Y57" s="86"/>
      <c r="Z57" s="86"/>
      <c r="AA57" s="86"/>
    </row>
    <row r="58" spans="1:27" ht="14.25" customHeight="1" x14ac:dyDescent="0.35">
      <c r="A58" s="76" t="str">
        <v>Alisha Huang</v>
      </c>
      <c r="B58" s="77">
        <v>0</v>
      </c>
      <c r="C58" s="76" t="str">
        <v>Constantin Walzer</v>
      </c>
      <c r="D58" s="78">
        <f>IF(C58=0,0,_xlfn.IFNA(IF( MATCH(C58,Rangliste!B:B,0)&gt;0,0,1),1))</f>
        <v>0</v>
      </c>
      <c r="E58" s="85" t="str">
        <f t="shared" si="0"/>
        <v/>
      </c>
      <c r="F58" s="85"/>
      <c r="G58" s="83"/>
      <c r="H58" s="86"/>
      <c r="I58" s="86"/>
      <c r="J58" s="86"/>
      <c r="K58" s="81"/>
      <c r="L58" s="82"/>
      <c r="M58" s="86"/>
      <c r="N58" s="86"/>
      <c r="O58" s="86"/>
      <c r="P58" s="86"/>
      <c r="Q58" s="86"/>
      <c r="R58" s="86"/>
      <c r="S58" s="86"/>
      <c r="T58" s="86"/>
      <c r="U58" s="86"/>
      <c r="V58" s="86"/>
      <c r="W58" s="86"/>
      <c r="X58" s="86"/>
      <c r="Y58" s="86"/>
      <c r="Z58" s="86"/>
      <c r="AA58" s="86"/>
    </row>
    <row r="59" spans="1:27" ht="14.25" customHeight="1" x14ac:dyDescent="0.35">
      <c r="A59" s="76" t="str">
        <v>Alvin Huang</v>
      </c>
      <c r="B59" s="77">
        <v>0</v>
      </c>
      <c r="C59" s="76" t="str">
        <v>Lana Dai</v>
      </c>
      <c r="D59" s="78">
        <f>IF(C59=0,0,_xlfn.IFNA(IF( MATCH(C59,Rangliste!B:B,0)&gt;0,0,1),1))</f>
        <v>0</v>
      </c>
      <c r="E59" s="85" t="str">
        <f t="shared" si="0"/>
        <v/>
      </c>
      <c r="F59" s="85"/>
      <c r="G59" s="83"/>
      <c r="H59" s="86"/>
      <c r="I59" s="86"/>
      <c r="J59" s="86"/>
      <c r="K59" s="81"/>
      <c r="L59" s="82"/>
      <c r="M59" s="86"/>
      <c r="N59" s="86"/>
      <c r="O59" s="86"/>
      <c r="P59" s="86"/>
      <c r="Q59" s="86"/>
      <c r="R59" s="86"/>
      <c r="S59" s="86"/>
      <c r="T59" s="86"/>
      <c r="U59" s="86"/>
      <c r="V59" s="86"/>
      <c r="W59" s="86"/>
      <c r="X59" s="86"/>
      <c r="Y59" s="86"/>
      <c r="Z59" s="86"/>
      <c r="AA59" s="86"/>
    </row>
    <row r="60" spans="1:27" ht="14.25" customHeight="1" x14ac:dyDescent="0.35">
      <c r="A60" s="76" t="str">
        <v>Tobias Gerner</v>
      </c>
      <c r="B60" s="77">
        <v>0</v>
      </c>
      <c r="C60" s="76" t="str">
        <v>Vito Eisenhardt</v>
      </c>
      <c r="D60" s="78">
        <f>IF(C60=0,0,_xlfn.IFNA(IF( MATCH(C60,Rangliste!B:B,0)&gt;0,0,1),1))</f>
        <v>0</v>
      </c>
      <c r="E60" s="85" t="str">
        <f t="shared" si="0"/>
        <v/>
      </c>
      <c r="F60" s="85"/>
      <c r="G60" s="83"/>
      <c r="H60" s="86"/>
      <c r="I60" s="86"/>
      <c r="J60" s="86"/>
      <c r="K60" s="81"/>
      <c r="L60" s="82"/>
      <c r="M60" s="86"/>
      <c r="N60" s="86"/>
      <c r="O60" s="86"/>
      <c r="P60" s="86"/>
      <c r="Q60" s="86"/>
      <c r="R60" s="86"/>
      <c r="S60" s="86"/>
      <c r="T60" s="86"/>
      <c r="U60" s="86"/>
      <c r="V60" s="86"/>
      <c r="W60" s="86"/>
      <c r="X60" s="86"/>
      <c r="Y60" s="86"/>
      <c r="Z60" s="86"/>
      <c r="AA60" s="86"/>
    </row>
    <row r="61" spans="1:27" ht="14.25" customHeight="1" x14ac:dyDescent="0.35">
      <c r="A61" s="76" t="str">
        <v>Clemens Braun</v>
      </c>
      <c r="B61" s="87">
        <v>0</v>
      </c>
      <c r="C61" s="76" t="str">
        <v>Emil Pfeffer</v>
      </c>
      <c r="D61" s="78">
        <f>IF(C61=0,0,_xlfn.IFNA(IF( MATCH(C61,Rangliste!B:B,0)&gt;0,0,1),1))</f>
        <v>0</v>
      </c>
      <c r="E61" s="85" t="str">
        <f t="shared" si="0"/>
        <v/>
      </c>
      <c r="F61" s="85"/>
      <c r="G61" s="83"/>
      <c r="H61" s="86"/>
      <c r="I61" s="86"/>
      <c r="J61" s="86"/>
      <c r="K61" s="81"/>
      <c r="L61" s="82"/>
      <c r="M61" s="86"/>
      <c r="N61" s="86"/>
      <c r="O61" s="86"/>
      <c r="P61" s="86"/>
      <c r="Q61" s="86"/>
      <c r="R61" s="86"/>
      <c r="S61" s="86"/>
      <c r="T61" s="86"/>
      <c r="U61" s="86"/>
      <c r="V61" s="86"/>
      <c r="W61" s="86"/>
      <c r="X61" s="86"/>
      <c r="Y61" s="86"/>
      <c r="Z61" s="86"/>
      <c r="AA61" s="86"/>
    </row>
    <row r="62" spans="1:27" ht="14.25" customHeight="1" x14ac:dyDescent="0.35">
      <c r="A62" s="76" t="str">
        <v>Anesia Brar</v>
      </c>
      <c r="B62" s="87">
        <v>0</v>
      </c>
      <c r="C62" s="76" t="str">
        <v>Sophie Wieselthaler</v>
      </c>
      <c r="D62" s="78">
        <f>IF(C62=0,0,_xlfn.IFNA(IF( MATCH(C62,Rangliste!B:B,0)&gt;0,0,1),1))</f>
        <v>0</v>
      </c>
      <c r="E62" s="85" t="str">
        <f t="shared" si="0"/>
        <v/>
      </c>
      <c r="F62" s="85"/>
      <c r="G62" s="83"/>
      <c r="H62" s="86"/>
      <c r="I62" s="86"/>
      <c r="J62" s="86"/>
      <c r="K62" s="81"/>
      <c r="L62" s="82"/>
      <c r="M62" s="86"/>
      <c r="N62" s="86"/>
      <c r="O62" s="86"/>
      <c r="P62" s="86"/>
      <c r="Q62" s="86"/>
      <c r="R62" s="86"/>
      <c r="S62" s="86"/>
      <c r="T62" s="86"/>
      <c r="U62" s="86"/>
      <c r="V62" s="86"/>
      <c r="W62" s="86"/>
      <c r="X62" s="86"/>
      <c r="Y62" s="86"/>
      <c r="Z62" s="86"/>
      <c r="AA62" s="86"/>
    </row>
    <row r="63" spans="1:27" ht="14.25" customHeight="1" x14ac:dyDescent="0.35">
      <c r="A63" s="76" t="str">
        <v>Martin Müller</v>
      </c>
      <c r="B63" s="87">
        <v>0</v>
      </c>
      <c r="C63" s="76" t="str">
        <v>Mia Khaylo</v>
      </c>
      <c r="D63" s="78">
        <f>IF(C63=0,0,_xlfn.IFNA(IF( MATCH(C63,Rangliste!B:B,0)&gt;0,0,1),1))</f>
        <v>0</v>
      </c>
      <c r="E63" s="85" t="str">
        <f t="shared" si="0"/>
        <v/>
      </c>
      <c r="F63" s="85"/>
      <c r="G63" s="83"/>
      <c r="H63" s="86"/>
      <c r="I63" s="86"/>
      <c r="J63" s="86"/>
      <c r="K63" s="81"/>
      <c r="L63" s="82"/>
      <c r="M63" s="86"/>
      <c r="N63" s="86"/>
      <c r="O63" s="86"/>
      <c r="P63" s="86"/>
      <c r="Q63" s="86"/>
      <c r="R63" s="86"/>
      <c r="S63" s="86"/>
      <c r="T63" s="86"/>
      <c r="U63" s="86"/>
      <c r="V63" s="86"/>
      <c r="W63" s="86"/>
      <c r="X63" s="86"/>
      <c r="Y63" s="86"/>
      <c r="Z63" s="86"/>
      <c r="AA63" s="86"/>
    </row>
    <row r="64" spans="1:27" ht="14.25" customHeight="1" x14ac:dyDescent="0.35">
      <c r="A64" s="76" t="str">
        <v>Lina Tantawy</v>
      </c>
      <c r="B64" s="87">
        <v>0</v>
      </c>
      <c r="C64" s="76" t="str">
        <v>Valentin Krug</v>
      </c>
      <c r="D64" s="78">
        <f>IF(C64=0,0,_xlfn.IFNA(IF( MATCH(C64,Rangliste!B:B,0)&gt;0,0,1),1))</f>
        <v>0</v>
      </c>
      <c r="E64" s="85" t="str">
        <f t="shared" si="0"/>
        <v/>
      </c>
      <c r="F64" s="85"/>
      <c r="G64" s="83"/>
      <c r="H64" s="86"/>
      <c r="I64" s="86"/>
      <c r="J64" s="86"/>
      <c r="K64" s="81"/>
      <c r="L64" s="82"/>
      <c r="M64" s="86"/>
      <c r="N64" s="86"/>
      <c r="O64" s="86"/>
      <c r="P64" s="86"/>
      <c r="Q64" s="86"/>
      <c r="R64" s="86"/>
      <c r="S64" s="86"/>
      <c r="T64" s="86"/>
      <c r="U64" s="86"/>
      <c r="V64" s="86"/>
      <c r="W64" s="86"/>
      <c r="X64" s="86"/>
      <c r="Y64" s="86"/>
      <c r="Z64" s="86"/>
      <c r="AA64" s="86"/>
    </row>
    <row r="65" spans="1:27" ht="14.25" customHeight="1" x14ac:dyDescent="0.35">
      <c r="A65" s="76" t="str">
        <v>Fabian Müller</v>
      </c>
      <c r="B65" s="87">
        <v>0</v>
      </c>
      <c r="C65" s="76" t="str">
        <v>Paul Khaylo</v>
      </c>
      <c r="D65" s="78">
        <f>IF(C65=0,0,_xlfn.IFNA(IF( MATCH(C65,Rangliste!B:B,0)&gt;0,0,1),1))</f>
        <v>0</v>
      </c>
      <c r="E65" s="85" t="str">
        <f t="shared" si="0"/>
        <v/>
      </c>
      <c r="F65" s="85"/>
      <c r="G65" s="83"/>
      <c r="H65" s="86"/>
      <c r="I65" s="86"/>
      <c r="J65" s="86"/>
      <c r="K65" s="81"/>
      <c r="L65" s="82"/>
      <c r="M65" s="86"/>
      <c r="N65" s="86"/>
      <c r="O65" s="86"/>
      <c r="P65" s="86"/>
      <c r="Q65" s="86"/>
      <c r="R65" s="86"/>
      <c r="S65" s="86"/>
      <c r="T65" s="86"/>
      <c r="U65" s="86"/>
      <c r="V65" s="86"/>
      <c r="W65" s="86"/>
      <c r="X65" s="86"/>
      <c r="Y65" s="86"/>
      <c r="Z65" s="86"/>
      <c r="AA65" s="86"/>
    </row>
    <row r="66" spans="1:27" ht="14.25" customHeight="1" x14ac:dyDescent="0.35">
      <c r="A66" s="76">
        <v>0</v>
      </c>
      <c r="B66" s="87">
        <v>0</v>
      </c>
      <c r="C66" s="76" t="str">
        <v>Vihaan Vishal Sharma</v>
      </c>
      <c r="D66" s="78">
        <f>IF(C66=0,0,_xlfn.IFNA(IF( MATCH(C66,Rangliste!B:B,0)&gt;0,0,1),1))</f>
        <v>0</v>
      </c>
      <c r="E66" s="85" t="str">
        <f t="shared" si="0"/>
        <v/>
      </c>
      <c r="F66" s="85"/>
      <c r="G66" s="83"/>
      <c r="H66" s="86"/>
      <c r="I66" s="86"/>
      <c r="J66" s="86"/>
      <c r="K66" s="81"/>
      <c r="L66" s="82"/>
      <c r="M66" s="86"/>
      <c r="N66" s="86"/>
      <c r="O66" s="86"/>
      <c r="P66" s="86"/>
      <c r="Q66" s="86"/>
      <c r="R66" s="86"/>
      <c r="S66" s="86"/>
      <c r="T66" s="86"/>
      <c r="U66" s="86"/>
      <c r="V66" s="86"/>
      <c r="W66" s="86"/>
      <c r="X66" s="86"/>
      <c r="Y66" s="86"/>
      <c r="Z66" s="86"/>
      <c r="AA66" s="86"/>
    </row>
    <row r="67" spans="1:27" ht="14.25" customHeight="1" x14ac:dyDescent="0.35">
      <c r="A67" s="76">
        <v>0</v>
      </c>
      <c r="B67" s="87">
        <v>0</v>
      </c>
      <c r="C67" s="76" t="str">
        <v>Nitshada Keawsri</v>
      </c>
      <c r="D67" s="78">
        <f>IF(C67=0,0,_xlfn.IFNA(IF( MATCH(C67,Rangliste!B:B,0)&gt;0,0,1),1))</f>
        <v>0</v>
      </c>
      <c r="E67" s="85" t="str">
        <f t="shared" si="0"/>
        <v/>
      </c>
      <c r="F67" s="85"/>
      <c r="G67" s="83"/>
      <c r="H67" s="86"/>
      <c r="I67" s="86"/>
      <c r="J67" s="86"/>
      <c r="K67" s="81"/>
      <c r="L67" s="82"/>
      <c r="M67" s="86"/>
      <c r="N67" s="86"/>
      <c r="O67" s="86"/>
      <c r="P67" s="86"/>
      <c r="Q67" s="86"/>
      <c r="R67" s="86"/>
      <c r="S67" s="86"/>
      <c r="T67" s="86"/>
      <c r="U67" s="86"/>
      <c r="V67" s="86"/>
      <c r="W67" s="86"/>
      <c r="X67" s="86"/>
      <c r="Y67" s="86"/>
      <c r="Z67" s="86"/>
      <c r="AA67" s="86"/>
    </row>
    <row r="68" spans="1:27" ht="14.25" customHeight="1" x14ac:dyDescent="0.35">
      <c r="A68" s="76" t="str">
        <f t="array" ref="A68:A83">'WBV 2'!$B$3:$B$18</f>
        <v>Xinjie Chen</v>
      </c>
      <c r="B68" s="87" t="str">
        <f t="array" ref="B68:B99">'WBV 1'!$J$3:$J$34</f>
        <v>Levin Anderwald</v>
      </c>
      <c r="C68" s="76" t="str">
        <v>Agampreet Singh</v>
      </c>
      <c r="D68" s="78">
        <f>IF(C68=0,0,_xlfn.IFNA(IF( MATCH(C68,Rangliste!B:B,0)&gt;0,0,1),1))</f>
        <v>0</v>
      </c>
      <c r="E68" s="85" t="str">
        <f t="shared" si="0"/>
        <v/>
      </c>
      <c r="F68" s="85"/>
      <c r="G68" s="83"/>
      <c r="H68" s="86"/>
      <c r="I68" s="86"/>
      <c r="J68" s="86"/>
      <c r="K68" s="81"/>
      <c r="L68" s="82"/>
      <c r="M68" s="86"/>
      <c r="N68" s="86"/>
      <c r="O68" s="86"/>
      <c r="P68" s="86"/>
      <c r="Q68" s="86"/>
      <c r="R68" s="86"/>
      <c r="S68" s="86"/>
      <c r="T68" s="86"/>
      <c r="U68" s="86"/>
      <c r="V68" s="86"/>
      <c r="W68" s="86"/>
      <c r="X68" s="86"/>
      <c r="Y68" s="86"/>
      <c r="Z68" s="86"/>
      <c r="AA68" s="86"/>
    </row>
    <row r="69" spans="1:27" ht="14.25" customHeight="1" x14ac:dyDescent="0.35">
      <c r="A69" s="76" t="str">
        <v>Sebastian Dollinger</v>
      </c>
      <c r="B69" s="87" t="str">
        <v>Faraz Ahmed</v>
      </c>
      <c r="C69" s="76" t="str">
        <v>Elías García Strzeletz</v>
      </c>
      <c r="D69" s="78">
        <f>IF(C69=0,0,_xlfn.IFNA(IF( MATCH(C69,Rangliste!B:B,0)&gt;0,0,1),1))</f>
        <v>0</v>
      </c>
      <c r="E69" s="85" t="str">
        <f t="shared" si="0"/>
        <v/>
      </c>
      <c r="F69" s="85"/>
      <c r="G69" s="83"/>
      <c r="H69" s="86"/>
      <c r="I69" s="86"/>
      <c r="J69" s="86"/>
      <c r="K69" s="81"/>
      <c r="L69" s="82"/>
      <c r="M69" s="86"/>
      <c r="N69" s="86"/>
      <c r="O69" s="86"/>
      <c r="P69" s="86"/>
      <c r="Q69" s="86"/>
      <c r="R69" s="86"/>
      <c r="S69" s="86"/>
      <c r="T69" s="86"/>
      <c r="U69" s="86"/>
      <c r="V69" s="86"/>
      <c r="W69" s="86"/>
      <c r="X69" s="86"/>
      <c r="Y69" s="86"/>
      <c r="Z69" s="86"/>
      <c r="AA69" s="86"/>
    </row>
    <row r="70" spans="1:27" ht="14.25" customHeight="1" x14ac:dyDescent="0.35">
      <c r="A70" s="76" t="str">
        <v>Louis Liu</v>
      </c>
      <c r="B70" s="87" t="str">
        <v>Rafael Markus Gálos</v>
      </c>
      <c r="C70" s="76" t="str">
        <v>Aylin Simone Aktas</v>
      </c>
      <c r="D70" s="78">
        <f>IF(C70=0,0,_xlfn.IFNA(IF( MATCH(C70,Rangliste!B:B,0)&gt;0,0,1),1))</f>
        <v>0</v>
      </c>
      <c r="E70" s="85" t="str">
        <f t="shared" si="0"/>
        <v/>
      </c>
      <c r="F70" s="85"/>
      <c r="G70" s="83"/>
      <c r="H70" s="86"/>
      <c r="I70" s="86"/>
      <c r="J70" s="86"/>
      <c r="K70" s="81"/>
      <c r="L70" s="82"/>
      <c r="M70" s="86"/>
      <c r="N70" s="86"/>
      <c r="O70" s="86"/>
      <c r="P70" s="86"/>
      <c r="Q70" s="86"/>
      <c r="R70" s="86"/>
      <c r="S70" s="86"/>
      <c r="T70" s="86"/>
      <c r="U70" s="86"/>
      <c r="V70" s="86"/>
      <c r="W70" s="86"/>
      <c r="X70" s="86"/>
      <c r="Y70" s="86"/>
      <c r="Z70" s="86"/>
      <c r="AA70" s="86"/>
    </row>
    <row r="71" spans="1:27" ht="14.25" customHeight="1" x14ac:dyDescent="0.35">
      <c r="A71" s="76" t="str">
        <v>Faraz Ahmed</v>
      </c>
      <c r="B71" s="87" t="str">
        <v>Boen Yan</v>
      </c>
      <c r="C71" s="76" t="str">
        <v>Thalia Wetter</v>
      </c>
      <c r="D71" s="78">
        <f>IF(C71=0,0,_xlfn.IFNA(IF( MATCH(C71,Rangliste!B:B,0)&gt;0,0,1),1))</f>
        <v>0</v>
      </c>
      <c r="E71" s="85" t="str">
        <f t="shared" si="0"/>
        <v/>
      </c>
      <c r="F71" s="85"/>
      <c r="G71" s="83"/>
      <c r="H71" s="86"/>
      <c r="I71" s="86"/>
      <c r="J71" s="86"/>
      <c r="K71" s="81"/>
      <c r="L71" s="82"/>
      <c r="M71" s="86"/>
      <c r="N71" s="86"/>
      <c r="O71" s="86"/>
      <c r="P71" s="86"/>
      <c r="Q71" s="86"/>
      <c r="R71" s="86"/>
      <c r="S71" s="86"/>
      <c r="T71" s="86"/>
      <c r="U71" s="86"/>
      <c r="V71" s="86"/>
      <c r="W71" s="86"/>
      <c r="X71" s="86"/>
      <c r="Y71" s="86"/>
      <c r="Z71" s="86"/>
      <c r="AA71" s="86"/>
    </row>
    <row r="72" spans="1:27" ht="14.25" customHeight="1" x14ac:dyDescent="0.35">
      <c r="A72" s="76" t="str">
        <v>Emilia Nagy</v>
      </c>
      <c r="B72" s="87" t="str">
        <v>Christoph Fessl</v>
      </c>
      <c r="C72" s="76" t="str">
        <v>Antonio Garcia Strzeletz</v>
      </c>
      <c r="D72" s="78">
        <f>IF(C72=0,0,_xlfn.IFNA(IF( MATCH(C72,Rangliste!B:B,0)&gt;0,0,1),1))</f>
        <v>0</v>
      </c>
      <c r="E72" s="85" t="str">
        <f t="shared" si="0"/>
        <v/>
      </c>
      <c r="F72" s="85"/>
      <c r="G72" s="83"/>
      <c r="H72" s="86"/>
      <c r="I72" s="86"/>
      <c r="J72" s="86"/>
      <c r="K72" s="81"/>
      <c r="L72" s="82"/>
      <c r="M72" s="86"/>
      <c r="N72" s="86"/>
      <c r="O72" s="86"/>
      <c r="P72" s="86"/>
      <c r="Q72" s="86"/>
      <c r="R72" s="86"/>
      <c r="S72" s="86"/>
      <c r="T72" s="86"/>
      <c r="U72" s="86"/>
      <c r="V72" s="86"/>
      <c r="W72" s="86"/>
      <c r="X72" s="86"/>
      <c r="Y72" s="86"/>
      <c r="Z72" s="86"/>
      <c r="AA72" s="86"/>
    </row>
    <row r="73" spans="1:27" ht="14.25" customHeight="1" x14ac:dyDescent="0.35">
      <c r="A73" s="76">
        <v>0</v>
      </c>
      <c r="B73" s="87" t="str">
        <v>Melanie Pichler</v>
      </c>
      <c r="C73" s="76" t="str">
        <v>Linna Dai</v>
      </c>
      <c r="D73" s="78">
        <f>IF(C73=0,0,_xlfn.IFNA(IF( MATCH(C73,Rangliste!B:B,0)&gt;0,0,1),1))</f>
        <v>0</v>
      </c>
      <c r="E73" s="85" t="str">
        <f t="shared" si="0"/>
        <v/>
      </c>
      <c r="F73" s="85"/>
      <c r="G73" s="83"/>
      <c r="H73" s="86"/>
      <c r="I73" s="86"/>
      <c r="J73" s="86"/>
      <c r="K73" s="81"/>
      <c r="L73" s="82"/>
      <c r="M73" s="86"/>
      <c r="N73" s="86"/>
      <c r="O73" s="86"/>
      <c r="P73" s="86"/>
      <c r="Q73" s="86"/>
      <c r="R73" s="86"/>
      <c r="S73" s="86"/>
      <c r="T73" s="86"/>
      <c r="U73" s="86"/>
      <c r="V73" s="86"/>
      <c r="W73" s="86"/>
      <c r="X73" s="86"/>
      <c r="Y73" s="86"/>
      <c r="Z73" s="86"/>
      <c r="AA73" s="86"/>
    </row>
    <row r="74" spans="1:27" ht="14.25" customHeight="1" x14ac:dyDescent="0.35">
      <c r="A74" s="76">
        <v>0</v>
      </c>
      <c r="B74" s="87" t="str">
        <v>Golsamin Harandi</v>
      </c>
      <c r="C74" s="76" t="str">
        <v>Emil Kofler-Strigl</v>
      </c>
      <c r="D74" s="78">
        <f>IF(C74=0,0,_xlfn.IFNA(IF( MATCH(C74,Rangliste!B:B,0)&gt;0,0,1),1))</f>
        <v>0</v>
      </c>
      <c r="E74" s="85" t="str">
        <f t="shared" si="0"/>
        <v/>
      </c>
      <c r="F74" s="85"/>
      <c r="G74" s="83"/>
      <c r="H74" s="86"/>
      <c r="I74" s="86"/>
      <c r="J74" s="86"/>
      <c r="K74" s="81"/>
      <c r="L74" s="82"/>
      <c r="M74" s="86"/>
      <c r="N74" s="86"/>
      <c r="O74" s="86"/>
      <c r="P74" s="86"/>
      <c r="Q74" s="86"/>
      <c r="R74" s="86"/>
      <c r="S74" s="86"/>
      <c r="T74" s="86"/>
      <c r="U74" s="86"/>
      <c r="V74" s="86"/>
      <c r="W74" s="86"/>
      <c r="X74" s="86"/>
      <c r="Y74" s="86"/>
      <c r="Z74" s="86"/>
      <c r="AA74" s="86"/>
    </row>
    <row r="75" spans="1:27" ht="14.25" customHeight="1" x14ac:dyDescent="0.35">
      <c r="A75" s="76">
        <v>0</v>
      </c>
      <c r="B75" s="87" t="str">
        <v>Adrian Novotny</v>
      </c>
      <c r="C75" s="76" t="str">
        <v>Karl Edlinger</v>
      </c>
      <c r="D75" s="78">
        <f>IF(C75=0,0,_xlfn.IFNA(IF( MATCH(C75,Rangliste!B:B,0)&gt;0,0,1),1))</f>
        <v>0</v>
      </c>
      <c r="E75" s="85" t="str">
        <f t="shared" si="0"/>
        <v/>
      </c>
      <c r="F75" s="85"/>
      <c r="G75" s="83"/>
      <c r="H75" s="86"/>
      <c r="I75" s="86"/>
      <c r="J75" s="86"/>
      <c r="K75" s="81"/>
      <c r="L75" s="82"/>
      <c r="M75" s="86"/>
      <c r="N75" s="86"/>
      <c r="O75" s="86"/>
      <c r="P75" s="86"/>
      <c r="Q75" s="86"/>
      <c r="R75" s="86"/>
      <c r="S75" s="86"/>
      <c r="T75" s="86"/>
      <c r="U75" s="86"/>
      <c r="V75" s="86"/>
      <c r="W75" s="86"/>
      <c r="X75" s="86"/>
      <c r="Y75" s="86"/>
      <c r="Z75" s="86"/>
      <c r="AA75" s="86"/>
    </row>
    <row r="76" spans="1:27" ht="14.25" customHeight="1" x14ac:dyDescent="0.35">
      <c r="A76" s="76">
        <v>0</v>
      </c>
      <c r="B76" s="87" t="str">
        <v>Alexander Huang</v>
      </c>
      <c r="C76" s="76" t="str">
        <v>Yinuo Chen</v>
      </c>
      <c r="D76" s="78">
        <f>IF(C76=0,0,_xlfn.IFNA(IF( MATCH(C76,Rangliste!B:B,0)&gt;0,0,1),1))</f>
        <v>0</v>
      </c>
      <c r="E76" s="85" t="str">
        <f t="shared" si="0"/>
        <v/>
      </c>
      <c r="F76" s="85"/>
      <c r="G76" s="83"/>
      <c r="H76" s="86"/>
      <c r="I76" s="86"/>
      <c r="J76" s="86"/>
      <c r="K76" s="81"/>
      <c r="L76" s="82"/>
      <c r="M76" s="86"/>
      <c r="N76" s="86"/>
      <c r="O76" s="86"/>
      <c r="P76" s="86"/>
      <c r="Q76" s="86"/>
      <c r="R76" s="86"/>
      <c r="S76" s="86"/>
      <c r="T76" s="86"/>
      <c r="U76" s="86"/>
      <c r="V76" s="86"/>
      <c r="W76" s="86"/>
      <c r="X76" s="86"/>
      <c r="Y76" s="86"/>
      <c r="Z76" s="86"/>
      <c r="AA76" s="86"/>
    </row>
    <row r="77" spans="1:27" ht="14.25" customHeight="1" x14ac:dyDescent="0.35">
      <c r="A77" s="76">
        <v>0</v>
      </c>
      <c r="B77" s="87">
        <v>0</v>
      </c>
      <c r="C77" s="76" t="str">
        <v>Anton Edlinger</v>
      </c>
      <c r="D77" s="78">
        <f>IF(C77=0,0,_xlfn.IFNA(IF( MATCH(C77,Rangliste!B:B,0)&gt;0,0,1),1))</f>
        <v>0</v>
      </c>
      <c r="E77" s="85" t="str">
        <f t="shared" si="0"/>
        <v/>
      </c>
      <c r="F77" s="85"/>
      <c r="G77" s="83"/>
      <c r="H77" s="86"/>
      <c r="I77" s="86"/>
      <c r="J77" s="86"/>
      <c r="K77" s="81"/>
      <c r="L77" s="82"/>
      <c r="M77" s="86"/>
      <c r="N77" s="86"/>
      <c r="O77" s="86"/>
      <c r="P77" s="86"/>
      <c r="Q77" s="86"/>
      <c r="R77" s="86"/>
      <c r="S77" s="86"/>
      <c r="T77" s="86"/>
      <c r="U77" s="86"/>
      <c r="V77" s="86"/>
      <c r="W77" s="86"/>
      <c r="X77" s="86"/>
      <c r="Y77" s="86"/>
      <c r="Z77" s="86"/>
      <c r="AA77" s="86"/>
    </row>
    <row r="78" spans="1:27" ht="14.25" customHeight="1" x14ac:dyDescent="0.35">
      <c r="A78" s="76">
        <v>0</v>
      </c>
      <c r="B78" s="87">
        <v>0</v>
      </c>
      <c r="C78" s="76" t="str">
        <v>Benjamin Nagy</v>
      </c>
      <c r="D78" s="78">
        <f>IF(C78=0,0,_xlfn.IFNA(IF( MATCH(C78,Rangliste!B:B,0)&gt;0,0,1),1))</f>
        <v>0</v>
      </c>
      <c r="E78" s="85" t="str">
        <f t="shared" si="0"/>
        <v/>
      </c>
      <c r="F78" s="85"/>
      <c r="G78" s="83"/>
      <c r="H78" s="86"/>
      <c r="I78" s="86"/>
      <c r="J78" s="86"/>
      <c r="K78" s="81"/>
      <c r="L78" s="82"/>
      <c r="M78" s="86"/>
      <c r="N78" s="86"/>
      <c r="O78" s="86"/>
      <c r="P78" s="86"/>
      <c r="Q78" s="86"/>
      <c r="R78" s="86"/>
      <c r="S78" s="86"/>
      <c r="T78" s="86"/>
      <c r="U78" s="86"/>
      <c r="V78" s="86"/>
      <c r="W78" s="86"/>
      <c r="X78" s="86"/>
      <c r="Y78" s="86"/>
      <c r="Z78" s="86"/>
      <c r="AA78" s="86"/>
    </row>
    <row r="79" spans="1:27" ht="14.25" customHeight="1" x14ac:dyDescent="0.35">
      <c r="A79" s="76">
        <v>0</v>
      </c>
      <c r="B79" s="87">
        <v>0</v>
      </c>
      <c r="C79" s="76" t="str">
        <v>Livia Novotny</v>
      </c>
      <c r="D79" s="78">
        <f>IF(C79=0,0,_xlfn.IFNA(IF( MATCH(C79,Rangliste!B:B,0)&gt;0,0,1),1))</f>
        <v>0</v>
      </c>
      <c r="E79" s="85" t="str">
        <f t="shared" si="0"/>
        <v/>
      </c>
      <c r="F79" s="85"/>
      <c r="G79" s="83"/>
      <c r="H79" s="86"/>
      <c r="I79" s="86"/>
      <c r="J79" s="86"/>
      <c r="K79" s="81"/>
      <c r="L79" s="82"/>
      <c r="M79" s="86"/>
      <c r="N79" s="86"/>
      <c r="O79" s="86"/>
      <c r="P79" s="86"/>
      <c r="Q79" s="86"/>
      <c r="R79" s="86"/>
      <c r="S79" s="86"/>
      <c r="T79" s="86"/>
      <c r="U79" s="86"/>
      <c r="V79" s="86"/>
      <c r="W79" s="86"/>
      <c r="X79" s="86"/>
      <c r="Y79" s="86"/>
      <c r="Z79" s="86"/>
      <c r="AA79" s="86"/>
    </row>
    <row r="80" spans="1:27" ht="14.25" customHeight="1" x14ac:dyDescent="0.35">
      <c r="A80" s="76">
        <v>0</v>
      </c>
      <c r="B80" s="87">
        <v>0</v>
      </c>
      <c r="C80" s="76" t="str">
        <v>Ben Hollaus</v>
      </c>
      <c r="D80" s="78">
        <f>IF(C80=0,0,_xlfn.IFNA(IF( MATCH(C80,Rangliste!B:B,0)&gt;0,0,1),1))</f>
        <v>0</v>
      </c>
      <c r="E80" s="85" t="str">
        <f t="shared" si="0"/>
        <v/>
      </c>
      <c r="F80" s="85"/>
      <c r="G80" s="83"/>
      <c r="H80" s="86"/>
      <c r="I80" s="86"/>
      <c r="J80" s="86"/>
      <c r="K80" s="81"/>
      <c r="L80" s="82"/>
      <c r="M80" s="86"/>
      <c r="N80" s="86"/>
      <c r="O80" s="86"/>
      <c r="P80" s="86"/>
      <c r="Q80" s="86"/>
      <c r="R80" s="86"/>
      <c r="S80" s="86"/>
      <c r="T80" s="86"/>
      <c r="U80" s="86"/>
      <c r="V80" s="86"/>
      <c r="W80" s="86"/>
      <c r="X80" s="86"/>
      <c r="Y80" s="86"/>
      <c r="Z80" s="86"/>
      <c r="AA80" s="86"/>
    </row>
    <row r="81" spans="1:27" ht="14.25" customHeight="1" x14ac:dyDescent="0.35">
      <c r="A81" s="76">
        <v>0</v>
      </c>
      <c r="B81" s="87">
        <v>0</v>
      </c>
      <c r="C81" s="76" t="str">
        <v>Fabian Faller</v>
      </c>
      <c r="D81" s="78">
        <f>IF(C81=0,0,_xlfn.IFNA(IF( MATCH(C81,Rangliste!B:B,0)&gt;0,0,1),1))</f>
        <v>0</v>
      </c>
      <c r="E81" s="85" t="str">
        <f t="shared" si="0"/>
        <v/>
      </c>
      <c r="F81" s="85"/>
      <c r="G81" s="83"/>
      <c r="H81" s="86"/>
      <c r="I81" s="86"/>
      <c r="J81" s="86"/>
      <c r="K81" s="81"/>
      <c r="L81" s="82"/>
      <c r="M81" s="86"/>
      <c r="N81" s="86"/>
      <c r="O81" s="86"/>
      <c r="P81" s="86"/>
      <c r="Q81" s="86"/>
      <c r="R81" s="86"/>
      <c r="S81" s="86"/>
      <c r="T81" s="86"/>
      <c r="U81" s="86"/>
      <c r="V81" s="86"/>
      <c r="W81" s="86"/>
      <c r="X81" s="86"/>
      <c r="Y81" s="86"/>
      <c r="Z81" s="86"/>
      <c r="AA81" s="86"/>
    </row>
    <row r="82" spans="1:27" ht="14.25" customHeight="1" x14ac:dyDescent="0.35">
      <c r="A82" s="76">
        <v>0</v>
      </c>
      <c r="B82" s="87">
        <v>0</v>
      </c>
      <c r="C82" s="76" t="str">
        <v>Philipp Grebien</v>
      </c>
      <c r="D82" s="78">
        <f>IF(C82=0,0,_xlfn.IFNA(IF( MATCH(C82,Rangliste!B:B,0)&gt;0,0,1),1))</f>
        <v>0</v>
      </c>
      <c r="E82" s="85" t="str">
        <f t="shared" si="0"/>
        <v/>
      </c>
      <c r="F82" s="85"/>
      <c r="G82" s="83"/>
      <c r="H82" s="86"/>
      <c r="I82" s="86"/>
      <c r="J82" s="86"/>
      <c r="K82" s="81"/>
      <c r="L82" s="82"/>
      <c r="M82" s="86"/>
      <c r="N82" s="86"/>
      <c r="O82" s="86"/>
      <c r="P82" s="86"/>
      <c r="Q82" s="86"/>
      <c r="R82" s="86"/>
      <c r="S82" s="86"/>
      <c r="T82" s="86"/>
      <c r="U82" s="86"/>
      <c r="V82" s="86"/>
      <c r="W82" s="86"/>
      <c r="X82" s="86"/>
      <c r="Y82" s="86"/>
      <c r="Z82" s="86"/>
      <c r="AA82" s="86"/>
    </row>
    <row r="83" spans="1:27" ht="14.25" customHeight="1" x14ac:dyDescent="0.35">
      <c r="A83" s="76">
        <v>0</v>
      </c>
      <c r="B83" s="87">
        <v>0</v>
      </c>
      <c r="C83" s="76" t="str">
        <v>Agam Singh</v>
      </c>
      <c r="D83" s="78">
        <f>IF(C83=0,0,_xlfn.IFNA(IF( MATCH(C83,Rangliste!B:B,0)&gt;0,0,1),1))</f>
        <v>0</v>
      </c>
      <c r="E83" s="85" t="str">
        <f t="shared" si="0"/>
        <v/>
      </c>
      <c r="F83" s="85"/>
      <c r="G83" s="83"/>
      <c r="H83" s="86"/>
      <c r="I83" s="86"/>
      <c r="J83" s="86"/>
      <c r="K83" s="81"/>
      <c r="L83" s="82"/>
      <c r="M83" s="86"/>
      <c r="N83" s="86"/>
      <c r="O83" s="86"/>
      <c r="P83" s="86"/>
      <c r="Q83" s="86"/>
      <c r="R83" s="86"/>
      <c r="S83" s="86"/>
      <c r="T83" s="86"/>
      <c r="U83" s="86"/>
      <c r="V83" s="86"/>
      <c r="W83" s="86"/>
      <c r="X83" s="86"/>
      <c r="Y83" s="86"/>
      <c r="Z83" s="86"/>
      <c r="AA83" s="86"/>
    </row>
    <row r="84" spans="1:27" ht="14.25" customHeight="1" x14ac:dyDescent="0.35">
      <c r="A84" s="76" t="str">
        <f t="array" ref="A84:A99">'WBV 2'!$F$3:$F$18</f>
        <v>Max Xia</v>
      </c>
      <c r="B84" s="87">
        <v>0</v>
      </c>
      <c r="C84" s="76" t="str">
        <v>Robin Schweiger</v>
      </c>
      <c r="D84" s="78">
        <f>IF(C84=0,0,_xlfn.IFNA(IF( MATCH(C84,Rangliste!B:B,0)&gt;0,0,1),1))</f>
        <v>0</v>
      </c>
      <c r="E84" s="85" t="str">
        <f t="shared" si="0"/>
        <v/>
      </c>
      <c r="F84" s="85"/>
      <c r="G84" s="83"/>
      <c r="H84" s="86"/>
      <c r="I84" s="86"/>
      <c r="J84" s="86"/>
      <c r="K84" s="81"/>
      <c r="L84" s="82"/>
      <c r="M84" s="86"/>
      <c r="N84" s="86"/>
      <c r="O84" s="86"/>
      <c r="P84" s="86"/>
      <c r="Q84" s="86"/>
      <c r="R84" s="86"/>
      <c r="S84" s="86"/>
      <c r="T84" s="86"/>
      <c r="U84" s="86"/>
      <c r="V84" s="86"/>
      <c r="W84" s="86"/>
      <c r="X84" s="86"/>
      <c r="Y84" s="86"/>
      <c r="Z84" s="86"/>
      <c r="AA84" s="86"/>
    </row>
    <row r="85" spans="1:27" ht="14.25" customHeight="1" x14ac:dyDescent="0.35">
      <c r="A85" s="76" t="str">
        <v>Terrence Chen</v>
      </c>
      <c r="B85" s="87">
        <v>0</v>
      </c>
      <c r="C85" s="76" t="str">
        <v>Leonard Keiler</v>
      </c>
      <c r="D85" s="78">
        <f>IF(C85=0,0,_xlfn.IFNA(IF( MATCH(C85,Rangliste!B:B,0)&gt;0,0,1),1))</f>
        <v>0</v>
      </c>
      <c r="E85" s="85" t="str">
        <f t="shared" si="0"/>
        <v/>
      </c>
      <c r="F85" s="85"/>
      <c r="G85" s="83"/>
      <c r="H85" s="86"/>
      <c r="I85" s="86"/>
      <c r="J85" s="86"/>
      <c r="K85" s="81"/>
      <c r="L85" s="82"/>
      <c r="M85" s="86"/>
      <c r="N85" s="86"/>
      <c r="O85" s="86"/>
      <c r="P85" s="86"/>
      <c r="Q85" s="86"/>
      <c r="R85" s="86"/>
      <c r="S85" s="86"/>
      <c r="T85" s="86"/>
      <c r="U85" s="86"/>
      <c r="V85" s="86"/>
      <c r="W85" s="86"/>
      <c r="X85" s="86"/>
      <c r="Y85" s="86"/>
      <c r="Z85" s="86"/>
      <c r="AA85" s="86"/>
    </row>
    <row r="86" spans="1:27" ht="14.25" customHeight="1" x14ac:dyDescent="0.35">
      <c r="A86" s="76" t="str">
        <v>Mina Ruenroeng</v>
      </c>
      <c r="B86" s="87">
        <v>0</v>
      </c>
      <c r="C86" s="76" t="str">
        <v>Tim Loy</v>
      </c>
      <c r="D86" s="78">
        <f>IF(C86=0,0,_xlfn.IFNA(IF( MATCH(C86,Rangliste!B:B,0)&gt;0,0,1),1))</f>
        <v>0</v>
      </c>
      <c r="E86" s="85" t="str">
        <f t="shared" si="0"/>
        <v/>
      </c>
      <c r="F86" s="85"/>
      <c r="G86" s="83"/>
      <c r="H86" s="86"/>
      <c r="I86" s="86"/>
      <c r="J86" s="86"/>
      <c r="K86" s="81"/>
      <c r="L86" s="82"/>
      <c r="M86" s="86"/>
      <c r="N86" s="86"/>
      <c r="O86" s="86"/>
      <c r="P86" s="86"/>
      <c r="Q86" s="86"/>
      <c r="R86" s="86"/>
      <c r="S86" s="86"/>
      <c r="T86" s="86"/>
      <c r="U86" s="86"/>
      <c r="V86" s="86"/>
      <c r="W86" s="86"/>
      <c r="X86" s="86"/>
      <c r="Y86" s="86"/>
      <c r="Z86" s="86"/>
      <c r="AA86" s="86"/>
    </row>
    <row r="87" spans="1:27" ht="14.25" customHeight="1" x14ac:dyDescent="0.35">
      <c r="A87" s="76" t="str">
        <v>Kiril Barthel</v>
      </c>
      <c r="B87" s="87">
        <v>0</v>
      </c>
      <c r="C87" s="76" t="str">
        <v>Marco Chen</v>
      </c>
      <c r="D87" s="78">
        <f>IF(C87=0,0,_xlfn.IFNA(IF( MATCH(C87,Rangliste!B:B,0)&gt;0,0,1),1))</f>
        <v>0</v>
      </c>
      <c r="E87" s="85" t="str">
        <f t="shared" si="0"/>
        <v/>
      </c>
      <c r="F87" s="85"/>
      <c r="G87" s="83"/>
      <c r="H87" s="86"/>
      <c r="I87" s="86"/>
      <c r="J87" s="86"/>
      <c r="K87" s="81"/>
      <c r="L87" s="82"/>
      <c r="M87" s="86"/>
      <c r="N87" s="86"/>
      <c r="O87" s="86"/>
      <c r="P87" s="86"/>
      <c r="Q87" s="86"/>
      <c r="R87" s="86"/>
      <c r="S87" s="86"/>
      <c r="T87" s="86"/>
      <c r="U87" s="86"/>
      <c r="V87" s="86"/>
      <c r="W87" s="86"/>
      <c r="X87" s="86"/>
      <c r="Y87" s="86"/>
      <c r="Z87" s="86"/>
      <c r="AA87" s="86"/>
    </row>
    <row r="88" spans="1:27" ht="14.25" customHeight="1" x14ac:dyDescent="0.35">
      <c r="A88" s="76" t="str">
        <v>Maximilian Wegenstein</v>
      </c>
      <c r="B88" s="87">
        <v>0</v>
      </c>
      <c r="C88" s="76" t="str">
        <v>Leon Frank</v>
      </c>
      <c r="D88" s="78">
        <f>IF(C88=0,0,_xlfn.IFNA(IF( MATCH(C88,Rangliste!B:B,0)&gt;0,0,1),1))</f>
        <v>0</v>
      </c>
      <c r="E88" s="85" t="str">
        <f t="shared" si="0"/>
        <v/>
      </c>
      <c r="F88" s="85"/>
      <c r="G88" s="83"/>
      <c r="H88" s="86"/>
      <c r="I88" s="86"/>
      <c r="J88" s="86"/>
      <c r="K88" s="81"/>
      <c r="L88" s="82"/>
      <c r="M88" s="86"/>
      <c r="N88" s="86"/>
      <c r="O88" s="86"/>
      <c r="P88" s="86"/>
      <c r="Q88" s="86"/>
      <c r="R88" s="86"/>
      <c r="S88" s="86"/>
      <c r="T88" s="86"/>
      <c r="U88" s="86"/>
      <c r="V88" s="86"/>
      <c r="W88" s="86"/>
      <c r="X88" s="86"/>
      <c r="Y88" s="86"/>
      <c r="Z88" s="86"/>
      <c r="AA88" s="86"/>
    </row>
    <row r="89" spans="1:27" ht="14.25" customHeight="1" x14ac:dyDescent="0.35">
      <c r="A89" s="76" t="str">
        <v>Laura Schindler</v>
      </c>
      <c r="B89" s="87">
        <v>0</v>
      </c>
      <c r="C89" s="76" t="str">
        <v>Sophie Zirnwald</v>
      </c>
      <c r="D89" s="78">
        <f>IF(C89=0,0,_xlfn.IFNA(IF( MATCH(C89,Rangliste!B:B,0)&gt;0,0,1),1))</f>
        <v>0</v>
      </c>
      <c r="E89" s="85" t="str">
        <f t="shared" si="0"/>
        <v/>
      </c>
      <c r="F89" s="85"/>
      <c r="G89" s="83"/>
      <c r="H89" s="86"/>
      <c r="I89" s="86"/>
      <c r="J89" s="86"/>
      <c r="K89" s="81"/>
      <c r="L89" s="82"/>
      <c r="M89" s="86"/>
      <c r="N89" s="86"/>
      <c r="O89" s="86"/>
      <c r="P89" s="86"/>
      <c r="Q89" s="86"/>
      <c r="R89" s="86"/>
      <c r="S89" s="86"/>
      <c r="T89" s="86"/>
      <c r="U89" s="86"/>
      <c r="V89" s="86"/>
      <c r="W89" s="86"/>
      <c r="X89" s="86"/>
      <c r="Y89" s="86"/>
      <c r="Z89" s="86"/>
      <c r="AA89" s="86"/>
    </row>
    <row r="90" spans="1:27" ht="14.25" customHeight="1" x14ac:dyDescent="0.35">
      <c r="A90" s="76" t="str">
        <v>Levin Anderwald</v>
      </c>
      <c r="B90" s="87">
        <v>0</v>
      </c>
      <c r="C90" s="76" t="str">
        <v>Lana Ziyue Dai</v>
      </c>
      <c r="D90" s="78">
        <f>IF(C90=0,0,_xlfn.IFNA(IF( MATCH(C90,Rangliste!B:B,0)&gt;0,0,1),1))</f>
        <v>0</v>
      </c>
      <c r="E90" s="85" t="str">
        <f t="shared" si="0"/>
        <v/>
      </c>
      <c r="F90" s="85"/>
      <c r="G90" s="83"/>
      <c r="H90" s="86"/>
      <c r="I90" s="86"/>
      <c r="J90" s="86"/>
      <c r="K90" s="81"/>
      <c r="L90" s="82"/>
      <c r="M90" s="86"/>
      <c r="N90" s="86"/>
      <c r="O90" s="86"/>
      <c r="P90" s="86"/>
      <c r="Q90" s="86"/>
      <c r="R90" s="86"/>
      <c r="S90" s="86"/>
      <c r="T90" s="86"/>
      <c r="U90" s="86"/>
      <c r="V90" s="86"/>
      <c r="W90" s="86"/>
      <c r="X90" s="86"/>
      <c r="Y90" s="86"/>
      <c r="Z90" s="86"/>
      <c r="AA90" s="86"/>
    </row>
    <row r="91" spans="1:27" ht="14.25" customHeight="1" x14ac:dyDescent="0.35">
      <c r="A91" s="76" t="str">
        <v>Boen Yan</v>
      </c>
      <c r="B91" s="87">
        <v>0</v>
      </c>
      <c r="C91" s="76" t="str">
        <v>Haorui Qu</v>
      </c>
      <c r="D91" s="78">
        <f>IF(C91=0,0,_xlfn.IFNA(IF( MATCH(C91,Rangliste!B:B,0)&gt;0,0,1),1))</f>
        <v>0</v>
      </c>
      <c r="E91" s="85" t="str">
        <f t="shared" si="0"/>
        <v/>
      </c>
      <c r="F91" s="85"/>
      <c r="G91" s="83"/>
      <c r="H91" s="86"/>
      <c r="I91" s="86"/>
      <c r="J91" s="86"/>
      <c r="K91" s="81"/>
      <c r="L91" s="82"/>
      <c r="M91" s="86"/>
      <c r="N91" s="86"/>
      <c r="O91" s="86"/>
      <c r="P91" s="86"/>
      <c r="Q91" s="86"/>
      <c r="R91" s="86"/>
      <c r="S91" s="86"/>
      <c r="T91" s="86"/>
      <c r="U91" s="86"/>
      <c r="V91" s="86"/>
      <c r="W91" s="86"/>
      <c r="X91" s="86"/>
      <c r="Y91" s="86"/>
      <c r="Z91" s="86"/>
      <c r="AA91" s="86"/>
    </row>
    <row r="92" spans="1:27" ht="14.25" customHeight="1" x14ac:dyDescent="0.35">
      <c r="A92" s="76" t="str">
        <v>Lola Ahammer</v>
      </c>
      <c r="B92" s="87">
        <v>0</v>
      </c>
      <c r="C92" s="76" t="str">
        <v>Yunqi Yang</v>
      </c>
      <c r="D92" s="78">
        <f>IF(C92=0,0,_xlfn.IFNA(IF( MATCH(C92,Rangliste!B:B,0)&gt;0,0,1),1))</f>
        <v>0</v>
      </c>
      <c r="E92" s="85" t="str">
        <f t="shared" si="0"/>
        <v/>
      </c>
      <c r="F92" s="85"/>
      <c r="G92" s="83"/>
      <c r="H92" s="86"/>
      <c r="I92" s="86"/>
      <c r="J92" s="86"/>
      <c r="K92" s="81"/>
      <c r="L92" s="82"/>
      <c r="M92" s="86"/>
      <c r="N92" s="86"/>
      <c r="O92" s="86"/>
      <c r="P92" s="86"/>
      <c r="Q92" s="86"/>
      <c r="R92" s="86"/>
      <c r="S92" s="86"/>
      <c r="T92" s="86"/>
      <c r="U92" s="86"/>
      <c r="V92" s="86"/>
      <c r="W92" s="86"/>
      <c r="X92" s="86"/>
      <c r="Y92" s="86"/>
      <c r="Z92" s="86"/>
      <c r="AA92" s="86"/>
    </row>
    <row r="93" spans="1:27" ht="14.25" customHeight="1" x14ac:dyDescent="0.35">
      <c r="A93" s="76" t="str">
        <v>Miriam Duchac-Oberndorfer</v>
      </c>
      <c r="B93" s="87">
        <v>0</v>
      </c>
      <c r="C93" s="76" t="str">
        <v>Wolfgang Scheifinger</v>
      </c>
      <c r="D93" s="78">
        <f>IF(C93=0,0,_xlfn.IFNA(IF( MATCH(C93,Rangliste!B:B,0)&gt;0,0,1),1))</f>
        <v>0</v>
      </c>
      <c r="E93" s="85" t="str">
        <f t="shared" si="0"/>
        <v/>
      </c>
      <c r="F93" s="85"/>
      <c r="G93" s="83"/>
      <c r="H93" s="86"/>
      <c r="I93" s="86"/>
      <c r="J93" s="86"/>
      <c r="K93" s="81"/>
      <c r="L93" s="82"/>
      <c r="M93" s="86"/>
      <c r="N93" s="86"/>
      <c r="O93" s="86"/>
      <c r="P93" s="86"/>
      <c r="Q93" s="86"/>
      <c r="R93" s="86"/>
      <c r="S93" s="86"/>
      <c r="T93" s="86"/>
      <c r="U93" s="86"/>
      <c r="V93" s="86"/>
      <c r="W93" s="86"/>
      <c r="X93" s="86"/>
      <c r="Y93" s="86"/>
      <c r="Z93" s="86"/>
      <c r="AA93" s="86"/>
    </row>
    <row r="94" spans="1:27" ht="14.25" customHeight="1" x14ac:dyDescent="0.35">
      <c r="A94" s="76" t="str">
        <v>Rafael Markus Gálos</v>
      </c>
      <c r="B94" s="87">
        <v>0</v>
      </c>
      <c r="C94" s="76" t="str">
        <v>Sebastian Steiner</v>
      </c>
      <c r="D94" s="78">
        <f>IF(C94=0,0,_xlfn.IFNA(IF( MATCH(C94,Rangliste!B:B,0)&gt;0,0,1),1))</f>
        <v>0</v>
      </c>
      <c r="E94" s="85" t="str">
        <f t="shared" si="0"/>
        <v/>
      </c>
      <c r="F94" s="85"/>
      <c r="G94" s="83"/>
      <c r="H94" s="86"/>
      <c r="I94" s="86"/>
      <c r="J94" s="86"/>
      <c r="K94" s="81"/>
      <c r="L94" s="82"/>
      <c r="M94" s="86"/>
      <c r="N94" s="86"/>
      <c r="O94" s="86"/>
      <c r="P94" s="86"/>
      <c r="Q94" s="86"/>
      <c r="R94" s="86"/>
      <c r="S94" s="86"/>
      <c r="T94" s="86"/>
      <c r="U94" s="86"/>
      <c r="V94" s="86"/>
      <c r="W94" s="86"/>
      <c r="X94" s="86"/>
      <c r="Y94" s="86"/>
      <c r="Z94" s="86"/>
      <c r="AA94" s="86"/>
    </row>
    <row r="95" spans="1:27" ht="14.25" customHeight="1" x14ac:dyDescent="0.35">
      <c r="A95" s="76" t="str">
        <v>Moritz Köstl</v>
      </c>
      <c r="B95" s="87">
        <v>0</v>
      </c>
      <c r="C95" s="76" t="str">
        <v>Leandra Pfendesak</v>
      </c>
      <c r="D95" s="78">
        <f>IF(C95=0,0,_xlfn.IFNA(IF( MATCH(C95,Rangliste!B:B,0)&gt;0,0,1),1))</f>
        <v>0</v>
      </c>
      <c r="E95" s="85" t="str">
        <f t="shared" si="0"/>
        <v/>
      </c>
      <c r="F95" s="85"/>
      <c r="G95" s="83"/>
      <c r="H95" s="86"/>
      <c r="I95" s="86"/>
      <c r="J95" s="86"/>
      <c r="K95" s="81"/>
      <c r="L95" s="82"/>
      <c r="M95" s="86"/>
      <c r="N95" s="86"/>
      <c r="O95" s="86"/>
      <c r="P95" s="86"/>
      <c r="Q95" s="86"/>
      <c r="R95" s="86"/>
      <c r="S95" s="86"/>
      <c r="T95" s="86"/>
      <c r="U95" s="86"/>
      <c r="V95" s="86"/>
      <c r="W95" s="86"/>
      <c r="X95" s="86"/>
      <c r="Y95" s="86"/>
      <c r="Z95" s="86"/>
      <c r="AA95" s="86"/>
    </row>
    <row r="96" spans="1:27" ht="14.25" customHeight="1" x14ac:dyDescent="0.35">
      <c r="A96" s="76" t="str">
        <v>Leonhard Keiler</v>
      </c>
      <c r="B96" s="87">
        <v>0</v>
      </c>
      <c r="C96" s="76" t="str">
        <v>Randeep Sekhon</v>
      </c>
      <c r="D96" s="78">
        <f>IF(C96=0,0,_xlfn.IFNA(IF( MATCH(C96,Rangliste!B:B,0)&gt;0,0,1),1))</f>
        <v>0</v>
      </c>
      <c r="E96" s="85" t="str">
        <f t="shared" si="0"/>
        <v/>
      </c>
      <c r="F96" s="85"/>
      <c r="G96" s="83"/>
      <c r="H96" s="86"/>
      <c r="I96" s="86"/>
      <c r="J96" s="86"/>
      <c r="K96" s="81"/>
      <c r="L96" s="82"/>
      <c r="M96" s="86"/>
      <c r="N96" s="86"/>
      <c r="O96" s="86"/>
      <c r="P96" s="86"/>
      <c r="Q96" s="86"/>
      <c r="R96" s="86"/>
      <c r="S96" s="86"/>
      <c r="T96" s="86"/>
      <c r="U96" s="86"/>
      <c r="V96" s="86"/>
      <c r="W96" s="86"/>
      <c r="X96" s="86"/>
      <c r="Y96" s="86"/>
      <c r="Z96" s="86"/>
      <c r="AA96" s="86"/>
    </row>
    <row r="97" spans="1:27" ht="14.25" customHeight="1" x14ac:dyDescent="0.35">
      <c r="A97" s="76" t="str">
        <v>Alen Sosyan</v>
      </c>
      <c r="B97" s="87">
        <v>0</v>
      </c>
      <c r="C97" s="76" t="str">
        <v>Philipp Bauer</v>
      </c>
      <c r="D97" s="78">
        <f>IF(C97=0,0,_xlfn.IFNA(IF( MATCH(C97,Rangliste!B:B,0)&gt;0,0,1),1))</f>
        <v>0</v>
      </c>
      <c r="E97" s="85" t="str">
        <f t="shared" si="0"/>
        <v/>
      </c>
      <c r="F97" s="85"/>
      <c r="G97" s="83"/>
      <c r="H97" s="86"/>
      <c r="I97" s="86"/>
      <c r="J97" s="86"/>
      <c r="K97" s="81"/>
      <c r="L97" s="82"/>
      <c r="M97" s="86"/>
      <c r="N97" s="86"/>
      <c r="O97" s="86"/>
      <c r="P97" s="86"/>
      <c r="Q97" s="86"/>
      <c r="R97" s="86"/>
      <c r="S97" s="86"/>
      <c r="T97" s="86"/>
      <c r="U97" s="86"/>
      <c r="V97" s="86"/>
      <c r="W97" s="86"/>
      <c r="X97" s="86"/>
      <c r="Y97" s="86"/>
      <c r="Z97" s="86"/>
      <c r="AA97" s="86"/>
    </row>
    <row r="98" spans="1:27" ht="14.25" customHeight="1" x14ac:dyDescent="0.35">
      <c r="A98" s="76" t="str">
        <v>Valentina Krenn</v>
      </c>
      <c r="B98" s="87">
        <v>0</v>
      </c>
      <c r="C98" s="76" t="str">
        <v>Vasudev Duggirala</v>
      </c>
      <c r="D98" s="78">
        <f>IF(C98=0,0,_xlfn.IFNA(IF( MATCH(C98,Rangliste!B:B,0)&gt;0,0,1),1))</f>
        <v>0</v>
      </c>
      <c r="E98" s="85" t="str">
        <f t="shared" si="0"/>
        <v/>
      </c>
      <c r="F98" s="85"/>
      <c r="G98" s="83"/>
      <c r="H98" s="86"/>
      <c r="I98" s="86"/>
      <c r="J98" s="86"/>
      <c r="K98" s="81"/>
      <c r="L98" s="82"/>
      <c r="M98" s="86"/>
      <c r="N98" s="86"/>
      <c r="O98" s="86"/>
      <c r="P98" s="86"/>
      <c r="Q98" s="86"/>
      <c r="R98" s="86"/>
      <c r="S98" s="86"/>
      <c r="T98" s="86"/>
      <c r="U98" s="86"/>
      <c r="V98" s="86"/>
      <c r="W98" s="86"/>
      <c r="X98" s="86"/>
      <c r="Y98" s="86"/>
      <c r="Z98" s="86"/>
      <c r="AA98" s="86"/>
    </row>
    <row r="99" spans="1:27" ht="14.25" customHeight="1" x14ac:dyDescent="0.35">
      <c r="A99" s="76" t="str">
        <v>Louyi Zhang</v>
      </c>
      <c r="B99" s="87">
        <v>0</v>
      </c>
      <c r="C99" s="76" t="str">
        <v>Sahasra Mangena</v>
      </c>
      <c r="D99" s="78">
        <f>IF(C99=0,0,_xlfn.IFNA(IF( MATCH(C99,Rangliste!B:B,0)&gt;0,0,1),1))</f>
        <v>0</v>
      </c>
      <c r="E99" s="85" t="str">
        <f t="shared" si="0"/>
        <v/>
      </c>
      <c r="F99" s="85"/>
      <c r="G99" s="83"/>
      <c r="H99" s="86"/>
      <c r="I99" s="86"/>
      <c r="J99" s="86"/>
      <c r="K99" s="81"/>
      <c r="L99" s="82"/>
      <c r="M99" s="86"/>
      <c r="N99" s="86"/>
      <c r="O99" s="86"/>
      <c r="P99" s="86"/>
      <c r="Q99" s="86"/>
      <c r="R99" s="86"/>
      <c r="S99" s="86"/>
      <c r="T99" s="86"/>
      <c r="U99" s="86"/>
      <c r="V99" s="86"/>
      <c r="W99" s="86"/>
      <c r="X99" s="86"/>
      <c r="Y99" s="86"/>
      <c r="Z99" s="86"/>
      <c r="AA99" s="86"/>
    </row>
    <row r="100" spans="1:27" ht="14.25" customHeight="1" x14ac:dyDescent="0.35">
      <c r="A100" s="76" t="str">
        <f t="array" ref="A100:A115">'WBV 2'!$J$3:$J$18</f>
        <v>Christoph Fessl</v>
      </c>
      <c r="B100" s="87" t="str">
        <f t="array" ref="B100:B131">'WBV 1'!$N$3:$N$34</f>
        <v>Jacob Chen</v>
      </c>
      <c r="C100" s="76" t="str">
        <v>Ben Holaus</v>
      </c>
      <c r="D100" s="78">
        <f>IF(C100=0,0,_xlfn.IFNA(IF( MATCH(C100,Rangliste!B:B,0)&gt;0,0,1),1))</f>
        <v>0</v>
      </c>
      <c r="E100" s="85" t="str">
        <f t="shared" si="0"/>
        <v/>
      </c>
      <c r="F100" s="85"/>
      <c r="G100" s="83"/>
      <c r="H100" s="86"/>
      <c r="I100" s="86"/>
      <c r="J100" s="86"/>
      <c r="K100" s="81"/>
      <c r="L100" s="82"/>
      <c r="M100" s="86"/>
      <c r="N100" s="86"/>
      <c r="O100" s="86"/>
      <c r="P100" s="86"/>
      <c r="Q100" s="86"/>
      <c r="R100" s="86"/>
      <c r="S100" s="86"/>
      <c r="T100" s="86"/>
      <c r="U100" s="86"/>
      <c r="V100" s="86"/>
      <c r="W100" s="86"/>
      <c r="X100" s="86"/>
      <c r="Y100" s="86"/>
      <c r="Z100" s="86"/>
      <c r="AA100" s="86"/>
    </row>
    <row r="101" spans="1:27" ht="14.25" customHeight="1" x14ac:dyDescent="0.35">
      <c r="A101" s="76" t="str">
        <v>Emil Fathulla</v>
      </c>
      <c r="B101" s="87" t="str">
        <v>Louis Mayer</v>
      </c>
      <c r="C101" s="76" t="str">
        <v>Liam Hammer</v>
      </c>
      <c r="D101" s="78">
        <f>IF(C101=0,0,_xlfn.IFNA(IF( MATCH(C101,Rangliste!B:B,0)&gt;0,0,1),1))</f>
        <v>0</v>
      </c>
      <c r="E101" s="85" t="str">
        <f t="shared" si="0"/>
        <v/>
      </c>
      <c r="F101" s="85"/>
      <c r="G101" s="83"/>
      <c r="H101" s="86"/>
      <c r="I101" s="86"/>
      <c r="J101" s="86"/>
      <c r="K101" s="81"/>
      <c r="L101" s="82"/>
      <c r="M101" s="86"/>
      <c r="N101" s="86"/>
      <c r="O101" s="86"/>
      <c r="P101" s="86"/>
      <c r="Q101" s="86"/>
      <c r="R101" s="86"/>
      <c r="S101" s="86"/>
      <c r="T101" s="86"/>
      <c r="U101" s="86"/>
      <c r="V101" s="86"/>
      <c r="W101" s="86"/>
      <c r="X101" s="86"/>
      <c r="Y101" s="86"/>
      <c r="Z101" s="86"/>
      <c r="AA101" s="86"/>
    </row>
    <row r="102" spans="1:27" ht="14.25" customHeight="1" x14ac:dyDescent="0.35">
      <c r="A102" s="76" t="str">
        <v>Golsamin Harandi</v>
      </c>
      <c r="B102" s="87" t="str">
        <v>Frederik Braun</v>
      </c>
      <c r="C102" s="76" t="str">
        <v>David Orsolic</v>
      </c>
      <c r="D102" s="78">
        <f>IF(C102=0,0,_xlfn.IFNA(IF( MATCH(C102,Rangliste!B:B,0)&gt;0,0,1),1))</f>
        <v>0</v>
      </c>
      <c r="E102" s="85" t="str">
        <f t="shared" si="0"/>
        <v/>
      </c>
      <c r="F102" s="85"/>
      <c r="G102" s="83"/>
      <c r="H102" s="86"/>
      <c r="I102" s="86"/>
      <c r="J102" s="86"/>
      <c r="K102" s="81"/>
      <c r="L102" s="82"/>
      <c r="M102" s="86"/>
      <c r="N102" s="86"/>
      <c r="O102" s="86"/>
      <c r="P102" s="86"/>
      <c r="Q102" s="86"/>
      <c r="R102" s="86"/>
      <c r="S102" s="86"/>
      <c r="T102" s="86"/>
      <c r="U102" s="86"/>
      <c r="V102" s="86"/>
      <c r="W102" s="86"/>
      <c r="X102" s="86"/>
      <c r="Y102" s="86"/>
      <c r="Z102" s="86"/>
      <c r="AA102" s="86"/>
    </row>
    <row r="103" spans="1:27" ht="14.25" customHeight="1" x14ac:dyDescent="0.35">
      <c r="A103" s="76" t="str">
        <v>Louis Mayer</v>
      </c>
      <c r="B103" s="87" t="str">
        <v>Anton Baier</v>
      </c>
      <c r="C103" s="76" t="str">
        <v>Mia Gindulin</v>
      </c>
      <c r="D103" s="78">
        <f>IF(C103=0,0,_xlfn.IFNA(IF( MATCH(C103,Rangliste!B:B,0)&gt;0,0,1),1))</f>
        <v>0</v>
      </c>
      <c r="E103" s="85" t="str">
        <f t="shared" si="0"/>
        <v/>
      </c>
      <c r="F103" s="85"/>
      <c r="G103" s="83"/>
      <c r="H103" s="86"/>
      <c r="I103" s="86"/>
      <c r="J103" s="86"/>
      <c r="K103" s="81"/>
      <c r="L103" s="82"/>
      <c r="M103" s="86"/>
      <c r="N103" s="86"/>
      <c r="O103" s="86"/>
      <c r="P103" s="86"/>
      <c r="Q103" s="86"/>
      <c r="R103" s="86"/>
      <c r="S103" s="86"/>
      <c r="T103" s="86"/>
      <c r="U103" s="86"/>
      <c r="V103" s="86"/>
      <c r="W103" s="86"/>
      <c r="X103" s="86"/>
      <c r="Y103" s="86"/>
      <c r="Z103" s="86"/>
      <c r="AA103" s="86"/>
    </row>
    <row r="104" spans="1:27" ht="14.25" customHeight="1" x14ac:dyDescent="0.35">
      <c r="A104" s="76" t="str">
        <v>Elias Reichel-Teng</v>
      </c>
      <c r="B104" s="87" t="str">
        <v>Matthias Fessl</v>
      </c>
      <c r="C104" s="76" t="str">
        <v>Lisa Gindulin</v>
      </c>
      <c r="D104" s="78">
        <f>IF(C104=0,0,_xlfn.IFNA(IF( MATCH(C104,Rangliste!B:B,0)&gt;0,0,1),1))</f>
        <v>0</v>
      </c>
      <c r="E104" s="85" t="str">
        <f t="shared" si="0"/>
        <v/>
      </c>
      <c r="F104" s="85"/>
      <c r="G104" s="83"/>
      <c r="H104" s="86"/>
      <c r="I104" s="86"/>
      <c r="J104" s="86"/>
      <c r="K104" s="81"/>
      <c r="L104" s="82"/>
      <c r="M104" s="86"/>
      <c r="N104" s="86"/>
      <c r="O104" s="86"/>
      <c r="P104" s="86"/>
      <c r="Q104" s="86"/>
      <c r="R104" s="86"/>
      <c r="S104" s="86"/>
      <c r="T104" s="86"/>
      <c r="U104" s="86"/>
      <c r="V104" s="86"/>
      <c r="W104" s="86"/>
      <c r="X104" s="86"/>
      <c r="Y104" s="86"/>
      <c r="Z104" s="86"/>
      <c r="AA104" s="86"/>
    </row>
    <row r="105" spans="1:27" ht="14.25" customHeight="1" x14ac:dyDescent="0.35">
      <c r="A105" s="76" t="str">
        <v>Oscar Hsu</v>
      </c>
      <c r="B105" s="87" t="str">
        <v>Julian Stöger</v>
      </c>
      <c r="C105" s="76" t="str">
        <v>Tobias Quiroga</v>
      </c>
      <c r="D105" s="78">
        <f>IF(C105=0,0,_xlfn.IFNA(IF( MATCH(C105,Rangliste!B:B,0)&gt;0,0,1),1))</f>
        <v>0</v>
      </c>
      <c r="E105" s="85" t="str">
        <f t="shared" si="0"/>
        <v/>
      </c>
      <c r="F105" s="85"/>
      <c r="G105" s="83"/>
      <c r="H105" s="86"/>
      <c r="I105" s="86"/>
      <c r="J105" s="86"/>
      <c r="K105" s="81"/>
      <c r="L105" s="82"/>
      <c r="M105" s="86"/>
      <c r="N105" s="86"/>
      <c r="O105" s="86"/>
      <c r="P105" s="86"/>
      <c r="Q105" s="86"/>
      <c r="R105" s="86"/>
      <c r="S105" s="86"/>
      <c r="T105" s="86"/>
      <c r="U105" s="86"/>
      <c r="V105" s="86"/>
      <c r="W105" s="86"/>
      <c r="X105" s="86"/>
      <c r="Y105" s="86"/>
      <c r="Z105" s="86"/>
      <c r="AA105" s="86"/>
    </row>
    <row r="106" spans="1:27" ht="14.25" customHeight="1" x14ac:dyDescent="0.35">
      <c r="A106" s="76" t="str">
        <v>Giuliana Tasotti</v>
      </c>
      <c r="B106" s="87" t="str">
        <v>Alisha Huang</v>
      </c>
      <c r="C106" s="76" t="str">
        <v>Mario Mitterer</v>
      </c>
      <c r="D106" s="78">
        <f>IF(C106=0,0,_xlfn.IFNA(IF( MATCH(C106,Rangliste!B:B,0)&gt;0,0,1),1))</f>
        <v>0</v>
      </c>
      <c r="E106" s="85" t="str">
        <f t="shared" si="0"/>
        <v/>
      </c>
      <c r="F106" s="85"/>
      <c r="G106" s="83"/>
      <c r="H106" s="86"/>
      <c r="I106" s="86"/>
      <c r="J106" s="86"/>
      <c r="K106" s="81"/>
      <c r="L106" s="82"/>
      <c r="M106" s="86"/>
      <c r="N106" s="86"/>
      <c r="O106" s="86"/>
      <c r="P106" s="86"/>
      <c r="Q106" s="86"/>
      <c r="R106" s="86"/>
      <c r="S106" s="86"/>
      <c r="T106" s="86"/>
      <c r="U106" s="86"/>
      <c r="V106" s="86"/>
      <c r="W106" s="86"/>
      <c r="X106" s="86"/>
      <c r="Y106" s="86"/>
      <c r="Z106" s="86"/>
      <c r="AA106" s="86"/>
    </row>
    <row r="107" spans="1:27" ht="14.25" customHeight="1" x14ac:dyDescent="0.35">
      <c r="A107" s="76" t="str">
        <v>Constantin Walzer</v>
      </c>
      <c r="B107" s="87" t="str">
        <v>Alvin Huang</v>
      </c>
      <c r="C107" s="76" t="str">
        <v>Wenzel Tiapal</v>
      </c>
      <c r="D107" s="78">
        <f>IF(C107=0,0,_xlfn.IFNA(IF( MATCH(C107,Rangliste!B:B,0)&gt;0,0,1),1))</f>
        <v>0</v>
      </c>
      <c r="E107" s="85" t="str">
        <f t="shared" si="0"/>
        <v/>
      </c>
      <c r="F107" s="85"/>
      <c r="G107" s="83"/>
      <c r="H107" s="86"/>
      <c r="I107" s="86"/>
      <c r="J107" s="86"/>
      <c r="K107" s="81"/>
      <c r="L107" s="82"/>
      <c r="M107" s="86"/>
      <c r="N107" s="86"/>
      <c r="O107" s="86"/>
      <c r="P107" s="86"/>
      <c r="Q107" s="86"/>
      <c r="R107" s="86"/>
      <c r="S107" s="86"/>
      <c r="T107" s="86"/>
      <c r="U107" s="86"/>
      <c r="V107" s="86"/>
      <c r="W107" s="86"/>
      <c r="X107" s="86"/>
      <c r="Y107" s="86"/>
      <c r="Z107" s="86"/>
      <c r="AA107" s="86"/>
    </row>
    <row r="108" spans="1:27" ht="14.25" customHeight="1" x14ac:dyDescent="0.35">
      <c r="A108" s="76" t="str">
        <v>Lana Dai</v>
      </c>
      <c r="B108" s="87" t="str">
        <v>Tobias Gerner</v>
      </c>
      <c r="C108" s="76" t="str">
        <v>Elias Reisinger</v>
      </c>
      <c r="D108" s="78">
        <f>IF(C108=0,0,_xlfn.IFNA(IF( MATCH(C108,Rangliste!B:B,0)&gt;0,0,1),1))</f>
        <v>0</v>
      </c>
      <c r="E108" s="85" t="str">
        <f t="shared" si="0"/>
        <v/>
      </c>
      <c r="F108" s="85"/>
      <c r="G108" s="83"/>
      <c r="H108" s="86"/>
      <c r="I108" s="86"/>
      <c r="J108" s="86"/>
      <c r="K108" s="81"/>
      <c r="L108" s="82"/>
      <c r="M108" s="86"/>
      <c r="N108" s="86"/>
      <c r="O108" s="86"/>
      <c r="P108" s="86"/>
      <c r="Q108" s="86"/>
      <c r="R108" s="86"/>
      <c r="S108" s="86"/>
      <c r="T108" s="86"/>
      <c r="U108" s="86"/>
      <c r="V108" s="86"/>
      <c r="W108" s="86"/>
      <c r="X108" s="86"/>
      <c r="Y108" s="86"/>
      <c r="Z108" s="86"/>
      <c r="AA108" s="86"/>
    </row>
    <row r="109" spans="1:27" ht="14.25" customHeight="1" x14ac:dyDescent="0.35">
      <c r="A109" s="76" t="str">
        <v>Alvin Huang</v>
      </c>
      <c r="B109" s="87" t="str">
        <v>Clemens Braun</v>
      </c>
      <c r="C109" s="76" t="str">
        <v>Anja Reisinger</v>
      </c>
      <c r="D109" s="78">
        <f>IF(C109=0,0,_xlfn.IFNA(IF( MATCH(C109,Rangliste!B:B,0)&gt;0,0,1),1))</f>
        <v>0</v>
      </c>
      <c r="E109" s="85" t="str">
        <f t="shared" si="0"/>
        <v/>
      </c>
      <c r="F109" s="85"/>
      <c r="G109" s="83"/>
      <c r="H109" s="86"/>
      <c r="I109" s="86"/>
      <c r="J109" s="86"/>
      <c r="K109" s="81"/>
      <c r="L109" s="82"/>
      <c r="M109" s="86"/>
      <c r="N109" s="86"/>
      <c r="O109" s="86"/>
      <c r="P109" s="86"/>
      <c r="Q109" s="86"/>
      <c r="R109" s="86"/>
      <c r="S109" s="86"/>
      <c r="T109" s="86"/>
      <c r="U109" s="86"/>
      <c r="V109" s="86"/>
      <c r="W109" s="86"/>
      <c r="X109" s="86"/>
      <c r="Y109" s="86"/>
      <c r="Z109" s="86"/>
      <c r="AA109" s="86"/>
    </row>
    <row r="110" spans="1:27" ht="14.25" customHeight="1" x14ac:dyDescent="0.35">
      <c r="A110" s="76" t="str">
        <v>Vito Eisenhardt</v>
      </c>
      <c r="B110" s="87" t="str">
        <v>Anesia Brar</v>
      </c>
      <c r="C110" s="76" t="str">
        <v>Johanna Floßmann</v>
      </c>
      <c r="D110" s="78">
        <f>IF(C110=0,0,_xlfn.IFNA(IF( MATCH(C110,Rangliste!B:B,0)&gt;0,0,1),1))</f>
        <v>0</v>
      </c>
      <c r="E110" s="85" t="str">
        <f t="shared" si="0"/>
        <v/>
      </c>
      <c r="F110" s="85"/>
      <c r="G110" s="83"/>
      <c r="H110" s="86"/>
      <c r="I110" s="86"/>
      <c r="J110" s="86"/>
      <c r="K110" s="81"/>
      <c r="L110" s="82"/>
      <c r="M110" s="86"/>
      <c r="N110" s="86"/>
      <c r="O110" s="86"/>
      <c r="P110" s="86"/>
      <c r="Q110" s="86"/>
      <c r="R110" s="86"/>
      <c r="S110" s="86"/>
      <c r="T110" s="86"/>
      <c r="U110" s="86"/>
      <c r="V110" s="86"/>
      <c r="W110" s="86"/>
      <c r="X110" s="86"/>
      <c r="Y110" s="86"/>
      <c r="Z110" s="86"/>
      <c r="AA110" s="86"/>
    </row>
    <row r="111" spans="1:27" ht="14.25" customHeight="1" x14ac:dyDescent="0.35">
      <c r="A111" s="76" t="str">
        <v>Tobias Gerner</v>
      </c>
      <c r="B111" s="87" t="str">
        <v>Martin Müller</v>
      </c>
      <c r="C111" s="76" t="str">
        <v>Joachim Zeilerbauer</v>
      </c>
      <c r="D111" s="78">
        <f>IF(C111=0,0,_xlfn.IFNA(IF( MATCH(C111,Rangliste!B:B,0)&gt;0,0,1),1))</f>
        <v>0</v>
      </c>
      <c r="E111" s="85" t="str">
        <f t="shared" si="0"/>
        <v/>
      </c>
      <c r="F111" s="85"/>
      <c r="G111" s="83"/>
      <c r="H111" s="86"/>
      <c r="I111" s="86"/>
      <c r="J111" s="86"/>
      <c r="K111" s="81"/>
      <c r="L111" s="82"/>
      <c r="M111" s="86"/>
      <c r="N111" s="86"/>
      <c r="O111" s="86"/>
      <c r="P111" s="86"/>
      <c r="Q111" s="86"/>
      <c r="R111" s="86"/>
      <c r="S111" s="86"/>
      <c r="T111" s="86"/>
      <c r="U111" s="86"/>
      <c r="V111" s="86"/>
      <c r="W111" s="86"/>
      <c r="X111" s="86"/>
      <c r="Y111" s="86"/>
      <c r="Z111" s="86"/>
      <c r="AA111" s="86"/>
    </row>
    <row r="112" spans="1:27" ht="14.25" customHeight="1" x14ac:dyDescent="0.35">
      <c r="A112" s="76" t="str">
        <v>Emil Pfeffer</v>
      </c>
      <c r="B112" s="87" t="str">
        <v>Lina Tantawy</v>
      </c>
      <c r="C112" s="76" t="str">
        <v>Felix Sztatecsny</v>
      </c>
      <c r="D112" s="78">
        <f>IF(C112=0,0,_xlfn.IFNA(IF( MATCH(C112,Rangliste!B:B,0)&gt;0,0,1),1))</f>
        <v>0</v>
      </c>
      <c r="E112" s="85" t="str">
        <f t="shared" si="0"/>
        <v/>
      </c>
      <c r="F112" s="85"/>
      <c r="G112" s="83"/>
      <c r="H112" s="86"/>
      <c r="I112" s="86"/>
      <c r="J112" s="86"/>
      <c r="K112" s="81"/>
      <c r="L112" s="82"/>
      <c r="M112" s="86"/>
      <c r="N112" s="86"/>
      <c r="O112" s="86"/>
      <c r="P112" s="86"/>
      <c r="Q112" s="86"/>
      <c r="R112" s="86"/>
      <c r="S112" s="86"/>
      <c r="T112" s="86"/>
      <c r="U112" s="86"/>
      <c r="V112" s="86"/>
      <c r="W112" s="86"/>
      <c r="X112" s="86"/>
      <c r="Y112" s="86"/>
      <c r="Z112" s="86"/>
      <c r="AA112" s="86"/>
    </row>
    <row r="113" spans="1:27" ht="14.25" customHeight="1" x14ac:dyDescent="0.35">
      <c r="A113" s="76" t="str">
        <v>Sophie Wieselthaler</v>
      </c>
      <c r="B113" s="87" t="str">
        <v>Fabian Müller</v>
      </c>
      <c r="C113" s="76" t="str">
        <v>Tim Jeitler</v>
      </c>
      <c r="D113" s="78">
        <f>IF(C113=0,0,_xlfn.IFNA(IF( MATCH(C113,Rangliste!B:B,0)&gt;0,0,1),1))</f>
        <v>0</v>
      </c>
      <c r="E113" s="85" t="str">
        <f t="shared" si="0"/>
        <v/>
      </c>
      <c r="F113" s="85"/>
      <c r="G113" s="83"/>
      <c r="H113" s="86"/>
      <c r="I113" s="86"/>
      <c r="J113" s="86"/>
      <c r="K113" s="81"/>
      <c r="L113" s="82"/>
      <c r="M113" s="86"/>
      <c r="N113" s="86"/>
      <c r="O113" s="86"/>
      <c r="P113" s="86"/>
      <c r="Q113" s="86"/>
      <c r="R113" s="86"/>
      <c r="S113" s="86"/>
      <c r="T113" s="86"/>
      <c r="U113" s="86"/>
      <c r="V113" s="86"/>
      <c r="W113" s="86"/>
      <c r="X113" s="86"/>
      <c r="Y113" s="86"/>
      <c r="Z113" s="86"/>
      <c r="AA113" s="86"/>
    </row>
    <row r="114" spans="1:27" ht="14.25" customHeight="1" x14ac:dyDescent="0.35">
      <c r="A114" s="76" t="str">
        <v>Mia Khaylo</v>
      </c>
      <c r="B114" s="87">
        <v>0</v>
      </c>
      <c r="C114" s="76" t="str">
        <v>Felix Rädle</v>
      </c>
      <c r="D114" s="78">
        <f>IF(C114=0,0,_xlfn.IFNA(IF( MATCH(C114,Rangliste!B:B,0)&gt;0,0,1),1))</f>
        <v>0</v>
      </c>
      <c r="E114" s="85" t="str">
        <f t="shared" si="0"/>
        <v/>
      </c>
      <c r="F114" s="85"/>
      <c r="G114" s="83"/>
      <c r="H114" s="86"/>
      <c r="I114" s="86"/>
      <c r="J114" s="86"/>
      <c r="K114" s="81"/>
      <c r="L114" s="82"/>
      <c r="M114" s="86"/>
      <c r="N114" s="86"/>
      <c r="O114" s="86"/>
      <c r="P114" s="86"/>
      <c r="Q114" s="86"/>
      <c r="R114" s="86"/>
      <c r="S114" s="86"/>
      <c r="T114" s="86"/>
      <c r="U114" s="86"/>
      <c r="V114" s="86"/>
      <c r="W114" s="86"/>
      <c r="X114" s="86"/>
      <c r="Y114" s="86"/>
      <c r="Z114" s="86"/>
      <c r="AA114" s="86"/>
    </row>
    <row r="115" spans="1:27" ht="14.25" customHeight="1" x14ac:dyDescent="0.35">
      <c r="A115" s="76" t="str">
        <v>Alisha Huang</v>
      </c>
      <c r="B115" s="87">
        <v>0</v>
      </c>
      <c r="C115" s="76" t="str">
        <v>Josua Zeilerbauer</v>
      </c>
      <c r="D115" s="78">
        <f>IF(C115=0,0,_xlfn.IFNA(IF( MATCH(C115,Rangliste!B:B,0)&gt;0,0,1),1))</f>
        <v>0</v>
      </c>
      <c r="E115" s="85" t="str">
        <f t="shared" si="0"/>
        <v/>
      </c>
      <c r="F115" s="85"/>
      <c r="G115" s="83"/>
      <c r="H115" s="86"/>
      <c r="I115" s="86"/>
      <c r="J115" s="86"/>
      <c r="K115" s="81"/>
      <c r="L115" s="82"/>
      <c r="M115" s="86"/>
      <c r="N115" s="86"/>
      <c r="O115" s="86"/>
      <c r="P115" s="86"/>
      <c r="Q115" s="86"/>
      <c r="R115" s="86"/>
      <c r="S115" s="86"/>
      <c r="T115" s="86"/>
      <c r="U115" s="86"/>
      <c r="V115" s="86"/>
      <c r="W115" s="86"/>
      <c r="X115" s="86"/>
      <c r="Y115" s="86"/>
      <c r="Z115" s="86"/>
      <c r="AA115" s="86"/>
    </row>
    <row r="116" spans="1:27" ht="14.25" customHeight="1" x14ac:dyDescent="0.35">
      <c r="A116" s="76" t="str">
        <f t="array" ref="A116:A131">'WBV 2'!$N$3:$N$18</f>
        <v>Frederik Braun</v>
      </c>
      <c r="B116" s="87">
        <v>0</v>
      </c>
      <c r="C116" s="76" t="str">
        <v>Vanessa Kurz</v>
      </c>
      <c r="D116" s="78">
        <f>IF(C116=0,0,_xlfn.IFNA(IF( MATCH(C116,Rangliste!B:B,0)&gt;0,0,1),1))</f>
        <v>0</v>
      </c>
      <c r="E116" s="85" t="str">
        <f t="shared" si="0"/>
        <v/>
      </c>
      <c r="F116" s="85"/>
      <c r="G116" s="83"/>
      <c r="H116" s="86"/>
      <c r="I116" s="86"/>
      <c r="J116" s="86"/>
      <c r="K116" s="81"/>
      <c r="L116" s="82"/>
      <c r="M116" s="86"/>
      <c r="N116" s="86"/>
      <c r="O116" s="86"/>
      <c r="P116" s="86"/>
      <c r="Q116" s="86"/>
      <c r="R116" s="86"/>
      <c r="S116" s="86"/>
      <c r="T116" s="86"/>
      <c r="U116" s="86"/>
      <c r="V116" s="86"/>
      <c r="W116" s="86"/>
      <c r="X116" s="86"/>
      <c r="Y116" s="86"/>
      <c r="Z116" s="86"/>
      <c r="AA116" s="86"/>
    </row>
    <row r="117" spans="1:27" ht="14.25" customHeight="1" x14ac:dyDescent="0.35">
      <c r="A117" s="76" t="str">
        <v>Vihaan Vishal Sharma</v>
      </c>
      <c r="B117" s="87">
        <v>0</v>
      </c>
      <c r="C117" s="76" t="str">
        <v>Felix Lamplmaier</v>
      </c>
      <c r="D117" s="78">
        <f>IF(C117=0,0,_xlfn.IFNA(IF( MATCH(C117,Rangliste!B:B,0)&gt;0,0,1),1))</f>
        <v>0</v>
      </c>
      <c r="E117" s="85" t="str">
        <f t="shared" si="0"/>
        <v/>
      </c>
      <c r="F117" s="85"/>
      <c r="G117" s="83"/>
      <c r="H117" s="86"/>
      <c r="I117" s="86"/>
      <c r="J117" s="86"/>
      <c r="K117" s="81"/>
      <c r="L117" s="82"/>
      <c r="M117" s="86"/>
      <c r="N117" s="86"/>
      <c r="O117" s="86"/>
      <c r="P117" s="86"/>
      <c r="Q117" s="86"/>
      <c r="R117" s="86"/>
      <c r="S117" s="86"/>
      <c r="T117" s="86"/>
      <c r="U117" s="86"/>
      <c r="V117" s="86"/>
      <c r="W117" s="86"/>
      <c r="X117" s="86"/>
      <c r="Y117" s="86"/>
      <c r="Z117" s="86"/>
      <c r="AA117" s="86"/>
    </row>
    <row r="118" spans="1:27" ht="14.25" customHeight="1" x14ac:dyDescent="0.35">
      <c r="A118" s="76" t="str">
        <v>Matthias Fessl</v>
      </c>
      <c r="B118" s="87">
        <v>0</v>
      </c>
      <c r="C118" s="76" t="str">
        <v>Nora Walter</v>
      </c>
      <c r="D118" s="78">
        <f>IF(C118=0,0,_xlfn.IFNA(IF( MATCH(C118,Rangliste!B:B,0)&gt;0,0,1),1))</f>
        <v>0</v>
      </c>
      <c r="E118" s="85" t="str">
        <f t="shared" si="0"/>
        <v/>
      </c>
      <c r="F118" s="85"/>
      <c r="G118" s="83"/>
      <c r="H118" s="86"/>
      <c r="I118" s="86"/>
      <c r="J118" s="86"/>
      <c r="K118" s="81"/>
      <c r="L118" s="82"/>
      <c r="M118" s="86"/>
      <c r="N118" s="86"/>
      <c r="O118" s="86"/>
      <c r="P118" s="86"/>
      <c r="Q118" s="86"/>
      <c r="R118" s="86"/>
      <c r="S118" s="86"/>
      <c r="T118" s="86"/>
      <c r="U118" s="86"/>
      <c r="V118" s="86"/>
      <c r="W118" s="86"/>
      <c r="X118" s="86"/>
      <c r="Y118" s="86"/>
      <c r="Z118" s="86"/>
      <c r="AA118" s="86"/>
    </row>
    <row r="119" spans="1:27" ht="14.25" customHeight="1" x14ac:dyDescent="0.35">
      <c r="A119" s="76" t="str">
        <v>Nitshada Keawsri</v>
      </c>
      <c r="B119" s="87">
        <v>0</v>
      </c>
      <c r="C119" s="76" t="str">
        <v>Ilian Reisinger</v>
      </c>
      <c r="D119" s="78">
        <f>IF(C119=0,0,_xlfn.IFNA(IF( MATCH(C119,Rangliste!B:B,0)&gt;0,0,1),1))</f>
        <v>0</v>
      </c>
      <c r="E119" s="85" t="str">
        <f t="shared" si="0"/>
        <v/>
      </c>
      <c r="F119" s="85"/>
      <c r="G119" s="83"/>
      <c r="H119" s="86"/>
      <c r="I119" s="86"/>
      <c r="J119" s="86"/>
      <c r="K119" s="81"/>
      <c r="L119" s="82"/>
      <c r="M119" s="86"/>
      <c r="N119" s="86"/>
      <c r="O119" s="86"/>
      <c r="P119" s="86"/>
      <c r="Q119" s="86"/>
      <c r="R119" s="86"/>
      <c r="S119" s="86"/>
      <c r="T119" s="86"/>
      <c r="U119" s="86"/>
      <c r="V119" s="86"/>
      <c r="W119" s="86"/>
      <c r="X119" s="86"/>
      <c r="Y119" s="86"/>
      <c r="Z119" s="86"/>
      <c r="AA119" s="86"/>
    </row>
    <row r="120" spans="1:27" ht="14.25" customHeight="1" x14ac:dyDescent="0.35">
      <c r="A120" s="76" t="str">
        <v>Agampreet Singh</v>
      </c>
      <c r="B120" s="87">
        <v>0</v>
      </c>
      <c r="C120" s="76" t="str">
        <v>Vinzenz Fischlmair</v>
      </c>
      <c r="D120" s="78">
        <f>IF(C120=0,0,_xlfn.IFNA(IF( MATCH(C120,Rangliste!B:B,0)&gt;0,0,1),1))</f>
        <v>0</v>
      </c>
      <c r="E120" s="85" t="str">
        <f t="shared" si="0"/>
        <v/>
      </c>
      <c r="F120" s="85"/>
      <c r="G120" s="83"/>
      <c r="H120" s="86"/>
      <c r="I120" s="86"/>
      <c r="J120" s="86"/>
      <c r="K120" s="81"/>
      <c r="L120" s="82"/>
      <c r="M120" s="86"/>
      <c r="N120" s="86"/>
      <c r="O120" s="86"/>
      <c r="P120" s="86"/>
      <c r="Q120" s="86"/>
      <c r="R120" s="86"/>
      <c r="S120" s="86"/>
      <c r="T120" s="86"/>
      <c r="U120" s="86"/>
      <c r="V120" s="86"/>
      <c r="W120" s="86"/>
      <c r="X120" s="86"/>
      <c r="Y120" s="86"/>
      <c r="Z120" s="86"/>
      <c r="AA120" s="86"/>
    </row>
    <row r="121" spans="1:27" ht="14.25" customHeight="1" x14ac:dyDescent="0.35">
      <c r="A121" s="76" t="str">
        <v>Elías García Strzeletz</v>
      </c>
      <c r="B121" s="87">
        <v>0</v>
      </c>
      <c r="C121" s="76" t="str">
        <v>Felix Alt</v>
      </c>
      <c r="D121" s="78">
        <f>IF(C121=0,0,_xlfn.IFNA(IF( MATCH(C121,Rangliste!B:B,0)&gt;0,0,1),1))</f>
        <v>0</v>
      </c>
      <c r="E121" s="85" t="str">
        <f t="shared" si="0"/>
        <v/>
      </c>
      <c r="F121" s="85"/>
      <c r="G121" s="83"/>
      <c r="H121" s="86"/>
      <c r="I121" s="86"/>
      <c r="J121" s="86"/>
      <c r="K121" s="81"/>
      <c r="L121" s="82"/>
      <c r="M121" s="86"/>
      <c r="N121" s="86"/>
      <c r="O121" s="86"/>
      <c r="P121" s="86"/>
      <c r="Q121" s="86"/>
      <c r="R121" s="86"/>
      <c r="S121" s="86"/>
      <c r="T121" s="86"/>
      <c r="U121" s="86"/>
      <c r="V121" s="86"/>
      <c r="W121" s="86"/>
      <c r="X121" s="86"/>
      <c r="Y121" s="86"/>
      <c r="Z121" s="86"/>
      <c r="AA121" s="86"/>
    </row>
    <row r="122" spans="1:27" ht="14.25" customHeight="1" x14ac:dyDescent="0.35">
      <c r="A122" s="76" t="str">
        <v>Aylin Simone Aktas</v>
      </c>
      <c r="B122" s="87">
        <v>0</v>
      </c>
      <c r="C122" s="76" t="str">
        <v>Maximilian Jin</v>
      </c>
      <c r="D122" s="78">
        <f>IF(C122=0,0,_xlfn.IFNA(IF( MATCH(C122,Rangliste!B:B,0)&gt;0,0,1),1))</f>
        <v>0</v>
      </c>
      <c r="E122" s="85" t="str">
        <f t="shared" si="0"/>
        <v/>
      </c>
      <c r="F122" s="85"/>
      <c r="G122" s="83"/>
      <c r="H122" s="86"/>
      <c r="I122" s="86"/>
      <c r="J122" s="86"/>
      <c r="K122" s="81"/>
      <c r="L122" s="82"/>
      <c r="M122" s="86"/>
      <c r="N122" s="86"/>
      <c r="O122" s="86"/>
      <c r="P122" s="86"/>
      <c r="Q122" s="86"/>
      <c r="R122" s="86"/>
      <c r="S122" s="86"/>
      <c r="T122" s="86"/>
      <c r="U122" s="86"/>
      <c r="V122" s="86"/>
      <c r="W122" s="86"/>
      <c r="X122" s="86"/>
      <c r="Y122" s="86"/>
      <c r="Z122" s="86"/>
      <c r="AA122" s="86"/>
    </row>
    <row r="123" spans="1:27" ht="14.25" customHeight="1" x14ac:dyDescent="0.35">
      <c r="A123" s="76" t="str">
        <v>Thalia Wetter</v>
      </c>
      <c r="B123" s="87">
        <v>0</v>
      </c>
      <c r="C123" s="76" t="str">
        <v>Luis Burker</v>
      </c>
      <c r="D123" s="78">
        <f>IF(C123=0,0,_xlfn.IFNA(IF( MATCH(C123,Rangliste!B:B,0)&gt;0,0,1),1))</f>
        <v>0</v>
      </c>
      <c r="E123" s="85" t="str">
        <f t="shared" si="0"/>
        <v/>
      </c>
      <c r="F123" s="85"/>
      <c r="G123" s="83"/>
      <c r="H123" s="86"/>
      <c r="I123" s="86"/>
      <c r="J123" s="86"/>
      <c r="K123" s="81"/>
      <c r="L123" s="82"/>
      <c r="M123" s="86"/>
      <c r="N123" s="86"/>
      <c r="O123" s="86"/>
      <c r="P123" s="86"/>
      <c r="Q123" s="86"/>
      <c r="R123" s="86"/>
      <c r="S123" s="86"/>
      <c r="T123" s="86"/>
      <c r="U123" s="86"/>
      <c r="V123" s="86"/>
      <c r="W123" s="86"/>
      <c r="X123" s="86"/>
      <c r="Y123" s="86"/>
      <c r="Z123" s="86"/>
      <c r="AA123" s="86"/>
    </row>
    <row r="124" spans="1:27" ht="14.25" customHeight="1" x14ac:dyDescent="0.35">
      <c r="A124" s="76" t="str">
        <v>Antonio Garcia Strzeletz</v>
      </c>
      <c r="B124" s="87">
        <v>0</v>
      </c>
      <c r="C124" s="76" t="str">
        <v>Dario Kasser</v>
      </c>
      <c r="D124" s="78">
        <f>IF(C124=0,0,_xlfn.IFNA(IF( MATCH(C124,Rangliste!B:B,0)&gt;0,0,1),1))</f>
        <v>0</v>
      </c>
      <c r="E124" s="85" t="str">
        <f t="shared" si="0"/>
        <v/>
      </c>
      <c r="F124" s="85"/>
      <c r="G124" s="83"/>
      <c r="H124" s="86"/>
      <c r="I124" s="86"/>
      <c r="J124" s="86"/>
      <c r="K124" s="81"/>
      <c r="L124" s="82"/>
      <c r="M124" s="86"/>
      <c r="N124" s="86"/>
      <c r="O124" s="86"/>
      <c r="P124" s="86"/>
      <c r="Q124" s="86"/>
      <c r="R124" s="86"/>
      <c r="S124" s="86"/>
      <c r="T124" s="86"/>
      <c r="U124" s="86"/>
      <c r="V124" s="86"/>
      <c r="W124" s="86"/>
      <c r="X124" s="86"/>
      <c r="Y124" s="86"/>
      <c r="Z124" s="86"/>
      <c r="AA124" s="86"/>
    </row>
    <row r="125" spans="1:27" ht="14.25" customHeight="1" x14ac:dyDescent="0.35">
      <c r="A125" s="76" t="str">
        <v>Linna Dai</v>
      </c>
      <c r="B125" s="87">
        <v>0</v>
      </c>
      <c r="C125" s="76" t="str">
        <v>Marco Papp</v>
      </c>
      <c r="D125" s="78">
        <f>IF(C125=0,0,_xlfn.IFNA(IF( MATCH(C125,Rangliste!B:B,0)&gt;0,0,1),1))</f>
        <v>0</v>
      </c>
      <c r="E125" s="85" t="str">
        <f t="shared" si="0"/>
        <v/>
      </c>
      <c r="F125" s="85"/>
      <c r="G125" s="83"/>
      <c r="H125" s="86"/>
      <c r="I125" s="86"/>
      <c r="J125" s="86"/>
      <c r="K125" s="81"/>
      <c r="L125" s="82"/>
      <c r="M125" s="86"/>
      <c r="N125" s="86"/>
      <c r="O125" s="86"/>
      <c r="P125" s="86"/>
      <c r="Q125" s="86"/>
      <c r="R125" s="86"/>
      <c r="S125" s="86"/>
      <c r="T125" s="86"/>
      <c r="U125" s="86"/>
      <c r="V125" s="86"/>
      <c r="W125" s="86"/>
      <c r="X125" s="86"/>
      <c r="Y125" s="86"/>
      <c r="Z125" s="86"/>
      <c r="AA125" s="86"/>
    </row>
    <row r="126" spans="1:27" ht="14.25" customHeight="1" x14ac:dyDescent="0.35">
      <c r="A126" s="76" t="str">
        <v>Emil Kofler-Strigl</v>
      </c>
      <c r="B126" s="87">
        <v>0</v>
      </c>
      <c r="C126" s="76" t="str">
        <v>Sofia Neumann</v>
      </c>
      <c r="D126" s="78">
        <f>IF(C126=0,0,_xlfn.IFNA(IF( MATCH(C126,Rangliste!B:B,0)&gt;0,0,1),1))</f>
        <v>0</v>
      </c>
      <c r="E126" s="85" t="str">
        <f t="shared" si="0"/>
        <v/>
      </c>
      <c r="F126" s="85"/>
      <c r="G126" s="83"/>
      <c r="H126" s="86"/>
      <c r="I126" s="86"/>
      <c r="J126" s="86"/>
      <c r="K126" s="81"/>
      <c r="L126" s="82"/>
      <c r="M126" s="86"/>
      <c r="N126" s="86"/>
      <c r="O126" s="86"/>
      <c r="P126" s="86"/>
      <c r="Q126" s="86"/>
      <c r="R126" s="86"/>
      <c r="S126" s="86"/>
      <c r="T126" s="86"/>
      <c r="U126" s="86"/>
      <c r="V126" s="86"/>
      <c r="W126" s="86"/>
      <c r="X126" s="86"/>
      <c r="Y126" s="86"/>
      <c r="Z126" s="86"/>
      <c r="AA126" s="86"/>
    </row>
    <row r="127" spans="1:27" ht="14.25" customHeight="1" x14ac:dyDescent="0.35">
      <c r="A127" s="76" t="str">
        <v>Clemens Braun</v>
      </c>
      <c r="B127" s="87">
        <v>0</v>
      </c>
      <c r="C127" s="76" t="str">
        <v>Kevin Zheng</v>
      </c>
      <c r="D127" s="78">
        <f>IF(C127=0,0,_xlfn.IFNA(IF( MATCH(C127,Rangliste!B:B,0)&gt;0,0,1),1))</f>
        <v>0</v>
      </c>
      <c r="E127" s="85" t="str">
        <f t="shared" si="0"/>
        <v/>
      </c>
      <c r="F127" s="85"/>
      <c r="G127" s="83"/>
      <c r="H127" s="86"/>
      <c r="I127" s="86"/>
      <c r="J127" s="86"/>
      <c r="K127" s="81"/>
      <c r="L127" s="82"/>
      <c r="M127" s="86"/>
      <c r="N127" s="86"/>
      <c r="O127" s="86"/>
      <c r="P127" s="86"/>
      <c r="Q127" s="86"/>
      <c r="R127" s="86"/>
      <c r="S127" s="86"/>
      <c r="T127" s="86"/>
      <c r="U127" s="86"/>
      <c r="V127" s="86"/>
      <c r="W127" s="86"/>
      <c r="X127" s="86"/>
      <c r="Y127" s="86"/>
      <c r="Z127" s="86"/>
      <c r="AA127" s="86"/>
    </row>
    <row r="128" spans="1:27" ht="14.25" customHeight="1" x14ac:dyDescent="0.35">
      <c r="A128" s="76" t="str">
        <v>Karl Edlinger</v>
      </c>
      <c r="B128" s="87">
        <v>0</v>
      </c>
      <c r="C128" s="76" t="str">
        <v>Florentin Ahammer</v>
      </c>
      <c r="D128" s="78">
        <f>IF(C128=0,0,_xlfn.IFNA(IF( MATCH(C128,Rangliste!B:B,0)&gt;0,0,1),1))</f>
        <v>0</v>
      </c>
      <c r="E128" s="85" t="str">
        <f t="shared" si="0"/>
        <v/>
      </c>
      <c r="F128" s="85"/>
      <c r="G128" s="83"/>
      <c r="H128" s="86"/>
      <c r="I128" s="86"/>
      <c r="J128" s="86"/>
      <c r="K128" s="81"/>
      <c r="L128" s="82"/>
      <c r="M128" s="86"/>
      <c r="N128" s="86"/>
      <c r="O128" s="86"/>
      <c r="P128" s="86"/>
      <c r="Q128" s="86"/>
      <c r="R128" s="86"/>
      <c r="S128" s="86"/>
      <c r="T128" s="86"/>
      <c r="U128" s="86"/>
      <c r="V128" s="86"/>
      <c r="W128" s="86"/>
      <c r="X128" s="86"/>
      <c r="Y128" s="86"/>
      <c r="Z128" s="86"/>
      <c r="AA128" s="86"/>
    </row>
    <row r="129" spans="1:27" ht="14.25" customHeight="1" x14ac:dyDescent="0.35">
      <c r="A129" s="76" t="str">
        <v>Yinuo Chen</v>
      </c>
      <c r="B129" s="87">
        <v>0</v>
      </c>
      <c r="C129" s="76" t="str">
        <v>Hector Recalde</v>
      </c>
      <c r="D129" s="78">
        <f>IF(C129=0,0,_xlfn.IFNA(IF( MATCH(C129,Rangliste!B:B,0)&gt;0,0,1),1))</f>
        <v>0</v>
      </c>
      <c r="E129" s="85" t="str">
        <f t="shared" si="0"/>
        <v/>
      </c>
      <c r="F129" s="85"/>
      <c r="G129" s="83"/>
      <c r="H129" s="86"/>
      <c r="I129" s="86"/>
      <c r="J129" s="86"/>
      <c r="K129" s="81"/>
      <c r="L129" s="82"/>
      <c r="M129" s="86"/>
      <c r="N129" s="86"/>
      <c r="O129" s="86"/>
      <c r="P129" s="86"/>
      <c r="Q129" s="86"/>
      <c r="R129" s="86"/>
      <c r="S129" s="86"/>
      <c r="T129" s="86"/>
      <c r="U129" s="86"/>
      <c r="V129" s="86"/>
      <c r="W129" s="86"/>
      <c r="X129" s="86"/>
      <c r="Y129" s="86"/>
      <c r="Z129" s="86"/>
      <c r="AA129" s="86"/>
    </row>
    <row r="130" spans="1:27" ht="14.25" customHeight="1" x14ac:dyDescent="0.35">
      <c r="A130" s="76" t="str">
        <v>Anesia Brar</v>
      </c>
      <c r="B130" s="87">
        <v>0</v>
      </c>
      <c r="C130" s="76" t="str">
        <v>Simon Walter</v>
      </c>
      <c r="D130" s="78">
        <f>IF(C130=0,0,_xlfn.IFNA(IF( MATCH(C130,Rangliste!B:B,0)&gt;0,0,1),1))</f>
        <v>0</v>
      </c>
      <c r="E130" s="85" t="str">
        <f t="shared" si="0"/>
        <v/>
      </c>
      <c r="F130" s="85"/>
      <c r="G130" s="83"/>
      <c r="H130" s="86"/>
      <c r="I130" s="86"/>
      <c r="J130" s="86"/>
      <c r="K130" s="81"/>
      <c r="L130" s="82"/>
      <c r="M130" s="86"/>
      <c r="N130" s="86"/>
      <c r="O130" s="86"/>
      <c r="P130" s="86"/>
      <c r="Q130" s="86"/>
      <c r="R130" s="86"/>
      <c r="S130" s="86"/>
      <c r="T130" s="86"/>
      <c r="U130" s="86"/>
      <c r="V130" s="86"/>
      <c r="W130" s="86"/>
      <c r="X130" s="86"/>
      <c r="Y130" s="86"/>
      <c r="Z130" s="86"/>
      <c r="AA130" s="86"/>
    </row>
    <row r="131" spans="1:27" ht="14.25" customHeight="1" x14ac:dyDescent="0.35">
      <c r="A131" s="76" t="str">
        <v>Anton Edlinger</v>
      </c>
      <c r="B131" s="87">
        <v>0</v>
      </c>
      <c r="C131" s="76" t="str">
        <v>Jakob Elmer</v>
      </c>
      <c r="D131" s="78">
        <f>IF(C131=0,0,_xlfn.IFNA(IF( MATCH(C131,Rangliste!B:B,0)&gt;0,0,1),1))</f>
        <v>0</v>
      </c>
      <c r="E131" s="85" t="str">
        <f t="shared" si="0"/>
        <v/>
      </c>
      <c r="F131" s="85"/>
      <c r="G131" s="83"/>
      <c r="H131" s="86"/>
      <c r="I131" s="86"/>
      <c r="J131" s="86"/>
      <c r="K131" s="81"/>
      <c r="L131" s="82"/>
      <c r="M131" s="86"/>
      <c r="N131" s="86"/>
      <c r="O131" s="86"/>
      <c r="P131" s="86"/>
      <c r="Q131" s="86"/>
      <c r="R131" s="86"/>
      <c r="S131" s="86"/>
      <c r="T131" s="86"/>
      <c r="U131" s="86"/>
      <c r="V131" s="86"/>
      <c r="W131" s="86"/>
      <c r="X131" s="86"/>
      <c r="Y131" s="86"/>
      <c r="Z131" s="86"/>
      <c r="AA131" s="86"/>
    </row>
    <row r="132" spans="1:27" ht="14.25" customHeight="1" x14ac:dyDescent="0.35">
      <c r="A132" s="76" t="str">
        <f t="array" ref="A132:A147">'WBV 3'!$B$3:$B$18</f>
        <v>Sebastian Dollinger</v>
      </c>
      <c r="B132" s="84" t="str">
        <f t="array" ref="B132:B163">'WBV 2'!$B$3:$B$34</f>
        <v>Xinjie Chen</v>
      </c>
      <c r="C132" s="76" t="str">
        <v>Konrad Milleder</v>
      </c>
      <c r="D132" s="78">
        <f>IF(C132=0,0,_xlfn.IFNA(IF( MATCH(C132,Rangliste!B:B,0)&gt;0,0,1),1))</f>
        <v>0</v>
      </c>
      <c r="E132" s="85" t="str">
        <f t="shared" si="0"/>
        <v/>
      </c>
      <c r="F132" s="85"/>
      <c r="G132" s="83"/>
      <c r="H132" s="86"/>
      <c r="I132" s="86"/>
      <c r="J132" s="86"/>
      <c r="K132" s="81"/>
      <c r="L132" s="82"/>
      <c r="M132" s="86"/>
      <c r="N132" s="86"/>
      <c r="O132" s="86"/>
      <c r="P132" s="86"/>
      <c r="Q132" s="86"/>
      <c r="R132" s="86"/>
      <c r="S132" s="86"/>
      <c r="T132" s="86"/>
      <c r="U132" s="86"/>
      <c r="V132" s="86"/>
      <c r="W132" s="86"/>
      <c r="X132" s="86"/>
      <c r="Y132" s="86"/>
      <c r="Z132" s="86"/>
      <c r="AA132" s="86"/>
    </row>
    <row r="133" spans="1:27" ht="14.25" customHeight="1" x14ac:dyDescent="0.35">
      <c r="A133" s="76" t="str">
        <v>Fabian Faller</v>
      </c>
      <c r="B133" s="77" t="str">
        <v>Sebastian Dollinger</v>
      </c>
      <c r="C133" s="76" t="str">
        <v>Felix Österreicher</v>
      </c>
      <c r="D133" s="78">
        <f>IF(C133=0,0,_xlfn.IFNA(IF( MATCH(C133,Rangliste!B:B,0)&gt;0,0,1),1))</f>
        <v>0</v>
      </c>
      <c r="E133" s="85" t="str">
        <f t="shared" si="0"/>
        <v/>
      </c>
      <c r="F133" s="85"/>
      <c r="G133" s="83"/>
      <c r="H133" s="86"/>
      <c r="I133" s="86"/>
      <c r="J133" s="86"/>
      <c r="K133" s="81"/>
      <c r="L133" s="82"/>
      <c r="M133" s="86"/>
      <c r="N133" s="86"/>
      <c r="O133" s="86"/>
      <c r="P133" s="86"/>
      <c r="Q133" s="86"/>
      <c r="R133" s="86"/>
      <c r="S133" s="86"/>
      <c r="T133" s="86"/>
      <c r="U133" s="86"/>
      <c r="V133" s="86"/>
      <c r="W133" s="86"/>
      <c r="X133" s="86"/>
      <c r="Y133" s="86"/>
      <c r="Z133" s="86"/>
      <c r="AA133" s="86"/>
    </row>
    <row r="134" spans="1:27" ht="14.25" customHeight="1" x14ac:dyDescent="0.35">
      <c r="A134" s="76" t="str">
        <v>Philipp Grebien</v>
      </c>
      <c r="B134" s="77" t="str">
        <v>Louis Liu</v>
      </c>
      <c r="C134" s="76" t="str">
        <v>Maximilian Grünwald</v>
      </c>
      <c r="D134" s="78">
        <f>IF(C134=0,0,_xlfn.IFNA(IF( MATCH(C134,Rangliste!B:B,0)&gt;0,0,1),1))</f>
        <v>0</v>
      </c>
      <c r="E134" s="85" t="str">
        <f t="shared" si="0"/>
        <v/>
      </c>
      <c r="F134" s="85"/>
      <c r="G134" s="83"/>
      <c r="H134" s="86"/>
      <c r="I134" s="86"/>
      <c r="J134" s="86"/>
      <c r="K134" s="81"/>
      <c r="L134" s="82"/>
      <c r="M134" s="86"/>
      <c r="N134" s="86"/>
      <c r="O134" s="86"/>
      <c r="P134" s="86"/>
      <c r="Q134" s="86"/>
      <c r="R134" s="86"/>
      <c r="S134" s="86"/>
      <c r="T134" s="86"/>
      <c r="U134" s="86"/>
      <c r="V134" s="86"/>
      <c r="W134" s="86"/>
      <c r="X134" s="86"/>
      <c r="Y134" s="86"/>
      <c r="Z134" s="86"/>
      <c r="AA134" s="86"/>
    </row>
    <row r="135" spans="1:27" ht="14.25" customHeight="1" x14ac:dyDescent="0.35">
      <c r="A135" s="76" t="str">
        <v>Mina Ruenroeng</v>
      </c>
      <c r="B135" s="77" t="str">
        <v>Faraz Ahmed</v>
      </c>
      <c r="C135" s="76" t="str">
        <v>Jannik Neulinger</v>
      </c>
      <c r="D135" s="78">
        <f>IF(C135=0,0,_xlfn.IFNA(IF( MATCH(C135,Rangliste!B:B,0)&gt;0,0,1),1))</f>
        <v>0</v>
      </c>
      <c r="E135" s="85" t="str">
        <f t="shared" si="0"/>
        <v/>
      </c>
      <c r="F135" s="85"/>
      <c r="G135" s="83"/>
      <c r="H135" s="86"/>
      <c r="I135" s="86"/>
      <c r="J135" s="86"/>
      <c r="K135" s="81"/>
      <c r="L135" s="82"/>
      <c r="M135" s="86"/>
      <c r="N135" s="86"/>
      <c r="O135" s="86"/>
      <c r="P135" s="86"/>
      <c r="Q135" s="86"/>
      <c r="R135" s="86"/>
      <c r="S135" s="86"/>
      <c r="T135" s="86"/>
      <c r="U135" s="86"/>
      <c r="V135" s="86"/>
      <c r="W135" s="86"/>
      <c r="X135" s="86"/>
      <c r="Y135" s="86"/>
      <c r="Z135" s="86"/>
      <c r="AA135" s="86"/>
    </row>
    <row r="136" spans="1:27" ht="14.25" customHeight="1" x14ac:dyDescent="0.35">
      <c r="A136" s="76" t="str">
        <v>Levin Anderwald</v>
      </c>
      <c r="B136" s="77" t="str">
        <v>Emilia Nagy</v>
      </c>
      <c r="C136" s="76" t="str">
        <v>Valentin Schefcik</v>
      </c>
      <c r="D136" s="78">
        <f>IF(C136=0,0,_xlfn.IFNA(IF( MATCH(C136,Rangliste!B:B,0)&gt;0,0,1),1))</f>
        <v>0</v>
      </c>
      <c r="E136" s="85" t="str">
        <f t="shared" si="0"/>
        <v/>
      </c>
      <c r="F136" s="85"/>
      <c r="G136" s="83"/>
      <c r="H136" s="86"/>
      <c r="I136" s="86"/>
      <c r="J136" s="86"/>
      <c r="K136" s="81"/>
      <c r="L136" s="82"/>
      <c r="M136" s="86"/>
      <c r="N136" s="86"/>
      <c r="O136" s="86"/>
      <c r="P136" s="86"/>
      <c r="Q136" s="86"/>
      <c r="R136" s="86"/>
      <c r="S136" s="86"/>
      <c r="T136" s="86"/>
      <c r="U136" s="86"/>
      <c r="V136" s="86"/>
      <c r="W136" s="86"/>
      <c r="X136" s="86"/>
      <c r="Y136" s="86"/>
      <c r="Z136" s="86"/>
      <c r="AA136" s="86"/>
    </row>
    <row r="137" spans="1:27" ht="14.25" customHeight="1" x14ac:dyDescent="0.35">
      <c r="A137" s="76">
        <v>0</v>
      </c>
      <c r="B137" s="77">
        <v>0</v>
      </c>
      <c r="C137" s="76" t="str">
        <v>Lukas Buschenreithner</v>
      </c>
      <c r="D137" s="78">
        <f>IF(C137=0,0,_xlfn.IFNA(IF( MATCH(C137,Rangliste!B:B,0)&gt;0,0,1),1))</f>
        <v>0</v>
      </c>
      <c r="E137" s="85" t="str">
        <f t="shared" si="0"/>
        <v/>
      </c>
      <c r="F137" s="85"/>
      <c r="G137" s="83"/>
      <c r="H137" s="86"/>
      <c r="I137" s="86"/>
      <c r="J137" s="86"/>
      <c r="K137" s="81"/>
      <c r="L137" s="82"/>
      <c r="M137" s="86"/>
      <c r="N137" s="86"/>
      <c r="O137" s="86"/>
      <c r="P137" s="86"/>
      <c r="Q137" s="86"/>
      <c r="R137" s="86"/>
      <c r="S137" s="86"/>
      <c r="T137" s="86"/>
      <c r="U137" s="86"/>
      <c r="V137" s="86"/>
      <c r="W137" s="86"/>
      <c r="X137" s="86"/>
      <c r="Y137" s="86"/>
      <c r="Z137" s="86"/>
      <c r="AA137" s="86"/>
    </row>
    <row r="138" spans="1:27" ht="14.25" customHeight="1" x14ac:dyDescent="0.35">
      <c r="A138" s="76">
        <v>0</v>
      </c>
      <c r="B138" s="77">
        <v>0</v>
      </c>
      <c r="C138" s="76" t="str">
        <v>Tobias Lindorfer</v>
      </c>
      <c r="D138" s="78">
        <f>IF(C138=0,0,_xlfn.IFNA(IF( MATCH(C138,Rangliste!B:B,0)&gt;0,0,1),1))</f>
        <v>0</v>
      </c>
      <c r="E138" s="85" t="str">
        <f t="shared" si="0"/>
        <v/>
      </c>
      <c r="F138" s="85"/>
      <c r="G138" s="83"/>
      <c r="H138" s="86"/>
      <c r="I138" s="86"/>
      <c r="J138" s="86"/>
      <c r="K138" s="81"/>
      <c r="L138" s="82"/>
      <c r="M138" s="86"/>
      <c r="N138" s="86"/>
      <c r="O138" s="86"/>
      <c r="P138" s="86"/>
      <c r="Q138" s="86"/>
      <c r="R138" s="86"/>
      <c r="S138" s="86"/>
      <c r="T138" s="86"/>
      <c r="U138" s="86"/>
      <c r="V138" s="86"/>
      <c r="W138" s="86"/>
      <c r="X138" s="86"/>
      <c r="Y138" s="86"/>
      <c r="Z138" s="86"/>
      <c r="AA138" s="86"/>
    </row>
    <row r="139" spans="1:27" ht="14.25" customHeight="1" x14ac:dyDescent="0.35">
      <c r="A139" s="76">
        <v>0</v>
      </c>
      <c r="B139" s="77">
        <v>0</v>
      </c>
      <c r="C139" s="76" t="str">
        <v>Daniel Reiter</v>
      </c>
      <c r="D139" s="78">
        <f>IF(C139=0,0,_xlfn.IFNA(IF( MATCH(C139,Rangliste!B:B,0)&gt;0,0,1),1))</f>
        <v>0</v>
      </c>
      <c r="E139" s="85" t="str">
        <f t="shared" si="0"/>
        <v/>
      </c>
      <c r="F139" s="85"/>
      <c r="G139" s="83"/>
      <c r="H139" s="86"/>
      <c r="I139" s="86"/>
      <c r="J139" s="86"/>
      <c r="K139" s="81"/>
      <c r="L139" s="82"/>
      <c r="M139" s="86"/>
      <c r="N139" s="86"/>
      <c r="O139" s="86"/>
      <c r="P139" s="86"/>
      <c r="Q139" s="86"/>
      <c r="R139" s="86"/>
      <c r="S139" s="86"/>
      <c r="T139" s="86"/>
      <c r="U139" s="86"/>
      <c r="V139" s="86"/>
      <c r="W139" s="86"/>
      <c r="X139" s="86"/>
      <c r="Y139" s="86"/>
      <c r="Z139" s="86"/>
      <c r="AA139" s="86"/>
    </row>
    <row r="140" spans="1:27" ht="14.25" customHeight="1" x14ac:dyDescent="0.35">
      <c r="A140" s="76">
        <v>0</v>
      </c>
      <c r="B140" s="77">
        <v>0</v>
      </c>
      <c r="C140" s="76" t="str">
        <v>Leon Wolansky</v>
      </c>
      <c r="D140" s="78">
        <f>IF(C140=0,0,_xlfn.IFNA(IF( MATCH(C140,Rangliste!B:B,0)&gt;0,0,1),1))</f>
        <v>0</v>
      </c>
      <c r="E140" s="85" t="str">
        <f t="shared" si="0"/>
        <v/>
      </c>
      <c r="F140" s="85"/>
      <c r="G140" s="83"/>
      <c r="H140" s="86"/>
      <c r="I140" s="86"/>
      <c r="J140" s="86"/>
      <c r="K140" s="81"/>
      <c r="L140" s="82"/>
      <c r="M140" s="86"/>
      <c r="N140" s="86"/>
      <c r="O140" s="86"/>
      <c r="P140" s="86"/>
      <c r="Q140" s="86"/>
      <c r="R140" s="86"/>
      <c r="S140" s="86"/>
      <c r="T140" s="86"/>
      <c r="U140" s="86"/>
      <c r="V140" s="86"/>
      <c r="W140" s="86"/>
      <c r="X140" s="86"/>
      <c r="Y140" s="86"/>
      <c r="Z140" s="86"/>
      <c r="AA140" s="86"/>
    </row>
    <row r="141" spans="1:27" ht="14.25" customHeight="1" x14ac:dyDescent="0.35">
      <c r="A141" s="76">
        <v>0</v>
      </c>
      <c r="B141" s="77">
        <v>0</v>
      </c>
      <c r="C141" s="76" t="str">
        <v>Kristof Süveges</v>
      </c>
      <c r="D141" s="78">
        <f>IF(C141=0,0,_xlfn.IFNA(IF( MATCH(C141,Rangliste!B:B,0)&gt;0,0,1),1))</f>
        <v>0</v>
      </c>
      <c r="E141" s="85" t="str">
        <f t="shared" si="0"/>
        <v/>
      </c>
      <c r="F141" s="85"/>
      <c r="G141" s="83"/>
      <c r="H141" s="86"/>
      <c r="I141" s="86"/>
      <c r="J141" s="86"/>
      <c r="K141" s="81"/>
      <c r="L141" s="82"/>
      <c r="M141" s="86"/>
      <c r="N141" s="86"/>
      <c r="O141" s="86"/>
      <c r="P141" s="86"/>
      <c r="Q141" s="86"/>
      <c r="R141" s="86"/>
      <c r="S141" s="86"/>
      <c r="T141" s="86"/>
      <c r="U141" s="86"/>
      <c r="V141" s="86"/>
      <c r="W141" s="86"/>
      <c r="X141" s="86"/>
      <c r="Y141" s="86"/>
      <c r="Z141" s="86"/>
      <c r="AA141" s="86"/>
    </row>
    <row r="142" spans="1:27" ht="14.25" customHeight="1" x14ac:dyDescent="0.35">
      <c r="A142" s="76">
        <v>0</v>
      </c>
      <c r="B142" s="77">
        <v>0</v>
      </c>
      <c r="C142" s="76" t="str">
        <v>Julian Taferl</v>
      </c>
      <c r="D142" s="78">
        <f>IF(C142=0,0,_xlfn.IFNA(IF( MATCH(C142,Rangliste!B:B,0)&gt;0,0,1),1))</f>
        <v>0</v>
      </c>
      <c r="E142" s="85" t="str">
        <f t="shared" si="0"/>
        <v/>
      </c>
      <c r="F142" s="85"/>
      <c r="G142" s="83"/>
      <c r="H142" s="86"/>
      <c r="I142" s="86"/>
      <c r="J142" s="86"/>
      <c r="K142" s="81"/>
      <c r="L142" s="82"/>
      <c r="M142" s="86"/>
      <c r="N142" s="86"/>
      <c r="O142" s="86"/>
      <c r="P142" s="86"/>
      <c r="Q142" s="86"/>
      <c r="R142" s="86"/>
      <c r="S142" s="86"/>
      <c r="T142" s="86"/>
      <c r="U142" s="86"/>
      <c r="V142" s="86"/>
      <c r="W142" s="86"/>
      <c r="X142" s="86"/>
      <c r="Y142" s="86"/>
      <c r="Z142" s="86"/>
      <c r="AA142" s="86"/>
    </row>
    <row r="143" spans="1:27" ht="14.25" customHeight="1" x14ac:dyDescent="0.35">
      <c r="A143" s="76">
        <v>0</v>
      </c>
      <c r="B143" s="77">
        <v>0</v>
      </c>
      <c r="C143" s="76" t="str">
        <v>Elias Bauer</v>
      </c>
      <c r="D143" s="78">
        <f>IF(C143=0,0,_xlfn.IFNA(IF( MATCH(C143,Rangliste!B:B,0)&gt;0,0,1),1))</f>
        <v>0</v>
      </c>
      <c r="E143" s="85" t="str">
        <f t="shared" si="0"/>
        <v/>
      </c>
      <c r="F143" s="85"/>
      <c r="G143" s="83"/>
      <c r="H143" s="86"/>
      <c r="I143" s="86"/>
      <c r="J143" s="86"/>
      <c r="K143" s="81"/>
      <c r="L143" s="82"/>
      <c r="M143" s="86"/>
      <c r="N143" s="86"/>
      <c r="O143" s="86"/>
      <c r="P143" s="86"/>
      <c r="Q143" s="86"/>
      <c r="R143" s="86"/>
      <c r="S143" s="86"/>
      <c r="T143" s="86"/>
      <c r="U143" s="86"/>
      <c r="V143" s="86"/>
      <c r="W143" s="86"/>
      <c r="X143" s="86"/>
      <c r="Y143" s="86"/>
      <c r="Z143" s="86"/>
      <c r="AA143" s="86"/>
    </row>
    <row r="144" spans="1:27" ht="14.25" customHeight="1" x14ac:dyDescent="0.35">
      <c r="A144" s="76">
        <v>0</v>
      </c>
      <c r="B144" s="77">
        <v>0</v>
      </c>
      <c r="C144" s="76" t="str">
        <v>Anna Gugler</v>
      </c>
      <c r="D144" s="78">
        <f>IF(C144=0,0,_xlfn.IFNA(IF( MATCH(C144,Rangliste!B:B,0)&gt;0,0,1),1))</f>
        <v>0</v>
      </c>
      <c r="E144" s="85" t="str">
        <f t="shared" si="0"/>
        <v/>
      </c>
      <c r="F144" s="85"/>
      <c r="G144" s="83"/>
      <c r="H144" s="86"/>
      <c r="I144" s="86"/>
      <c r="J144" s="86"/>
      <c r="K144" s="81"/>
      <c r="L144" s="82"/>
      <c r="M144" s="86"/>
      <c r="N144" s="86"/>
      <c r="O144" s="86"/>
      <c r="P144" s="86"/>
      <c r="Q144" s="86"/>
      <c r="R144" s="86"/>
      <c r="S144" s="86"/>
      <c r="T144" s="86"/>
      <c r="U144" s="86"/>
      <c r="V144" s="86"/>
      <c r="W144" s="86"/>
      <c r="X144" s="86"/>
      <c r="Y144" s="86"/>
      <c r="Z144" s="86"/>
      <c r="AA144" s="86"/>
    </row>
    <row r="145" spans="1:27" ht="14.25" customHeight="1" x14ac:dyDescent="0.35">
      <c r="A145" s="76">
        <v>0</v>
      </c>
      <c r="B145" s="77">
        <v>0</v>
      </c>
      <c r="C145" s="76" t="str">
        <v>Rafael Burian</v>
      </c>
      <c r="D145" s="78">
        <f>IF(C145=0,0,_xlfn.IFNA(IF( MATCH(C145,Rangliste!B:B,0)&gt;0,0,1),1))</f>
        <v>0</v>
      </c>
      <c r="E145" s="85" t="str">
        <f t="shared" si="0"/>
        <v/>
      </c>
      <c r="F145" s="85"/>
      <c r="G145" s="83"/>
      <c r="H145" s="86"/>
      <c r="I145" s="86"/>
      <c r="J145" s="86"/>
      <c r="K145" s="81"/>
      <c r="L145" s="82"/>
      <c r="M145" s="86"/>
      <c r="N145" s="86"/>
      <c r="O145" s="86"/>
      <c r="P145" s="86"/>
      <c r="Q145" s="86"/>
      <c r="R145" s="86"/>
      <c r="S145" s="86"/>
      <c r="T145" s="86"/>
      <c r="U145" s="86"/>
      <c r="V145" s="86"/>
      <c r="W145" s="86"/>
      <c r="X145" s="86"/>
      <c r="Y145" s="86"/>
      <c r="Z145" s="86"/>
      <c r="AA145" s="86"/>
    </row>
    <row r="146" spans="1:27" ht="14.25" customHeight="1" x14ac:dyDescent="0.35">
      <c r="A146" s="76">
        <v>0</v>
      </c>
      <c r="B146" s="77">
        <v>0</v>
      </c>
      <c r="C146" s="76" t="str">
        <v>Viktoria Klein</v>
      </c>
      <c r="D146" s="78">
        <f>IF(C146=0,0,_xlfn.IFNA(IF( MATCH(C146,Rangliste!B:B,0)&gt;0,0,1),1))</f>
        <v>0</v>
      </c>
      <c r="E146" s="85" t="str">
        <f t="shared" si="0"/>
        <v/>
      </c>
      <c r="F146" s="85"/>
      <c r="G146" s="83"/>
      <c r="H146" s="86"/>
      <c r="I146" s="86"/>
      <c r="J146" s="86"/>
      <c r="K146" s="81"/>
      <c r="L146" s="82"/>
      <c r="M146" s="86"/>
      <c r="N146" s="86"/>
      <c r="O146" s="86"/>
      <c r="P146" s="86"/>
      <c r="Q146" s="86"/>
      <c r="R146" s="86"/>
      <c r="S146" s="86"/>
      <c r="T146" s="86"/>
      <c r="U146" s="86"/>
      <c r="V146" s="86"/>
      <c r="W146" s="86"/>
      <c r="X146" s="86"/>
      <c r="Y146" s="86"/>
      <c r="Z146" s="86"/>
      <c r="AA146" s="86"/>
    </row>
    <row r="147" spans="1:27" ht="14.25" customHeight="1" x14ac:dyDescent="0.35">
      <c r="A147" s="76">
        <v>0</v>
      </c>
      <c r="B147" s="77">
        <v>0</v>
      </c>
      <c r="C147" s="76" t="str">
        <v>Dimitrij Wolgin</v>
      </c>
      <c r="D147" s="78">
        <f>IF(C147=0,0,_xlfn.IFNA(IF( MATCH(C147,Rangliste!B:B,0)&gt;0,0,1),1))</f>
        <v>0</v>
      </c>
      <c r="E147" s="85" t="str">
        <f t="shared" si="0"/>
        <v/>
      </c>
      <c r="F147" s="85"/>
      <c r="G147" s="83"/>
      <c r="H147" s="86"/>
      <c r="I147" s="86"/>
      <c r="J147" s="86"/>
      <c r="K147" s="81"/>
      <c r="L147" s="82"/>
      <c r="M147" s="86"/>
      <c r="N147" s="86"/>
      <c r="O147" s="86"/>
      <c r="P147" s="86"/>
      <c r="Q147" s="86"/>
      <c r="R147" s="86"/>
      <c r="S147" s="86"/>
      <c r="T147" s="86"/>
      <c r="U147" s="86"/>
      <c r="V147" s="86"/>
      <c r="W147" s="86"/>
      <c r="X147" s="86"/>
      <c r="Y147" s="86"/>
      <c r="Z147" s="86"/>
      <c r="AA147" s="86"/>
    </row>
    <row r="148" spans="1:27" ht="14.25" customHeight="1" x14ac:dyDescent="0.35">
      <c r="A148" s="76" t="str">
        <f t="array" ref="A148:A163">'WBV 3'!$F$3:$F$18</f>
        <v>Moritz Köstl</v>
      </c>
      <c r="B148" s="77">
        <v>0</v>
      </c>
      <c r="C148" s="76" t="str">
        <v>Viktor Aleksic</v>
      </c>
      <c r="D148" s="78">
        <f>IF(C148=0,0,_xlfn.IFNA(IF( MATCH(C148,Rangliste!B:B,0)&gt;0,0,1),1))</f>
        <v>0</v>
      </c>
      <c r="E148" s="85" t="str">
        <f t="shared" si="0"/>
        <v/>
      </c>
      <c r="F148" s="85"/>
      <c r="G148" s="83"/>
      <c r="H148" s="86"/>
      <c r="I148" s="86"/>
      <c r="J148" s="86"/>
      <c r="K148" s="81"/>
      <c r="L148" s="82"/>
      <c r="M148" s="86"/>
      <c r="N148" s="86"/>
      <c r="O148" s="86"/>
      <c r="P148" s="86"/>
      <c r="Q148" s="86"/>
      <c r="R148" s="86"/>
      <c r="S148" s="86"/>
      <c r="T148" s="86"/>
      <c r="U148" s="86"/>
      <c r="V148" s="86"/>
      <c r="W148" s="86"/>
      <c r="X148" s="86"/>
      <c r="Y148" s="86"/>
      <c r="Z148" s="86"/>
      <c r="AA148" s="86"/>
    </row>
    <row r="149" spans="1:27" ht="14.25" customHeight="1" x14ac:dyDescent="0.35">
      <c r="A149" s="76" t="str">
        <v>Agam Singh</v>
      </c>
      <c r="B149" s="77">
        <v>0</v>
      </c>
      <c r="C149" s="76" t="str">
        <v>Julian Österreicher</v>
      </c>
      <c r="D149" s="78">
        <f>IF(C149=0,0,_xlfn.IFNA(IF( MATCH(C149,Rangliste!B:B,0)&gt;0,0,1),1))</f>
        <v>0</v>
      </c>
      <c r="E149" s="85" t="str">
        <f t="shared" si="0"/>
        <v/>
      </c>
      <c r="F149" s="85"/>
      <c r="G149" s="83"/>
      <c r="H149" s="86"/>
      <c r="I149" s="86"/>
      <c r="J149" s="86"/>
      <c r="K149" s="81"/>
      <c r="L149" s="82"/>
      <c r="M149" s="86"/>
      <c r="N149" s="86"/>
      <c r="O149" s="86"/>
      <c r="P149" s="86"/>
      <c r="Q149" s="86"/>
      <c r="R149" s="86"/>
      <c r="S149" s="86"/>
      <c r="T149" s="86"/>
      <c r="U149" s="86"/>
      <c r="V149" s="86"/>
      <c r="W149" s="86"/>
      <c r="X149" s="86"/>
      <c r="Y149" s="86"/>
      <c r="Z149" s="86"/>
      <c r="AA149" s="86"/>
    </row>
    <row r="150" spans="1:27" ht="14.25" customHeight="1" x14ac:dyDescent="0.35">
      <c r="A150" s="76" t="str">
        <v>Laura Schindler</v>
      </c>
      <c r="B150" s="77">
        <v>0</v>
      </c>
      <c r="C150" s="76" t="str">
        <v>Leon Hausmann</v>
      </c>
      <c r="D150" s="78">
        <f>IF(C150=0,0,_xlfn.IFNA(IF( MATCH(C150,Rangliste!B:B,0)&gt;0,0,1),1))</f>
        <v>0</v>
      </c>
      <c r="E150" s="85" t="str">
        <f t="shared" si="0"/>
        <v/>
      </c>
      <c r="F150" s="85"/>
      <c r="G150" s="83"/>
      <c r="H150" s="86"/>
      <c r="I150" s="86"/>
      <c r="J150" s="86"/>
      <c r="K150" s="81"/>
      <c r="L150" s="82"/>
      <c r="M150" s="86"/>
      <c r="N150" s="86"/>
      <c r="O150" s="86"/>
      <c r="P150" s="86"/>
      <c r="Q150" s="86"/>
      <c r="R150" s="86"/>
      <c r="S150" s="86"/>
      <c r="T150" s="86"/>
      <c r="U150" s="86"/>
      <c r="V150" s="86"/>
      <c r="W150" s="86"/>
      <c r="X150" s="86"/>
      <c r="Y150" s="86"/>
      <c r="Z150" s="86"/>
      <c r="AA150" s="86"/>
    </row>
    <row r="151" spans="1:27" ht="14.25" customHeight="1" x14ac:dyDescent="0.35">
      <c r="A151" s="76" t="str">
        <v>Rafael Markus Gálos</v>
      </c>
      <c r="B151" s="77">
        <v>0</v>
      </c>
      <c r="C151" s="76" t="str">
        <v>Mátyás Palotai</v>
      </c>
      <c r="D151" s="78">
        <f>IF(C151=0,0,_xlfn.IFNA(IF( MATCH(C151,Rangliste!B:B,0)&gt;0,0,1),1))</f>
        <v>0</v>
      </c>
      <c r="E151" s="85" t="str">
        <f t="shared" si="0"/>
        <v/>
      </c>
      <c r="F151" s="85"/>
      <c r="G151" s="83"/>
      <c r="H151" s="86"/>
      <c r="I151" s="86"/>
      <c r="J151" s="86"/>
      <c r="K151" s="81"/>
      <c r="L151" s="82"/>
      <c r="M151" s="86"/>
      <c r="N151" s="86"/>
      <c r="O151" s="86"/>
      <c r="P151" s="86"/>
      <c r="Q151" s="86"/>
      <c r="R151" s="86"/>
      <c r="S151" s="86"/>
      <c r="T151" s="86"/>
      <c r="U151" s="86"/>
      <c r="V151" s="86"/>
      <c r="W151" s="86"/>
      <c r="X151" s="86"/>
      <c r="Y151" s="86"/>
      <c r="Z151" s="86"/>
      <c r="AA151" s="86"/>
    </row>
    <row r="152" spans="1:27" ht="14.25" customHeight="1" x14ac:dyDescent="0.35">
      <c r="A152" s="76" t="str">
        <v>Robin Schweiger</v>
      </c>
      <c r="B152" s="77">
        <v>0</v>
      </c>
      <c r="C152" s="76" t="str">
        <v>Sophie Grünwald</v>
      </c>
      <c r="D152" s="78">
        <f>IF(C152=0,0,_xlfn.IFNA(IF( MATCH(C152,Rangliste!B:B,0)&gt;0,0,1),1))</f>
        <v>0</v>
      </c>
      <c r="E152" s="85" t="str">
        <f t="shared" si="0"/>
        <v/>
      </c>
      <c r="F152" s="85"/>
      <c r="G152" s="83"/>
      <c r="H152" s="86"/>
      <c r="I152" s="86"/>
      <c r="J152" s="86"/>
      <c r="K152" s="81"/>
      <c r="L152" s="82"/>
      <c r="M152" s="86"/>
      <c r="N152" s="86"/>
      <c r="O152" s="86"/>
      <c r="P152" s="86"/>
      <c r="Q152" s="86"/>
      <c r="R152" s="86"/>
      <c r="S152" s="86"/>
      <c r="T152" s="86"/>
      <c r="U152" s="86"/>
      <c r="V152" s="86"/>
      <c r="W152" s="86"/>
      <c r="X152" s="86"/>
      <c r="Y152" s="86"/>
      <c r="Z152" s="86"/>
      <c r="AA152" s="86"/>
    </row>
    <row r="153" spans="1:27" ht="14.25" customHeight="1" x14ac:dyDescent="0.35">
      <c r="A153" s="76" t="str">
        <v>Kiril Barthel</v>
      </c>
      <c r="B153" s="77">
        <v>0</v>
      </c>
      <c r="C153" s="76" t="str">
        <v>Stella Marie Widder</v>
      </c>
      <c r="D153" s="78">
        <f>IF(C153=0,0,_xlfn.IFNA(IF( MATCH(C153,Rangliste!B:B,0)&gt;0,0,1),1))</f>
        <v>0</v>
      </c>
      <c r="E153" s="85" t="str">
        <f t="shared" si="0"/>
        <v/>
      </c>
      <c r="F153" s="85"/>
      <c r="G153" s="83"/>
      <c r="H153" s="86"/>
      <c r="I153" s="86"/>
      <c r="J153" s="86"/>
      <c r="K153" s="81"/>
      <c r="L153" s="82"/>
      <c r="M153" s="86"/>
      <c r="N153" s="86"/>
      <c r="O153" s="86"/>
      <c r="P153" s="86"/>
      <c r="Q153" s="86"/>
      <c r="R153" s="86"/>
      <c r="S153" s="86"/>
      <c r="T153" s="86"/>
      <c r="U153" s="86"/>
      <c r="V153" s="86"/>
      <c r="W153" s="86"/>
      <c r="X153" s="86"/>
      <c r="Y153" s="86"/>
      <c r="Z153" s="86"/>
      <c r="AA153" s="86"/>
    </row>
    <row r="154" spans="1:27" ht="14.25" customHeight="1" x14ac:dyDescent="0.35">
      <c r="A154" s="76" t="str">
        <v>Leonard Keiler</v>
      </c>
      <c r="B154" s="77">
        <v>0</v>
      </c>
      <c r="C154" s="76" t="str">
        <v>Elma Duvnjak</v>
      </c>
      <c r="D154" s="78">
        <f>IF(C154=0,0,_xlfn.IFNA(IF( MATCH(C154,Rangliste!B:B,0)&gt;0,0,1),1))</f>
        <v>0</v>
      </c>
      <c r="E154" s="85" t="str">
        <f t="shared" si="0"/>
        <v/>
      </c>
      <c r="F154" s="85"/>
      <c r="G154" s="83"/>
      <c r="H154" s="86"/>
      <c r="I154" s="86"/>
      <c r="J154" s="86"/>
      <c r="K154" s="81"/>
      <c r="L154" s="82"/>
      <c r="M154" s="86"/>
      <c r="N154" s="86"/>
      <c r="O154" s="86"/>
      <c r="P154" s="86"/>
      <c r="Q154" s="86"/>
      <c r="R154" s="86"/>
      <c r="S154" s="86"/>
      <c r="T154" s="86"/>
      <c r="U154" s="86"/>
      <c r="V154" s="86"/>
      <c r="W154" s="86"/>
      <c r="X154" s="86"/>
      <c r="Y154" s="86"/>
      <c r="Z154" s="86"/>
      <c r="AA154" s="86"/>
    </row>
    <row r="155" spans="1:27" ht="14.25" customHeight="1" x14ac:dyDescent="0.35">
      <c r="A155" s="76" t="str">
        <v>Emil Fathulla</v>
      </c>
      <c r="B155" s="77">
        <v>0</v>
      </c>
      <c r="C155" s="76" t="str">
        <v>Lorenz Grün</v>
      </c>
      <c r="D155" s="78">
        <f>IF(C155=0,0,_xlfn.IFNA(IF( MATCH(C155,Rangliste!B:B,0)&gt;0,0,1),1))</f>
        <v>0</v>
      </c>
      <c r="E155" s="85" t="str">
        <f t="shared" si="0"/>
        <v/>
      </c>
      <c r="F155" s="85"/>
      <c r="G155" s="83"/>
      <c r="H155" s="86"/>
      <c r="I155" s="86"/>
      <c r="J155" s="86"/>
      <c r="K155" s="81"/>
      <c r="L155" s="82"/>
      <c r="M155" s="86"/>
      <c r="N155" s="86"/>
      <c r="O155" s="86"/>
      <c r="P155" s="86"/>
      <c r="Q155" s="86"/>
      <c r="R155" s="86"/>
      <c r="S155" s="86"/>
      <c r="T155" s="86"/>
      <c r="U155" s="86"/>
      <c r="V155" s="86"/>
      <c r="W155" s="86"/>
      <c r="X155" s="86"/>
      <c r="Y155" s="86"/>
      <c r="Z155" s="86"/>
      <c r="AA155" s="86"/>
    </row>
    <row r="156" spans="1:27" ht="14.25" customHeight="1" x14ac:dyDescent="0.35">
      <c r="A156" s="76" t="str">
        <v>Boen Yan</v>
      </c>
      <c r="B156" s="77">
        <v>0</v>
      </c>
      <c r="C156" s="76" t="str">
        <v>Paul Lindorfer</v>
      </c>
      <c r="D156" s="78">
        <f>IF(C156=0,0,_xlfn.IFNA(IF( MATCH(C156,Rangliste!B:B,0)&gt;0,0,1),1))</f>
        <v>0</v>
      </c>
      <c r="E156" s="85" t="str">
        <f t="shared" si="0"/>
        <v/>
      </c>
      <c r="F156" s="85"/>
      <c r="G156" s="83"/>
      <c r="H156" s="86"/>
      <c r="I156" s="86"/>
      <c r="J156" s="86"/>
      <c r="K156" s="81"/>
      <c r="L156" s="82"/>
      <c r="M156" s="86"/>
      <c r="N156" s="86"/>
      <c r="O156" s="86"/>
      <c r="P156" s="86"/>
      <c r="Q156" s="86"/>
      <c r="R156" s="86"/>
      <c r="S156" s="86"/>
      <c r="T156" s="86"/>
      <c r="U156" s="86"/>
      <c r="V156" s="86"/>
      <c r="W156" s="86"/>
      <c r="X156" s="86"/>
      <c r="Y156" s="86"/>
      <c r="Z156" s="86"/>
      <c r="AA156" s="86"/>
    </row>
    <row r="157" spans="1:27" ht="14.25" customHeight="1" x14ac:dyDescent="0.35">
      <c r="A157" s="76" t="str">
        <v>Maximilian Wegenstein</v>
      </c>
      <c r="B157" s="77">
        <v>0</v>
      </c>
      <c r="C157" s="76" t="str">
        <v>Emily Nistelberger</v>
      </c>
      <c r="D157" s="78">
        <f>IF(C157=0,0,_xlfn.IFNA(IF( MATCH(C157,Rangliste!B:B,0)&gt;0,0,1),1))</f>
        <v>0</v>
      </c>
      <c r="E157" s="85" t="str">
        <f t="shared" si="0"/>
        <v/>
      </c>
      <c r="F157" s="85"/>
      <c r="G157" s="83"/>
      <c r="H157" s="86"/>
      <c r="I157" s="86"/>
      <c r="J157" s="86"/>
      <c r="K157" s="81"/>
      <c r="L157" s="82"/>
      <c r="M157" s="86"/>
      <c r="N157" s="86"/>
      <c r="O157" s="86"/>
      <c r="P157" s="86"/>
      <c r="Q157" s="86"/>
      <c r="R157" s="86"/>
      <c r="S157" s="86"/>
      <c r="T157" s="86"/>
      <c r="U157" s="86"/>
      <c r="V157" s="86"/>
      <c r="W157" s="86"/>
      <c r="X157" s="86"/>
      <c r="Y157" s="86"/>
      <c r="Z157" s="86"/>
      <c r="AA157" s="86"/>
    </row>
    <row r="158" spans="1:27" ht="14.25" customHeight="1" x14ac:dyDescent="0.35">
      <c r="A158" s="76" t="str">
        <v>Tim Loy</v>
      </c>
      <c r="B158" s="77">
        <v>0</v>
      </c>
      <c r="C158" s="76" t="str">
        <v>Emma Reiter</v>
      </c>
      <c r="D158" s="78">
        <f>IF(C158=0,0,_xlfn.IFNA(IF( MATCH(C158,Rangliste!B:B,0)&gt;0,0,1),1))</f>
        <v>0</v>
      </c>
      <c r="E158" s="85" t="str">
        <f t="shared" si="0"/>
        <v/>
      </c>
      <c r="F158" s="85"/>
      <c r="G158" s="83"/>
      <c r="H158" s="86"/>
      <c r="I158" s="86"/>
      <c r="J158" s="86"/>
      <c r="K158" s="81"/>
      <c r="L158" s="82"/>
      <c r="M158" s="86"/>
      <c r="N158" s="86"/>
      <c r="O158" s="86"/>
      <c r="P158" s="86"/>
      <c r="Q158" s="86"/>
      <c r="R158" s="86"/>
      <c r="S158" s="86"/>
      <c r="T158" s="86"/>
      <c r="U158" s="86"/>
      <c r="V158" s="86"/>
      <c r="W158" s="86"/>
      <c r="X158" s="86"/>
      <c r="Y158" s="86"/>
      <c r="Z158" s="86"/>
      <c r="AA158" s="86"/>
    </row>
    <row r="159" spans="1:27" ht="14.25" customHeight="1" x14ac:dyDescent="0.35">
      <c r="A159" s="76" t="str">
        <v>Miriam Duchac-Oberndorfer</v>
      </c>
      <c r="B159" s="77">
        <v>0</v>
      </c>
      <c r="C159" s="76" t="str">
        <v>Simon Elmer</v>
      </c>
      <c r="D159" s="78">
        <f>IF(C159=0,0,_xlfn.IFNA(IF( MATCH(C159,Rangliste!B:B,0)&gt;0,0,1),1))</f>
        <v>0</v>
      </c>
      <c r="E159" s="85" t="str">
        <f t="shared" si="0"/>
        <v/>
      </c>
      <c r="F159" s="85"/>
      <c r="G159" s="83"/>
      <c r="H159" s="86"/>
      <c r="I159" s="86"/>
      <c r="J159" s="86"/>
      <c r="K159" s="81"/>
      <c r="L159" s="82"/>
      <c r="M159" s="86"/>
      <c r="N159" s="86"/>
      <c r="O159" s="86"/>
      <c r="P159" s="86"/>
      <c r="Q159" s="86"/>
      <c r="R159" s="86"/>
      <c r="S159" s="86"/>
      <c r="T159" s="86"/>
      <c r="U159" s="86"/>
      <c r="V159" s="86"/>
      <c r="W159" s="86"/>
      <c r="X159" s="86"/>
      <c r="Y159" s="86"/>
      <c r="Z159" s="86"/>
      <c r="AA159" s="86"/>
    </row>
    <row r="160" spans="1:27" ht="14.25" customHeight="1" x14ac:dyDescent="0.35">
      <c r="A160" s="76" t="str">
        <v>Christoph Fessl</v>
      </c>
      <c r="B160" s="77">
        <v>0</v>
      </c>
      <c r="C160" s="76" t="str">
        <v>Paul Floßmann</v>
      </c>
      <c r="D160" s="78">
        <f>IF(C160=0,0,_xlfn.IFNA(IF( MATCH(C160,Rangliste!B:B,0)&gt;0,0,1),1))</f>
        <v>0</v>
      </c>
      <c r="E160" s="85" t="str">
        <f t="shared" si="0"/>
        <v/>
      </c>
      <c r="F160" s="85"/>
      <c r="G160" s="83"/>
      <c r="H160" s="86"/>
      <c r="I160" s="86"/>
      <c r="J160" s="86"/>
      <c r="K160" s="81"/>
      <c r="L160" s="82"/>
      <c r="M160" s="86"/>
      <c r="N160" s="86"/>
      <c r="O160" s="86"/>
      <c r="P160" s="86"/>
      <c r="Q160" s="86"/>
      <c r="R160" s="86"/>
      <c r="S160" s="86"/>
      <c r="T160" s="86"/>
      <c r="U160" s="86"/>
      <c r="V160" s="86"/>
      <c r="W160" s="86"/>
      <c r="X160" s="86"/>
      <c r="Y160" s="86"/>
      <c r="Z160" s="86"/>
      <c r="AA160" s="86"/>
    </row>
    <row r="161" spans="1:27" ht="14.25" customHeight="1" x14ac:dyDescent="0.35">
      <c r="A161" s="76" t="str">
        <v>Oscar Hsu</v>
      </c>
      <c r="B161" s="77">
        <v>0</v>
      </c>
      <c r="C161" s="76" t="str">
        <v>Mae Rädle</v>
      </c>
      <c r="D161" s="78">
        <f>IF(C161=0,0,_xlfn.IFNA(IF( MATCH(C161,Rangliste!B:B,0)&gt;0,0,1),1))</f>
        <v>0</v>
      </c>
      <c r="E161" s="85" t="str">
        <f t="shared" si="0"/>
        <v/>
      </c>
      <c r="F161" s="85"/>
      <c r="G161" s="83"/>
      <c r="H161" s="86"/>
      <c r="I161" s="86"/>
      <c r="J161" s="86"/>
      <c r="K161" s="81"/>
      <c r="L161" s="82"/>
      <c r="M161" s="86"/>
      <c r="N161" s="86"/>
      <c r="O161" s="86"/>
      <c r="P161" s="86"/>
      <c r="Q161" s="86"/>
      <c r="R161" s="86"/>
      <c r="S161" s="86"/>
      <c r="T161" s="86"/>
      <c r="U161" s="86"/>
      <c r="V161" s="86"/>
      <c r="W161" s="86"/>
      <c r="X161" s="86"/>
      <c r="Y161" s="86"/>
      <c r="Z161" s="86"/>
      <c r="AA161" s="86"/>
    </row>
    <row r="162" spans="1:27" ht="14.25" customHeight="1" x14ac:dyDescent="0.35">
      <c r="A162" s="76" t="str">
        <v>Alen Sosyan</v>
      </c>
      <c r="B162" s="77">
        <v>0</v>
      </c>
      <c r="C162" s="76" t="str">
        <v>Finn Blieweis</v>
      </c>
      <c r="D162" s="78">
        <f>IF(C162=0,0,_xlfn.IFNA(IF( MATCH(C162,Rangliste!B:B,0)&gt;0,0,1),1))</f>
        <v>0</v>
      </c>
      <c r="E162" s="85" t="str">
        <f t="shared" si="0"/>
        <v/>
      </c>
      <c r="F162" s="85"/>
      <c r="G162" s="83"/>
      <c r="H162" s="86"/>
      <c r="I162" s="86"/>
      <c r="J162" s="86"/>
      <c r="K162" s="81"/>
      <c r="L162" s="82"/>
      <c r="M162" s="86"/>
      <c r="N162" s="86"/>
      <c r="O162" s="86"/>
      <c r="P162" s="86"/>
      <c r="Q162" s="86"/>
      <c r="R162" s="86"/>
      <c r="S162" s="86"/>
      <c r="T162" s="86"/>
      <c r="U162" s="86"/>
      <c r="V162" s="86"/>
      <c r="W162" s="86"/>
      <c r="X162" s="86"/>
      <c r="Y162" s="86"/>
      <c r="Z162" s="86"/>
      <c r="AA162" s="86"/>
    </row>
    <row r="163" spans="1:27" ht="14.25" customHeight="1" x14ac:dyDescent="0.35">
      <c r="A163" s="76" t="str">
        <v>Marco Chen</v>
      </c>
      <c r="B163" s="77">
        <v>0</v>
      </c>
      <c r="C163" s="76" t="str">
        <v>Levente Joó</v>
      </c>
      <c r="D163" s="78">
        <f>IF(C163=0,0,_xlfn.IFNA(IF( MATCH(C163,Rangliste!B:B,0)&gt;0,0,1),1))</f>
        <v>0</v>
      </c>
      <c r="E163" s="85" t="str">
        <f t="shared" si="0"/>
        <v/>
      </c>
      <c r="F163" s="85"/>
      <c r="G163" s="83"/>
      <c r="H163" s="86"/>
      <c r="I163" s="86"/>
      <c r="J163" s="86"/>
      <c r="K163" s="81"/>
      <c r="L163" s="82"/>
      <c r="M163" s="86"/>
      <c r="N163" s="86"/>
      <c r="O163" s="86"/>
      <c r="P163" s="86"/>
      <c r="Q163" s="86"/>
      <c r="R163" s="86"/>
      <c r="S163" s="86"/>
      <c r="T163" s="86"/>
      <c r="U163" s="86"/>
      <c r="V163" s="86"/>
      <c r="W163" s="86"/>
      <c r="X163" s="86"/>
      <c r="Y163" s="86"/>
      <c r="Z163" s="86"/>
      <c r="AA163" s="86"/>
    </row>
    <row r="164" spans="1:27" ht="14.25" customHeight="1" x14ac:dyDescent="0.35">
      <c r="A164" s="76" t="str">
        <f t="array" ref="A164:A179">'WBV 3'!$J$3:$J$18</f>
        <v>Leon Frank</v>
      </c>
      <c r="B164" s="77" t="str">
        <f t="array" ref="B164:B195">'WBV 2'!$F$3:$F$34</f>
        <v>Max Xia</v>
      </c>
      <c r="C164" s="76" t="str">
        <v>Lara Burian</v>
      </c>
      <c r="D164" s="78">
        <f>IF(C164=0,0,_xlfn.IFNA(IF( MATCH(C164,Rangliste!B:B,0)&gt;0,0,1),1))</f>
        <v>0</v>
      </c>
      <c r="E164" s="85" t="str">
        <f t="shared" si="0"/>
        <v/>
      </c>
      <c r="F164" s="85"/>
      <c r="G164" s="83"/>
      <c r="H164" s="86"/>
      <c r="I164" s="86"/>
      <c r="J164" s="86"/>
      <c r="K164" s="81"/>
      <c r="L164" s="82"/>
      <c r="M164" s="86"/>
      <c r="N164" s="86"/>
      <c r="O164" s="86"/>
      <c r="P164" s="86"/>
      <c r="Q164" s="86"/>
      <c r="R164" s="86"/>
      <c r="S164" s="86"/>
      <c r="T164" s="86"/>
      <c r="U164" s="86"/>
      <c r="V164" s="86"/>
      <c r="W164" s="86"/>
      <c r="X164" s="86"/>
      <c r="Y164" s="86"/>
      <c r="Z164" s="86"/>
      <c r="AA164" s="86"/>
    </row>
    <row r="165" spans="1:27" ht="14.25" customHeight="1" x14ac:dyDescent="0.35">
      <c r="A165" s="76" t="str">
        <v>Tobias Gerner</v>
      </c>
      <c r="B165" s="77" t="str">
        <v>Terrence Chen</v>
      </c>
      <c r="C165" s="76" t="str">
        <v>Moritz Feher</v>
      </c>
      <c r="D165" s="78">
        <f>IF(C165=0,0,_xlfn.IFNA(IF( MATCH(C165,Rangliste!B:B,0)&gt;0,0,1),1))</f>
        <v>0</v>
      </c>
      <c r="E165" s="85" t="str">
        <f t="shared" si="0"/>
        <v/>
      </c>
      <c r="F165" s="85"/>
      <c r="G165" s="83"/>
      <c r="H165" s="86"/>
      <c r="I165" s="86"/>
      <c r="J165" s="86"/>
      <c r="K165" s="81"/>
      <c r="L165" s="82"/>
      <c r="M165" s="86"/>
      <c r="N165" s="86"/>
      <c r="O165" s="86"/>
      <c r="P165" s="86"/>
      <c r="Q165" s="86"/>
      <c r="R165" s="86"/>
      <c r="S165" s="86"/>
      <c r="T165" s="86"/>
      <c r="U165" s="86"/>
      <c r="V165" s="86"/>
      <c r="W165" s="86"/>
      <c r="X165" s="86"/>
      <c r="Y165" s="86"/>
      <c r="Z165" s="86"/>
      <c r="AA165" s="86"/>
    </row>
    <row r="166" spans="1:27" ht="14.25" customHeight="1" x14ac:dyDescent="0.35">
      <c r="A166" s="76" t="str">
        <v>Golsamin Harandi</v>
      </c>
      <c r="B166" s="77" t="str">
        <v>Mina Ruenroeng</v>
      </c>
      <c r="C166" s="76" t="str">
        <v>Jakob Müllner</v>
      </c>
      <c r="D166" s="78">
        <f>IF(C166=0,0,_xlfn.IFNA(IF( MATCH(C166,Rangliste!B:B,0)&gt;0,0,1),1))</f>
        <v>0</v>
      </c>
      <c r="E166" s="85" t="str">
        <f t="shared" si="0"/>
        <v/>
      </c>
      <c r="F166" s="85"/>
      <c r="G166" s="83"/>
      <c r="H166" s="86"/>
      <c r="I166" s="86"/>
      <c r="J166" s="86"/>
      <c r="K166" s="81"/>
      <c r="L166" s="82"/>
      <c r="M166" s="86"/>
      <c r="N166" s="86"/>
      <c r="O166" s="86"/>
      <c r="P166" s="86"/>
      <c r="Q166" s="86"/>
      <c r="R166" s="86"/>
      <c r="S166" s="86"/>
      <c r="T166" s="86"/>
      <c r="U166" s="86"/>
      <c r="V166" s="86"/>
      <c r="W166" s="86"/>
      <c r="X166" s="86"/>
      <c r="Y166" s="86"/>
      <c r="Z166" s="86"/>
      <c r="AA166" s="86"/>
    </row>
    <row r="167" spans="1:27" ht="14.25" customHeight="1" x14ac:dyDescent="0.35">
      <c r="A167" s="76" t="str">
        <v>Jacob Chen</v>
      </c>
      <c r="B167" s="77" t="str">
        <v>Kiril Barthel</v>
      </c>
      <c r="C167" s="76" t="str">
        <v>Lola Petraschek</v>
      </c>
      <c r="D167" s="78">
        <f>IF(C167=0,0,_xlfn.IFNA(IF( MATCH(C167,Rangliste!B:B,0)&gt;0,0,1),1))</f>
        <v>0</v>
      </c>
      <c r="E167" s="85" t="str">
        <f t="shared" si="0"/>
        <v/>
      </c>
      <c r="F167" s="85"/>
      <c r="G167" s="83"/>
      <c r="H167" s="86"/>
      <c r="I167" s="86"/>
      <c r="J167" s="86"/>
      <c r="K167" s="81"/>
      <c r="L167" s="82"/>
      <c r="M167" s="86"/>
      <c r="N167" s="86"/>
      <c r="O167" s="86"/>
      <c r="P167" s="86"/>
      <c r="Q167" s="86"/>
      <c r="R167" s="86"/>
      <c r="S167" s="86"/>
      <c r="T167" s="86"/>
      <c r="U167" s="86"/>
      <c r="V167" s="86"/>
      <c r="W167" s="86"/>
      <c r="X167" s="86"/>
      <c r="Y167" s="86"/>
      <c r="Z167" s="86"/>
      <c r="AA167" s="86"/>
    </row>
    <row r="168" spans="1:27" ht="14.25" customHeight="1" x14ac:dyDescent="0.35">
      <c r="A168" s="76" t="str">
        <v>Sophie Zirnwald</v>
      </c>
      <c r="B168" s="77" t="str">
        <v>Maximilian Wegenstein</v>
      </c>
      <c r="C168" s="76" t="str">
        <v>Alexander Wolgin</v>
      </c>
      <c r="D168" s="78">
        <f>IF(C168=0,0,_xlfn.IFNA(IF( MATCH(C168,Rangliste!B:B,0)&gt;0,0,1),1))</f>
        <v>0</v>
      </c>
      <c r="E168" s="85" t="str">
        <f t="shared" si="0"/>
        <v/>
      </c>
      <c r="F168" s="85"/>
      <c r="G168" s="83"/>
      <c r="H168" s="86"/>
      <c r="I168" s="86"/>
      <c r="J168" s="86"/>
      <c r="K168" s="81"/>
      <c r="L168" s="82"/>
      <c r="M168" s="86"/>
      <c r="N168" s="86"/>
      <c r="O168" s="86"/>
      <c r="P168" s="86"/>
      <c r="Q168" s="86"/>
      <c r="R168" s="86"/>
      <c r="S168" s="86"/>
      <c r="T168" s="86"/>
      <c r="U168" s="86"/>
      <c r="V168" s="86"/>
      <c r="W168" s="86"/>
      <c r="X168" s="86"/>
      <c r="Y168" s="86"/>
      <c r="Z168" s="86"/>
      <c r="AA168" s="86"/>
    </row>
    <row r="169" spans="1:27" ht="14.25" customHeight="1" x14ac:dyDescent="0.35">
      <c r="A169" s="76" t="str">
        <v>Lana Ziyue Dai</v>
      </c>
      <c r="B169" s="77" t="str">
        <v>Laura Schindler</v>
      </c>
      <c r="C169" s="76" t="str">
        <v>Valentin Grebien</v>
      </c>
      <c r="D169" s="78">
        <f>IF(C169=0,0,_xlfn.IFNA(IF( MATCH(C169,Rangliste!B:B,0)&gt;0,0,1),1))</f>
        <v>0</v>
      </c>
      <c r="E169" s="85" t="str">
        <f t="shared" si="0"/>
        <v/>
      </c>
      <c r="F169" s="85"/>
      <c r="G169" s="83"/>
      <c r="H169" s="86"/>
      <c r="I169" s="86"/>
      <c r="J169" s="86"/>
      <c r="K169" s="81"/>
      <c r="L169" s="82"/>
      <c r="M169" s="86"/>
      <c r="N169" s="86"/>
      <c r="O169" s="86"/>
      <c r="P169" s="86"/>
      <c r="Q169" s="86"/>
      <c r="R169" s="86"/>
      <c r="S169" s="86"/>
      <c r="T169" s="86"/>
      <c r="U169" s="86"/>
      <c r="V169" s="86"/>
      <c r="W169" s="86"/>
      <c r="X169" s="86"/>
      <c r="Y169" s="86"/>
      <c r="Z169" s="86"/>
      <c r="AA169" s="86"/>
    </row>
    <row r="170" spans="1:27" ht="14.25" customHeight="1" x14ac:dyDescent="0.35">
      <c r="A170" s="76" t="str">
        <v>Haorui Qu</v>
      </c>
      <c r="B170" s="77" t="str">
        <v>Levin Anderwald</v>
      </c>
      <c r="C170" s="76" t="str">
        <v>Leon Lu</v>
      </c>
      <c r="D170" s="78">
        <f>IF(C170=0,0,_xlfn.IFNA(IF( MATCH(C170,Rangliste!B:B,0)&gt;0,0,1),1))</f>
        <v>0</v>
      </c>
      <c r="E170" s="85" t="str">
        <f t="shared" si="0"/>
        <v/>
      </c>
      <c r="F170" s="85"/>
      <c r="G170" s="83"/>
      <c r="H170" s="86"/>
      <c r="I170" s="86"/>
      <c r="J170" s="86"/>
      <c r="K170" s="81"/>
      <c r="L170" s="82"/>
      <c r="M170" s="86"/>
      <c r="N170" s="86"/>
      <c r="O170" s="86"/>
      <c r="P170" s="86"/>
      <c r="Q170" s="86"/>
      <c r="R170" s="86"/>
      <c r="S170" s="86"/>
      <c r="T170" s="86"/>
      <c r="U170" s="86"/>
      <c r="V170" s="86"/>
      <c r="W170" s="86"/>
      <c r="X170" s="86"/>
      <c r="Y170" s="86"/>
      <c r="Z170" s="86"/>
      <c r="AA170" s="86"/>
    </row>
    <row r="171" spans="1:27" ht="14.25" customHeight="1" x14ac:dyDescent="0.35">
      <c r="A171" s="76" t="str">
        <v>Nitshada Keawsri</v>
      </c>
      <c r="B171" s="77" t="str">
        <v>Boen Yan</v>
      </c>
      <c r="C171" s="76" t="str">
        <v>Samuel Nemeskal</v>
      </c>
      <c r="D171" s="78">
        <f>IF(C171=0,0,_xlfn.IFNA(IF( MATCH(C171,Rangliste!B:B,0)&gt;0,0,1),1))</f>
        <v>0</v>
      </c>
      <c r="E171" s="85" t="str">
        <f t="shared" si="0"/>
        <v/>
      </c>
      <c r="F171" s="85"/>
      <c r="G171" s="83"/>
      <c r="H171" s="86"/>
      <c r="I171" s="86"/>
      <c r="J171" s="86"/>
      <c r="K171" s="81"/>
      <c r="L171" s="82"/>
      <c r="M171" s="86"/>
      <c r="N171" s="86"/>
      <c r="O171" s="86"/>
      <c r="P171" s="86"/>
      <c r="Q171" s="86"/>
      <c r="R171" s="86"/>
      <c r="S171" s="86"/>
      <c r="T171" s="86"/>
      <c r="U171" s="86"/>
      <c r="V171" s="86"/>
      <c r="W171" s="86"/>
      <c r="X171" s="86"/>
      <c r="Y171" s="86"/>
      <c r="Z171" s="86"/>
      <c r="AA171" s="86"/>
    </row>
    <row r="172" spans="1:27" ht="14.25" customHeight="1" x14ac:dyDescent="0.35">
      <c r="A172" s="76" t="str">
        <v>Aylin Simone Aktas</v>
      </c>
      <c r="B172" s="77" t="str">
        <v>Lola Ahammer</v>
      </c>
      <c r="C172" s="76" t="str">
        <v>Aron Massl</v>
      </c>
      <c r="D172" s="78">
        <f>IF(C172=0,0,_xlfn.IFNA(IF( MATCH(C172,Rangliste!B:B,0)&gt;0,0,1),1))</f>
        <v>0</v>
      </c>
      <c r="E172" s="85" t="str">
        <f t="shared" si="0"/>
        <v/>
      </c>
      <c r="F172" s="85"/>
      <c r="G172" s="83"/>
      <c r="H172" s="86"/>
      <c r="I172" s="86"/>
      <c r="J172" s="86"/>
      <c r="K172" s="81"/>
      <c r="L172" s="82"/>
      <c r="M172" s="86"/>
      <c r="N172" s="86"/>
      <c r="O172" s="86"/>
      <c r="P172" s="86"/>
      <c r="Q172" s="86"/>
      <c r="R172" s="86"/>
      <c r="S172" s="86"/>
      <c r="T172" s="86"/>
      <c r="U172" s="86"/>
      <c r="V172" s="86"/>
      <c r="W172" s="86"/>
      <c r="X172" s="86"/>
      <c r="Y172" s="86"/>
      <c r="Z172" s="86"/>
      <c r="AA172" s="86"/>
    </row>
    <row r="173" spans="1:27" ht="14.25" customHeight="1" x14ac:dyDescent="0.35">
      <c r="A173" s="76" t="str">
        <v>Yunqi Yang</v>
      </c>
      <c r="B173" s="77" t="str">
        <v>Miriam Duchac-Oberndorfer</v>
      </c>
      <c r="C173" s="76" t="str">
        <v>Robin Schwaiger</v>
      </c>
      <c r="D173" s="78">
        <f>IF(C173=0,0,_xlfn.IFNA(IF( MATCH(C173,Rangliste!B:B,0)&gt;0,0,1),1))</f>
        <v>0</v>
      </c>
      <c r="E173" s="85" t="str">
        <f t="shared" si="0"/>
        <v/>
      </c>
      <c r="F173" s="85"/>
      <c r="G173" s="83"/>
      <c r="H173" s="86"/>
      <c r="I173" s="86"/>
      <c r="J173" s="86"/>
      <c r="K173" s="81"/>
      <c r="L173" s="82"/>
      <c r="M173" s="86"/>
      <c r="N173" s="86"/>
      <c r="O173" s="86"/>
      <c r="P173" s="86"/>
      <c r="Q173" s="86"/>
      <c r="R173" s="86"/>
      <c r="S173" s="86"/>
      <c r="T173" s="86"/>
      <c r="U173" s="86"/>
      <c r="V173" s="86"/>
      <c r="W173" s="86"/>
      <c r="X173" s="86"/>
      <c r="Y173" s="86"/>
      <c r="Z173" s="86"/>
      <c r="AA173" s="86"/>
    </row>
    <row r="174" spans="1:27" ht="14.25" customHeight="1" x14ac:dyDescent="0.35">
      <c r="A174" s="76" t="str">
        <v>Linna Dai</v>
      </c>
      <c r="B174" s="77" t="str">
        <v>Rafael Markus Gálos</v>
      </c>
      <c r="C174" s="76" t="str">
        <v>Alexander Zadera</v>
      </c>
      <c r="D174" s="78">
        <f>IF(C174=0,0,_xlfn.IFNA(IF( MATCH(C174,Rangliste!B:B,0)&gt;0,0,1),1))</f>
        <v>0</v>
      </c>
      <c r="E174" s="85" t="str">
        <f t="shared" si="0"/>
        <v/>
      </c>
      <c r="F174" s="85"/>
      <c r="G174" s="83"/>
      <c r="H174" s="86"/>
      <c r="I174" s="86"/>
      <c r="J174" s="86"/>
      <c r="K174" s="81"/>
      <c r="L174" s="88"/>
      <c r="M174" s="86"/>
      <c r="N174" s="86"/>
      <c r="O174" s="86"/>
      <c r="P174" s="86"/>
      <c r="Q174" s="86"/>
      <c r="R174" s="86"/>
      <c r="S174" s="86"/>
      <c r="T174" s="86"/>
      <c r="U174" s="86"/>
      <c r="V174" s="86"/>
      <c r="W174" s="86"/>
      <c r="X174" s="86"/>
      <c r="Y174" s="86"/>
      <c r="Z174" s="86"/>
      <c r="AA174" s="86"/>
    </row>
    <row r="175" spans="1:27" ht="14.25" customHeight="1" x14ac:dyDescent="0.35">
      <c r="A175" s="76" t="str">
        <v>Wolfgang Scheifinger</v>
      </c>
      <c r="B175" s="77" t="str">
        <v>Moritz Köstl</v>
      </c>
      <c r="C175" s="76" t="str">
        <v>Emma Schuster</v>
      </c>
      <c r="D175" s="78">
        <f>IF(C175=0,0,_xlfn.IFNA(IF( MATCH(C175,Rangliste!B:B,0)&gt;0,0,1),1))</f>
        <v>0</v>
      </c>
      <c r="E175" s="85" t="str">
        <f t="shared" si="0"/>
        <v/>
      </c>
      <c r="F175" s="85"/>
      <c r="G175" s="83"/>
      <c r="H175" s="86"/>
      <c r="I175" s="86"/>
      <c r="J175" s="86"/>
      <c r="K175" s="81"/>
      <c r="L175" s="88"/>
      <c r="M175" s="86"/>
      <c r="N175" s="86"/>
      <c r="O175" s="86"/>
      <c r="P175" s="86"/>
      <c r="Q175" s="86"/>
      <c r="R175" s="86"/>
      <c r="S175" s="86"/>
      <c r="T175" s="86"/>
      <c r="U175" s="86"/>
      <c r="V175" s="86"/>
      <c r="W175" s="86"/>
      <c r="X175" s="86"/>
      <c r="Y175" s="86"/>
      <c r="Z175" s="86"/>
      <c r="AA175" s="86"/>
    </row>
    <row r="176" spans="1:27" ht="14.25" customHeight="1" x14ac:dyDescent="0.35">
      <c r="A176" s="76" t="str">
        <v>Matthias Fessl</v>
      </c>
      <c r="B176" s="77" t="str">
        <v>Leonhard Keiler</v>
      </c>
      <c r="C176" s="76" t="str">
        <v>Pearl Panthiye Gedara</v>
      </c>
      <c r="D176" s="78">
        <f>IF(C176=0,0,_xlfn.IFNA(IF( MATCH(C176,Rangliste!B:B,0)&gt;0,0,1),1))</f>
        <v>0</v>
      </c>
      <c r="E176" s="85" t="str">
        <f t="shared" si="0"/>
        <v/>
      </c>
      <c r="F176" s="85"/>
      <c r="G176" s="83"/>
      <c r="H176" s="86"/>
      <c r="I176" s="86"/>
      <c r="J176" s="86"/>
      <c r="K176" s="62"/>
      <c r="L176" s="86"/>
      <c r="M176" s="86"/>
      <c r="N176" s="86"/>
      <c r="O176" s="86"/>
      <c r="P176" s="86"/>
      <c r="Q176" s="86"/>
      <c r="R176" s="86"/>
      <c r="S176" s="86"/>
      <c r="T176" s="86"/>
      <c r="U176" s="86"/>
      <c r="V176" s="86"/>
      <c r="W176" s="86"/>
      <c r="X176" s="86"/>
      <c r="Y176" s="86"/>
      <c r="Z176" s="86"/>
      <c r="AA176" s="86"/>
    </row>
    <row r="177" spans="1:27" ht="14.25" customHeight="1" x14ac:dyDescent="0.35">
      <c r="A177" s="76" t="str">
        <v>Sebastian Steiner</v>
      </c>
      <c r="B177" s="77" t="str">
        <v>Alen Sosyan</v>
      </c>
      <c r="C177" s="76" t="str">
        <v>Matthias Trimmel</v>
      </c>
      <c r="D177" s="78">
        <f>IF(C177=0,0,_xlfn.IFNA(IF( MATCH(C177,Rangliste!B:B,0)&gt;0,0,1),1))</f>
        <v>0</v>
      </c>
      <c r="E177" s="85" t="str">
        <f t="shared" si="0"/>
        <v/>
      </c>
      <c r="F177" s="85"/>
      <c r="G177" s="83"/>
      <c r="H177" s="86"/>
      <c r="I177" s="86"/>
      <c r="J177" s="86"/>
      <c r="K177" s="62"/>
      <c r="L177" s="86"/>
      <c r="M177" s="86"/>
      <c r="N177" s="86"/>
      <c r="O177" s="86"/>
      <c r="P177" s="86"/>
      <c r="Q177" s="86"/>
      <c r="R177" s="86"/>
      <c r="S177" s="86"/>
      <c r="T177" s="86"/>
      <c r="U177" s="86"/>
      <c r="V177" s="86"/>
      <c r="W177" s="86"/>
      <c r="X177" s="86"/>
      <c r="Y177" s="86"/>
      <c r="Z177" s="86"/>
      <c r="AA177" s="86"/>
    </row>
    <row r="178" spans="1:27" ht="14.25" customHeight="1" x14ac:dyDescent="0.35">
      <c r="A178" s="76" t="str">
        <v>Leandra Pfendesak</v>
      </c>
      <c r="B178" s="77" t="str">
        <v>Valentina Krenn</v>
      </c>
      <c r="C178" s="76" t="str">
        <v>Nikol Odyntsova</v>
      </c>
      <c r="D178" s="78">
        <f>IF(C178=0,0,_xlfn.IFNA(IF( MATCH(C178,Rangliste!B:B,0)&gt;0,0,1),1))</f>
        <v>0</v>
      </c>
      <c r="E178" s="85" t="str">
        <f t="shared" si="0"/>
        <v/>
      </c>
      <c r="F178" s="85"/>
      <c r="G178" s="83"/>
      <c r="H178" s="86"/>
      <c r="I178" s="86"/>
      <c r="J178" s="86"/>
      <c r="K178" s="62"/>
      <c r="L178" s="86"/>
      <c r="M178" s="86"/>
      <c r="N178" s="86"/>
      <c r="O178" s="86"/>
      <c r="P178" s="86"/>
      <c r="Q178" s="86"/>
      <c r="R178" s="86"/>
      <c r="S178" s="86"/>
      <c r="T178" s="86"/>
      <c r="U178" s="86"/>
      <c r="V178" s="86"/>
      <c r="W178" s="86"/>
      <c r="X178" s="86"/>
      <c r="Y178" s="86"/>
      <c r="Z178" s="86"/>
      <c r="AA178" s="86"/>
    </row>
    <row r="179" spans="1:27" ht="14.25" customHeight="1" x14ac:dyDescent="0.35">
      <c r="A179" s="76" t="str">
        <v>Mia Khaylo</v>
      </c>
      <c r="B179" s="77" t="str">
        <v>Louyi Zhang</v>
      </c>
      <c r="C179" s="76"/>
      <c r="D179" s="78">
        <f>IF(C179=0,0,_xlfn.IFNA(IF( MATCH(C179,Rangliste!B:B,0)&gt;0,0,1),1))</f>
        <v>0</v>
      </c>
      <c r="E179" s="85" t="str">
        <f t="shared" si="0"/>
        <v/>
      </c>
      <c r="F179" s="85"/>
      <c r="G179" s="83"/>
      <c r="H179" s="86"/>
      <c r="I179" s="86"/>
      <c r="J179" s="86"/>
      <c r="K179" s="62"/>
      <c r="L179" s="86"/>
      <c r="M179" s="86"/>
      <c r="N179" s="86"/>
      <c r="O179" s="86"/>
      <c r="P179" s="86"/>
      <c r="Q179" s="86"/>
      <c r="R179" s="86"/>
      <c r="S179" s="86"/>
      <c r="T179" s="86"/>
      <c r="U179" s="86"/>
      <c r="V179" s="86"/>
      <c r="W179" s="86"/>
      <c r="X179" s="86"/>
      <c r="Y179" s="86"/>
      <c r="Z179" s="86"/>
      <c r="AA179" s="86"/>
    </row>
    <row r="180" spans="1:27" ht="14.25" customHeight="1" x14ac:dyDescent="0.35">
      <c r="A180" s="76" t="str">
        <f t="array" ref="A180:A195">'WBV 3'!$N$3:$N$18</f>
        <v>Louis Mayer</v>
      </c>
      <c r="B180" s="77">
        <v>0</v>
      </c>
      <c r="C180" s="76"/>
      <c r="D180" s="78">
        <f>IF(C180=0,0,_xlfn.IFNA(IF( MATCH(C180,Rangliste!B:B,0)&gt;0,0,1),1))</f>
        <v>0</v>
      </c>
      <c r="E180" s="85" t="str">
        <f t="shared" si="0"/>
        <v/>
      </c>
      <c r="F180" s="85"/>
      <c r="G180" s="83"/>
      <c r="H180" s="86"/>
      <c r="I180" s="86"/>
      <c r="J180" s="86"/>
      <c r="K180" s="62"/>
      <c r="L180" s="86"/>
      <c r="M180" s="86"/>
      <c r="N180" s="86"/>
      <c r="O180" s="86"/>
      <c r="P180" s="86"/>
      <c r="Q180" s="86"/>
      <c r="R180" s="86"/>
      <c r="S180" s="86"/>
      <c r="T180" s="86"/>
      <c r="U180" s="86"/>
      <c r="V180" s="86"/>
      <c r="W180" s="86"/>
      <c r="X180" s="86"/>
      <c r="Y180" s="86"/>
      <c r="Z180" s="86"/>
      <c r="AA180" s="86"/>
    </row>
    <row r="181" spans="1:27" ht="14.25" customHeight="1" x14ac:dyDescent="0.35">
      <c r="A181" s="76" t="str">
        <v>Philipp Bauer</v>
      </c>
      <c r="B181" s="77">
        <v>0</v>
      </c>
      <c r="C181" s="76"/>
      <c r="D181" s="78">
        <f>IF(C181=0,0,_xlfn.IFNA(IF( MATCH(C181,Rangliste!B:B,0)&gt;0,0,1),1))</f>
        <v>0</v>
      </c>
      <c r="E181" s="85" t="str">
        <f t="shared" si="0"/>
        <v/>
      </c>
      <c r="F181" s="85"/>
      <c r="G181" s="83"/>
      <c r="H181" s="86"/>
      <c r="I181" s="86"/>
      <c r="J181" s="86"/>
      <c r="K181" s="62"/>
      <c r="L181" s="86"/>
      <c r="M181" s="86"/>
      <c r="N181" s="86"/>
      <c r="O181" s="86"/>
      <c r="P181" s="86"/>
      <c r="Q181" s="86"/>
      <c r="R181" s="86"/>
      <c r="S181" s="86"/>
      <c r="T181" s="86"/>
      <c r="U181" s="86"/>
      <c r="V181" s="86"/>
      <c r="W181" s="86"/>
      <c r="X181" s="86"/>
      <c r="Y181" s="86"/>
      <c r="Z181" s="86"/>
      <c r="AA181" s="86"/>
    </row>
    <row r="182" spans="1:27" ht="14.25" customHeight="1" x14ac:dyDescent="0.35">
      <c r="A182" s="76" t="str">
        <v>Vasudev Duggirala</v>
      </c>
      <c r="B182" s="77">
        <v>0</v>
      </c>
      <c r="C182" s="76"/>
      <c r="D182" s="78">
        <f>IF(C182=0,0,_xlfn.IFNA(IF( MATCH(C182,Rangliste!B:B,0)&gt;0,0,1),1))</f>
        <v>0</v>
      </c>
      <c r="E182" s="85" t="str">
        <f t="shared" si="0"/>
        <v/>
      </c>
      <c r="F182" s="85"/>
      <c r="G182" s="83"/>
      <c r="H182" s="86"/>
      <c r="I182" s="86"/>
      <c r="J182" s="86"/>
      <c r="K182" s="62"/>
      <c r="L182" s="86"/>
      <c r="M182" s="86"/>
      <c r="N182" s="86"/>
      <c r="O182" s="86"/>
      <c r="P182" s="86"/>
      <c r="Q182" s="86"/>
      <c r="R182" s="86"/>
      <c r="S182" s="86"/>
      <c r="T182" s="86"/>
      <c r="U182" s="86"/>
      <c r="V182" s="86"/>
      <c r="W182" s="86"/>
      <c r="X182" s="86"/>
      <c r="Y182" s="86"/>
      <c r="Z182" s="86"/>
      <c r="AA182" s="86"/>
    </row>
    <row r="183" spans="1:27" ht="14.25" customHeight="1" x14ac:dyDescent="0.35">
      <c r="A183" s="76" t="str">
        <v>Agampreet Singh</v>
      </c>
      <c r="B183" s="77">
        <v>0</v>
      </c>
      <c r="C183" s="76"/>
      <c r="D183" s="78">
        <f>IF(C183=0,0,_xlfn.IFNA(IF( MATCH(C183,Rangliste!B:B,0)&gt;0,0,1),1))</f>
        <v>0</v>
      </c>
      <c r="E183" s="85" t="str">
        <f t="shared" si="0"/>
        <v/>
      </c>
      <c r="F183" s="85"/>
      <c r="G183" s="83"/>
      <c r="H183" s="86"/>
      <c r="I183" s="86"/>
      <c r="J183" s="86"/>
      <c r="K183" s="62"/>
      <c r="L183" s="86"/>
      <c r="M183" s="86"/>
      <c r="N183" s="86"/>
      <c r="O183" s="86"/>
      <c r="P183" s="86"/>
      <c r="Q183" s="86"/>
      <c r="R183" s="86"/>
      <c r="S183" s="86"/>
      <c r="T183" s="86"/>
      <c r="U183" s="86"/>
      <c r="V183" s="86"/>
      <c r="W183" s="86"/>
      <c r="X183" s="86"/>
      <c r="Y183" s="86"/>
      <c r="Z183" s="86"/>
      <c r="AA183" s="86"/>
    </row>
    <row r="184" spans="1:27" ht="14.25" customHeight="1" x14ac:dyDescent="0.35">
      <c r="A184" s="76" t="str">
        <v>Vito Eisenhardt</v>
      </c>
      <c r="B184" s="77">
        <v>0</v>
      </c>
      <c r="C184" s="76"/>
      <c r="D184" s="78">
        <f>IF(C184=0,0,_xlfn.IFNA(IF( MATCH(C184,Rangliste!B:B,0)&gt;0,0,1),1))</f>
        <v>0</v>
      </c>
      <c r="E184" s="85" t="str">
        <f t="shared" si="0"/>
        <v/>
      </c>
      <c r="F184" s="85"/>
      <c r="G184" s="83"/>
      <c r="H184" s="86"/>
      <c r="I184" s="86"/>
      <c r="J184" s="86"/>
      <c r="K184" s="62"/>
      <c r="L184" s="86"/>
      <c r="M184" s="86"/>
      <c r="N184" s="86"/>
      <c r="O184" s="86"/>
      <c r="P184" s="86"/>
      <c r="Q184" s="86"/>
      <c r="R184" s="86"/>
      <c r="S184" s="86"/>
      <c r="T184" s="86"/>
      <c r="U184" s="86"/>
      <c r="V184" s="86"/>
      <c r="W184" s="86"/>
      <c r="X184" s="86"/>
      <c r="Y184" s="86"/>
      <c r="Z184" s="86"/>
      <c r="AA184" s="86"/>
    </row>
    <row r="185" spans="1:27" ht="14.25" customHeight="1" x14ac:dyDescent="0.35">
      <c r="A185" s="76" t="str">
        <v>Benjamin Nagy</v>
      </c>
      <c r="B185" s="77">
        <v>0</v>
      </c>
      <c r="C185" s="76"/>
      <c r="D185" s="78">
        <f>IF(C185=0,0,_xlfn.IFNA(IF( MATCH(C185,Rangliste!B:B,0)&gt;0,0,1),1))</f>
        <v>0</v>
      </c>
      <c r="E185" s="85" t="str">
        <f t="shared" si="0"/>
        <v/>
      </c>
      <c r="F185" s="85"/>
      <c r="G185" s="83"/>
      <c r="H185" s="86"/>
      <c r="I185" s="86"/>
      <c r="J185" s="86"/>
      <c r="K185" s="62"/>
      <c r="L185" s="86"/>
      <c r="M185" s="86"/>
      <c r="N185" s="86"/>
      <c r="O185" s="86"/>
      <c r="P185" s="86"/>
      <c r="Q185" s="86"/>
      <c r="R185" s="86"/>
      <c r="S185" s="86"/>
      <c r="T185" s="86"/>
      <c r="U185" s="86"/>
      <c r="V185" s="86"/>
      <c r="W185" s="86"/>
      <c r="X185" s="86"/>
      <c r="Y185" s="86"/>
      <c r="Z185" s="86"/>
      <c r="AA185" s="86"/>
    </row>
    <row r="186" spans="1:27" ht="14.25" customHeight="1" x14ac:dyDescent="0.35">
      <c r="A186" s="76" t="str">
        <v>Clemens Braun</v>
      </c>
      <c r="B186" s="77">
        <v>0</v>
      </c>
      <c r="C186" s="76"/>
      <c r="D186" s="78">
        <f>IF(C186=0,0,_xlfn.IFNA(IF( MATCH(C186,Rangliste!B:B,0)&gt;0,0,1),1))</f>
        <v>0</v>
      </c>
      <c r="E186" s="85" t="str">
        <f t="shared" si="0"/>
        <v/>
      </c>
      <c r="F186" s="85"/>
      <c r="G186" s="83"/>
      <c r="H186" s="86"/>
      <c r="I186" s="86"/>
      <c r="J186" s="86"/>
      <c r="K186" s="62"/>
      <c r="L186" s="86"/>
      <c r="M186" s="86"/>
      <c r="N186" s="86"/>
      <c r="O186" s="86"/>
      <c r="P186" s="86"/>
      <c r="Q186" s="86"/>
      <c r="R186" s="86"/>
      <c r="S186" s="86"/>
      <c r="T186" s="86"/>
      <c r="U186" s="86"/>
      <c r="V186" s="86"/>
      <c r="W186" s="86"/>
      <c r="X186" s="86"/>
      <c r="Y186" s="86"/>
      <c r="Z186" s="86"/>
      <c r="AA186" s="86"/>
    </row>
    <row r="187" spans="1:27" ht="14.25" customHeight="1" x14ac:dyDescent="0.35">
      <c r="A187" s="76" t="str">
        <v>Yinuo Chen</v>
      </c>
      <c r="B187" s="77">
        <v>0</v>
      </c>
      <c r="C187" s="76"/>
      <c r="D187" s="78">
        <f>IF(C187=0,0,_xlfn.IFNA(IF( MATCH(C187,Rangliste!B:B,0)&gt;0,0,1),1))</f>
        <v>0</v>
      </c>
      <c r="E187" s="85" t="str">
        <f t="shared" si="0"/>
        <v/>
      </c>
      <c r="F187" s="85"/>
      <c r="G187" s="83"/>
      <c r="H187" s="86"/>
      <c r="I187" s="86"/>
      <c r="J187" s="86"/>
      <c r="K187" s="62"/>
      <c r="L187" s="86"/>
      <c r="M187" s="86"/>
      <c r="N187" s="86"/>
      <c r="O187" s="86"/>
      <c r="P187" s="86"/>
      <c r="Q187" s="86"/>
      <c r="R187" s="86"/>
      <c r="S187" s="86"/>
      <c r="T187" s="86"/>
      <c r="U187" s="86"/>
      <c r="V187" s="86"/>
      <c r="W187" s="86"/>
      <c r="X187" s="86"/>
      <c r="Y187" s="86"/>
      <c r="Z187" s="86"/>
      <c r="AA187" s="86"/>
    </row>
    <row r="188" spans="1:27" ht="14.25" customHeight="1" x14ac:dyDescent="0.35">
      <c r="A188" s="76" t="str">
        <v>Sahasra Mangena</v>
      </c>
      <c r="B188" s="77">
        <v>0</v>
      </c>
      <c r="C188" s="76"/>
      <c r="D188" s="78">
        <f>IF(C188=0,0,_xlfn.IFNA(IF( MATCH(C188,Rangliste!B:B,0)&gt;0,0,1),1))</f>
        <v>0</v>
      </c>
      <c r="E188" s="85" t="str">
        <f t="shared" si="0"/>
        <v/>
      </c>
      <c r="F188" s="85"/>
      <c r="G188" s="83"/>
      <c r="H188" s="86"/>
      <c r="I188" s="86"/>
      <c r="J188" s="86"/>
      <c r="K188" s="62"/>
      <c r="L188" s="86"/>
      <c r="M188" s="86"/>
      <c r="N188" s="86"/>
      <c r="O188" s="86"/>
      <c r="P188" s="86"/>
      <c r="Q188" s="86"/>
      <c r="R188" s="86"/>
      <c r="S188" s="86"/>
      <c r="T188" s="86"/>
      <c r="U188" s="86"/>
      <c r="V188" s="86"/>
      <c r="W188" s="86"/>
      <c r="X188" s="86"/>
      <c r="Y188" s="86"/>
      <c r="Z188" s="86"/>
      <c r="AA188" s="86"/>
    </row>
    <row r="189" spans="1:27" ht="14.25" customHeight="1" x14ac:dyDescent="0.35">
      <c r="A189" s="76" t="str">
        <v>Antonio Garcia Strzeletz</v>
      </c>
      <c r="B189" s="87">
        <v>0</v>
      </c>
      <c r="C189" s="76"/>
      <c r="D189" s="78">
        <f>IF(C189=0,0,_xlfn.IFNA(IF( MATCH(C189,Rangliste!B:B,0)&gt;0,0,1),1))</f>
        <v>0</v>
      </c>
      <c r="E189" s="85" t="str">
        <f t="shared" si="0"/>
        <v/>
      </c>
      <c r="F189" s="85"/>
      <c r="G189" s="83"/>
      <c r="H189" s="86"/>
      <c r="I189" s="86"/>
      <c r="J189" s="86"/>
      <c r="K189" s="62"/>
      <c r="L189" s="86"/>
      <c r="M189" s="86"/>
      <c r="N189" s="86"/>
      <c r="O189" s="86"/>
      <c r="P189" s="86"/>
      <c r="Q189" s="86"/>
      <c r="R189" s="86"/>
      <c r="S189" s="86"/>
      <c r="T189" s="86"/>
      <c r="U189" s="86"/>
      <c r="V189" s="86"/>
      <c r="W189" s="86"/>
      <c r="X189" s="86"/>
      <c r="Y189" s="86"/>
      <c r="Z189" s="86"/>
      <c r="AA189" s="86"/>
    </row>
    <row r="190" spans="1:27" ht="14.25" customHeight="1" x14ac:dyDescent="0.35">
      <c r="A190" s="76" t="str">
        <v>Ben Holaus</v>
      </c>
      <c r="B190" s="87">
        <v>0</v>
      </c>
      <c r="C190" s="76"/>
      <c r="D190" s="78">
        <f>IF(C190=0,0,_xlfn.IFNA(IF( MATCH(C190,Rangliste!B:B,0)&gt;0,0,1),1))</f>
        <v>0</v>
      </c>
      <c r="E190" s="85" t="str">
        <f t="shared" si="0"/>
        <v/>
      </c>
      <c r="F190" s="85"/>
      <c r="G190" s="83"/>
      <c r="H190" s="86"/>
      <c r="I190" s="86"/>
      <c r="J190" s="86"/>
      <c r="K190" s="62"/>
      <c r="L190" s="86"/>
      <c r="M190" s="86"/>
      <c r="N190" s="86"/>
      <c r="O190" s="86"/>
      <c r="P190" s="86"/>
      <c r="Q190" s="86"/>
      <c r="R190" s="86"/>
      <c r="S190" s="86"/>
      <c r="T190" s="86"/>
      <c r="U190" s="86"/>
      <c r="V190" s="86"/>
      <c r="W190" s="86"/>
      <c r="X190" s="86"/>
      <c r="Y190" s="86"/>
      <c r="Z190" s="86"/>
      <c r="AA190" s="86"/>
    </row>
    <row r="191" spans="1:27" ht="14.25" customHeight="1" x14ac:dyDescent="0.35">
      <c r="A191" s="76" t="str">
        <v>Liam Hammer</v>
      </c>
      <c r="B191" s="87">
        <v>0</v>
      </c>
      <c r="C191" s="76"/>
      <c r="D191" s="78">
        <f>IF(C191=0,0,_xlfn.IFNA(IF( MATCH(C191,Rangliste!B:B,0)&gt;0,0,1),1))</f>
        <v>0</v>
      </c>
      <c r="E191" s="85" t="str">
        <f t="shared" si="0"/>
        <v/>
      </c>
      <c r="F191" s="85"/>
      <c r="G191" s="83"/>
      <c r="H191" s="86"/>
      <c r="I191" s="86"/>
      <c r="J191" s="86"/>
      <c r="K191" s="62"/>
      <c r="L191" s="86"/>
      <c r="M191" s="86"/>
      <c r="N191" s="86"/>
      <c r="O191" s="86"/>
      <c r="P191" s="86"/>
      <c r="Q191" s="86"/>
      <c r="R191" s="86"/>
      <c r="S191" s="86"/>
      <c r="T191" s="86"/>
      <c r="U191" s="86"/>
      <c r="V191" s="86"/>
      <c r="W191" s="86"/>
      <c r="X191" s="86"/>
      <c r="Y191" s="86"/>
      <c r="Z191" s="86"/>
      <c r="AA191" s="86"/>
    </row>
    <row r="192" spans="1:27" ht="14.25" customHeight="1" x14ac:dyDescent="0.35">
      <c r="A192" s="76" t="str">
        <v>David Orsolic</v>
      </c>
      <c r="B192" s="87">
        <v>0</v>
      </c>
      <c r="C192" s="76"/>
      <c r="D192" s="78">
        <f>IF(C192=0,0,_xlfn.IFNA(IF( MATCH(C192,Rangliste!B:B,0)&gt;0,0,1),1))</f>
        <v>0</v>
      </c>
      <c r="E192" s="85" t="str">
        <f t="shared" si="0"/>
        <v/>
      </c>
      <c r="F192" s="85"/>
      <c r="G192" s="83"/>
      <c r="H192" s="86"/>
      <c r="I192" s="86"/>
      <c r="J192" s="86"/>
      <c r="K192" s="62"/>
      <c r="L192" s="86"/>
      <c r="M192" s="86"/>
      <c r="N192" s="86"/>
      <c r="O192" s="86"/>
      <c r="P192" s="86"/>
      <c r="Q192" s="86"/>
      <c r="R192" s="86"/>
      <c r="S192" s="86"/>
      <c r="T192" s="86"/>
      <c r="U192" s="86"/>
      <c r="V192" s="86"/>
      <c r="W192" s="86"/>
      <c r="X192" s="86"/>
      <c r="Y192" s="86"/>
      <c r="Z192" s="86"/>
      <c r="AA192" s="86"/>
    </row>
    <row r="193" spans="1:27" ht="14.25" customHeight="1" x14ac:dyDescent="0.35">
      <c r="A193" s="76" t="str">
        <v>Fabian Müller</v>
      </c>
      <c r="B193" s="87">
        <v>0</v>
      </c>
      <c r="C193" s="76"/>
      <c r="D193" s="78">
        <f>IF(C193=0,0,_xlfn.IFNA(IF( MATCH(C193,Rangliste!B:B,0)&gt;0,0,1),1))</f>
        <v>0</v>
      </c>
      <c r="E193" s="85" t="str">
        <f t="shared" si="0"/>
        <v/>
      </c>
      <c r="F193" s="85"/>
      <c r="G193" s="83"/>
      <c r="H193" s="86"/>
      <c r="I193" s="86"/>
      <c r="J193" s="86"/>
      <c r="K193" s="62"/>
      <c r="L193" s="86"/>
      <c r="M193" s="86"/>
      <c r="N193" s="86"/>
      <c r="O193" s="86"/>
      <c r="P193" s="86"/>
      <c r="Q193" s="86"/>
      <c r="R193" s="86"/>
      <c r="S193" s="86"/>
      <c r="T193" s="86"/>
      <c r="U193" s="86"/>
      <c r="V193" s="86"/>
      <c r="W193" s="86"/>
      <c r="X193" s="86"/>
      <c r="Y193" s="86"/>
      <c r="Z193" s="86"/>
      <c r="AA193" s="86"/>
    </row>
    <row r="194" spans="1:27" ht="14.25" customHeight="1" x14ac:dyDescent="0.35">
      <c r="A194" s="76">
        <v>0</v>
      </c>
      <c r="B194" s="87">
        <v>0</v>
      </c>
      <c r="C194" s="76"/>
      <c r="D194" s="78">
        <f>IF(C194=0,0,_xlfn.IFNA(IF( MATCH(C194,Rangliste!B:B,0)&gt;0,0,1),1))</f>
        <v>0</v>
      </c>
      <c r="E194" s="85" t="str">
        <f t="shared" si="0"/>
        <v/>
      </c>
      <c r="F194" s="85"/>
      <c r="G194" s="83"/>
      <c r="H194" s="86"/>
      <c r="I194" s="86"/>
      <c r="J194" s="86"/>
      <c r="K194" s="62"/>
      <c r="L194" s="86"/>
      <c r="M194" s="86"/>
      <c r="N194" s="86"/>
      <c r="O194" s="86"/>
      <c r="P194" s="86"/>
      <c r="Q194" s="86"/>
      <c r="R194" s="86"/>
      <c r="S194" s="86"/>
      <c r="T194" s="86"/>
      <c r="U194" s="86"/>
      <c r="V194" s="86"/>
      <c r="W194" s="86"/>
      <c r="X194" s="86"/>
      <c r="Y194" s="86"/>
      <c r="Z194" s="86"/>
      <c r="AA194" s="86"/>
    </row>
    <row r="195" spans="1:27" ht="14.25" customHeight="1" x14ac:dyDescent="0.35">
      <c r="A195" s="76">
        <v>0</v>
      </c>
      <c r="B195" s="87">
        <v>0</v>
      </c>
      <c r="C195" s="76"/>
      <c r="D195" s="78">
        <f>IF(C195=0,0,_xlfn.IFNA(IF( MATCH(C195,Rangliste!B:B,0)&gt;0,0,1),1))</f>
        <v>0</v>
      </c>
      <c r="E195" s="85" t="str">
        <f t="shared" si="0"/>
        <v/>
      </c>
      <c r="F195" s="85"/>
      <c r="G195" s="83"/>
      <c r="H195" s="86"/>
      <c r="I195" s="86"/>
      <c r="J195" s="86"/>
      <c r="K195" s="62"/>
      <c r="L195" s="86"/>
      <c r="M195" s="86"/>
      <c r="N195" s="86"/>
      <c r="O195" s="86"/>
      <c r="P195" s="86"/>
      <c r="Q195" s="86"/>
      <c r="R195" s="86"/>
      <c r="S195" s="86"/>
      <c r="T195" s="86"/>
      <c r="U195" s="86"/>
      <c r="V195" s="86"/>
      <c r="W195" s="86"/>
      <c r="X195" s="86"/>
      <c r="Y195" s="86"/>
      <c r="Z195" s="86"/>
      <c r="AA195" s="86"/>
    </row>
    <row r="196" spans="1:27" ht="14.25" customHeight="1" x14ac:dyDescent="0.35">
      <c r="A196" s="76">
        <f t="array" ref="A196:A211">'WBV 4'!$B$3:$B$18</f>
        <v>0</v>
      </c>
      <c r="B196" s="87" t="str">
        <f t="array" ref="B196:B227">'WBV 2'!$J$3:$J$34</f>
        <v>Christoph Fessl</v>
      </c>
      <c r="C196" s="76"/>
      <c r="D196" s="78">
        <f>IF(C196=0,0,_xlfn.IFNA(IF( MATCH(C196,Rangliste!B:B,0)&gt;0,0,1),1))</f>
        <v>0</v>
      </c>
      <c r="E196" s="85" t="str">
        <f t="shared" si="0"/>
        <v/>
      </c>
      <c r="F196" s="85"/>
      <c r="G196" s="83"/>
      <c r="H196" s="86"/>
      <c r="I196" s="86"/>
      <c r="J196" s="86"/>
      <c r="K196" s="62"/>
      <c r="L196" s="86"/>
      <c r="M196" s="86"/>
      <c r="N196" s="86"/>
      <c r="O196" s="86"/>
      <c r="P196" s="86"/>
      <c r="Q196" s="86"/>
      <c r="R196" s="86"/>
      <c r="S196" s="86"/>
      <c r="T196" s="86"/>
      <c r="U196" s="86"/>
      <c r="V196" s="86"/>
      <c r="W196" s="86"/>
      <c r="X196" s="86"/>
      <c r="Y196" s="86"/>
      <c r="Z196" s="86"/>
      <c r="AA196" s="86"/>
    </row>
    <row r="197" spans="1:27" ht="14.25" customHeight="1" x14ac:dyDescent="0.35">
      <c r="A197" s="76">
        <v>0</v>
      </c>
      <c r="B197" s="87" t="str">
        <v>Emil Fathulla</v>
      </c>
      <c r="C197" s="76"/>
      <c r="D197" s="78">
        <f>IF(C197=0,0,_xlfn.IFNA(IF( MATCH(C197,Rangliste!B:B,0)&gt;0,0,1),1))</f>
        <v>0</v>
      </c>
      <c r="E197" s="85" t="str">
        <f t="shared" si="0"/>
        <v/>
      </c>
      <c r="F197" s="85"/>
      <c r="G197" s="83"/>
      <c r="H197" s="86"/>
      <c r="I197" s="86"/>
      <c r="J197" s="86"/>
      <c r="K197" s="62"/>
      <c r="L197" s="86"/>
      <c r="M197" s="86"/>
      <c r="N197" s="86"/>
      <c r="O197" s="86"/>
      <c r="P197" s="86"/>
      <c r="Q197" s="86"/>
      <c r="R197" s="86"/>
      <c r="S197" s="86"/>
      <c r="T197" s="86"/>
      <c r="U197" s="86"/>
      <c r="V197" s="86"/>
      <c r="W197" s="86"/>
      <c r="X197" s="86"/>
      <c r="Y197" s="86"/>
      <c r="Z197" s="86"/>
      <c r="AA197" s="86"/>
    </row>
    <row r="198" spans="1:27" ht="14.25" customHeight="1" x14ac:dyDescent="0.35">
      <c r="A198" s="76">
        <v>0</v>
      </c>
      <c r="B198" s="87" t="str">
        <v>Golsamin Harandi</v>
      </c>
      <c r="C198" s="76"/>
      <c r="D198" s="78">
        <f>IF(C198=0,0,_xlfn.IFNA(IF( MATCH(C198,Rangliste!B:B,0)&gt;0,0,1),1))</f>
        <v>0</v>
      </c>
      <c r="E198" s="85" t="str">
        <f t="shared" si="0"/>
        <v/>
      </c>
      <c r="F198" s="85"/>
      <c r="G198" s="83"/>
      <c r="H198" s="86"/>
      <c r="I198" s="86"/>
      <c r="J198" s="86"/>
      <c r="K198" s="62"/>
      <c r="L198" s="86"/>
      <c r="M198" s="86"/>
      <c r="N198" s="86"/>
      <c r="O198" s="86"/>
      <c r="P198" s="86"/>
      <c r="Q198" s="86"/>
      <c r="R198" s="86"/>
      <c r="S198" s="86"/>
      <c r="T198" s="86"/>
      <c r="U198" s="86"/>
      <c r="V198" s="86"/>
      <c r="W198" s="86"/>
      <c r="X198" s="86"/>
      <c r="Y198" s="86"/>
      <c r="Z198" s="86"/>
      <c r="AA198" s="86"/>
    </row>
    <row r="199" spans="1:27" ht="14.25" customHeight="1" x14ac:dyDescent="0.35">
      <c r="A199" s="76">
        <v>0</v>
      </c>
      <c r="B199" s="87" t="str">
        <v>Louis Mayer</v>
      </c>
      <c r="C199" s="76"/>
      <c r="D199" s="78">
        <f>IF(C199=0,0,_xlfn.IFNA(IF( MATCH(C199,Rangliste!B:B,0)&gt;0,0,1),1))</f>
        <v>0</v>
      </c>
      <c r="E199" s="85" t="str">
        <f t="shared" si="0"/>
        <v/>
      </c>
      <c r="F199" s="85"/>
      <c r="G199" s="83"/>
      <c r="H199" s="86"/>
      <c r="I199" s="86"/>
      <c r="J199" s="86"/>
      <c r="K199" s="62"/>
      <c r="L199" s="86"/>
      <c r="M199" s="86"/>
      <c r="N199" s="86"/>
      <c r="O199" s="86"/>
      <c r="P199" s="86"/>
      <c r="Q199" s="86"/>
      <c r="R199" s="86"/>
      <c r="S199" s="86"/>
      <c r="T199" s="86"/>
      <c r="U199" s="86"/>
      <c r="V199" s="86"/>
      <c r="W199" s="86"/>
      <c r="X199" s="86"/>
      <c r="Y199" s="86"/>
      <c r="Z199" s="86"/>
      <c r="AA199" s="86"/>
    </row>
    <row r="200" spans="1:27" ht="14.25" customHeight="1" x14ac:dyDescent="0.35">
      <c r="A200" s="76">
        <v>0</v>
      </c>
      <c r="B200" s="87" t="str">
        <v>Elias Reichel-Teng</v>
      </c>
      <c r="C200" s="76"/>
      <c r="D200" s="78">
        <f>IF(C200=0,0,_xlfn.IFNA(IF( MATCH(C200,Rangliste!B:B,0)&gt;0,0,1),1))</f>
        <v>0</v>
      </c>
      <c r="E200" s="85" t="str">
        <f t="shared" si="0"/>
        <v/>
      </c>
      <c r="F200" s="85"/>
      <c r="G200" s="83"/>
      <c r="H200" s="86"/>
      <c r="I200" s="86"/>
      <c r="J200" s="86"/>
      <c r="K200" s="62"/>
      <c r="L200" s="86"/>
      <c r="M200" s="86"/>
      <c r="N200" s="86"/>
      <c r="O200" s="86"/>
      <c r="P200" s="86"/>
      <c r="Q200" s="86"/>
      <c r="R200" s="86"/>
      <c r="S200" s="86"/>
      <c r="T200" s="86"/>
      <c r="U200" s="86"/>
      <c r="V200" s="86"/>
      <c r="W200" s="86"/>
      <c r="X200" s="86"/>
      <c r="Y200" s="86"/>
      <c r="Z200" s="86"/>
      <c r="AA200" s="86"/>
    </row>
    <row r="201" spans="1:27" ht="14.25" customHeight="1" x14ac:dyDescent="0.35">
      <c r="A201" s="76">
        <v>0</v>
      </c>
      <c r="B201" s="87" t="str">
        <v>Oscar Hsu</v>
      </c>
      <c r="C201" s="76"/>
      <c r="D201" s="78">
        <f>IF(C201=0,0,_xlfn.IFNA(IF( MATCH(C201,Rangliste!B:B,0)&gt;0,0,1),1))</f>
        <v>0</v>
      </c>
      <c r="E201" s="85" t="str">
        <f t="shared" si="0"/>
        <v/>
      </c>
      <c r="F201" s="85"/>
      <c r="G201" s="83"/>
      <c r="H201" s="86"/>
      <c r="I201" s="86"/>
      <c r="J201" s="86"/>
      <c r="K201" s="62"/>
      <c r="L201" s="86"/>
      <c r="M201" s="86"/>
      <c r="N201" s="86"/>
      <c r="O201" s="86"/>
      <c r="P201" s="86"/>
      <c r="Q201" s="86"/>
      <c r="R201" s="86"/>
      <c r="S201" s="86"/>
      <c r="T201" s="86"/>
      <c r="U201" s="86"/>
      <c r="V201" s="86"/>
      <c r="W201" s="86"/>
      <c r="X201" s="86"/>
      <c r="Y201" s="86"/>
      <c r="Z201" s="86"/>
      <c r="AA201" s="86"/>
    </row>
    <row r="202" spans="1:27" ht="14.25" customHeight="1" x14ac:dyDescent="0.35">
      <c r="A202" s="76">
        <v>0</v>
      </c>
      <c r="B202" s="87" t="str">
        <v>Giuliana Tasotti</v>
      </c>
      <c r="C202" s="76"/>
      <c r="D202" s="78">
        <f>IF(C202=0,0,_xlfn.IFNA(IF( MATCH(C202,Rangliste!B:B,0)&gt;0,0,1),1))</f>
        <v>0</v>
      </c>
      <c r="E202" s="85" t="str">
        <f t="shared" si="0"/>
        <v/>
      </c>
      <c r="F202" s="85"/>
      <c r="G202" s="83"/>
      <c r="H202" s="86"/>
      <c r="I202" s="86"/>
      <c r="J202" s="86"/>
      <c r="K202" s="62"/>
      <c r="L202" s="86"/>
      <c r="M202" s="86"/>
      <c r="N202" s="86"/>
      <c r="O202" s="86"/>
      <c r="P202" s="86"/>
      <c r="Q202" s="86"/>
      <c r="R202" s="86"/>
      <c r="S202" s="86"/>
      <c r="T202" s="86"/>
      <c r="U202" s="86"/>
      <c r="V202" s="86"/>
      <c r="W202" s="86"/>
      <c r="X202" s="86"/>
      <c r="Y202" s="86"/>
      <c r="Z202" s="86"/>
      <c r="AA202" s="86"/>
    </row>
    <row r="203" spans="1:27" ht="14.25" customHeight="1" x14ac:dyDescent="0.35">
      <c r="A203" s="76">
        <v>0</v>
      </c>
      <c r="B203" s="87" t="str">
        <v>Constantin Walzer</v>
      </c>
      <c r="C203" s="76"/>
      <c r="D203" s="78">
        <f>IF(C203=0,0,_xlfn.IFNA(IF( MATCH(C203,Rangliste!B:B,0)&gt;0,0,1),1))</f>
        <v>0</v>
      </c>
      <c r="E203" s="85" t="str">
        <f t="shared" si="0"/>
        <v/>
      </c>
      <c r="F203" s="85"/>
      <c r="G203" s="83"/>
      <c r="H203" s="86"/>
      <c r="I203" s="86"/>
      <c r="J203" s="86"/>
      <c r="K203" s="62"/>
      <c r="L203" s="86"/>
      <c r="M203" s="86"/>
      <c r="N203" s="86"/>
      <c r="O203" s="86"/>
      <c r="P203" s="86"/>
      <c r="Q203" s="86"/>
      <c r="R203" s="86"/>
      <c r="S203" s="86"/>
      <c r="T203" s="86"/>
      <c r="U203" s="86"/>
      <c r="V203" s="86"/>
      <c r="W203" s="86"/>
      <c r="X203" s="86"/>
      <c r="Y203" s="86"/>
      <c r="Z203" s="86"/>
      <c r="AA203" s="86"/>
    </row>
    <row r="204" spans="1:27" ht="14.25" customHeight="1" x14ac:dyDescent="0.35">
      <c r="A204" s="76">
        <v>0</v>
      </c>
      <c r="B204" s="87" t="str">
        <v>Lana Dai</v>
      </c>
      <c r="C204" s="76"/>
      <c r="D204" s="78">
        <f>IF(C204=0,0,_xlfn.IFNA(IF( MATCH(C204,Rangliste!B:B,0)&gt;0,0,1),1))</f>
        <v>0</v>
      </c>
      <c r="E204" s="85" t="str">
        <f t="shared" si="0"/>
        <v/>
      </c>
      <c r="F204" s="85"/>
      <c r="G204" s="83"/>
      <c r="H204" s="86"/>
      <c r="I204" s="86"/>
      <c r="J204" s="86"/>
      <c r="K204" s="62"/>
      <c r="L204" s="86"/>
      <c r="M204" s="86"/>
      <c r="N204" s="86"/>
      <c r="O204" s="86"/>
      <c r="P204" s="86"/>
      <c r="Q204" s="86"/>
      <c r="R204" s="86"/>
      <c r="S204" s="86"/>
      <c r="T204" s="86"/>
      <c r="U204" s="86"/>
      <c r="V204" s="86"/>
      <c r="W204" s="86"/>
      <c r="X204" s="86"/>
      <c r="Y204" s="86"/>
      <c r="Z204" s="86"/>
      <c r="AA204" s="86"/>
    </row>
    <row r="205" spans="1:27" ht="14.25" customHeight="1" x14ac:dyDescent="0.35">
      <c r="A205" s="76">
        <v>0</v>
      </c>
      <c r="B205" s="87" t="str">
        <v>Alvin Huang</v>
      </c>
      <c r="C205" s="76"/>
      <c r="D205" s="78">
        <f>IF(C205=0,0,_xlfn.IFNA(IF( MATCH(C205,Rangliste!B:B,0)&gt;0,0,1),1))</f>
        <v>0</v>
      </c>
      <c r="E205" s="85" t="str">
        <f t="shared" si="0"/>
        <v/>
      </c>
      <c r="F205" s="85"/>
      <c r="G205" s="83"/>
      <c r="H205" s="86"/>
      <c r="I205" s="86"/>
      <c r="J205" s="86"/>
      <c r="K205" s="62"/>
      <c r="L205" s="86"/>
      <c r="M205" s="86"/>
      <c r="N205" s="86"/>
      <c r="O205" s="86"/>
      <c r="P205" s="86"/>
      <c r="Q205" s="86"/>
      <c r="R205" s="86"/>
      <c r="S205" s="86"/>
      <c r="T205" s="86"/>
      <c r="U205" s="86"/>
      <c r="V205" s="86"/>
      <c r="W205" s="86"/>
      <c r="X205" s="86"/>
      <c r="Y205" s="86"/>
      <c r="Z205" s="86"/>
      <c r="AA205" s="86"/>
    </row>
    <row r="206" spans="1:27" ht="14.25" customHeight="1" x14ac:dyDescent="0.35">
      <c r="A206" s="76">
        <v>0</v>
      </c>
      <c r="B206" s="87" t="str">
        <v>Vito Eisenhardt</v>
      </c>
      <c r="C206" s="76"/>
      <c r="D206" s="78">
        <f>IF(C206=0,0,_xlfn.IFNA(IF( MATCH(C206,Rangliste!B:B,0)&gt;0,0,1),1))</f>
        <v>0</v>
      </c>
      <c r="E206" s="85" t="str">
        <f t="shared" si="0"/>
        <v/>
      </c>
      <c r="F206" s="85"/>
      <c r="G206" s="83"/>
      <c r="H206" s="86"/>
      <c r="I206" s="86"/>
      <c r="J206" s="86"/>
      <c r="K206" s="62"/>
      <c r="L206" s="86"/>
      <c r="M206" s="86"/>
      <c r="N206" s="86"/>
      <c r="O206" s="86"/>
      <c r="P206" s="86"/>
      <c r="Q206" s="86"/>
      <c r="R206" s="86"/>
      <c r="S206" s="86"/>
      <c r="T206" s="86"/>
      <c r="U206" s="86"/>
      <c r="V206" s="86"/>
      <c r="W206" s="86"/>
      <c r="X206" s="86"/>
      <c r="Y206" s="86"/>
      <c r="Z206" s="86"/>
      <c r="AA206" s="86"/>
    </row>
    <row r="207" spans="1:27" ht="14.25" customHeight="1" x14ac:dyDescent="0.35">
      <c r="A207" s="76">
        <v>0</v>
      </c>
      <c r="B207" s="87" t="str">
        <v>Tobias Gerner</v>
      </c>
      <c r="C207" s="76"/>
      <c r="D207" s="78">
        <f>IF(C207=0,0,_xlfn.IFNA(IF( MATCH(C207,Rangliste!B:B,0)&gt;0,0,1),1))</f>
        <v>0</v>
      </c>
      <c r="E207" s="85" t="str">
        <f t="shared" si="0"/>
        <v/>
      </c>
      <c r="F207" s="85"/>
      <c r="G207" s="83"/>
      <c r="H207" s="86"/>
      <c r="I207" s="86"/>
      <c r="J207" s="86"/>
      <c r="K207" s="62"/>
      <c r="L207" s="86"/>
      <c r="M207" s="86"/>
      <c r="N207" s="86"/>
      <c r="O207" s="86"/>
      <c r="P207" s="86"/>
      <c r="Q207" s="86"/>
      <c r="R207" s="86"/>
      <c r="S207" s="86"/>
      <c r="T207" s="86"/>
      <c r="U207" s="86"/>
      <c r="V207" s="86"/>
      <c r="W207" s="86"/>
      <c r="X207" s="86"/>
      <c r="Y207" s="86"/>
      <c r="Z207" s="86"/>
      <c r="AA207" s="86"/>
    </row>
    <row r="208" spans="1:27" ht="14.25" customHeight="1" x14ac:dyDescent="0.35">
      <c r="A208" s="76">
        <v>0</v>
      </c>
      <c r="B208" s="87" t="str">
        <v>Emil Pfeffer</v>
      </c>
      <c r="C208" s="76"/>
      <c r="D208" s="78">
        <f>IF(C208=0,0,_xlfn.IFNA(IF( MATCH(C208,Rangliste!B:B,0)&gt;0,0,1),1))</f>
        <v>0</v>
      </c>
      <c r="E208" s="85" t="str">
        <f t="shared" si="0"/>
        <v/>
      </c>
      <c r="F208" s="85"/>
      <c r="G208" s="83"/>
      <c r="H208" s="86"/>
      <c r="I208" s="86"/>
      <c r="J208" s="86"/>
      <c r="K208" s="62"/>
      <c r="L208" s="86"/>
      <c r="M208" s="86"/>
      <c r="N208" s="86"/>
      <c r="O208" s="86"/>
      <c r="P208" s="86"/>
      <c r="Q208" s="86"/>
      <c r="R208" s="86"/>
      <c r="S208" s="86"/>
      <c r="T208" s="86"/>
      <c r="U208" s="86"/>
      <c r="V208" s="86"/>
      <c r="W208" s="86"/>
      <c r="X208" s="86"/>
      <c r="Y208" s="86"/>
      <c r="Z208" s="86"/>
      <c r="AA208" s="86"/>
    </row>
    <row r="209" spans="1:27" ht="14.25" customHeight="1" x14ac:dyDescent="0.35">
      <c r="A209" s="76">
        <v>0</v>
      </c>
      <c r="B209" s="87" t="str">
        <v>Sophie Wieselthaler</v>
      </c>
      <c r="C209" s="76"/>
      <c r="D209" s="78">
        <f>IF(C209=0,0,_xlfn.IFNA(IF( MATCH(C209,Rangliste!B:B,0)&gt;0,0,1),1))</f>
        <v>0</v>
      </c>
      <c r="E209" s="85" t="str">
        <f t="shared" si="0"/>
        <v/>
      </c>
      <c r="F209" s="85"/>
      <c r="G209" s="83"/>
      <c r="H209" s="86"/>
      <c r="I209" s="86"/>
      <c r="J209" s="86"/>
      <c r="K209" s="62"/>
      <c r="L209" s="86"/>
      <c r="M209" s="86"/>
      <c r="N209" s="86"/>
      <c r="O209" s="86"/>
      <c r="P209" s="86"/>
      <c r="Q209" s="86"/>
      <c r="R209" s="86"/>
      <c r="S209" s="86"/>
      <c r="T209" s="86"/>
      <c r="U209" s="86"/>
      <c r="V209" s="86"/>
      <c r="W209" s="86"/>
      <c r="X209" s="86"/>
      <c r="Y209" s="86"/>
      <c r="Z209" s="86"/>
      <c r="AA209" s="86"/>
    </row>
    <row r="210" spans="1:27" ht="14.25" customHeight="1" x14ac:dyDescent="0.35">
      <c r="A210" s="76">
        <v>0</v>
      </c>
      <c r="B210" s="87" t="str">
        <v>Mia Khaylo</v>
      </c>
      <c r="C210" s="76"/>
      <c r="D210" s="78">
        <f>IF(C210=0,0,_xlfn.IFNA(IF( MATCH(C210,Rangliste!B:B,0)&gt;0,0,1),1))</f>
        <v>0</v>
      </c>
      <c r="E210" s="85" t="str">
        <f t="shared" si="0"/>
        <v/>
      </c>
      <c r="F210" s="85"/>
      <c r="G210" s="83"/>
      <c r="H210" s="86"/>
      <c r="I210" s="86"/>
      <c r="J210" s="86"/>
      <c r="K210" s="62"/>
      <c r="L210" s="86"/>
      <c r="M210" s="86"/>
      <c r="N210" s="86"/>
      <c r="O210" s="86"/>
      <c r="P210" s="86"/>
      <c r="Q210" s="86"/>
      <c r="R210" s="86"/>
      <c r="S210" s="86"/>
      <c r="T210" s="86"/>
      <c r="U210" s="86"/>
      <c r="V210" s="86"/>
      <c r="W210" s="86"/>
      <c r="X210" s="86"/>
      <c r="Y210" s="86"/>
      <c r="Z210" s="86"/>
      <c r="AA210" s="86"/>
    </row>
    <row r="211" spans="1:27" ht="14.25" customHeight="1" x14ac:dyDescent="0.35">
      <c r="A211" s="76">
        <v>0</v>
      </c>
      <c r="B211" s="87" t="str">
        <v>Alisha Huang</v>
      </c>
      <c r="C211" s="76"/>
      <c r="D211" s="78">
        <f>IF(C211=0,0,_xlfn.IFNA(IF( MATCH(C211,Rangliste!B:B,0)&gt;0,0,1),1))</f>
        <v>0</v>
      </c>
      <c r="E211" s="85" t="str">
        <f t="shared" si="0"/>
        <v/>
      </c>
      <c r="F211" s="85"/>
      <c r="G211" s="83"/>
      <c r="H211" s="86"/>
      <c r="I211" s="86"/>
      <c r="J211" s="86"/>
      <c r="K211" s="62"/>
      <c r="L211" s="86"/>
      <c r="M211" s="86"/>
      <c r="N211" s="86"/>
      <c r="O211" s="86"/>
      <c r="P211" s="86"/>
      <c r="Q211" s="86"/>
      <c r="R211" s="86"/>
      <c r="S211" s="86"/>
      <c r="T211" s="86"/>
      <c r="U211" s="86"/>
      <c r="V211" s="86"/>
      <c r="W211" s="86"/>
      <c r="X211" s="86"/>
      <c r="Y211" s="86"/>
      <c r="Z211" s="86"/>
      <c r="AA211" s="86"/>
    </row>
    <row r="212" spans="1:27" ht="14.25" customHeight="1" x14ac:dyDescent="0.35">
      <c r="A212" s="76">
        <f t="array" ref="A212:A227">'WBV 4'!$F$3:$F$18</f>
        <v>0</v>
      </c>
      <c r="B212" s="87" t="str">
        <v>Valentin Krug</v>
      </c>
      <c r="C212" s="76"/>
      <c r="D212" s="78">
        <f>IF(C212=0,0,_xlfn.IFNA(IF( MATCH(C212,Rangliste!B:B,0)&gt;0,0,1),1))</f>
        <v>0</v>
      </c>
      <c r="E212" s="85" t="str">
        <f t="shared" si="0"/>
        <v/>
      </c>
      <c r="F212" s="85"/>
      <c r="G212" s="83"/>
      <c r="H212" s="86"/>
      <c r="I212" s="86"/>
      <c r="J212" s="86"/>
      <c r="K212" s="62"/>
      <c r="L212" s="86"/>
      <c r="M212" s="86"/>
      <c r="N212" s="86"/>
      <c r="O212" s="86"/>
      <c r="P212" s="86"/>
      <c r="Q212" s="86"/>
      <c r="R212" s="86"/>
      <c r="S212" s="86"/>
      <c r="T212" s="86"/>
      <c r="U212" s="86"/>
      <c r="V212" s="86"/>
      <c r="W212" s="86"/>
      <c r="X212" s="86"/>
      <c r="Y212" s="86"/>
      <c r="Z212" s="86"/>
      <c r="AA212" s="86"/>
    </row>
    <row r="213" spans="1:27" ht="14.25" customHeight="1" x14ac:dyDescent="0.35">
      <c r="A213" s="76">
        <v>0</v>
      </c>
      <c r="B213" s="87" t="str">
        <v>Paul Khaylo</v>
      </c>
      <c r="C213" s="76"/>
      <c r="D213" s="78">
        <f>IF(C213=0,0,_xlfn.IFNA(IF( MATCH(C213,Rangliste!B:B,0)&gt;0,0,1),1))</f>
        <v>0</v>
      </c>
      <c r="E213" s="85" t="str">
        <f t="shared" si="0"/>
        <v/>
      </c>
      <c r="F213" s="85"/>
      <c r="G213" s="83"/>
      <c r="H213" s="86"/>
      <c r="I213" s="86"/>
      <c r="J213" s="86"/>
      <c r="K213" s="62"/>
      <c r="L213" s="86"/>
      <c r="M213" s="86"/>
      <c r="N213" s="86"/>
      <c r="O213" s="86"/>
      <c r="P213" s="86"/>
      <c r="Q213" s="86"/>
      <c r="R213" s="86"/>
      <c r="S213" s="86"/>
      <c r="T213" s="86"/>
      <c r="U213" s="86"/>
      <c r="V213" s="86"/>
      <c r="W213" s="86"/>
      <c r="X213" s="86"/>
      <c r="Y213" s="86"/>
      <c r="Z213" s="86"/>
      <c r="AA213" s="86"/>
    </row>
    <row r="214" spans="1:27" ht="14.25" customHeight="1" x14ac:dyDescent="0.35">
      <c r="A214" s="76">
        <v>0</v>
      </c>
      <c r="B214" s="87">
        <v>0</v>
      </c>
      <c r="C214" s="76"/>
      <c r="D214" s="78">
        <f>IF(C214=0,0,_xlfn.IFNA(IF( MATCH(C214,Rangliste!B:B,0)&gt;0,0,1),1))</f>
        <v>0</v>
      </c>
      <c r="E214" s="85" t="str">
        <f t="shared" si="0"/>
        <v/>
      </c>
      <c r="F214" s="85"/>
      <c r="G214" s="83"/>
      <c r="H214" s="86"/>
      <c r="I214" s="86"/>
      <c r="J214" s="86"/>
      <c r="K214" s="62"/>
      <c r="L214" s="86"/>
      <c r="M214" s="86"/>
      <c r="N214" s="86"/>
      <c r="O214" s="86"/>
      <c r="P214" s="86"/>
      <c r="Q214" s="86"/>
      <c r="R214" s="86"/>
      <c r="S214" s="86"/>
      <c r="T214" s="86"/>
      <c r="U214" s="86"/>
      <c r="V214" s="86"/>
      <c r="W214" s="86"/>
      <c r="X214" s="86"/>
      <c r="Y214" s="86"/>
      <c r="Z214" s="86"/>
      <c r="AA214" s="86"/>
    </row>
    <row r="215" spans="1:27" ht="14.25" customHeight="1" x14ac:dyDescent="0.35">
      <c r="A215" s="76">
        <v>0</v>
      </c>
      <c r="B215" s="87">
        <v>0</v>
      </c>
      <c r="C215" s="76"/>
      <c r="D215" s="78">
        <f>IF(C215=0,0,_xlfn.IFNA(IF( MATCH(C215,Rangliste!B:B,0)&gt;0,0,1),1))</f>
        <v>0</v>
      </c>
      <c r="E215" s="85" t="str">
        <f t="shared" si="0"/>
        <v/>
      </c>
      <c r="F215" s="85"/>
      <c r="G215" s="83"/>
      <c r="H215" s="86"/>
      <c r="I215" s="86"/>
      <c r="J215" s="86"/>
      <c r="K215" s="62"/>
      <c r="L215" s="86"/>
      <c r="M215" s="86"/>
      <c r="N215" s="86"/>
      <c r="O215" s="86"/>
      <c r="P215" s="86"/>
      <c r="Q215" s="86"/>
      <c r="R215" s="86"/>
      <c r="S215" s="86"/>
      <c r="T215" s="86"/>
      <c r="U215" s="86"/>
      <c r="V215" s="86"/>
      <c r="W215" s="86"/>
      <c r="X215" s="86"/>
      <c r="Y215" s="86"/>
      <c r="Z215" s="86"/>
      <c r="AA215" s="86"/>
    </row>
    <row r="216" spans="1:27" ht="14.25" customHeight="1" x14ac:dyDescent="0.35">
      <c r="A216" s="76">
        <v>0</v>
      </c>
      <c r="B216" s="87">
        <v>0</v>
      </c>
      <c r="C216" s="76"/>
      <c r="D216" s="78">
        <f>IF(C216=0,0,_xlfn.IFNA(IF( MATCH(C216,Rangliste!B:B,0)&gt;0,0,1),1))</f>
        <v>0</v>
      </c>
      <c r="E216" s="85" t="str">
        <f t="shared" si="0"/>
        <v/>
      </c>
      <c r="F216" s="85"/>
      <c r="G216" s="83"/>
      <c r="H216" s="86"/>
      <c r="I216" s="86"/>
      <c r="J216" s="86"/>
      <c r="K216" s="62"/>
      <c r="L216" s="86"/>
      <c r="M216" s="86"/>
      <c r="N216" s="86"/>
      <c r="O216" s="86"/>
      <c r="P216" s="86"/>
      <c r="Q216" s="86"/>
      <c r="R216" s="86"/>
      <c r="S216" s="86"/>
      <c r="T216" s="86"/>
      <c r="U216" s="86"/>
      <c r="V216" s="86"/>
      <c r="W216" s="86"/>
      <c r="X216" s="86"/>
      <c r="Y216" s="86"/>
      <c r="Z216" s="86"/>
      <c r="AA216" s="86"/>
    </row>
    <row r="217" spans="1:27" ht="14.25" customHeight="1" x14ac:dyDescent="0.35">
      <c r="A217" s="76">
        <v>0</v>
      </c>
      <c r="B217" s="87">
        <v>0</v>
      </c>
      <c r="C217" s="76"/>
      <c r="D217" s="78">
        <f>IF(C217=0,0,_xlfn.IFNA(IF( MATCH(C217,Rangliste!B:B,0)&gt;0,0,1),1))</f>
        <v>0</v>
      </c>
      <c r="E217" s="85" t="str">
        <f t="shared" si="0"/>
        <v/>
      </c>
      <c r="F217" s="85"/>
      <c r="G217" s="83"/>
      <c r="H217" s="86"/>
      <c r="I217" s="86"/>
      <c r="J217" s="86"/>
      <c r="K217" s="62"/>
      <c r="L217" s="86"/>
      <c r="M217" s="86"/>
      <c r="N217" s="86"/>
      <c r="O217" s="86"/>
      <c r="P217" s="86"/>
      <c r="Q217" s="86"/>
      <c r="R217" s="86"/>
      <c r="S217" s="86"/>
      <c r="T217" s="86"/>
      <c r="U217" s="86"/>
      <c r="V217" s="86"/>
      <c r="W217" s="86"/>
      <c r="X217" s="86"/>
      <c r="Y217" s="86"/>
      <c r="Z217" s="86"/>
      <c r="AA217" s="86"/>
    </row>
    <row r="218" spans="1:27" ht="14.25" customHeight="1" x14ac:dyDescent="0.35">
      <c r="A218" s="76">
        <v>0</v>
      </c>
      <c r="B218" s="87">
        <v>0</v>
      </c>
      <c r="C218" s="76"/>
      <c r="D218" s="78">
        <f>IF(C218=0,0,_xlfn.IFNA(IF( MATCH(C218,Rangliste!B:B,0)&gt;0,0,1),1))</f>
        <v>0</v>
      </c>
      <c r="E218" s="85" t="str">
        <f t="shared" si="0"/>
        <v/>
      </c>
      <c r="F218" s="85"/>
      <c r="G218" s="83"/>
      <c r="H218" s="86"/>
      <c r="I218" s="86"/>
      <c r="J218" s="86"/>
      <c r="K218" s="62"/>
      <c r="L218" s="86"/>
      <c r="M218" s="86"/>
      <c r="N218" s="86"/>
      <c r="O218" s="86"/>
      <c r="P218" s="86"/>
      <c r="Q218" s="86"/>
      <c r="R218" s="86"/>
      <c r="S218" s="86"/>
      <c r="T218" s="86"/>
      <c r="U218" s="86"/>
      <c r="V218" s="86"/>
      <c r="W218" s="86"/>
      <c r="X218" s="86"/>
      <c r="Y218" s="86"/>
      <c r="Z218" s="86"/>
      <c r="AA218" s="86"/>
    </row>
    <row r="219" spans="1:27" ht="14.25" customHeight="1" x14ac:dyDescent="0.35">
      <c r="A219" s="76">
        <v>0</v>
      </c>
      <c r="B219" s="87">
        <v>0</v>
      </c>
      <c r="C219" s="76"/>
      <c r="D219" s="78">
        <f>IF(C219=0,0,_xlfn.IFNA(IF( MATCH(C219,Rangliste!B:B,0)&gt;0,0,1),1))</f>
        <v>0</v>
      </c>
      <c r="E219" s="85" t="str">
        <f t="shared" si="0"/>
        <v/>
      </c>
      <c r="F219" s="85"/>
      <c r="G219" s="83"/>
      <c r="H219" s="86"/>
      <c r="I219" s="86"/>
      <c r="J219" s="86"/>
      <c r="K219" s="62"/>
      <c r="L219" s="86"/>
      <c r="M219" s="86"/>
      <c r="N219" s="86"/>
      <c r="O219" s="86"/>
      <c r="P219" s="86"/>
      <c r="Q219" s="86"/>
      <c r="R219" s="86"/>
      <c r="S219" s="86"/>
      <c r="T219" s="86"/>
      <c r="U219" s="86"/>
      <c r="V219" s="86"/>
      <c r="W219" s="86"/>
      <c r="X219" s="86"/>
      <c r="Y219" s="86"/>
      <c r="Z219" s="86"/>
      <c r="AA219" s="86"/>
    </row>
    <row r="220" spans="1:27" ht="14.25" customHeight="1" x14ac:dyDescent="0.35">
      <c r="A220" s="76">
        <v>0</v>
      </c>
      <c r="B220" s="87">
        <v>0</v>
      </c>
      <c r="C220" s="76"/>
      <c r="D220" s="78">
        <f>IF(C220=0,0,_xlfn.IFNA(IF( MATCH(C220,Rangliste!B:B,0)&gt;0,0,1),1))</f>
        <v>0</v>
      </c>
      <c r="E220" s="85" t="str">
        <f t="shared" si="0"/>
        <v/>
      </c>
      <c r="F220" s="85"/>
      <c r="G220" s="83"/>
      <c r="H220" s="86"/>
      <c r="I220" s="86"/>
      <c r="J220" s="86"/>
      <c r="K220" s="62"/>
      <c r="L220" s="86"/>
      <c r="M220" s="86"/>
      <c r="N220" s="86"/>
      <c r="O220" s="86"/>
      <c r="P220" s="86"/>
      <c r="Q220" s="86"/>
      <c r="R220" s="86"/>
      <c r="S220" s="86"/>
      <c r="T220" s="86"/>
      <c r="U220" s="86"/>
      <c r="V220" s="86"/>
      <c r="W220" s="86"/>
      <c r="X220" s="86"/>
      <c r="Y220" s="86"/>
      <c r="Z220" s="86"/>
      <c r="AA220" s="86"/>
    </row>
    <row r="221" spans="1:27" ht="14.25" customHeight="1" x14ac:dyDescent="0.35">
      <c r="A221" s="76">
        <v>0</v>
      </c>
      <c r="B221" s="87">
        <v>0</v>
      </c>
      <c r="C221" s="76"/>
      <c r="D221" s="78">
        <f>IF(C221=0,0,_xlfn.IFNA(IF( MATCH(C221,Rangliste!B:B,0)&gt;0,0,1),1))</f>
        <v>0</v>
      </c>
      <c r="E221" s="85" t="str">
        <f t="shared" si="0"/>
        <v/>
      </c>
      <c r="F221" s="85"/>
      <c r="G221" s="83"/>
      <c r="H221" s="86"/>
      <c r="I221" s="86"/>
      <c r="J221" s="86"/>
      <c r="K221" s="62"/>
      <c r="L221" s="86"/>
      <c r="M221" s="86"/>
      <c r="N221" s="86"/>
      <c r="O221" s="86"/>
      <c r="P221" s="86"/>
      <c r="Q221" s="86"/>
      <c r="R221" s="86"/>
      <c r="S221" s="86"/>
      <c r="T221" s="86"/>
      <c r="U221" s="86"/>
      <c r="V221" s="86"/>
      <c r="W221" s="86"/>
      <c r="X221" s="86"/>
      <c r="Y221" s="86"/>
      <c r="Z221" s="86"/>
      <c r="AA221" s="86"/>
    </row>
    <row r="222" spans="1:27" ht="14.25" customHeight="1" x14ac:dyDescent="0.35">
      <c r="A222" s="76">
        <v>0</v>
      </c>
      <c r="B222" s="87">
        <v>0</v>
      </c>
      <c r="C222" s="76"/>
      <c r="D222" s="78">
        <f>IF(C222=0,0,_xlfn.IFNA(IF( MATCH(C222,Rangliste!B:B,0)&gt;0,0,1),1))</f>
        <v>0</v>
      </c>
      <c r="E222" s="85" t="str">
        <f t="shared" si="0"/>
        <v/>
      </c>
      <c r="F222" s="85"/>
      <c r="G222" s="83"/>
      <c r="H222" s="86"/>
      <c r="I222" s="86"/>
      <c r="J222" s="86"/>
      <c r="K222" s="62"/>
      <c r="L222" s="86"/>
      <c r="M222" s="86"/>
      <c r="N222" s="86"/>
      <c r="O222" s="86"/>
      <c r="P222" s="86"/>
      <c r="Q222" s="86"/>
      <c r="R222" s="86"/>
      <c r="S222" s="86"/>
      <c r="T222" s="86"/>
      <c r="U222" s="86"/>
      <c r="V222" s="86"/>
      <c r="W222" s="86"/>
      <c r="X222" s="86"/>
      <c r="Y222" s="86"/>
      <c r="Z222" s="86"/>
      <c r="AA222" s="86"/>
    </row>
    <row r="223" spans="1:27" ht="14.25" customHeight="1" x14ac:dyDescent="0.35">
      <c r="A223" s="76">
        <v>0</v>
      </c>
      <c r="B223" s="87">
        <v>0</v>
      </c>
      <c r="C223" s="76"/>
      <c r="D223" s="78">
        <f>IF(C223=0,0,_xlfn.IFNA(IF( MATCH(C223,Rangliste!B:B,0)&gt;0,0,1),1))</f>
        <v>0</v>
      </c>
      <c r="E223" s="85" t="str">
        <f t="shared" si="0"/>
        <v/>
      </c>
      <c r="F223" s="85"/>
      <c r="G223" s="83"/>
      <c r="H223" s="86"/>
      <c r="I223" s="86"/>
      <c r="J223" s="86"/>
      <c r="K223" s="62"/>
      <c r="L223" s="86"/>
      <c r="M223" s="86"/>
      <c r="N223" s="86"/>
      <c r="O223" s="86"/>
      <c r="P223" s="86"/>
      <c r="Q223" s="86"/>
      <c r="R223" s="86"/>
      <c r="S223" s="86"/>
      <c r="T223" s="86"/>
      <c r="U223" s="86"/>
      <c r="V223" s="86"/>
      <c r="W223" s="86"/>
      <c r="X223" s="86"/>
      <c r="Y223" s="86"/>
      <c r="Z223" s="86"/>
      <c r="AA223" s="86"/>
    </row>
    <row r="224" spans="1:27" ht="14.25" customHeight="1" x14ac:dyDescent="0.35">
      <c r="A224" s="76">
        <v>0</v>
      </c>
      <c r="B224" s="87">
        <v>0</v>
      </c>
      <c r="C224" s="76"/>
      <c r="D224" s="78">
        <f>IF(C224=0,0,_xlfn.IFNA(IF( MATCH(C224,Rangliste!B:B,0)&gt;0,0,1),1))</f>
        <v>0</v>
      </c>
      <c r="E224" s="85" t="str">
        <f t="shared" si="0"/>
        <v/>
      </c>
      <c r="F224" s="85"/>
      <c r="G224" s="83"/>
      <c r="H224" s="86"/>
      <c r="I224" s="86"/>
      <c r="J224" s="86"/>
      <c r="K224" s="62"/>
      <c r="L224" s="86"/>
      <c r="M224" s="86"/>
      <c r="N224" s="86"/>
      <c r="O224" s="86"/>
      <c r="P224" s="86"/>
      <c r="Q224" s="86"/>
      <c r="R224" s="86"/>
      <c r="S224" s="86"/>
      <c r="T224" s="86"/>
      <c r="U224" s="86"/>
      <c r="V224" s="86"/>
      <c r="W224" s="86"/>
      <c r="X224" s="86"/>
      <c r="Y224" s="86"/>
      <c r="Z224" s="86"/>
      <c r="AA224" s="86"/>
    </row>
    <row r="225" spans="1:27" ht="14.25" customHeight="1" x14ac:dyDescent="0.35">
      <c r="A225" s="76">
        <v>0</v>
      </c>
      <c r="B225" s="87">
        <v>0</v>
      </c>
      <c r="C225" s="76"/>
      <c r="D225" s="78">
        <f>IF(C225=0,0,_xlfn.IFNA(IF( MATCH(C225,Rangliste!B:B,0)&gt;0,0,1),1))</f>
        <v>0</v>
      </c>
      <c r="E225" s="85" t="str">
        <f t="shared" si="0"/>
        <v/>
      </c>
      <c r="F225" s="85"/>
      <c r="G225" s="83"/>
      <c r="H225" s="86"/>
      <c r="I225" s="86"/>
      <c r="J225" s="86"/>
      <c r="K225" s="62"/>
      <c r="L225" s="86"/>
      <c r="M225" s="86"/>
      <c r="N225" s="86"/>
      <c r="O225" s="86"/>
      <c r="P225" s="86"/>
      <c r="Q225" s="86"/>
      <c r="R225" s="86"/>
      <c r="S225" s="86"/>
      <c r="T225" s="86"/>
      <c r="U225" s="86"/>
      <c r="V225" s="86"/>
      <c r="W225" s="86"/>
      <c r="X225" s="86"/>
      <c r="Y225" s="86"/>
      <c r="Z225" s="86"/>
      <c r="AA225" s="86"/>
    </row>
    <row r="226" spans="1:27" ht="14.25" customHeight="1" x14ac:dyDescent="0.35">
      <c r="A226" s="76">
        <v>0</v>
      </c>
      <c r="B226" s="87">
        <v>0</v>
      </c>
      <c r="C226" s="76"/>
      <c r="D226" s="78">
        <f>IF(C226=0,0,_xlfn.IFNA(IF( MATCH(C226,Rangliste!B:B,0)&gt;0,0,1),1))</f>
        <v>0</v>
      </c>
      <c r="E226" s="85" t="str">
        <f t="shared" si="0"/>
        <v/>
      </c>
      <c r="F226" s="85"/>
      <c r="G226" s="83"/>
      <c r="H226" s="86"/>
      <c r="I226" s="86"/>
      <c r="J226" s="86"/>
      <c r="K226" s="62"/>
      <c r="L226" s="86"/>
      <c r="M226" s="86"/>
      <c r="N226" s="86"/>
      <c r="O226" s="86"/>
      <c r="P226" s="86"/>
      <c r="Q226" s="86"/>
      <c r="R226" s="86"/>
      <c r="S226" s="86"/>
      <c r="T226" s="86"/>
      <c r="U226" s="86"/>
      <c r="V226" s="86"/>
      <c r="W226" s="86"/>
      <c r="X226" s="86"/>
      <c r="Y226" s="86"/>
      <c r="Z226" s="86"/>
      <c r="AA226" s="86"/>
    </row>
    <row r="227" spans="1:27" ht="14.25" customHeight="1" x14ac:dyDescent="0.35">
      <c r="A227" s="76">
        <v>0</v>
      </c>
      <c r="B227" s="87">
        <v>0</v>
      </c>
      <c r="C227" s="76"/>
      <c r="D227" s="78">
        <f>IF(C227=0,0,_xlfn.IFNA(IF( MATCH(C227,Rangliste!B:B,0)&gt;0,0,1),1))</f>
        <v>0</v>
      </c>
      <c r="E227" s="85" t="str">
        <f t="shared" si="0"/>
        <v/>
      </c>
      <c r="F227" s="85"/>
      <c r="G227" s="83"/>
      <c r="H227" s="86"/>
      <c r="I227" s="86"/>
      <c r="J227" s="86"/>
      <c r="K227" s="62"/>
      <c r="L227" s="86"/>
      <c r="M227" s="86"/>
      <c r="N227" s="86"/>
      <c r="O227" s="86"/>
      <c r="P227" s="86"/>
      <c r="Q227" s="86"/>
      <c r="R227" s="86"/>
      <c r="S227" s="86"/>
      <c r="T227" s="86"/>
      <c r="U227" s="86"/>
      <c r="V227" s="86"/>
      <c r="W227" s="86"/>
      <c r="X227" s="86"/>
      <c r="Y227" s="86"/>
      <c r="Z227" s="86"/>
      <c r="AA227" s="86"/>
    </row>
    <row r="228" spans="1:27" ht="14.25" customHeight="1" x14ac:dyDescent="0.35">
      <c r="A228" s="76">
        <f t="array" ref="A228:A243">'WBV 4'!$J$3:$J$18</f>
        <v>0</v>
      </c>
      <c r="B228" s="87" t="str">
        <f t="array" ref="B228:B259">'WBV 2'!$N$3:$N$34</f>
        <v>Frederik Braun</v>
      </c>
      <c r="C228" s="76"/>
      <c r="D228" s="78">
        <f>IF(C228=0,0,_xlfn.IFNA(IF( MATCH(C228,Rangliste!B:B,0)&gt;0,0,1),1))</f>
        <v>0</v>
      </c>
      <c r="E228" s="85" t="str">
        <f t="shared" si="0"/>
        <v/>
      </c>
      <c r="F228" s="85"/>
      <c r="G228" s="83"/>
      <c r="H228" s="86"/>
      <c r="I228" s="86"/>
      <c r="J228" s="86"/>
      <c r="K228" s="62"/>
      <c r="L228" s="86"/>
      <c r="M228" s="86"/>
      <c r="N228" s="86"/>
      <c r="O228" s="86"/>
      <c r="P228" s="86"/>
      <c r="Q228" s="86"/>
      <c r="R228" s="86"/>
      <c r="S228" s="86"/>
      <c r="T228" s="86"/>
      <c r="U228" s="86"/>
      <c r="V228" s="86"/>
      <c r="W228" s="86"/>
      <c r="X228" s="86"/>
      <c r="Y228" s="86"/>
      <c r="Z228" s="86"/>
      <c r="AA228" s="86"/>
    </row>
    <row r="229" spans="1:27" ht="14.25" customHeight="1" x14ac:dyDescent="0.35">
      <c r="A229" s="76">
        <v>0</v>
      </c>
      <c r="B229" s="87" t="str">
        <v>Vihaan Vishal Sharma</v>
      </c>
      <c r="C229" s="76"/>
      <c r="D229" s="78">
        <f>IF(C229=0,0,_xlfn.IFNA(IF( MATCH(C229,Rangliste!B:B,0)&gt;0,0,1),1))</f>
        <v>0</v>
      </c>
      <c r="E229" s="85" t="str">
        <f t="shared" si="0"/>
        <v/>
      </c>
      <c r="F229" s="85"/>
      <c r="G229" s="83"/>
      <c r="H229" s="86"/>
      <c r="I229" s="86"/>
      <c r="J229" s="86"/>
      <c r="K229" s="62"/>
      <c r="L229" s="86"/>
      <c r="M229" s="86"/>
      <c r="N229" s="86"/>
      <c r="O229" s="86"/>
      <c r="P229" s="86"/>
      <c r="Q229" s="86"/>
      <c r="R229" s="86"/>
      <c r="S229" s="86"/>
      <c r="T229" s="86"/>
      <c r="U229" s="86"/>
      <c r="V229" s="86"/>
      <c r="W229" s="86"/>
      <c r="X229" s="86"/>
      <c r="Y229" s="86"/>
      <c r="Z229" s="86"/>
      <c r="AA229" s="86"/>
    </row>
    <row r="230" spans="1:27" ht="14.25" customHeight="1" x14ac:dyDescent="0.35">
      <c r="A230" s="76">
        <v>0</v>
      </c>
      <c r="B230" s="87" t="str">
        <v>Matthias Fessl</v>
      </c>
      <c r="C230" s="76"/>
      <c r="D230" s="78">
        <f>IF(C230=0,0,_xlfn.IFNA(IF( MATCH(C230,Rangliste!B:B,0)&gt;0,0,1),1))</f>
        <v>0</v>
      </c>
      <c r="E230" s="85" t="str">
        <f t="shared" si="0"/>
        <v/>
      </c>
      <c r="F230" s="85"/>
      <c r="G230" s="83"/>
      <c r="H230" s="86"/>
      <c r="I230" s="86"/>
      <c r="J230" s="86"/>
      <c r="K230" s="62"/>
      <c r="L230" s="86"/>
      <c r="M230" s="86"/>
      <c r="N230" s="86"/>
      <c r="O230" s="86"/>
      <c r="P230" s="86"/>
      <c r="Q230" s="86"/>
      <c r="R230" s="86"/>
      <c r="S230" s="86"/>
      <c r="T230" s="86"/>
      <c r="U230" s="86"/>
      <c r="V230" s="86"/>
      <c r="W230" s="86"/>
      <c r="X230" s="86"/>
      <c r="Y230" s="86"/>
      <c r="Z230" s="86"/>
      <c r="AA230" s="86"/>
    </row>
    <row r="231" spans="1:27" ht="14.25" customHeight="1" x14ac:dyDescent="0.35">
      <c r="A231" s="76">
        <v>0</v>
      </c>
      <c r="B231" s="87" t="str">
        <v>Nitshada Keawsri</v>
      </c>
      <c r="C231" s="76"/>
      <c r="D231" s="78">
        <f>IF(C231=0,0,_xlfn.IFNA(IF( MATCH(C231,Rangliste!B:B,0)&gt;0,0,1),1))</f>
        <v>0</v>
      </c>
      <c r="E231" s="85" t="str">
        <f t="shared" si="0"/>
        <v/>
      </c>
      <c r="F231" s="85"/>
      <c r="G231" s="83"/>
      <c r="H231" s="86"/>
      <c r="I231" s="86"/>
      <c r="J231" s="86"/>
      <c r="K231" s="62"/>
      <c r="L231" s="86"/>
      <c r="M231" s="86"/>
      <c r="N231" s="86"/>
      <c r="O231" s="86"/>
      <c r="P231" s="86"/>
      <c r="Q231" s="86"/>
      <c r="R231" s="86"/>
      <c r="S231" s="86"/>
      <c r="T231" s="86"/>
      <c r="U231" s="86"/>
      <c r="V231" s="86"/>
      <c r="W231" s="86"/>
      <c r="X231" s="86"/>
      <c r="Y231" s="86"/>
      <c r="Z231" s="86"/>
      <c r="AA231" s="86"/>
    </row>
    <row r="232" spans="1:27" ht="14.25" customHeight="1" x14ac:dyDescent="0.35">
      <c r="A232" s="76">
        <v>0</v>
      </c>
      <c r="B232" s="87" t="str">
        <v>Agampreet Singh</v>
      </c>
      <c r="C232" s="76"/>
      <c r="D232" s="78">
        <f>IF(C232=0,0,_xlfn.IFNA(IF( MATCH(C232,Rangliste!B:B,0)&gt;0,0,1),1))</f>
        <v>0</v>
      </c>
      <c r="E232" s="85" t="str">
        <f t="shared" si="0"/>
        <v/>
      </c>
      <c r="F232" s="85"/>
      <c r="G232" s="83"/>
      <c r="H232" s="86"/>
      <c r="I232" s="86"/>
      <c r="J232" s="86"/>
      <c r="K232" s="62"/>
      <c r="L232" s="86"/>
      <c r="M232" s="86"/>
      <c r="N232" s="86"/>
      <c r="O232" s="86"/>
      <c r="P232" s="86"/>
      <c r="Q232" s="86"/>
      <c r="R232" s="86"/>
      <c r="S232" s="86"/>
      <c r="T232" s="86"/>
      <c r="U232" s="86"/>
      <c r="V232" s="86"/>
      <c r="W232" s="86"/>
      <c r="X232" s="86"/>
      <c r="Y232" s="86"/>
      <c r="Z232" s="86"/>
      <c r="AA232" s="86"/>
    </row>
    <row r="233" spans="1:27" ht="14.25" customHeight="1" x14ac:dyDescent="0.35">
      <c r="A233" s="76">
        <v>0</v>
      </c>
      <c r="B233" s="87" t="str">
        <v>Elías García Strzeletz</v>
      </c>
      <c r="C233" s="76"/>
      <c r="D233" s="78">
        <f>IF(C233=0,0,_xlfn.IFNA(IF( MATCH(C233,Rangliste!B:B,0)&gt;0,0,1),1))</f>
        <v>0</v>
      </c>
      <c r="E233" s="85" t="str">
        <f t="shared" si="0"/>
        <v/>
      </c>
      <c r="F233" s="85"/>
      <c r="G233" s="83"/>
      <c r="H233" s="86"/>
      <c r="I233" s="86"/>
      <c r="J233" s="86"/>
      <c r="K233" s="62"/>
      <c r="L233" s="86"/>
      <c r="M233" s="86"/>
      <c r="N233" s="86"/>
      <c r="O233" s="86"/>
      <c r="P233" s="86"/>
      <c r="Q233" s="86"/>
      <c r="R233" s="86"/>
      <c r="S233" s="86"/>
      <c r="T233" s="86"/>
      <c r="U233" s="86"/>
      <c r="V233" s="86"/>
      <c r="W233" s="86"/>
      <c r="X233" s="86"/>
      <c r="Y233" s="86"/>
      <c r="Z233" s="86"/>
      <c r="AA233" s="86"/>
    </row>
    <row r="234" spans="1:27" ht="14.25" customHeight="1" x14ac:dyDescent="0.35">
      <c r="A234" s="76">
        <v>0</v>
      </c>
      <c r="B234" s="87" t="str">
        <v>Aylin Simone Aktas</v>
      </c>
      <c r="C234" s="76"/>
      <c r="D234" s="78">
        <f>IF(C234=0,0,_xlfn.IFNA(IF( MATCH(C234,Rangliste!B:B,0)&gt;0,0,1),1))</f>
        <v>0</v>
      </c>
      <c r="E234" s="85" t="str">
        <f t="shared" si="0"/>
        <v/>
      </c>
      <c r="F234" s="85"/>
      <c r="G234" s="83"/>
      <c r="H234" s="86"/>
      <c r="I234" s="86"/>
      <c r="J234" s="86"/>
      <c r="K234" s="62"/>
      <c r="L234" s="86"/>
      <c r="M234" s="86"/>
      <c r="N234" s="86"/>
      <c r="O234" s="86"/>
      <c r="P234" s="86"/>
      <c r="Q234" s="86"/>
      <c r="R234" s="86"/>
      <c r="S234" s="86"/>
      <c r="T234" s="86"/>
      <c r="U234" s="86"/>
      <c r="V234" s="86"/>
      <c r="W234" s="86"/>
      <c r="X234" s="86"/>
      <c r="Y234" s="86"/>
      <c r="Z234" s="86"/>
      <c r="AA234" s="86"/>
    </row>
    <row r="235" spans="1:27" ht="14.25" customHeight="1" x14ac:dyDescent="0.35">
      <c r="A235" s="76">
        <v>0</v>
      </c>
      <c r="B235" s="87" t="str">
        <v>Thalia Wetter</v>
      </c>
      <c r="C235" s="76"/>
      <c r="D235" s="78">
        <f>IF(C235=0,0,_xlfn.IFNA(IF( MATCH(C235,Rangliste!B:B,0)&gt;0,0,1),1))</f>
        <v>0</v>
      </c>
      <c r="E235" s="85" t="str">
        <f t="shared" si="0"/>
        <v/>
      </c>
      <c r="F235" s="85"/>
      <c r="G235" s="83"/>
      <c r="H235" s="86"/>
      <c r="I235" s="86"/>
      <c r="J235" s="86"/>
      <c r="K235" s="62"/>
      <c r="L235" s="86"/>
      <c r="M235" s="86"/>
      <c r="N235" s="86"/>
      <c r="O235" s="86"/>
      <c r="P235" s="86"/>
      <c r="Q235" s="86"/>
      <c r="R235" s="86"/>
      <c r="S235" s="86"/>
      <c r="T235" s="86"/>
      <c r="U235" s="86"/>
      <c r="V235" s="86"/>
      <c r="W235" s="86"/>
      <c r="X235" s="86"/>
      <c r="Y235" s="86"/>
      <c r="Z235" s="86"/>
      <c r="AA235" s="86"/>
    </row>
    <row r="236" spans="1:27" ht="14.25" customHeight="1" x14ac:dyDescent="0.35">
      <c r="A236" s="76">
        <v>0</v>
      </c>
      <c r="B236" s="87" t="str">
        <v>Antonio Garcia Strzeletz</v>
      </c>
      <c r="C236" s="76"/>
      <c r="D236" s="78">
        <f>IF(C236=0,0,_xlfn.IFNA(IF( MATCH(C236,Rangliste!B:B,0)&gt;0,0,1),1))</f>
        <v>0</v>
      </c>
      <c r="E236" s="85" t="str">
        <f t="shared" si="0"/>
        <v/>
      </c>
      <c r="F236" s="85"/>
      <c r="G236" s="83"/>
      <c r="H236" s="86"/>
      <c r="I236" s="86"/>
      <c r="J236" s="86"/>
      <c r="K236" s="62"/>
      <c r="L236" s="86"/>
      <c r="M236" s="86"/>
      <c r="N236" s="86"/>
      <c r="O236" s="86"/>
      <c r="P236" s="86"/>
      <c r="Q236" s="86"/>
      <c r="R236" s="86"/>
      <c r="S236" s="86"/>
      <c r="T236" s="86"/>
      <c r="U236" s="86"/>
      <c r="V236" s="86"/>
      <c r="W236" s="86"/>
      <c r="X236" s="86"/>
      <c r="Y236" s="86"/>
      <c r="Z236" s="86"/>
      <c r="AA236" s="86"/>
    </row>
    <row r="237" spans="1:27" ht="14.25" customHeight="1" x14ac:dyDescent="0.35">
      <c r="A237" s="76">
        <v>0</v>
      </c>
      <c r="B237" s="87" t="str">
        <v>Linna Dai</v>
      </c>
      <c r="C237" s="76"/>
      <c r="D237" s="78">
        <f>IF(C237=0,0,_xlfn.IFNA(IF( MATCH(C237,Rangliste!B:B,0)&gt;0,0,1),1))</f>
        <v>0</v>
      </c>
      <c r="E237" s="85" t="str">
        <f t="shared" si="0"/>
        <v/>
      </c>
      <c r="F237" s="85"/>
      <c r="G237" s="83"/>
      <c r="H237" s="86"/>
      <c r="I237" s="86"/>
      <c r="J237" s="86"/>
      <c r="K237" s="62"/>
      <c r="L237" s="86"/>
      <c r="M237" s="86"/>
      <c r="N237" s="86"/>
      <c r="O237" s="86"/>
      <c r="P237" s="86"/>
      <c r="Q237" s="86"/>
      <c r="R237" s="86"/>
      <c r="S237" s="86"/>
      <c r="T237" s="86"/>
      <c r="U237" s="86"/>
      <c r="V237" s="86"/>
      <c r="W237" s="86"/>
      <c r="X237" s="86"/>
      <c r="Y237" s="86"/>
      <c r="Z237" s="86"/>
      <c r="AA237" s="86"/>
    </row>
    <row r="238" spans="1:27" ht="14.25" customHeight="1" x14ac:dyDescent="0.35">
      <c r="A238" s="76">
        <v>0</v>
      </c>
      <c r="B238" s="87" t="str">
        <v>Emil Kofler-Strigl</v>
      </c>
      <c r="C238" s="76"/>
      <c r="D238" s="78">
        <f>IF(C238=0,0,_xlfn.IFNA(IF( MATCH(C238,Rangliste!B:B,0)&gt;0,0,1),1))</f>
        <v>0</v>
      </c>
      <c r="E238" s="85" t="str">
        <f t="shared" si="0"/>
        <v/>
      </c>
      <c r="F238" s="85"/>
      <c r="G238" s="83"/>
      <c r="H238" s="86"/>
      <c r="I238" s="86"/>
      <c r="J238" s="86"/>
      <c r="K238" s="62"/>
      <c r="L238" s="86"/>
      <c r="M238" s="86"/>
      <c r="N238" s="86"/>
      <c r="O238" s="86"/>
      <c r="P238" s="86"/>
      <c r="Q238" s="86"/>
      <c r="R238" s="86"/>
      <c r="S238" s="86"/>
      <c r="T238" s="86"/>
      <c r="U238" s="86"/>
      <c r="V238" s="86"/>
      <c r="W238" s="86"/>
      <c r="X238" s="86"/>
      <c r="Y238" s="86"/>
      <c r="Z238" s="86"/>
      <c r="AA238" s="86"/>
    </row>
    <row r="239" spans="1:27" ht="14.25" customHeight="1" x14ac:dyDescent="0.35">
      <c r="A239" s="76">
        <v>0</v>
      </c>
      <c r="B239" s="87" t="str">
        <v>Clemens Braun</v>
      </c>
      <c r="C239" s="76"/>
      <c r="D239" s="78">
        <f>IF(C239=0,0,_xlfn.IFNA(IF( MATCH(C239,Rangliste!B:B,0)&gt;0,0,1),1))</f>
        <v>0</v>
      </c>
      <c r="E239" s="85" t="str">
        <f t="shared" si="0"/>
        <v/>
      </c>
      <c r="F239" s="85"/>
      <c r="G239" s="83"/>
      <c r="H239" s="86"/>
      <c r="I239" s="86"/>
      <c r="J239" s="86"/>
      <c r="K239" s="62"/>
      <c r="L239" s="86"/>
      <c r="M239" s="86"/>
      <c r="N239" s="86"/>
      <c r="O239" s="86"/>
      <c r="P239" s="86"/>
      <c r="Q239" s="86"/>
      <c r="R239" s="86"/>
      <c r="S239" s="86"/>
      <c r="T239" s="86"/>
      <c r="U239" s="86"/>
      <c r="V239" s="86"/>
      <c r="W239" s="86"/>
      <c r="X239" s="86"/>
      <c r="Y239" s="86"/>
      <c r="Z239" s="86"/>
      <c r="AA239" s="86"/>
    </row>
    <row r="240" spans="1:27" ht="14.25" customHeight="1" x14ac:dyDescent="0.35">
      <c r="A240" s="76">
        <v>0</v>
      </c>
      <c r="B240" s="87" t="str">
        <v>Karl Edlinger</v>
      </c>
      <c r="C240" s="76"/>
      <c r="D240" s="78">
        <f>IF(C240=0,0,_xlfn.IFNA(IF( MATCH(C240,Rangliste!B:B,0)&gt;0,0,1),1))</f>
        <v>0</v>
      </c>
      <c r="E240" s="85" t="str">
        <f t="shared" si="0"/>
        <v/>
      </c>
      <c r="F240" s="85"/>
      <c r="G240" s="83"/>
      <c r="H240" s="86"/>
      <c r="I240" s="86"/>
      <c r="J240" s="86"/>
      <c r="K240" s="62"/>
      <c r="L240" s="86"/>
      <c r="M240" s="86"/>
      <c r="N240" s="86"/>
      <c r="O240" s="86"/>
      <c r="P240" s="86"/>
      <c r="Q240" s="86"/>
      <c r="R240" s="86"/>
      <c r="S240" s="86"/>
      <c r="T240" s="86"/>
      <c r="U240" s="86"/>
      <c r="V240" s="86"/>
      <c r="W240" s="86"/>
      <c r="X240" s="86"/>
      <c r="Y240" s="86"/>
      <c r="Z240" s="86"/>
      <c r="AA240" s="86"/>
    </row>
    <row r="241" spans="1:27" ht="14.25" customHeight="1" x14ac:dyDescent="0.35">
      <c r="A241" s="76">
        <v>0</v>
      </c>
      <c r="B241" s="87" t="str">
        <v>Yinuo Chen</v>
      </c>
      <c r="C241" s="76"/>
      <c r="D241" s="78">
        <f>IF(C241=0,0,_xlfn.IFNA(IF( MATCH(C241,Rangliste!B:B,0)&gt;0,0,1),1))</f>
        <v>0</v>
      </c>
      <c r="E241" s="85" t="str">
        <f t="shared" si="0"/>
        <v/>
      </c>
      <c r="F241" s="85"/>
      <c r="G241" s="83"/>
      <c r="H241" s="86"/>
      <c r="I241" s="86"/>
      <c r="J241" s="86"/>
      <c r="K241" s="62"/>
      <c r="L241" s="86"/>
      <c r="M241" s="86"/>
      <c r="N241" s="86"/>
      <c r="O241" s="86"/>
      <c r="P241" s="86"/>
      <c r="Q241" s="86"/>
      <c r="R241" s="86"/>
      <c r="S241" s="86"/>
      <c r="T241" s="86"/>
      <c r="U241" s="86"/>
      <c r="V241" s="86"/>
      <c r="W241" s="86"/>
      <c r="X241" s="86"/>
      <c r="Y241" s="86"/>
      <c r="Z241" s="86"/>
      <c r="AA241" s="86"/>
    </row>
    <row r="242" spans="1:27" ht="14.25" customHeight="1" x14ac:dyDescent="0.35">
      <c r="A242" s="76">
        <v>0</v>
      </c>
      <c r="B242" s="87" t="str">
        <v>Anesia Brar</v>
      </c>
      <c r="C242" s="76"/>
      <c r="D242" s="78">
        <f>IF(C242=0,0,_xlfn.IFNA(IF( MATCH(C242,Rangliste!B:B,0)&gt;0,0,1),1))</f>
        <v>0</v>
      </c>
      <c r="E242" s="85" t="str">
        <f t="shared" si="0"/>
        <v/>
      </c>
      <c r="F242" s="85"/>
      <c r="G242" s="83"/>
      <c r="H242" s="86"/>
      <c r="I242" s="86"/>
      <c r="J242" s="86"/>
      <c r="K242" s="62"/>
      <c r="L242" s="86"/>
      <c r="M242" s="86"/>
      <c r="N242" s="86"/>
      <c r="O242" s="86"/>
      <c r="P242" s="86"/>
      <c r="Q242" s="86"/>
      <c r="R242" s="86"/>
      <c r="S242" s="86"/>
      <c r="T242" s="86"/>
      <c r="U242" s="86"/>
      <c r="V242" s="86"/>
      <c r="W242" s="86"/>
      <c r="X242" s="86"/>
      <c r="Y242" s="86"/>
      <c r="Z242" s="86"/>
      <c r="AA242" s="86"/>
    </row>
    <row r="243" spans="1:27" ht="14.25" customHeight="1" x14ac:dyDescent="0.35">
      <c r="A243" s="76">
        <v>0</v>
      </c>
      <c r="B243" s="87" t="str">
        <v>Anton Edlinger</v>
      </c>
      <c r="C243" s="76"/>
      <c r="D243" s="78">
        <f>IF(C243=0,0,_xlfn.IFNA(IF( MATCH(C243,Rangliste!B:B,0)&gt;0,0,1),1))</f>
        <v>0</v>
      </c>
      <c r="E243" s="85" t="str">
        <f t="shared" si="0"/>
        <v/>
      </c>
      <c r="F243" s="85"/>
      <c r="G243" s="83"/>
      <c r="H243" s="86"/>
      <c r="I243" s="86"/>
      <c r="J243" s="86"/>
      <c r="K243" s="62"/>
      <c r="L243" s="86"/>
      <c r="M243" s="86"/>
      <c r="N243" s="86"/>
      <c r="O243" s="86"/>
      <c r="P243" s="86"/>
      <c r="Q243" s="86"/>
      <c r="R243" s="86"/>
      <c r="S243" s="86"/>
      <c r="T243" s="86"/>
      <c r="U243" s="86"/>
      <c r="V243" s="86"/>
      <c r="W243" s="86"/>
      <c r="X243" s="86"/>
      <c r="Y243" s="86"/>
      <c r="Z243" s="86"/>
      <c r="AA243" s="86"/>
    </row>
    <row r="244" spans="1:27" ht="14.25" customHeight="1" x14ac:dyDescent="0.35">
      <c r="A244" s="76">
        <f t="array" ref="A244:A259">'WBV 4'!$N$3:$N$18</f>
        <v>0</v>
      </c>
      <c r="B244" s="87" t="str">
        <v>Benjamin Nagy</v>
      </c>
      <c r="C244" s="76"/>
      <c r="D244" s="78">
        <f>IF(C244=0,0,_xlfn.IFNA(IF( MATCH(C244,Rangliste!B:B,0)&gt;0,0,1),1))</f>
        <v>0</v>
      </c>
      <c r="E244" s="85" t="str">
        <f t="shared" si="0"/>
        <v/>
      </c>
      <c r="F244" s="85"/>
      <c r="G244" s="83"/>
      <c r="H244" s="86"/>
      <c r="I244" s="86"/>
      <c r="J244" s="86"/>
      <c r="K244" s="62"/>
      <c r="L244" s="86"/>
      <c r="M244" s="86"/>
      <c r="N244" s="86"/>
      <c r="O244" s="86"/>
      <c r="P244" s="86"/>
      <c r="Q244" s="86"/>
      <c r="R244" s="86"/>
      <c r="S244" s="86"/>
      <c r="T244" s="86"/>
      <c r="U244" s="86"/>
      <c r="V244" s="86"/>
      <c r="W244" s="86"/>
      <c r="X244" s="86"/>
      <c r="Y244" s="86"/>
      <c r="Z244" s="86"/>
      <c r="AA244" s="86"/>
    </row>
    <row r="245" spans="1:27" ht="14.25" customHeight="1" x14ac:dyDescent="0.35">
      <c r="A245" s="76">
        <v>0</v>
      </c>
      <c r="B245" s="87" t="str">
        <v>Livia Novotny</v>
      </c>
      <c r="C245" s="76"/>
      <c r="D245" s="78">
        <f>IF(C245=0,0,_xlfn.IFNA(IF( MATCH(C245,Rangliste!B:B,0)&gt;0,0,1),1))</f>
        <v>0</v>
      </c>
      <c r="E245" s="85" t="str">
        <f t="shared" si="0"/>
        <v/>
      </c>
      <c r="F245" s="85"/>
      <c r="G245" s="83"/>
      <c r="H245" s="86"/>
      <c r="I245" s="86"/>
      <c r="J245" s="86"/>
      <c r="K245" s="62"/>
      <c r="L245" s="86"/>
      <c r="M245" s="86"/>
      <c r="N245" s="86"/>
      <c r="O245" s="86"/>
      <c r="P245" s="86"/>
      <c r="Q245" s="86"/>
      <c r="R245" s="86"/>
      <c r="S245" s="86"/>
      <c r="T245" s="86"/>
      <c r="U245" s="86"/>
      <c r="V245" s="86"/>
      <c r="W245" s="86"/>
      <c r="X245" s="86"/>
      <c r="Y245" s="86"/>
      <c r="Z245" s="86"/>
      <c r="AA245" s="86"/>
    </row>
    <row r="246" spans="1:27" ht="14.25" customHeight="1" x14ac:dyDescent="0.35">
      <c r="A246" s="76">
        <v>0</v>
      </c>
      <c r="B246" s="87" t="str">
        <v>Ben Hollaus</v>
      </c>
      <c r="C246" s="76"/>
      <c r="D246" s="78">
        <f>IF(C246=0,0,_xlfn.IFNA(IF( MATCH(C246,Rangliste!B:B,0)&gt;0,0,1),1))</f>
        <v>0</v>
      </c>
      <c r="E246" s="85" t="str">
        <f t="shared" si="0"/>
        <v/>
      </c>
      <c r="F246" s="85"/>
      <c r="G246" s="83"/>
      <c r="H246" s="86"/>
      <c r="I246" s="86"/>
      <c r="J246" s="86"/>
      <c r="K246" s="62"/>
      <c r="L246" s="86"/>
      <c r="M246" s="86"/>
      <c r="N246" s="86"/>
      <c r="O246" s="86"/>
      <c r="P246" s="86"/>
      <c r="Q246" s="86"/>
      <c r="R246" s="86"/>
      <c r="S246" s="86"/>
      <c r="T246" s="86"/>
      <c r="U246" s="86"/>
      <c r="V246" s="86"/>
      <c r="W246" s="86"/>
      <c r="X246" s="86"/>
      <c r="Y246" s="86"/>
      <c r="Z246" s="86"/>
      <c r="AA246" s="86"/>
    </row>
    <row r="247" spans="1:27" ht="14.25" customHeight="1" x14ac:dyDescent="0.35">
      <c r="A247" s="76">
        <v>0</v>
      </c>
      <c r="B247" s="87">
        <v>0</v>
      </c>
      <c r="C247" s="76"/>
      <c r="D247" s="78">
        <f>IF(C247=0,0,_xlfn.IFNA(IF( MATCH(C247,Rangliste!B:B,0)&gt;0,0,1),1))</f>
        <v>0</v>
      </c>
      <c r="E247" s="85" t="str">
        <f t="shared" si="0"/>
        <v/>
      </c>
      <c r="F247" s="85"/>
      <c r="G247" s="83"/>
      <c r="H247" s="86"/>
      <c r="I247" s="86"/>
      <c r="J247" s="86"/>
      <c r="K247" s="62"/>
      <c r="L247" s="86"/>
      <c r="M247" s="86"/>
      <c r="N247" s="86"/>
      <c r="O247" s="86"/>
      <c r="P247" s="86"/>
      <c r="Q247" s="86"/>
      <c r="R247" s="86"/>
      <c r="S247" s="86"/>
      <c r="T247" s="86"/>
      <c r="U247" s="86"/>
      <c r="V247" s="86"/>
      <c r="W247" s="86"/>
      <c r="X247" s="86"/>
      <c r="Y247" s="86"/>
      <c r="Z247" s="86"/>
      <c r="AA247" s="86"/>
    </row>
    <row r="248" spans="1:27" ht="14.25" customHeight="1" x14ac:dyDescent="0.35">
      <c r="A248" s="76">
        <v>0</v>
      </c>
      <c r="B248" s="87">
        <v>0</v>
      </c>
      <c r="C248" s="76"/>
      <c r="D248" s="78">
        <f>IF(C248=0,0,_xlfn.IFNA(IF( MATCH(C248,Rangliste!B:B,0)&gt;0,0,1),1))</f>
        <v>0</v>
      </c>
      <c r="E248" s="85" t="str">
        <f t="shared" si="0"/>
        <v/>
      </c>
      <c r="F248" s="85"/>
      <c r="G248" s="83"/>
      <c r="H248" s="86"/>
      <c r="I248" s="86"/>
      <c r="J248" s="86"/>
      <c r="K248" s="62"/>
      <c r="L248" s="86"/>
      <c r="M248" s="86"/>
      <c r="N248" s="86"/>
      <c r="O248" s="86"/>
      <c r="P248" s="86"/>
      <c r="Q248" s="86"/>
      <c r="R248" s="86"/>
      <c r="S248" s="86"/>
      <c r="T248" s="86"/>
      <c r="U248" s="86"/>
      <c r="V248" s="86"/>
      <c r="W248" s="86"/>
      <c r="X248" s="86"/>
      <c r="Y248" s="86"/>
      <c r="Z248" s="86"/>
      <c r="AA248" s="86"/>
    </row>
    <row r="249" spans="1:27" ht="14.25" customHeight="1" x14ac:dyDescent="0.35">
      <c r="A249" s="76">
        <v>0</v>
      </c>
      <c r="B249" s="87">
        <v>0</v>
      </c>
      <c r="C249" s="76"/>
      <c r="D249" s="78">
        <f>IF(C249=0,0,_xlfn.IFNA(IF( MATCH(C249,Rangliste!B:B,0)&gt;0,0,1),1))</f>
        <v>0</v>
      </c>
      <c r="E249" s="85" t="str">
        <f t="shared" si="0"/>
        <v/>
      </c>
      <c r="F249" s="85"/>
      <c r="G249" s="83"/>
      <c r="H249" s="86"/>
      <c r="I249" s="86"/>
      <c r="J249" s="86"/>
      <c r="K249" s="62"/>
      <c r="L249" s="86"/>
      <c r="M249" s="86"/>
      <c r="N249" s="86"/>
      <c r="O249" s="86"/>
      <c r="P249" s="86"/>
      <c r="Q249" s="86"/>
      <c r="R249" s="86"/>
      <c r="S249" s="86"/>
      <c r="T249" s="86"/>
      <c r="U249" s="86"/>
      <c r="V249" s="86"/>
      <c r="W249" s="86"/>
      <c r="X249" s="86"/>
      <c r="Y249" s="86"/>
      <c r="Z249" s="86"/>
      <c r="AA249" s="86"/>
    </row>
    <row r="250" spans="1:27" ht="14.25" customHeight="1" x14ac:dyDescent="0.35">
      <c r="A250" s="76">
        <v>0</v>
      </c>
      <c r="B250" s="87">
        <v>0</v>
      </c>
      <c r="C250" s="76"/>
      <c r="D250" s="78">
        <f>IF(C250=0,0,_xlfn.IFNA(IF( MATCH(C250,Rangliste!B:B,0)&gt;0,0,1),1))</f>
        <v>0</v>
      </c>
      <c r="E250" s="85" t="str">
        <f t="shared" si="0"/>
        <v/>
      </c>
      <c r="F250" s="85"/>
      <c r="G250" s="83"/>
      <c r="H250" s="86"/>
      <c r="I250" s="86"/>
      <c r="J250" s="86"/>
      <c r="K250" s="62"/>
      <c r="L250" s="86"/>
      <c r="M250" s="86"/>
      <c r="N250" s="86"/>
      <c r="O250" s="86"/>
      <c r="P250" s="86"/>
      <c r="Q250" s="86"/>
      <c r="R250" s="86"/>
      <c r="S250" s="86"/>
      <c r="T250" s="86"/>
      <c r="U250" s="86"/>
      <c r="V250" s="86"/>
      <c r="W250" s="86"/>
      <c r="X250" s="86"/>
      <c r="Y250" s="86"/>
      <c r="Z250" s="86"/>
      <c r="AA250" s="86"/>
    </row>
    <row r="251" spans="1:27" ht="14.25" customHeight="1" x14ac:dyDescent="0.35">
      <c r="A251" s="76">
        <v>0</v>
      </c>
      <c r="B251" s="87">
        <v>0</v>
      </c>
      <c r="C251" s="76"/>
      <c r="D251" s="78">
        <f>IF(C251=0,0,_xlfn.IFNA(IF( MATCH(C251,Rangliste!B:B,0)&gt;0,0,1),1))</f>
        <v>0</v>
      </c>
      <c r="E251" s="85" t="str">
        <f t="shared" si="0"/>
        <v/>
      </c>
      <c r="F251" s="85"/>
      <c r="G251" s="83"/>
      <c r="H251" s="86"/>
      <c r="I251" s="86"/>
      <c r="J251" s="86"/>
      <c r="K251" s="62"/>
      <c r="L251" s="86"/>
      <c r="M251" s="86"/>
      <c r="N251" s="86"/>
      <c r="O251" s="86"/>
      <c r="P251" s="86"/>
      <c r="Q251" s="86"/>
      <c r="R251" s="86"/>
      <c r="S251" s="86"/>
      <c r="T251" s="86"/>
      <c r="U251" s="86"/>
      <c r="V251" s="86"/>
      <c r="W251" s="86"/>
      <c r="X251" s="86"/>
      <c r="Y251" s="86"/>
      <c r="Z251" s="86"/>
      <c r="AA251" s="86"/>
    </row>
    <row r="252" spans="1:27" ht="14.25" customHeight="1" x14ac:dyDescent="0.35">
      <c r="A252" s="76">
        <v>0</v>
      </c>
      <c r="B252" s="87">
        <v>0</v>
      </c>
      <c r="C252" s="76"/>
      <c r="D252" s="78">
        <f>IF(C252=0,0,_xlfn.IFNA(IF( MATCH(C252,Rangliste!B:B,0)&gt;0,0,1),1))</f>
        <v>0</v>
      </c>
      <c r="E252" s="85" t="str">
        <f t="shared" si="0"/>
        <v/>
      </c>
      <c r="F252" s="85"/>
      <c r="G252" s="83"/>
      <c r="H252" s="86"/>
      <c r="I252" s="86"/>
      <c r="J252" s="86"/>
      <c r="K252" s="62"/>
      <c r="L252" s="86"/>
      <c r="M252" s="86"/>
      <c r="N252" s="86"/>
      <c r="O252" s="86"/>
      <c r="P252" s="86"/>
      <c r="Q252" s="86"/>
      <c r="R252" s="86"/>
      <c r="S252" s="86"/>
      <c r="T252" s="86"/>
      <c r="U252" s="86"/>
      <c r="V252" s="86"/>
      <c r="W252" s="86"/>
      <c r="X252" s="86"/>
      <c r="Y252" s="86"/>
      <c r="Z252" s="86"/>
      <c r="AA252" s="86"/>
    </row>
    <row r="253" spans="1:27" ht="14.25" customHeight="1" x14ac:dyDescent="0.35">
      <c r="A253" s="76">
        <v>0</v>
      </c>
      <c r="B253" s="87">
        <v>0</v>
      </c>
      <c r="C253" s="76"/>
      <c r="D253" s="78">
        <f>IF(C253=0,0,_xlfn.IFNA(IF( MATCH(C253,Rangliste!B:B,0)&gt;0,0,1),1))</f>
        <v>0</v>
      </c>
      <c r="E253" s="85" t="str">
        <f t="shared" si="0"/>
        <v/>
      </c>
      <c r="F253" s="85"/>
      <c r="G253" s="83"/>
      <c r="H253" s="86"/>
      <c r="I253" s="86"/>
      <c r="J253" s="86"/>
      <c r="K253" s="62"/>
      <c r="L253" s="86"/>
      <c r="M253" s="86"/>
      <c r="N253" s="86"/>
      <c r="O253" s="86"/>
      <c r="P253" s="86"/>
      <c r="Q253" s="86"/>
      <c r="R253" s="86"/>
      <c r="S253" s="86"/>
      <c r="T253" s="86"/>
      <c r="U253" s="86"/>
      <c r="V253" s="86"/>
      <c r="W253" s="86"/>
      <c r="X253" s="86"/>
      <c r="Y253" s="86"/>
      <c r="Z253" s="86"/>
      <c r="AA253" s="86"/>
    </row>
    <row r="254" spans="1:27" ht="14.25" customHeight="1" x14ac:dyDescent="0.35">
      <c r="A254" s="76">
        <v>0</v>
      </c>
      <c r="B254" s="87">
        <v>0</v>
      </c>
      <c r="C254" s="76"/>
      <c r="D254" s="78">
        <f>IF(C254=0,0,_xlfn.IFNA(IF( MATCH(C254,Rangliste!B:B,0)&gt;0,0,1),1))</f>
        <v>0</v>
      </c>
      <c r="E254" s="85" t="str">
        <f t="shared" si="0"/>
        <v/>
      </c>
      <c r="F254" s="85"/>
      <c r="G254" s="83"/>
      <c r="H254" s="86"/>
      <c r="I254" s="86"/>
      <c r="J254" s="86"/>
      <c r="K254" s="62"/>
      <c r="L254" s="86"/>
      <c r="M254" s="86"/>
      <c r="N254" s="86"/>
      <c r="O254" s="86"/>
      <c r="P254" s="86"/>
      <c r="Q254" s="86"/>
      <c r="R254" s="86"/>
      <c r="S254" s="86"/>
      <c r="T254" s="86"/>
      <c r="U254" s="86"/>
      <c r="V254" s="86"/>
      <c r="W254" s="86"/>
      <c r="X254" s="86"/>
      <c r="Y254" s="86"/>
      <c r="Z254" s="86"/>
      <c r="AA254" s="86"/>
    </row>
    <row r="255" spans="1:27" ht="14.25" customHeight="1" x14ac:dyDescent="0.35">
      <c r="A255" s="76">
        <v>0</v>
      </c>
      <c r="B255" s="87">
        <v>0</v>
      </c>
      <c r="C255" s="76"/>
      <c r="D255" s="78">
        <f>IF(C255=0,0,_xlfn.IFNA(IF( MATCH(C255,Rangliste!B:B,0)&gt;0,0,1),1))</f>
        <v>0</v>
      </c>
      <c r="E255" s="85" t="str">
        <f t="shared" si="0"/>
        <v/>
      </c>
      <c r="F255" s="85"/>
      <c r="G255" s="83"/>
      <c r="H255" s="86"/>
      <c r="I255" s="86"/>
      <c r="J255" s="86"/>
      <c r="K255" s="62"/>
      <c r="L255" s="86"/>
      <c r="M255" s="86"/>
      <c r="N255" s="86"/>
      <c r="O255" s="86"/>
      <c r="P255" s="86"/>
      <c r="Q255" s="86"/>
      <c r="R255" s="86"/>
      <c r="S255" s="86"/>
      <c r="T255" s="86"/>
      <c r="U255" s="86"/>
      <c r="V255" s="86"/>
      <c r="W255" s="86"/>
      <c r="X255" s="86"/>
      <c r="Y255" s="86"/>
      <c r="Z255" s="86"/>
      <c r="AA255" s="86"/>
    </row>
    <row r="256" spans="1:27" ht="14.25" customHeight="1" x14ac:dyDescent="0.35">
      <c r="A256" s="76">
        <v>0</v>
      </c>
      <c r="B256" s="87">
        <v>0</v>
      </c>
      <c r="C256" s="76"/>
      <c r="D256" s="78">
        <f>IF(C256=0,0,_xlfn.IFNA(IF( MATCH(C256,Rangliste!B:B,0)&gt;0,0,1),1))</f>
        <v>0</v>
      </c>
      <c r="E256" s="85" t="str">
        <f t="shared" si="0"/>
        <v/>
      </c>
      <c r="F256" s="85"/>
      <c r="G256" s="83"/>
      <c r="H256" s="86"/>
      <c r="I256" s="86"/>
      <c r="J256" s="86"/>
      <c r="K256" s="62"/>
      <c r="L256" s="86"/>
      <c r="M256" s="86"/>
      <c r="N256" s="86"/>
      <c r="O256" s="86"/>
      <c r="P256" s="86"/>
      <c r="Q256" s="86"/>
      <c r="R256" s="86"/>
      <c r="S256" s="86"/>
      <c r="T256" s="86"/>
      <c r="U256" s="86"/>
      <c r="V256" s="86"/>
      <c r="W256" s="86"/>
      <c r="X256" s="86"/>
      <c r="Y256" s="86"/>
      <c r="Z256" s="86"/>
      <c r="AA256" s="86"/>
    </row>
    <row r="257" spans="1:27" ht="14.25" customHeight="1" x14ac:dyDescent="0.35">
      <c r="A257" s="76">
        <v>0</v>
      </c>
      <c r="B257" s="87">
        <v>0</v>
      </c>
      <c r="C257" s="76"/>
      <c r="D257" s="78">
        <f>IF(C257=0,0,_xlfn.IFNA(IF( MATCH(C257,Rangliste!B:B,0)&gt;0,0,1),1))</f>
        <v>0</v>
      </c>
      <c r="E257" s="85" t="str">
        <f t="shared" si="0"/>
        <v/>
      </c>
      <c r="F257" s="85"/>
      <c r="G257" s="83"/>
      <c r="H257" s="86"/>
      <c r="I257" s="86"/>
      <c r="J257" s="86"/>
      <c r="K257" s="62"/>
      <c r="L257" s="86"/>
      <c r="M257" s="86"/>
      <c r="N257" s="86"/>
      <c r="O257" s="86"/>
      <c r="P257" s="86"/>
      <c r="Q257" s="86"/>
      <c r="R257" s="86"/>
      <c r="S257" s="86"/>
      <c r="T257" s="86"/>
      <c r="U257" s="86"/>
      <c r="V257" s="86"/>
      <c r="W257" s="86"/>
      <c r="X257" s="86"/>
      <c r="Y257" s="86"/>
      <c r="Z257" s="86"/>
      <c r="AA257" s="86"/>
    </row>
    <row r="258" spans="1:27" ht="14.25" customHeight="1" x14ac:dyDescent="0.35">
      <c r="A258" s="76">
        <v>0</v>
      </c>
      <c r="B258" s="87">
        <v>0</v>
      </c>
      <c r="C258" s="76"/>
      <c r="D258" s="78">
        <f>IF(C258=0,0,_xlfn.IFNA(IF( MATCH(C258,Rangliste!B:B,0)&gt;0,0,1),1))</f>
        <v>0</v>
      </c>
      <c r="E258" s="85" t="str">
        <f t="shared" si="0"/>
        <v/>
      </c>
      <c r="F258" s="85"/>
      <c r="G258" s="83"/>
      <c r="H258" s="86"/>
      <c r="I258" s="86"/>
      <c r="J258" s="86"/>
      <c r="K258" s="62"/>
      <c r="L258" s="86"/>
      <c r="M258" s="86"/>
      <c r="N258" s="86"/>
      <c r="O258" s="86"/>
      <c r="P258" s="86"/>
      <c r="Q258" s="86"/>
      <c r="R258" s="86"/>
      <c r="S258" s="86"/>
      <c r="T258" s="86"/>
      <c r="U258" s="86"/>
      <c r="V258" s="86"/>
      <c r="W258" s="86"/>
      <c r="X258" s="86"/>
      <c r="Y258" s="86"/>
      <c r="Z258" s="86"/>
      <c r="AA258" s="86"/>
    </row>
    <row r="259" spans="1:27" ht="14.25" customHeight="1" x14ac:dyDescent="0.35">
      <c r="A259" s="76">
        <v>0</v>
      </c>
      <c r="B259" s="87">
        <v>0</v>
      </c>
      <c r="C259" s="76"/>
      <c r="D259" s="78">
        <f>IF(C259=0,0,_xlfn.IFNA(IF( MATCH(C259,Rangliste!B:B,0)&gt;0,0,1),1))</f>
        <v>0</v>
      </c>
      <c r="E259" s="85" t="str">
        <f t="shared" ref="E259:E513" si="1">IF(D259=1,C259,"")</f>
        <v/>
      </c>
      <c r="F259" s="85"/>
      <c r="G259" s="83"/>
      <c r="H259" s="86"/>
      <c r="I259" s="86"/>
      <c r="J259" s="86"/>
      <c r="K259" s="62"/>
      <c r="L259" s="86"/>
      <c r="M259" s="86"/>
      <c r="N259" s="86"/>
      <c r="O259" s="86"/>
      <c r="P259" s="86"/>
      <c r="Q259" s="86"/>
      <c r="R259" s="86"/>
      <c r="S259" s="86"/>
      <c r="T259" s="86"/>
      <c r="U259" s="86"/>
      <c r="V259" s="86"/>
      <c r="W259" s="86"/>
      <c r="X259" s="86"/>
      <c r="Y259" s="86"/>
      <c r="Z259" s="86"/>
      <c r="AA259" s="86"/>
    </row>
    <row r="260" spans="1:27" ht="14.25" customHeight="1" x14ac:dyDescent="0.35">
      <c r="A260" s="76" t="str">
        <f t="array" ref="A260:A275">'NÖBV 1'!$B$3:$B$18</f>
        <v>Mia Gindulin</v>
      </c>
      <c r="B260" s="84" t="str">
        <f t="array" ref="B260:B291">'WBV 3'!$B$3:$B$34</f>
        <v>Sebastian Dollinger</v>
      </c>
      <c r="C260" s="76"/>
      <c r="D260" s="78">
        <f>IF(C260=0,0,_xlfn.IFNA(IF( MATCH(C260,Rangliste!B:B,0)&gt;0,0,1),1))</f>
        <v>0</v>
      </c>
      <c r="E260" s="85" t="str">
        <f t="shared" si="1"/>
        <v/>
      </c>
      <c r="F260" s="85"/>
      <c r="G260" s="83"/>
      <c r="H260" s="86"/>
      <c r="I260" s="86"/>
      <c r="J260" s="86"/>
      <c r="K260" s="62"/>
      <c r="L260" s="86"/>
      <c r="M260" s="86"/>
      <c r="N260" s="86"/>
      <c r="O260" s="86"/>
      <c r="P260" s="86"/>
      <c r="Q260" s="86"/>
      <c r="R260" s="86"/>
      <c r="S260" s="86"/>
      <c r="T260" s="86"/>
      <c r="U260" s="86"/>
      <c r="V260" s="86"/>
      <c r="W260" s="86"/>
      <c r="X260" s="86"/>
      <c r="Y260" s="86"/>
      <c r="Z260" s="86"/>
      <c r="AA260" s="86"/>
    </row>
    <row r="261" spans="1:27" ht="14.25" customHeight="1" x14ac:dyDescent="0.35">
      <c r="A261" s="76" t="str">
        <v>Lisa Gindulin</v>
      </c>
      <c r="B261" s="77" t="str">
        <v>Fabian Faller</v>
      </c>
      <c r="C261" s="76"/>
      <c r="D261" s="78">
        <f>IF(C261=0,0,_xlfn.IFNA(IF( MATCH(C261,Rangliste!B:B,0)&gt;0,0,1),1))</f>
        <v>0</v>
      </c>
      <c r="E261" s="85" t="str">
        <f t="shared" si="1"/>
        <v/>
      </c>
      <c r="F261" s="85"/>
      <c r="G261" s="83"/>
      <c r="H261" s="86"/>
      <c r="I261" s="86"/>
      <c r="J261" s="86"/>
      <c r="K261" s="62"/>
      <c r="L261" s="86"/>
      <c r="M261" s="86"/>
      <c r="N261" s="86"/>
      <c r="O261" s="86"/>
      <c r="P261" s="86"/>
      <c r="Q261" s="86"/>
      <c r="R261" s="86"/>
      <c r="S261" s="86"/>
      <c r="T261" s="86"/>
      <c r="U261" s="86"/>
      <c r="V261" s="86"/>
      <c r="W261" s="86"/>
      <c r="X261" s="86"/>
      <c r="Y261" s="86"/>
      <c r="Z261" s="86"/>
      <c r="AA261" s="86"/>
    </row>
    <row r="262" spans="1:27" ht="14.25" customHeight="1" x14ac:dyDescent="0.35">
      <c r="A262" s="76" t="str">
        <v>Tobias Quiroga</v>
      </c>
      <c r="B262" s="77" t="str">
        <v>Philipp Grebien</v>
      </c>
      <c r="C262" s="76"/>
      <c r="D262" s="78">
        <f>IF(C262=0,0,_xlfn.IFNA(IF( MATCH(C262,Rangliste!B:B,0)&gt;0,0,1),1))</f>
        <v>0</v>
      </c>
      <c r="E262" s="85" t="str">
        <f t="shared" si="1"/>
        <v/>
      </c>
      <c r="F262" s="85"/>
      <c r="G262" s="83"/>
      <c r="H262" s="86"/>
      <c r="I262" s="86"/>
      <c r="J262" s="86"/>
      <c r="K262" s="62"/>
      <c r="L262" s="86"/>
      <c r="M262" s="86"/>
      <c r="N262" s="86"/>
      <c r="O262" s="86"/>
      <c r="P262" s="86"/>
      <c r="Q262" s="86"/>
      <c r="R262" s="86"/>
      <c r="S262" s="86"/>
      <c r="T262" s="86"/>
      <c r="U262" s="86"/>
      <c r="V262" s="86"/>
      <c r="W262" s="86"/>
      <c r="X262" s="86"/>
      <c r="Y262" s="86"/>
      <c r="Z262" s="86"/>
      <c r="AA262" s="86"/>
    </row>
    <row r="263" spans="1:27" ht="14.25" customHeight="1" x14ac:dyDescent="0.35">
      <c r="A263" s="76" t="str">
        <v>Mario Mitterer</v>
      </c>
      <c r="B263" s="77" t="str">
        <v>Mina Ruenroeng</v>
      </c>
      <c r="C263" s="76"/>
      <c r="D263" s="78">
        <f>IF(C263=0,0,_xlfn.IFNA(IF( MATCH(C263,Rangliste!B:B,0)&gt;0,0,1),1))</f>
        <v>0</v>
      </c>
      <c r="E263" s="85" t="str">
        <f t="shared" si="1"/>
        <v/>
      </c>
      <c r="F263" s="85"/>
      <c r="G263" s="83"/>
      <c r="H263" s="86"/>
      <c r="I263" s="86"/>
      <c r="J263" s="86"/>
      <c r="K263" s="62"/>
      <c r="L263" s="86"/>
      <c r="M263" s="86"/>
      <c r="N263" s="86"/>
      <c r="O263" s="86"/>
      <c r="P263" s="86"/>
      <c r="Q263" s="86"/>
      <c r="R263" s="86"/>
      <c r="S263" s="86"/>
      <c r="T263" s="86"/>
      <c r="U263" s="86"/>
      <c r="V263" s="86"/>
      <c r="W263" s="86"/>
      <c r="X263" s="86"/>
      <c r="Y263" s="86"/>
      <c r="Z263" s="86"/>
      <c r="AA263" s="86"/>
    </row>
    <row r="264" spans="1:27" ht="14.25" customHeight="1" x14ac:dyDescent="0.35">
      <c r="A264" s="76" t="str">
        <v>Wenzel Tiapal</v>
      </c>
      <c r="B264" s="77" t="str">
        <v>Levin Anderwald</v>
      </c>
      <c r="C264" s="76"/>
      <c r="D264" s="78">
        <f>IF(C264=0,0,_xlfn.IFNA(IF( MATCH(C264,Rangliste!B:B,0)&gt;0,0,1),1))</f>
        <v>0</v>
      </c>
      <c r="E264" s="85" t="str">
        <f t="shared" si="1"/>
        <v/>
      </c>
      <c r="F264" s="85"/>
      <c r="G264" s="83"/>
      <c r="H264" s="86"/>
      <c r="I264" s="86"/>
      <c r="J264" s="86"/>
      <c r="K264" s="62"/>
      <c r="L264" s="86"/>
      <c r="M264" s="86"/>
      <c r="N264" s="86"/>
      <c r="O264" s="86"/>
      <c r="P264" s="86"/>
      <c r="Q264" s="86"/>
      <c r="R264" s="86"/>
      <c r="S264" s="86"/>
      <c r="T264" s="86"/>
      <c r="U264" s="86"/>
      <c r="V264" s="86"/>
      <c r="W264" s="86"/>
      <c r="X264" s="86"/>
      <c r="Y264" s="86"/>
      <c r="Z264" s="86"/>
      <c r="AA264" s="86"/>
    </row>
    <row r="265" spans="1:27" ht="14.25" customHeight="1" x14ac:dyDescent="0.35">
      <c r="A265" s="76">
        <v>0</v>
      </c>
      <c r="B265" s="77">
        <v>0</v>
      </c>
      <c r="C265" s="76"/>
      <c r="D265" s="78">
        <f>IF(C265=0,0,_xlfn.IFNA(IF( MATCH(C265,Rangliste!B:B,0)&gt;0,0,1),1))</f>
        <v>0</v>
      </c>
      <c r="E265" s="85" t="str">
        <f t="shared" si="1"/>
        <v/>
      </c>
      <c r="F265" s="85"/>
      <c r="G265" s="83"/>
      <c r="H265" s="86"/>
      <c r="I265" s="86"/>
      <c r="J265" s="86"/>
      <c r="K265" s="62"/>
      <c r="L265" s="86"/>
      <c r="M265" s="86"/>
      <c r="N265" s="86"/>
      <c r="O265" s="86"/>
      <c r="P265" s="86"/>
      <c r="Q265" s="86"/>
      <c r="R265" s="86"/>
      <c r="S265" s="86"/>
      <c r="T265" s="86"/>
      <c r="U265" s="86"/>
      <c r="V265" s="86"/>
      <c r="W265" s="86"/>
      <c r="X265" s="86"/>
      <c r="Y265" s="86"/>
      <c r="Z265" s="86"/>
      <c r="AA265" s="86"/>
    </row>
    <row r="266" spans="1:27" ht="14.25" customHeight="1" x14ac:dyDescent="0.35">
      <c r="A266" s="76">
        <v>0</v>
      </c>
      <c r="B266" s="77">
        <v>0</v>
      </c>
      <c r="C266" s="76"/>
      <c r="D266" s="78">
        <f>IF(C266=0,0,_xlfn.IFNA(IF( MATCH(C266,Rangliste!B:B,0)&gt;0,0,1),1))</f>
        <v>0</v>
      </c>
      <c r="E266" s="85" t="str">
        <f t="shared" si="1"/>
        <v/>
      </c>
      <c r="F266" s="85"/>
      <c r="G266" s="83"/>
      <c r="H266" s="86"/>
      <c r="I266" s="86"/>
      <c r="J266" s="86"/>
      <c r="K266" s="62"/>
      <c r="L266" s="86"/>
      <c r="M266" s="86"/>
      <c r="N266" s="86"/>
      <c r="O266" s="86"/>
      <c r="P266" s="86"/>
      <c r="Q266" s="86"/>
      <c r="R266" s="86"/>
      <c r="S266" s="86"/>
      <c r="T266" s="86"/>
      <c r="U266" s="86"/>
      <c r="V266" s="86"/>
      <c r="W266" s="86"/>
      <c r="X266" s="86"/>
      <c r="Y266" s="86"/>
      <c r="Z266" s="86"/>
      <c r="AA266" s="86"/>
    </row>
    <row r="267" spans="1:27" ht="14.25" customHeight="1" x14ac:dyDescent="0.35">
      <c r="A267" s="76">
        <v>0</v>
      </c>
      <c r="B267" s="77">
        <v>0</v>
      </c>
      <c r="C267" s="76"/>
      <c r="D267" s="78">
        <f>IF(C267=0,0,_xlfn.IFNA(IF( MATCH(C267,Rangliste!B:B,0)&gt;0,0,1),1))</f>
        <v>0</v>
      </c>
      <c r="E267" s="85" t="str">
        <f t="shared" si="1"/>
        <v/>
      </c>
      <c r="F267" s="85"/>
      <c r="G267" s="83"/>
      <c r="H267" s="86"/>
      <c r="I267" s="86"/>
      <c r="J267" s="86"/>
      <c r="K267" s="62"/>
      <c r="L267" s="86"/>
      <c r="M267" s="86"/>
      <c r="N267" s="86"/>
      <c r="O267" s="86"/>
      <c r="P267" s="86"/>
      <c r="Q267" s="86"/>
      <c r="R267" s="86"/>
      <c r="S267" s="86"/>
      <c r="T267" s="86"/>
      <c r="U267" s="86"/>
      <c r="V267" s="86"/>
      <c r="W267" s="86"/>
      <c r="X267" s="86"/>
      <c r="Y267" s="86"/>
      <c r="Z267" s="86"/>
      <c r="AA267" s="86"/>
    </row>
    <row r="268" spans="1:27" ht="14.25" customHeight="1" x14ac:dyDescent="0.35">
      <c r="A268" s="76">
        <v>0</v>
      </c>
      <c r="B268" s="77">
        <v>0</v>
      </c>
      <c r="C268" s="76"/>
      <c r="D268" s="78">
        <f>IF(C268=0,0,_xlfn.IFNA(IF( MATCH(C268,Rangliste!B:B,0)&gt;0,0,1),1))</f>
        <v>0</v>
      </c>
      <c r="E268" s="85" t="str">
        <f t="shared" si="1"/>
        <v/>
      </c>
      <c r="F268" s="85"/>
      <c r="G268" s="83"/>
      <c r="H268" s="86"/>
      <c r="I268" s="86"/>
      <c r="J268" s="86"/>
      <c r="K268" s="62"/>
      <c r="L268" s="86"/>
      <c r="M268" s="86"/>
      <c r="N268" s="86"/>
      <c r="O268" s="86"/>
      <c r="P268" s="86"/>
      <c r="Q268" s="86"/>
      <c r="R268" s="86"/>
      <c r="S268" s="86"/>
      <c r="T268" s="86"/>
      <c r="U268" s="86"/>
      <c r="V268" s="86"/>
      <c r="W268" s="86"/>
      <c r="X268" s="86"/>
      <c r="Y268" s="86"/>
      <c r="Z268" s="86"/>
      <c r="AA268" s="86"/>
    </row>
    <row r="269" spans="1:27" ht="14.25" customHeight="1" x14ac:dyDescent="0.35">
      <c r="A269" s="76">
        <v>0</v>
      </c>
      <c r="B269" s="77">
        <v>0</v>
      </c>
      <c r="C269" s="76"/>
      <c r="D269" s="78">
        <f>IF(C269=0,0,_xlfn.IFNA(IF( MATCH(C269,Rangliste!B:B,0)&gt;0,0,1),1))</f>
        <v>0</v>
      </c>
      <c r="E269" s="85" t="str">
        <f t="shared" si="1"/>
        <v/>
      </c>
      <c r="F269" s="85"/>
      <c r="G269" s="83"/>
      <c r="H269" s="86"/>
      <c r="I269" s="86"/>
      <c r="J269" s="86"/>
      <c r="K269" s="62"/>
      <c r="L269" s="86"/>
      <c r="M269" s="86"/>
      <c r="N269" s="86"/>
      <c r="O269" s="86"/>
      <c r="P269" s="86"/>
      <c r="Q269" s="86"/>
      <c r="R269" s="86"/>
      <c r="S269" s="86"/>
      <c r="T269" s="86"/>
      <c r="U269" s="86"/>
      <c r="V269" s="86"/>
      <c r="W269" s="86"/>
      <c r="X269" s="86"/>
      <c r="Y269" s="86"/>
      <c r="Z269" s="86"/>
      <c r="AA269" s="86"/>
    </row>
    <row r="270" spans="1:27" ht="14.25" customHeight="1" x14ac:dyDescent="0.35">
      <c r="A270" s="76">
        <v>0</v>
      </c>
      <c r="B270" s="77">
        <v>0</v>
      </c>
      <c r="C270" s="76"/>
      <c r="D270" s="78">
        <f>IF(C270=0,0,_xlfn.IFNA(IF( MATCH(C270,Rangliste!B:B,0)&gt;0,0,1),1))</f>
        <v>0</v>
      </c>
      <c r="E270" s="85" t="str">
        <f t="shared" si="1"/>
        <v/>
      </c>
      <c r="F270" s="85"/>
      <c r="G270" s="83"/>
      <c r="H270" s="86"/>
      <c r="I270" s="86"/>
      <c r="J270" s="86"/>
      <c r="K270" s="62"/>
      <c r="L270" s="86"/>
      <c r="M270" s="86"/>
      <c r="N270" s="86"/>
      <c r="O270" s="86"/>
      <c r="P270" s="86"/>
      <c r="Q270" s="86"/>
      <c r="R270" s="86"/>
      <c r="S270" s="86"/>
      <c r="T270" s="86"/>
      <c r="U270" s="86"/>
      <c r="V270" s="86"/>
      <c r="W270" s="86"/>
      <c r="X270" s="86"/>
      <c r="Y270" s="86"/>
      <c r="Z270" s="86"/>
      <c r="AA270" s="86"/>
    </row>
    <row r="271" spans="1:27" ht="14.25" customHeight="1" x14ac:dyDescent="0.35">
      <c r="A271" s="76">
        <v>0</v>
      </c>
      <c r="B271" s="77">
        <v>0</v>
      </c>
      <c r="C271" s="76"/>
      <c r="D271" s="78">
        <f>IF(C271=0,0,_xlfn.IFNA(IF( MATCH(C271,Rangliste!B:B,0)&gt;0,0,1),1))</f>
        <v>0</v>
      </c>
      <c r="E271" s="85" t="str">
        <f t="shared" si="1"/>
        <v/>
      </c>
      <c r="F271" s="85"/>
      <c r="G271" s="83"/>
      <c r="H271" s="86"/>
      <c r="I271" s="86"/>
      <c r="J271" s="86"/>
      <c r="K271" s="62"/>
      <c r="L271" s="86"/>
      <c r="M271" s="86"/>
      <c r="N271" s="86"/>
      <c r="O271" s="86"/>
      <c r="P271" s="86"/>
      <c r="Q271" s="86"/>
      <c r="R271" s="86"/>
      <c r="S271" s="86"/>
      <c r="T271" s="86"/>
      <c r="U271" s="86"/>
      <c r="V271" s="86"/>
      <c r="W271" s="86"/>
      <c r="X271" s="86"/>
      <c r="Y271" s="86"/>
      <c r="Z271" s="86"/>
      <c r="AA271" s="86"/>
    </row>
    <row r="272" spans="1:27" ht="14.25" customHeight="1" x14ac:dyDescent="0.35">
      <c r="A272" s="76">
        <v>0</v>
      </c>
      <c r="B272" s="77">
        <v>0</v>
      </c>
      <c r="C272" s="76"/>
      <c r="D272" s="78">
        <f>IF(C272=0,0,_xlfn.IFNA(IF( MATCH(C272,Rangliste!B:B,0)&gt;0,0,1),1))</f>
        <v>0</v>
      </c>
      <c r="E272" s="85" t="str">
        <f t="shared" si="1"/>
        <v/>
      </c>
      <c r="F272" s="85"/>
      <c r="G272" s="83"/>
      <c r="H272" s="86"/>
      <c r="I272" s="86"/>
      <c r="J272" s="86"/>
      <c r="K272" s="62"/>
      <c r="L272" s="86"/>
      <c r="M272" s="86"/>
      <c r="N272" s="86"/>
      <c r="O272" s="86"/>
      <c r="P272" s="86"/>
      <c r="Q272" s="86"/>
      <c r="R272" s="86"/>
      <c r="S272" s="86"/>
      <c r="T272" s="86"/>
      <c r="U272" s="86"/>
      <c r="V272" s="86"/>
      <c r="W272" s="86"/>
      <c r="X272" s="86"/>
      <c r="Y272" s="86"/>
      <c r="Z272" s="86"/>
      <c r="AA272" s="86"/>
    </row>
    <row r="273" spans="1:27" ht="14.25" customHeight="1" x14ac:dyDescent="0.35">
      <c r="A273" s="76">
        <v>0</v>
      </c>
      <c r="B273" s="77">
        <v>0</v>
      </c>
      <c r="C273" s="76"/>
      <c r="D273" s="78">
        <f>IF(C273=0,0,_xlfn.IFNA(IF( MATCH(C273,Rangliste!B:B,0)&gt;0,0,1),1))</f>
        <v>0</v>
      </c>
      <c r="E273" s="85" t="str">
        <f t="shared" si="1"/>
        <v/>
      </c>
      <c r="F273" s="85"/>
      <c r="G273" s="83"/>
      <c r="H273" s="86"/>
      <c r="I273" s="86"/>
      <c r="J273" s="86"/>
      <c r="K273" s="62"/>
      <c r="L273" s="86"/>
      <c r="M273" s="86"/>
      <c r="N273" s="86"/>
      <c r="O273" s="86"/>
      <c r="P273" s="86"/>
      <c r="Q273" s="86"/>
      <c r="R273" s="86"/>
      <c r="S273" s="86"/>
      <c r="T273" s="86"/>
      <c r="U273" s="86"/>
      <c r="V273" s="86"/>
      <c r="W273" s="86"/>
      <c r="X273" s="86"/>
      <c r="Y273" s="86"/>
      <c r="Z273" s="86"/>
      <c r="AA273" s="86"/>
    </row>
    <row r="274" spans="1:27" ht="14.25" customHeight="1" x14ac:dyDescent="0.35">
      <c r="A274" s="76">
        <v>0</v>
      </c>
      <c r="B274" s="77">
        <v>0</v>
      </c>
      <c r="C274" s="76"/>
      <c r="D274" s="78">
        <f>IF(C274=0,0,_xlfn.IFNA(IF( MATCH(C274,Rangliste!B:B,0)&gt;0,0,1),1))</f>
        <v>0</v>
      </c>
      <c r="E274" s="85" t="str">
        <f t="shared" si="1"/>
        <v/>
      </c>
      <c r="F274" s="85"/>
      <c r="G274" s="83"/>
      <c r="H274" s="86"/>
      <c r="I274" s="86"/>
      <c r="J274" s="86"/>
      <c r="K274" s="62"/>
      <c r="L274" s="86"/>
      <c r="M274" s="86"/>
      <c r="N274" s="86"/>
      <c r="O274" s="86"/>
      <c r="P274" s="86"/>
      <c r="Q274" s="86"/>
      <c r="R274" s="86"/>
      <c r="S274" s="86"/>
      <c r="T274" s="86"/>
      <c r="U274" s="86"/>
      <c r="V274" s="86"/>
      <c r="W274" s="86"/>
      <c r="X274" s="86"/>
      <c r="Y274" s="86"/>
      <c r="Z274" s="86"/>
      <c r="AA274" s="86"/>
    </row>
    <row r="275" spans="1:27" ht="14.25" customHeight="1" x14ac:dyDescent="0.35">
      <c r="A275" s="76">
        <v>0</v>
      </c>
      <c r="B275" s="77">
        <v>0</v>
      </c>
      <c r="C275" s="76"/>
      <c r="D275" s="78">
        <f>IF(C275=0,0,_xlfn.IFNA(IF( MATCH(C275,Rangliste!B:B,0)&gt;0,0,1),1))</f>
        <v>0</v>
      </c>
      <c r="E275" s="85" t="str">
        <f t="shared" si="1"/>
        <v/>
      </c>
      <c r="F275" s="85"/>
      <c r="G275" s="83"/>
      <c r="H275" s="86"/>
      <c r="I275" s="86"/>
      <c r="J275" s="86"/>
      <c r="K275" s="62"/>
      <c r="L275" s="86"/>
      <c r="M275" s="86"/>
      <c r="N275" s="86"/>
      <c r="O275" s="86"/>
      <c r="P275" s="86"/>
      <c r="Q275" s="86"/>
      <c r="R275" s="86"/>
      <c r="S275" s="86"/>
      <c r="T275" s="86"/>
      <c r="U275" s="86"/>
      <c r="V275" s="86"/>
      <c r="W275" s="86"/>
      <c r="X275" s="86"/>
      <c r="Y275" s="86"/>
      <c r="Z275" s="86"/>
      <c r="AA275" s="86"/>
    </row>
    <row r="276" spans="1:27" ht="14.25" customHeight="1" x14ac:dyDescent="0.35">
      <c r="A276" s="76" t="str">
        <f t="array" ref="A276:A291">'NÖBV 1'!$F$3:$F$18</f>
        <v>Elias Reisinger</v>
      </c>
      <c r="B276" s="77">
        <v>0</v>
      </c>
      <c r="C276" s="76"/>
      <c r="D276" s="78">
        <f>IF(C276=0,0,_xlfn.IFNA(IF( MATCH(C276,Rangliste!B:B,0)&gt;0,0,1),1))</f>
        <v>0</v>
      </c>
      <c r="E276" s="85" t="str">
        <f t="shared" si="1"/>
        <v/>
      </c>
      <c r="F276" s="85"/>
      <c r="G276" s="83"/>
      <c r="H276" s="86"/>
      <c r="I276" s="86"/>
      <c r="J276" s="86"/>
      <c r="K276" s="62"/>
      <c r="L276" s="86"/>
      <c r="M276" s="86"/>
      <c r="N276" s="86"/>
      <c r="O276" s="86"/>
      <c r="P276" s="86"/>
      <c r="Q276" s="86"/>
      <c r="R276" s="86"/>
      <c r="S276" s="86"/>
      <c r="T276" s="86"/>
      <c r="U276" s="86"/>
      <c r="V276" s="86"/>
      <c r="W276" s="86"/>
      <c r="X276" s="86"/>
      <c r="Y276" s="86"/>
      <c r="Z276" s="86"/>
      <c r="AA276" s="86"/>
    </row>
    <row r="277" spans="1:27" ht="14.25" customHeight="1" x14ac:dyDescent="0.35">
      <c r="A277" s="76" t="str">
        <v>Anja Reisinger</v>
      </c>
      <c r="B277" s="77">
        <v>0</v>
      </c>
      <c r="C277" s="76"/>
      <c r="D277" s="78">
        <f>IF(C277=0,0,_xlfn.IFNA(IF( MATCH(C277,Rangliste!B:B,0)&gt;0,0,1),1))</f>
        <v>0</v>
      </c>
      <c r="E277" s="85" t="str">
        <f t="shared" si="1"/>
        <v/>
      </c>
      <c r="F277" s="85"/>
      <c r="G277" s="83"/>
      <c r="H277" s="86"/>
      <c r="I277" s="86"/>
      <c r="J277" s="86"/>
      <c r="K277" s="62"/>
      <c r="L277" s="86"/>
      <c r="M277" s="86"/>
      <c r="N277" s="86"/>
      <c r="O277" s="86"/>
      <c r="P277" s="86"/>
      <c r="Q277" s="86"/>
      <c r="R277" s="86"/>
      <c r="S277" s="86"/>
      <c r="T277" s="86"/>
      <c r="U277" s="86"/>
      <c r="V277" s="86"/>
      <c r="W277" s="86"/>
      <c r="X277" s="86"/>
      <c r="Y277" s="86"/>
      <c r="Z277" s="86"/>
      <c r="AA277" s="86"/>
    </row>
    <row r="278" spans="1:27" ht="14.25" customHeight="1" x14ac:dyDescent="0.35">
      <c r="A278" s="76" t="str">
        <v>Johanna Floßmann</v>
      </c>
      <c r="B278" s="77">
        <v>0</v>
      </c>
      <c r="C278" s="76"/>
      <c r="D278" s="78">
        <f>IF(C278=0,0,_xlfn.IFNA(IF( MATCH(C278,Rangliste!B:B,0)&gt;0,0,1),1))</f>
        <v>0</v>
      </c>
      <c r="E278" s="85" t="str">
        <f t="shared" si="1"/>
        <v/>
      </c>
      <c r="F278" s="85"/>
      <c r="G278" s="83"/>
      <c r="H278" s="86"/>
      <c r="I278" s="86"/>
      <c r="J278" s="86"/>
      <c r="K278" s="62"/>
      <c r="L278" s="86"/>
      <c r="M278" s="86"/>
      <c r="N278" s="86"/>
      <c r="O278" s="86"/>
      <c r="P278" s="86"/>
      <c r="Q278" s="86"/>
      <c r="R278" s="86"/>
      <c r="S278" s="86"/>
      <c r="T278" s="86"/>
      <c r="U278" s="86"/>
      <c r="V278" s="86"/>
      <c r="W278" s="86"/>
      <c r="X278" s="86"/>
      <c r="Y278" s="86"/>
      <c r="Z278" s="86"/>
      <c r="AA278" s="86"/>
    </row>
    <row r="279" spans="1:27" ht="14.25" customHeight="1" x14ac:dyDescent="0.35">
      <c r="A279" s="76" t="str">
        <v>Joachim Zeilerbauer</v>
      </c>
      <c r="B279" s="77">
        <v>0</v>
      </c>
      <c r="C279" s="76"/>
      <c r="D279" s="78">
        <f>IF(C279=0,0,_xlfn.IFNA(IF( MATCH(C279,Rangliste!B:B,0)&gt;0,0,1),1))</f>
        <v>0</v>
      </c>
      <c r="E279" s="85" t="str">
        <f t="shared" si="1"/>
        <v/>
      </c>
      <c r="F279" s="85"/>
      <c r="G279" s="83"/>
      <c r="H279" s="86"/>
      <c r="I279" s="86"/>
      <c r="J279" s="86"/>
      <c r="K279" s="62"/>
      <c r="L279" s="86"/>
      <c r="M279" s="86"/>
      <c r="N279" s="86"/>
      <c r="O279" s="86"/>
      <c r="P279" s="86"/>
      <c r="Q279" s="86"/>
      <c r="R279" s="86"/>
      <c r="S279" s="86"/>
      <c r="T279" s="86"/>
      <c r="U279" s="86"/>
      <c r="V279" s="86"/>
      <c r="W279" s="86"/>
      <c r="X279" s="86"/>
      <c r="Y279" s="86"/>
      <c r="Z279" s="86"/>
      <c r="AA279" s="86"/>
    </row>
    <row r="280" spans="1:27" ht="14.25" customHeight="1" x14ac:dyDescent="0.35">
      <c r="A280" s="76" t="str">
        <v>Aleksandar Zaharieski</v>
      </c>
      <c r="B280" s="77">
        <v>0</v>
      </c>
      <c r="C280" s="76"/>
      <c r="D280" s="78">
        <f>IF(C280=0,0,_xlfn.IFNA(IF( MATCH(C280,Rangliste!B:B,0)&gt;0,0,1),1))</f>
        <v>0</v>
      </c>
      <c r="E280" s="85" t="str">
        <f t="shared" si="1"/>
        <v/>
      </c>
      <c r="F280" s="85"/>
      <c r="G280" s="83"/>
      <c r="H280" s="86"/>
      <c r="I280" s="86"/>
      <c r="J280" s="86"/>
      <c r="K280" s="62"/>
      <c r="L280" s="86"/>
      <c r="M280" s="86"/>
      <c r="N280" s="86"/>
      <c r="O280" s="86"/>
      <c r="P280" s="86"/>
      <c r="Q280" s="86"/>
      <c r="R280" s="86"/>
      <c r="S280" s="86"/>
      <c r="T280" s="86"/>
      <c r="U280" s="86"/>
      <c r="V280" s="86"/>
      <c r="W280" s="86"/>
      <c r="X280" s="86"/>
      <c r="Y280" s="86"/>
      <c r="Z280" s="86"/>
      <c r="AA280" s="86"/>
    </row>
    <row r="281" spans="1:27" ht="14.25" customHeight="1" x14ac:dyDescent="0.35">
      <c r="A281" s="76" t="str">
        <v>Felix Sztatecsny</v>
      </c>
      <c r="B281" s="77">
        <v>0</v>
      </c>
      <c r="C281" s="76"/>
      <c r="D281" s="78">
        <f>IF(C281=0,0,_xlfn.IFNA(IF( MATCH(C281,Rangliste!B:B,0)&gt;0,0,1),1))</f>
        <v>0</v>
      </c>
      <c r="E281" s="85" t="str">
        <f t="shared" si="1"/>
        <v/>
      </c>
      <c r="F281" s="85"/>
      <c r="G281" s="83"/>
      <c r="H281" s="86"/>
      <c r="I281" s="86"/>
      <c r="J281" s="86"/>
      <c r="K281" s="62"/>
      <c r="L281" s="86"/>
      <c r="M281" s="86"/>
      <c r="N281" s="86"/>
      <c r="O281" s="86"/>
      <c r="P281" s="86"/>
      <c r="Q281" s="86"/>
      <c r="R281" s="86"/>
      <c r="S281" s="86"/>
      <c r="T281" s="86"/>
      <c r="U281" s="86"/>
      <c r="V281" s="86"/>
      <c r="W281" s="86"/>
      <c r="X281" s="86"/>
      <c r="Y281" s="86"/>
      <c r="Z281" s="86"/>
      <c r="AA281" s="86"/>
    </row>
    <row r="282" spans="1:27" ht="14.25" customHeight="1" x14ac:dyDescent="0.35">
      <c r="A282" s="76" t="str">
        <v>Tim Jeitler</v>
      </c>
      <c r="B282" s="77">
        <v>0</v>
      </c>
      <c r="C282" s="76"/>
      <c r="D282" s="78">
        <f>IF(C282=0,0,_xlfn.IFNA(IF( MATCH(C282,Rangliste!B:B,0)&gt;0,0,1),1))</f>
        <v>0</v>
      </c>
      <c r="E282" s="85" t="str">
        <f t="shared" si="1"/>
        <v/>
      </c>
      <c r="F282" s="85"/>
      <c r="G282" s="83"/>
      <c r="H282" s="86"/>
      <c r="I282" s="86"/>
      <c r="J282" s="86"/>
      <c r="K282" s="62"/>
      <c r="L282" s="86"/>
      <c r="M282" s="86"/>
      <c r="N282" s="86"/>
      <c r="O282" s="86"/>
      <c r="P282" s="86"/>
      <c r="Q282" s="86"/>
      <c r="R282" s="86"/>
      <c r="S282" s="86"/>
      <c r="T282" s="86"/>
      <c r="U282" s="86"/>
      <c r="V282" s="86"/>
      <c r="W282" s="86"/>
      <c r="X282" s="86"/>
      <c r="Y282" s="86"/>
      <c r="Z282" s="86"/>
      <c r="AA282" s="86"/>
    </row>
    <row r="283" spans="1:27" ht="14.25" customHeight="1" x14ac:dyDescent="0.35">
      <c r="A283" s="76">
        <v>0</v>
      </c>
      <c r="B283" s="77">
        <v>0</v>
      </c>
      <c r="C283" s="76"/>
      <c r="D283" s="78">
        <f>IF(C283=0,0,_xlfn.IFNA(IF( MATCH(C283,Rangliste!B:B,0)&gt;0,0,1),1))</f>
        <v>0</v>
      </c>
      <c r="E283" s="85" t="str">
        <f t="shared" si="1"/>
        <v/>
      </c>
      <c r="F283" s="85"/>
      <c r="G283" s="83"/>
      <c r="H283" s="86"/>
      <c r="I283" s="86"/>
      <c r="J283" s="86"/>
      <c r="K283" s="62"/>
      <c r="L283" s="86"/>
      <c r="M283" s="86"/>
      <c r="N283" s="86"/>
      <c r="O283" s="86"/>
      <c r="P283" s="86"/>
      <c r="Q283" s="86"/>
      <c r="R283" s="86"/>
      <c r="S283" s="86"/>
      <c r="T283" s="86"/>
      <c r="U283" s="86"/>
      <c r="V283" s="86"/>
      <c r="W283" s="86"/>
      <c r="X283" s="86"/>
      <c r="Y283" s="86"/>
      <c r="Z283" s="86"/>
      <c r="AA283" s="86"/>
    </row>
    <row r="284" spans="1:27" ht="14.25" customHeight="1" x14ac:dyDescent="0.35">
      <c r="A284" s="76">
        <v>0</v>
      </c>
      <c r="B284" s="77">
        <v>0</v>
      </c>
      <c r="C284" s="76"/>
      <c r="D284" s="78">
        <f>IF(C284=0,0,_xlfn.IFNA(IF( MATCH(C284,Rangliste!B:B,0)&gt;0,0,1),1))</f>
        <v>0</v>
      </c>
      <c r="E284" s="85" t="str">
        <f t="shared" si="1"/>
        <v/>
      </c>
      <c r="F284" s="85"/>
      <c r="G284" s="83"/>
      <c r="H284" s="86"/>
      <c r="I284" s="86"/>
      <c r="J284" s="86"/>
      <c r="K284" s="62"/>
      <c r="L284" s="86"/>
      <c r="M284" s="86"/>
      <c r="N284" s="86"/>
      <c r="O284" s="86"/>
      <c r="P284" s="86"/>
      <c r="Q284" s="86"/>
      <c r="R284" s="86"/>
      <c r="S284" s="86"/>
      <c r="T284" s="86"/>
      <c r="U284" s="86"/>
      <c r="V284" s="86"/>
      <c r="W284" s="86"/>
      <c r="X284" s="86"/>
      <c r="Y284" s="86"/>
      <c r="Z284" s="86"/>
      <c r="AA284" s="86"/>
    </row>
    <row r="285" spans="1:27" ht="14.25" customHeight="1" x14ac:dyDescent="0.35">
      <c r="A285" s="76">
        <v>0</v>
      </c>
      <c r="B285" s="77">
        <v>0</v>
      </c>
      <c r="C285" s="76"/>
      <c r="D285" s="78">
        <f>IF(C285=0,0,_xlfn.IFNA(IF( MATCH(C285,Rangliste!B:B,0)&gt;0,0,1),1))</f>
        <v>0</v>
      </c>
      <c r="E285" s="85" t="str">
        <f t="shared" si="1"/>
        <v/>
      </c>
      <c r="F285" s="85"/>
      <c r="G285" s="83"/>
      <c r="H285" s="86"/>
      <c r="I285" s="86"/>
      <c r="J285" s="86"/>
      <c r="K285" s="62"/>
      <c r="L285" s="86"/>
      <c r="M285" s="86"/>
      <c r="N285" s="86"/>
      <c r="O285" s="86"/>
      <c r="P285" s="86"/>
      <c r="Q285" s="86"/>
      <c r="R285" s="86"/>
      <c r="S285" s="86"/>
      <c r="T285" s="86"/>
      <c r="U285" s="86"/>
      <c r="V285" s="86"/>
      <c r="W285" s="86"/>
      <c r="X285" s="86"/>
      <c r="Y285" s="86"/>
      <c r="Z285" s="86"/>
      <c r="AA285" s="86"/>
    </row>
    <row r="286" spans="1:27" ht="14.25" customHeight="1" x14ac:dyDescent="0.35">
      <c r="A286" s="76">
        <v>0</v>
      </c>
      <c r="B286" s="77">
        <v>0</v>
      </c>
      <c r="C286" s="76"/>
      <c r="D286" s="78">
        <f>IF(C286=0,0,_xlfn.IFNA(IF( MATCH(C286,Rangliste!B:B,0)&gt;0,0,1),1))</f>
        <v>0</v>
      </c>
      <c r="E286" s="85" t="str">
        <f t="shared" si="1"/>
        <v/>
      </c>
      <c r="F286" s="85"/>
      <c r="G286" s="83"/>
      <c r="H286" s="86"/>
      <c r="I286" s="86"/>
      <c r="J286" s="86"/>
      <c r="K286" s="62"/>
      <c r="L286" s="86"/>
      <c r="M286" s="86"/>
      <c r="N286" s="86"/>
      <c r="O286" s="86"/>
      <c r="P286" s="86"/>
      <c r="Q286" s="86"/>
      <c r="R286" s="86"/>
      <c r="S286" s="86"/>
      <c r="T286" s="86"/>
      <c r="U286" s="86"/>
      <c r="V286" s="86"/>
      <c r="W286" s="86"/>
      <c r="X286" s="86"/>
      <c r="Y286" s="86"/>
      <c r="Z286" s="86"/>
      <c r="AA286" s="86"/>
    </row>
    <row r="287" spans="1:27" ht="14.25" customHeight="1" x14ac:dyDescent="0.35">
      <c r="A287" s="76">
        <v>0</v>
      </c>
      <c r="B287" s="77">
        <v>0</v>
      </c>
      <c r="C287" s="76"/>
      <c r="D287" s="78">
        <f>IF(C287=0,0,_xlfn.IFNA(IF( MATCH(C287,Rangliste!B:B,0)&gt;0,0,1),1))</f>
        <v>0</v>
      </c>
      <c r="E287" s="85" t="str">
        <f t="shared" si="1"/>
        <v/>
      </c>
      <c r="F287" s="85"/>
      <c r="G287" s="83"/>
      <c r="H287" s="86"/>
      <c r="I287" s="86"/>
      <c r="J287" s="86"/>
      <c r="K287" s="62"/>
      <c r="L287" s="86"/>
      <c r="M287" s="86"/>
      <c r="N287" s="86"/>
      <c r="O287" s="86"/>
      <c r="P287" s="86"/>
      <c r="Q287" s="86"/>
      <c r="R287" s="86"/>
      <c r="S287" s="86"/>
      <c r="T287" s="86"/>
      <c r="U287" s="86"/>
      <c r="V287" s="86"/>
      <c r="W287" s="86"/>
      <c r="X287" s="86"/>
      <c r="Y287" s="86"/>
      <c r="Z287" s="86"/>
      <c r="AA287" s="86"/>
    </row>
    <row r="288" spans="1:27" ht="14.25" customHeight="1" x14ac:dyDescent="0.35">
      <c r="A288" s="76">
        <v>0</v>
      </c>
      <c r="B288" s="77">
        <v>0</v>
      </c>
      <c r="C288" s="76"/>
      <c r="D288" s="78">
        <f>IF(C288=0,0,_xlfn.IFNA(IF( MATCH(C288,Rangliste!B:B,0)&gt;0,0,1),1))</f>
        <v>0</v>
      </c>
      <c r="E288" s="85" t="str">
        <f t="shared" si="1"/>
        <v/>
      </c>
      <c r="F288" s="85"/>
      <c r="G288" s="83"/>
      <c r="H288" s="86"/>
      <c r="I288" s="86"/>
      <c r="J288" s="86"/>
      <c r="K288" s="62"/>
      <c r="L288" s="86"/>
      <c r="M288" s="86"/>
      <c r="N288" s="86"/>
      <c r="O288" s="86"/>
      <c r="P288" s="86"/>
      <c r="Q288" s="86"/>
      <c r="R288" s="86"/>
      <c r="S288" s="86"/>
      <c r="T288" s="86"/>
      <c r="U288" s="86"/>
      <c r="V288" s="86"/>
      <c r="W288" s="86"/>
      <c r="X288" s="86"/>
      <c r="Y288" s="86"/>
      <c r="Z288" s="86"/>
      <c r="AA288" s="86"/>
    </row>
    <row r="289" spans="1:27" ht="14.25" customHeight="1" x14ac:dyDescent="0.35">
      <c r="A289" s="76">
        <v>0</v>
      </c>
      <c r="B289" s="77">
        <v>0</v>
      </c>
      <c r="C289" s="76"/>
      <c r="D289" s="78">
        <f>IF(C289=0,0,_xlfn.IFNA(IF( MATCH(C289,Rangliste!B:B,0)&gt;0,0,1),1))</f>
        <v>0</v>
      </c>
      <c r="E289" s="85" t="str">
        <f t="shared" si="1"/>
        <v/>
      </c>
      <c r="F289" s="85"/>
      <c r="G289" s="83"/>
      <c r="H289" s="86"/>
      <c r="I289" s="86"/>
      <c r="J289" s="86"/>
      <c r="K289" s="62"/>
      <c r="L289" s="86"/>
      <c r="M289" s="86"/>
      <c r="N289" s="86"/>
      <c r="O289" s="86"/>
      <c r="P289" s="86"/>
      <c r="Q289" s="86"/>
      <c r="R289" s="86"/>
      <c r="S289" s="86"/>
      <c r="T289" s="86"/>
      <c r="U289" s="86"/>
      <c r="V289" s="86"/>
      <c r="W289" s="86"/>
      <c r="X289" s="86"/>
      <c r="Y289" s="86"/>
      <c r="Z289" s="86"/>
      <c r="AA289" s="86"/>
    </row>
    <row r="290" spans="1:27" ht="14.25" customHeight="1" x14ac:dyDescent="0.35">
      <c r="A290" s="76">
        <v>0</v>
      </c>
      <c r="B290" s="77">
        <v>0</v>
      </c>
      <c r="C290" s="76"/>
      <c r="D290" s="78">
        <f>IF(C290=0,0,_xlfn.IFNA(IF( MATCH(C290,Rangliste!B:B,0)&gt;0,0,1),1))</f>
        <v>0</v>
      </c>
      <c r="E290" s="85" t="str">
        <f t="shared" si="1"/>
        <v/>
      </c>
      <c r="F290" s="85"/>
      <c r="G290" s="83"/>
      <c r="H290" s="86"/>
      <c r="I290" s="86"/>
      <c r="J290" s="86"/>
      <c r="K290" s="62"/>
      <c r="L290" s="86"/>
      <c r="M290" s="86"/>
      <c r="N290" s="86"/>
      <c r="O290" s="86"/>
      <c r="P290" s="86"/>
      <c r="Q290" s="86"/>
      <c r="R290" s="86"/>
      <c r="S290" s="86"/>
      <c r="T290" s="86"/>
      <c r="U290" s="86"/>
      <c r="V290" s="86"/>
      <c r="W290" s="86"/>
      <c r="X290" s="86"/>
      <c r="Y290" s="86"/>
      <c r="Z290" s="86"/>
      <c r="AA290" s="86"/>
    </row>
    <row r="291" spans="1:27" ht="14.25" customHeight="1" x14ac:dyDescent="0.35">
      <c r="A291" s="76">
        <v>0</v>
      </c>
      <c r="B291" s="77">
        <v>0</v>
      </c>
      <c r="C291" s="76"/>
      <c r="D291" s="78">
        <f>IF(C291=0,0,_xlfn.IFNA(IF( MATCH(C291,Rangliste!B:B,0)&gt;0,0,1),1))</f>
        <v>0</v>
      </c>
      <c r="E291" s="85" t="str">
        <f t="shared" si="1"/>
        <v/>
      </c>
      <c r="F291" s="85"/>
      <c r="G291" s="83"/>
      <c r="H291" s="86"/>
      <c r="I291" s="86"/>
      <c r="J291" s="86"/>
      <c r="K291" s="62"/>
      <c r="L291" s="86"/>
      <c r="M291" s="86"/>
      <c r="N291" s="86"/>
      <c r="O291" s="86"/>
      <c r="P291" s="86"/>
      <c r="Q291" s="86"/>
      <c r="R291" s="86"/>
      <c r="S291" s="86"/>
      <c r="T291" s="86"/>
      <c r="U291" s="86"/>
      <c r="V291" s="86"/>
      <c r="W291" s="86"/>
      <c r="X291" s="86"/>
      <c r="Y291" s="86"/>
      <c r="Z291" s="86"/>
      <c r="AA291" s="86"/>
    </row>
    <row r="292" spans="1:27" ht="14.25" customHeight="1" x14ac:dyDescent="0.35">
      <c r="A292" s="76" t="str">
        <f t="array" ref="A292:A307">'NÖBV 1'!$J$3:$J$18</f>
        <v>Felix Rädle</v>
      </c>
      <c r="B292" s="77" t="str">
        <f t="array" ref="B292:B323">'WBV 3'!$F$3:$F$34</f>
        <v>Moritz Köstl</v>
      </c>
      <c r="C292" s="76"/>
      <c r="D292" s="78">
        <f>IF(C292=0,0,_xlfn.IFNA(IF( MATCH(C292,Rangliste!B:B,0)&gt;0,0,1),1))</f>
        <v>0</v>
      </c>
      <c r="E292" s="85" t="str">
        <f t="shared" si="1"/>
        <v/>
      </c>
      <c r="F292" s="85"/>
      <c r="G292" s="83"/>
      <c r="H292" s="86"/>
      <c r="I292" s="86"/>
      <c r="J292" s="86"/>
      <c r="K292" s="62"/>
      <c r="L292" s="86"/>
      <c r="M292" s="86"/>
      <c r="N292" s="86"/>
      <c r="O292" s="86"/>
      <c r="P292" s="86"/>
      <c r="Q292" s="86"/>
      <c r="R292" s="86"/>
      <c r="S292" s="86"/>
      <c r="T292" s="86"/>
      <c r="U292" s="86"/>
      <c r="V292" s="86"/>
      <c r="W292" s="86"/>
      <c r="X292" s="86"/>
      <c r="Y292" s="86"/>
      <c r="Z292" s="86"/>
      <c r="AA292" s="86"/>
    </row>
    <row r="293" spans="1:27" ht="14.25" customHeight="1" x14ac:dyDescent="0.35">
      <c r="A293" s="76" t="str">
        <v>Josua Zeilerbauer</v>
      </c>
      <c r="B293" s="77" t="str">
        <v>Agam Singh</v>
      </c>
      <c r="C293" s="76"/>
      <c r="D293" s="78">
        <f>IF(C293=0,0,_xlfn.IFNA(IF( MATCH(C293,Rangliste!B:B,0)&gt;0,0,1),1))</f>
        <v>0</v>
      </c>
      <c r="E293" s="85" t="str">
        <f t="shared" si="1"/>
        <v/>
      </c>
      <c r="F293" s="85"/>
      <c r="G293" s="83"/>
      <c r="H293" s="86"/>
      <c r="I293" s="86"/>
      <c r="J293" s="86"/>
      <c r="K293" s="62"/>
      <c r="L293" s="86"/>
      <c r="M293" s="86"/>
      <c r="N293" s="86"/>
      <c r="O293" s="86"/>
      <c r="P293" s="86"/>
      <c r="Q293" s="86"/>
      <c r="R293" s="86"/>
      <c r="S293" s="86"/>
      <c r="T293" s="86"/>
      <c r="U293" s="86"/>
      <c r="V293" s="86"/>
      <c r="W293" s="86"/>
      <c r="X293" s="86"/>
      <c r="Y293" s="86"/>
      <c r="Z293" s="86"/>
      <c r="AA293" s="86"/>
    </row>
    <row r="294" spans="1:27" ht="14.25" customHeight="1" x14ac:dyDescent="0.35">
      <c r="A294" s="76" t="str">
        <v>Vanessa Kurz</v>
      </c>
      <c r="B294" s="77" t="str">
        <v>Laura Schindler</v>
      </c>
      <c r="C294" s="76"/>
      <c r="D294" s="78">
        <f>IF(C294=0,0,_xlfn.IFNA(IF( MATCH(C294,Rangliste!B:B,0)&gt;0,0,1),1))</f>
        <v>0</v>
      </c>
      <c r="E294" s="85" t="str">
        <f t="shared" si="1"/>
        <v/>
      </c>
      <c r="F294" s="85"/>
      <c r="G294" s="83"/>
      <c r="H294" s="86"/>
      <c r="I294" s="86"/>
      <c r="J294" s="86"/>
      <c r="K294" s="62"/>
      <c r="L294" s="86"/>
      <c r="M294" s="86"/>
      <c r="N294" s="86"/>
      <c r="O294" s="86"/>
      <c r="P294" s="86"/>
      <c r="Q294" s="86"/>
      <c r="R294" s="86"/>
      <c r="S294" s="86"/>
      <c r="T294" s="86"/>
      <c r="U294" s="86"/>
      <c r="V294" s="86"/>
      <c r="W294" s="86"/>
      <c r="X294" s="86"/>
      <c r="Y294" s="86"/>
      <c r="Z294" s="86"/>
      <c r="AA294" s="86"/>
    </row>
    <row r="295" spans="1:27" ht="14.25" customHeight="1" x14ac:dyDescent="0.35">
      <c r="A295" s="76" t="str">
        <v>Felix Lamplmaier</v>
      </c>
      <c r="B295" s="77" t="str">
        <v>Rafael Markus Gálos</v>
      </c>
      <c r="C295" s="76"/>
      <c r="D295" s="78">
        <f>IF(C295=0,0,_xlfn.IFNA(IF( MATCH(C295,Rangliste!B:B,0)&gt;0,0,1),1))</f>
        <v>0</v>
      </c>
      <c r="E295" s="85" t="str">
        <f t="shared" si="1"/>
        <v/>
      </c>
      <c r="F295" s="85"/>
      <c r="G295" s="83"/>
      <c r="H295" s="86"/>
      <c r="I295" s="86"/>
      <c r="J295" s="86"/>
      <c r="K295" s="62"/>
      <c r="L295" s="86"/>
      <c r="M295" s="86"/>
      <c r="N295" s="86"/>
      <c r="O295" s="86"/>
      <c r="P295" s="86"/>
      <c r="Q295" s="86"/>
      <c r="R295" s="86"/>
      <c r="S295" s="86"/>
      <c r="T295" s="86"/>
      <c r="U295" s="86"/>
      <c r="V295" s="86"/>
      <c r="W295" s="86"/>
      <c r="X295" s="86"/>
      <c r="Y295" s="86"/>
      <c r="Z295" s="86"/>
      <c r="AA295" s="86"/>
    </row>
    <row r="296" spans="1:27" ht="14.25" customHeight="1" x14ac:dyDescent="0.35">
      <c r="A296" s="76" t="str">
        <v>Nora Walter</v>
      </c>
      <c r="B296" s="77" t="str">
        <v>Robin Schweiger</v>
      </c>
      <c r="C296" s="76"/>
      <c r="D296" s="78">
        <f>IF(C296=0,0,_xlfn.IFNA(IF( MATCH(C296,Rangliste!B:B,0)&gt;0,0,1),1))</f>
        <v>0</v>
      </c>
      <c r="E296" s="85" t="str">
        <f t="shared" si="1"/>
        <v/>
      </c>
      <c r="F296" s="85"/>
      <c r="G296" s="83"/>
      <c r="H296" s="86"/>
      <c r="I296" s="86"/>
      <c r="J296" s="86"/>
      <c r="K296" s="62"/>
      <c r="L296" s="86"/>
      <c r="M296" s="86"/>
      <c r="N296" s="86"/>
      <c r="O296" s="86"/>
      <c r="P296" s="86"/>
      <c r="Q296" s="86"/>
      <c r="R296" s="86"/>
      <c r="S296" s="86"/>
      <c r="T296" s="86"/>
      <c r="U296" s="86"/>
      <c r="V296" s="86"/>
      <c r="W296" s="86"/>
      <c r="X296" s="86"/>
      <c r="Y296" s="86"/>
      <c r="Z296" s="86"/>
      <c r="AA296" s="86"/>
    </row>
    <row r="297" spans="1:27" ht="14.25" customHeight="1" x14ac:dyDescent="0.35">
      <c r="A297" s="76" t="str">
        <v>Ilian Reisinger</v>
      </c>
      <c r="B297" s="77" t="str">
        <v>Kiril Barthel</v>
      </c>
      <c r="C297" s="76"/>
      <c r="D297" s="78">
        <f>IF(C297=0,0,_xlfn.IFNA(IF( MATCH(C297,Rangliste!B:B,0)&gt;0,0,1),1))</f>
        <v>0</v>
      </c>
      <c r="E297" s="85" t="str">
        <f t="shared" si="1"/>
        <v/>
      </c>
      <c r="F297" s="85"/>
      <c r="G297" s="83"/>
      <c r="H297" s="86"/>
      <c r="I297" s="86"/>
      <c r="J297" s="86"/>
      <c r="K297" s="62"/>
      <c r="L297" s="86"/>
      <c r="M297" s="86"/>
      <c r="N297" s="86"/>
      <c r="O297" s="86"/>
      <c r="P297" s="86"/>
      <c r="Q297" s="86"/>
      <c r="R297" s="86"/>
      <c r="S297" s="86"/>
      <c r="T297" s="86"/>
      <c r="U297" s="86"/>
      <c r="V297" s="86"/>
      <c r="W297" s="86"/>
      <c r="X297" s="86"/>
      <c r="Y297" s="86"/>
      <c r="Z297" s="86"/>
      <c r="AA297" s="86"/>
    </row>
    <row r="298" spans="1:27" ht="14.25" customHeight="1" x14ac:dyDescent="0.35">
      <c r="A298" s="76" t="str">
        <v>Vinzenz Fischlmair</v>
      </c>
      <c r="B298" s="77" t="str">
        <v>Leonard Keiler</v>
      </c>
      <c r="C298" s="76"/>
      <c r="D298" s="78">
        <f>IF(C298=0,0,_xlfn.IFNA(IF( MATCH(C298,Rangliste!B:B,0)&gt;0,0,1),1))</f>
        <v>0</v>
      </c>
      <c r="E298" s="85" t="str">
        <f t="shared" si="1"/>
        <v/>
      </c>
      <c r="F298" s="85"/>
      <c r="G298" s="83"/>
      <c r="H298" s="86"/>
      <c r="I298" s="86"/>
      <c r="J298" s="86"/>
      <c r="K298" s="62"/>
      <c r="L298" s="86"/>
      <c r="M298" s="86"/>
      <c r="N298" s="86"/>
      <c r="O298" s="86"/>
      <c r="P298" s="86"/>
      <c r="Q298" s="86"/>
      <c r="R298" s="86"/>
      <c r="S298" s="86"/>
      <c r="T298" s="86"/>
      <c r="U298" s="86"/>
      <c r="V298" s="86"/>
      <c r="W298" s="86"/>
      <c r="X298" s="86"/>
      <c r="Y298" s="86"/>
      <c r="Z298" s="86"/>
      <c r="AA298" s="86"/>
    </row>
    <row r="299" spans="1:27" ht="14.25" customHeight="1" x14ac:dyDescent="0.35">
      <c r="A299" s="76" t="str">
        <v>Felix Alt</v>
      </c>
      <c r="B299" s="77" t="str">
        <v>Emil Fathulla</v>
      </c>
      <c r="C299" s="76"/>
      <c r="D299" s="78">
        <f>IF(C299=0,0,_xlfn.IFNA(IF( MATCH(C299,Rangliste!B:B,0)&gt;0,0,1),1))</f>
        <v>0</v>
      </c>
      <c r="E299" s="85" t="str">
        <f t="shared" si="1"/>
        <v/>
      </c>
      <c r="F299" s="85"/>
      <c r="G299" s="83"/>
      <c r="H299" s="86"/>
      <c r="I299" s="86"/>
      <c r="J299" s="86"/>
      <c r="K299" s="62"/>
      <c r="L299" s="86"/>
      <c r="M299" s="86"/>
      <c r="N299" s="86"/>
      <c r="O299" s="86"/>
      <c r="P299" s="86"/>
      <c r="Q299" s="86"/>
      <c r="R299" s="86"/>
      <c r="S299" s="86"/>
      <c r="T299" s="86"/>
      <c r="U299" s="86"/>
      <c r="V299" s="86"/>
      <c r="W299" s="86"/>
      <c r="X299" s="86"/>
      <c r="Y299" s="86"/>
      <c r="Z299" s="86"/>
      <c r="AA299" s="86"/>
    </row>
    <row r="300" spans="1:27" ht="14.25" customHeight="1" x14ac:dyDescent="0.35">
      <c r="A300" s="76" t="str">
        <v>Maximilian Jin</v>
      </c>
      <c r="B300" s="77" t="str">
        <v>Boen Yan</v>
      </c>
      <c r="C300" s="76"/>
      <c r="D300" s="78">
        <f>IF(C300=0,0,_xlfn.IFNA(IF( MATCH(C300,Rangliste!B:B,0)&gt;0,0,1),1))</f>
        <v>0</v>
      </c>
      <c r="E300" s="85" t="str">
        <f t="shared" si="1"/>
        <v/>
      </c>
      <c r="F300" s="85"/>
      <c r="G300" s="83"/>
      <c r="H300" s="86"/>
      <c r="I300" s="86"/>
      <c r="J300" s="86"/>
      <c r="K300" s="62"/>
      <c r="L300" s="86"/>
      <c r="M300" s="86"/>
      <c r="N300" s="86"/>
      <c r="O300" s="86"/>
      <c r="P300" s="86"/>
      <c r="Q300" s="86"/>
      <c r="R300" s="86"/>
      <c r="S300" s="86"/>
      <c r="T300" s="86"/>
      <c r="U300" s="86"/>
      <c r="V300" s="86"/>
      <c r="W300" s="86"/>
      <c r="X300" s="86"/>
      <c r="Y300" s="86"/>
      <c r="Z300" s="86"/>
      <c r="AA300" s="86"/>
    </row>
    <row r="301" spans="1:27" ht="14.25" customHeight="1" x14ac:dyDescent="0.35">
      <c r="A301" s="76" t="str">
        <v>Luis Burker</v>
      </c>
      <c r="B301" s="77" t="str">
        <v>Maximilian Wegenstein</v>
      </c>
      <c r="C301" s="76"/>
      <c r="D301" s="78">
        <f>IF(C301=0,0,_xlfn.IFNA(IF( MATCH(C301,Rangliste!B:B,0)&gt;0,0,1),1))</f>
        <v>0</v>
      </c>
      <c r="E301" s="85" t="str">
        <f t="shared" si="1"/>
        <v/>
      </c>
      <c r="F301" s="85"/>
      <c r="G301" s="83"/>
      <c r="H301" s="86"/>
      <c r="I301" s="86"/>
      <c r="J301" s="86"/>
      <c r="K301" s="62"/>
      <c r="L301" s="86"/>
      <c r="M301" s="86"/>
      <c r="N301" s="86"/>
      <c r="O301" s="86"/>
      <c r="P301" s="86"/>
      <c r="Q301" s="86"/>
      <c r="R301" s="86"/>
      <c r="S301" s="86"/>
      <c r="T301" s="86"/>
      <c r="U301" s="86"/>
      <c r="V301" s="86"/>
      <c r="W301" s="86"/>
      <c r="X301" s="86"/>
      <c r="Y301" s="86"/>
      <c r="Z301" s="86"/>
      <c r="AA301" s="86"/>
    </row>
    <row r="302" spans="1:27" ht="14.25" customHeight="1" x14ac:dyDescent="0.35">
      <c r="A302" s="76" t="str">
        <v>Dario Kasser</v>
      </c>
      <c r="B302" s="77" t="str">
        <v>Tim Loy</v>
      </c>
      <c r="C302" s="76"/>
      <c r="D302" s="78">
        <f>IF(C302=0,0,_xlfn.IFNA(IF( MATCH(C302,Rangliste!B:B,0)&gt;0,0,1),1))</f>
        <v>0</v>
      </c>
      <c r="E302" s="85" t="str">
        <f t="shared" si="1"/>
        <v/>
      </c>
      <c r="F302" s="85"/>
      <c r="G302" s="83"/>
      <c r="H302" s="86"/>
      <c r="I302" s="86"/>
      <c r="J302" s="86"/>
      <c r="K302" s="62"/>
      <c r="L302" s="86"/>
      <c r="M302" s="86"/>
      <c r="N302" s="86"/>
      <c r="O302" s="86"/>
      <c r="P302" s="86"/>
      <c r="Q302" s="86"/>
      <c r="R302" s="86"/>
      <c r="S302" s="86"/>
      <c r="T302" s="86"/>
      <c r="U302" s="86"/>
      <c r="V302" s="86"/>
      <c r="W302" s="86"/>
      <c r="X302" s="86"/>
      <c r="Y302" s="86"/>
      <c r="Z302" s="86"/>
      <c r="AA302" s="86"/>
    </row>
    <row r="303" spans="1:27" ht="14.25" customHeight="1" x14ac:dyDescent="0.35">
      <c r="A303" s="76" t="str">
        <v>Marco Papp</v>
      </c>
      <c r="B303" s="77" t="str">
        <v>Miriam Duchac-Oberndorfer</v>
      </c>
      <c r="C303" s="76"/>
      <c r="D303" s="78">
        <f>IF(C303=0,0,_xlfn.IFNA(IF( MATCH(C303,Rangliste!B:B,0)&gt;0,0,1),1))</f>
        <v>0</v>
      </c>
      <c r="E303" s="85" t="str">
        <f t="shared" si="1"/>
        <v/>
      </c>
      <c r="F303" s="85"/>
      <c r="G303" s="83"/>
      <c r="H303" s="86"/>
      <c r="I303" s="86"/>
      <c r="J303" s="86"/>
      <c r="K303" s="62"/>
      <c r="L303" s="86"/>
      <c r="M303" s="86"/>
      <c r="N303" s="86"/>
      <c r="O303" s="86"/>
      <c r="P303" s="86"/>
      <c r="Q303" s="86"/>
      <c r="R303" s="86"/>
      <c r="S303" s="86"/>
      <c r="T303" s="86"/>
      <c r="U303" s="86"/>
      <c r="V303" s="86"/>
      <c r="W303" s="86"/>
      <c r="X303" s="86"/>
      <c r="Y303" s="86"/>
      <c r="Z303" s="86"/>
      <c r="AA303" s="86"/>
    </row>
    <row r="304" spans="1:27" ht="14.25" customHeight="1" x14ac:dyDescent="0.35">
      <c r="A304" s="76" t="str">
        <v>Sofia Neumann</v>
      </c>
      <c r="B304" s="77" t="str">
        <v>Christoph Fessl</v>
      </c>
      <c r="C304" s="76"/>
      <c r="D304" s="78">
        <f>IF(C304=0,0,_xlfn.IFNA(IF( MATCH(C304,Rangliste!B:B,0)&gt;0,0,1),1))</f>
        <v>0</v>
      </c>
      <c r="E304" s="85" t="str">
        <f t="shared" si="1"/>
        <v/>
      </c>
      <c r="F304" s="85"/>
      <c r="G304" s="83"/>
      <c r="H304" s="86"/>
      <c r="I304" s="86"/>
      <c r="J304" s="86"/>
      <c r="K304" s="62"/>
      <c r="L304" s="86"/>
      <c r="M304" s="86"/>
      <c r="N304" s="86"/>
      <c r="O304" s="86"/>
      <c r="P304" s="86"/>
      <c r="Q304" s="86"/>
      <c r="R304" s="86"/>
      <c r="S304" s="86"/>
      <c r="T304" s="86"/>
      <c r="U304" s="86"/>
      <c r="V304" s="86"/>
      <c r="W304" s="86"/>
      <c r="X304" s="86"/>
      <c r="Y304" s="86"/>
      <c r="Z304" s="86"/>
      <c r="AA304" s="86"/>
    </row>
    <row r="305" spans="1:27" ht="14.25" customHeight="1" x14ac:dyDescent="0.35">
      <c r="A305" s="76" t="str">
        <v>Kevin Zheng</v>
      </c>
      <c r="B305" s="77" t="str">
        <v>Oscar Hsu</v>
      </c>
      <c r="C305" s="76"/>
      <c r="D305" s="78">
        <f>IF(C305=0,0,_xlfn.IFNA(IF( MATCH(C305,Rangliste!B:B,0)&gt;0,0,1),1))</f>
        <v>0</v>
      </c>
      <c r="E305" s="85" t="str">
        <f t="shared" si="1"/>
        <v/>
      </c>
      <c r="F305" s="85"/>
      <c r="G305" s="83"/>
      <c r="H305" s="86"/>
      <c r="I305" s="86"/>
      <c r="J305" s="86"/>
      <c r="K305" s="62"/>
      <c r="L305" s="86"/>
      <c r="M305" s="86"/>
      <c r="N305" s="86"/>
      <c r="O305" s="86"/>
      <c r="P305" s="86"/>
      <c r="Q305" s="86"/>
      <c r="R305" s="86"/>
      <c r="S305" s="86"/>
      <c r="T305" s="86"/>
      <c r="U305" s="86"/>
      <c r="V305" s="86"/>
      <c r="W305" s="86"/>
      <c r="X305" s="86"/>
      <c r="Y305" s="86"/>
      <c r="Z305" s="86"/>
      <c r="AA305" s="86"/>
    </row>
    <row r="306" spans="1:27" ht="14.25" customHeight="1" x14ac:dyDescent="0.35">
      <c r="A306" s="76" t="str">
        <v>Florentin Ahammer</v>
      </c>
      <c r="B306" s="77" t="str">
        <v>Alen Sosyan</v>
      </c>
      <c r="C306" s="76"/>
      <c r="D306" s="78">
        <f>IF(C306=0,0,_xlfn.IFNA(IF( MATCH(C306,Rangliste!B:B,0)&gt;0,0,1),1))</f>
        <v>0</v>
      </c>
      <c r="E306" s="85" t="str">
        <f t="shared" si="1"/>
        <v/>
      </c>
      <c r="F306" s="85"/>
      <c r="G306" s="83"/>
      <c r="H306" s="86"/>
      <c r="I306" s="86"/>
      <c r="J306" s="86"/>
      <c r="K306" s="62"/>
      <c r="L306" s="86"/>
      <c r="M306" s="86"/>
      <c r="N306" s="86"/>
      <c r="O306" s="86"/>
      <c r="P306" s="86"/>
      <c r="Q306" s="86"/>
      <c r="R306" s="86"/>
      <c r="S306" s="86"/>
      <c r="T306" s="86"/>
      <c r="U306" s="86"/>
      <c r="V306" s="86"/>
      <c r="W306" s="86"/>
      <c r="X306" s="86"/>
      <c r="Y306" s="86"/>
      <c r="Z306" s="86"/>
      <c r="AA306" s="86"/>
    </row>
    <row r="307" spans="1:27" ht="14.25" customHeight="1" x14ac:dyDescent="0.35">
      <c r="A307" s="76" t="str">
        <v>Hector Recalde</v>
      </c>
      <c r="B307" s="77" t="str">
        <v>Marco Chen</v>
      </c>
      <c r="C307" s="76"/>
      <c r="D307" s="78">
        <f>IF(C307=0,0,_xlfn.IFNA(IF( MATCH(C307,Rangliste!B:B,0)&gt;0,0,1),1))</f>
        <v>0</v>
      </c>
      <c r="E307" s="85" t="str">
        <f t="shared" si="1"/>
        <v/>
      </c>
      <c r="F307" s="85"/>
      <c r="G307" s="83"/>
      <c r="H307" s="86"/>
      <c r="I307" s="86"/>
      <c r="J307" s="86"/>
      <c r="K307" s="62"/>
      <c r="L307" s="86"/>
      <c r="M307" s="86"/>
      <c r="N307" s="86"/>
      <c r="O307" s="86"/>
      <c r="P307" s="86"/>
      <c r="Q307" s="86"/>
      <c r="R307" s="86"/>
      <c r="S307" s="86"/>
      <c r="T307" s="86"/>
      <c r="U307" s="86"/>
      <c r="V307" s="86"/>
      <c r="W307" s="86"/>
      <c r="X307" s="86"/>
      <c r="Y307" s="86"/>
      <c r="Z307" s="86"/>
      <c r="AA307" s="86"/>
    </row>
    <row r="308" spans="1:27" ht="14.25" customHeight="1" x14ac:dyDescent="0.35">
      <c r="A308" s="76">
        <f t="array" ref="A308:A323">'NÖBV 1'!$N$3:$N$18</f>
        <v>0</v>
      </c>
      <c r="B308" s="77">
        <v>0</v>
      </c>
      <c r="C308" s="76"/>
      <c r="D308" s="78">
        <f>IF(C308=0,0,_xlfn.IFNA(IF( MATCH(C308,Rangliste!B:B,0)&gt;0,0,1),1))</f>
        <v>0</v>
      </c>
      <c r="E308" s="85" t="str">
        <f t="shared" si="1"/>
        <v/>
      </c>
      <c r="F308" s="85"/>
      <c r="G308" s="83"/>
      <c r="H308" s="86"/>
      <c r="I308" s="86"/>
      <c r="J308" s="86"/>
      <c r="K308" s="62"/>
      <c r="L308" s="86"/>
      <c r="M308" s="86"/>
      <c r="N308" s="86"/>
      <c r="O308" s="86"/>
      <c r="P308" s="86"/>
      <c r="Q308" s="86"/>
      <c r="R308" s="86"/>
      <c r="S308" s="86"/>
      <c r="T308" s="86"/>
      <c r="U308" s="86"/>
      <c r="V308" s="86"/>
      <c r="W308" s="86"/>
      <c r="X308" s="86"/>
      <c r="Y308" s="86"/>
      <c r="Z308" s="86"/>
      <c r="AA308" s="86"/>
    </row>
    <row r="309" spans="1:27" ht="14.25" customHeight="1" x14ac:dyDescent="0.35">
      <c r="A309" s="76">
        <v>0</v>
      </c>
      <c r="B309" s="77">
        <v>0</v>
      </c>
      <c r="C309" s="76"/>
      <c r="D309" s="78">
        <f>IF(C309=0,0,_xlfn.IFNA(IF( MATCH(C309,Rangliste!B:B,0)&gt;0,0,1),1))</f>
        <v>0</v>
      </c>
      <c r="E309" s="85" t="str">
        <f t="shared" si="1"/>
        <v/>
      </c>
      <c r="F309" s="85"/>
      <c r="G309" s="83"/>
      <c r="H309" s="86"/>
      <c r="I309" s="86"/>
      <c r="J309" s="86"/>
      <c r="K309" s="62"/>
      <c r="L309" s="86"/>
      <c r="M309" s="86"/>
      <c r="N309" s="86"/>
      <c r="O309" s="86"/>
      <c r="P309" s="86"/>
      <c r="Q309" s="86"/>
      <c r="R309" s="86"/>
      <c r="S309" s="86"/>
      <c r="T309" s="86"/>
      <c r="U309" s="86"/>
      <c r="V309" s="86"/>
      <c r="W309" s="86"/>
      <c r="X309" s="86"/>
      <c r="Y309" s="86"/>
      <c r="Z309" s="86"/>
      <c r="AA309" s="86"/>
    </row>
    <row r="310" spans="1:27" ht="14.25" customHeight="1" x14ac:dyDescent="0.35">
      <c r="A310" s="76">
        <v>0</v>
      </c>
      <c r="B310" s="77">
        <v>0</v>
      </c>
      <c r="C310" s="76"/>
      <c r="D310" s="78">
        <f>IF(C310=0,0,_xlfn.IFNA(IF( MATCH(C310,Rangliste!B:B,0)&gt;0,0,1),1))</f>
        <v>0</v>
      </c>
      <c r="E310" s="85" t="str">
        <f t="shared" si="1"/>
        <v/>
      </c>
      <c r="F310" s="85"/>
      <c r="G310" s="83"/>
      <c r="H310" s="86"/>
      <c r="I310" s="86"/>
      <c r="J310" s="86"/>
      <c r="K310" s="62"/>
      <c r="L310" s="86"/>
      <c r="M310" s="86"/>
      <c r="N310" s="86"/>
      <c r="O310" s="86"/>
      <c r="P310" s="86"/>
      <c r="Q310" s="86"/>
      <c r="R310" s="86"/>
      <c r="S310" s="86"/>
      <c r="T310" s="86"/>
      <c r="U310" s="86"/>
      <c r="V310" s="86"/>
      <c r="W310" s="86"/>
      <c r="X310" s="86"/>
      <c r="Y310" s="86"/>
      <c r="Z310" s="86"/>
      <c r="AA310" s="86"/>
    </row>
    <row r="311" spans="1:27" ht="14.25" customHeight="1" x14ac:dyDescent="0.35">
      <c r="A311" s="76">
        <v>0</v>
      </c>
      <c r="B311" s="77">
        <v>0</v>
      </c>
      <c r="C311" s="76"/>
      <c r="D311" s="78">
        <f>IF(C311=0,0,_xlfn.IFNA(IF( MATCH(C311,Rangliste!B:B,0)&gt;0,0,1),1))</f>
        <v>0</v>
      </c>
      <c r="E311" s="85" t="str">
        <f t="shared" si="1"/>
        <v/>
      </c>
      <c r="F311" s="85"/>
      <c r="G311" s="83"/>
      <c r="H311" s="86"/>
      <c r="I311" s="86"/>
      <c r="J311" s="86"/>
      <c r="K311" s="62"/>
      <c r="L311" s="86"/>
      <c r="M311" s="86"/>
      <c r="N311" s="86"/>
      <c r="O311" s="86"/>
      <c r="P311" s="86"/>
      <c r="Q311" s="86"/>
      <c r="R311" s="86"/>
      <c r="S311" s="86"/>
      <c r="T311" s="86"/>
      <c r="U311" s="86"/>
      <c r="V311" s="86"/>
      <c r="W311" s="86"/>
      <c r="X311" s="86"/>
      <c r="Y311" s="86"/>
      <c r="Z311" s="86"/>
      <c r="AA311" s="86"/>
    </row>
    <row r="312" spans="1:27" ht="14.25" customHeight="1" x14ac:dyDescent="0.35">
      <c r="A312" s="76">
        <v>0</v>
      </c>
      <c r="B312" s="77">
        <v>0</v>
      </c>
      <c r="C312" s="76"/>
      <c r="D312" s="78">
        <f>IF(C312=0,0,_xlfn.IFNA(IF( MATCH(C312,Rangliste!B:B,0)&gt;0,0,1),1))</f>
        <v>0</v>
      </c>
      <c r="E312" s="85" t="str">
        <f t="shared" si="1"/>
        <v/>
      </c>
      <c r="F312" s="85"/>
      <c r="G312" s="83"/>
      <c r="H312" s="86"/>
      <c r="I312" s="86"/>
      <c r="J312" s="86"/>
      <c r="K312" s="62"/>
      <c r="L312" s="86"/>
      <c r="M312" s="86"/>
      <c r="N312" s="86"/>
      <c r="O312" s="86"/>
      <c r="P312" s="86"/>
      <c r="Q312" s="86"/>
      <c r="R312" s="86"/>
      <c r="S312" s="86"/>
      <c r="T312" s="86"/>
      <c r="U312" s="86"/>
      <c r="V312" s="86"/>
      <c r="W312" s="86"/>
      <c r="X312" s="86"/>
      <c r="Y312" s="86"/>
      <c r="Z312" s="86"/>
      <c r="AA312" s="86"/>
    </row>
    <row r="313" spans="1:27" ht="14.25" customHeight="1" x14ac:dyDescent="0.35">
      <c r="A313" s="76">
        <v>0</v>
      </c>
      <c r="B313" s="77">
        <v>0</v>
      </c>
      <c r="C313" s="76"/>
      <c r="D313" s="78">
        <f>IF(C313=0,0,_xlfn.IFNA(IF( MATCH(C313,Rangliste!B:B,0)&gt;0,0,1),1))</f>
        <v>0</v>
      </c>
      <c r="E313" s="85" t="str">
        <f t="shared" si="1"/>
        <v/>
      </c>
      <c r="F313" s="85"/>
      <c r="G313" s="83"/>
      <c r="H313" s="86"/>
      <c r="I313" s="86"/>
      <c r="J313" s="86"/>
      <c r="K313" s="62"/>
      <c r="L313" s="86"/>
      <c r="M313" s="86"/>
      <c r="N313" s="86"/>
      <c r="O313" s="86"/>
      <c r="P313" s="86"/>
      <c r="Q313" s="86"/>
      <c r="R313" s="86"/>
      <c r="S313" s="86"/>
      <c r="T313" s="86"/>
      <c r="U313" s="86"/>
      <c r="V313" s="86"/>
      <c r="W313" s="86"/>
      <c r="X313" s="86"/>
      <c r="Y313" s="86"/>
      <c r="Z313" s="86"/>
      <c r="AA313" s="86"/>
    </row>
    <row r="314" spans="1:27" ht="14.25" customHeight="1" x14ac:dyDescent="0.35">
      <c r="A314" s="76">
        <v>0</v>
      </c>
      <c r="B314" s="77">
        <v>0</v>
      </c>
      <c r="C314" s="76"/>
      <c r="D314" s="78">
        <f>IF(C314=0,0,_xlfn.IFNA(IF( MATCH(C314,Rangliste!B:B,0)&gt;0,0,1),1))</f>
        <v>0</v>
      </c>
      <c r="E314" s="85" t="str">
        <f t="shared" si="1"/>
        <v/>
      </c>
      <c r="F314" s="85"/>
      <c r="G314" s="83"/>
      <c r="H314" s="86"/>
      <c r="I314" s="86"/>
      <c r="J314" s="86"/>
      <c r="K314" s="62"/>
      <c r="L314" s="86"/>
      <c r="M314" s="86"/>
      <c r="N314" s="86"/>
      <c r="O314" s="86"/>
      <c r="P314" s="86"/>
      <c r="Q314" s="86"/>
      <c r="R314" s="86"/>
      <c r="S314" s="86"/>
      <c r="T314" s="86"/>
      <c r="U314" s="86"/>
      <c r="V314" s="86"/>
      <c r="W314" s="86"/>
      <c r="X314" s="86"/>
      <c r="Y314" s="86"/>
      <c r="Z314" s="86"/>
      <c r="AA314" s="86"/>
    </row>
    <row r="315" spans="1:27" ht="14.25" customHeight="1" x14ac:dyDescent="0.35">
      <c r="A315" s="76">
        <v>0</v>
      </c>
      <c r="B315" s="77">
        <v>0</v>
      </c>
      <c r="C315" s="76"/>
      <c r="D315" s="78">
        <f>IF(C315=0,0,_xlfn.IFNA(IF( MATCH(C315,Rangliste!B:B,0)&gt;0,0,1),1))</f>
        <v>0</v>
      </c>
      <c r="E315" s="85" t="str">
        <f t="shared" si="1"/>
        <v/>
      </c>
      <c r="F315" s="85"/>
      <c r="G315" s="83"/>
      <c r="H315" s="86"/>
      <c r="I315" s="86"/>
      <c r="J315" s="86"/>
      <c r="K315" s="62"/>
      <c r="L315" s="86"/>
      <c r="M315" s="86"/>
      <c r="N315" s="86"/>
      <c r="O315" s="86"/>
      <c r="P315" s="86"/>
      <c r="Q315" s="86"/>
      <c r="R315" s="86"/>
      <c r="S315" s="86"/>
      <c r="T315" s="86"/>
      <c r="U315" s="86"/>
      <c r="V315" s="86"/>
      <c r="W315" s="86"/>
      <c r="X315" s="86"/>
      <c r="Y315" s="86"/>
      <c r="Z315" s="86"/>
      <c r="AA315" s="86"/>
    </row>
    <row r="316" spans="1:27" ht="14.25" customHeight="1" x14ac:dyDescent="0.35">
      <c r="A316" s="76">
        <v>0</v>
      </c>
      <c r="B316" s="77">
        <v>0</v>
      </c>
      <c r="C316" s="76"/>
      <c r="D316" s="78">
        <f>IF(C316=0,0,_xlfn.IFNA(IF( MATCH(C316,Rangliste!B:B,0)&gt;0,0,1),1))</f>
        <v>0</v>
      </c>
      <c r="E316" s="85" t="str">
        <f t="shared" si="1"/>
        <v/>
      </c>
      <c r="F316" s="85"/>
      <c r="G316" s="83"/>
      <c r="H316" s="86"/>
      <c r="I316" s="86"/>
      <c r="J316" s="86"/>
      <c r="K316" s="62"/>
      <c r="L316" s="86"/>
      <c r="M316" s="86"/>
      <c r="N316" s="86"/>
      <c r="O316" s="86"/>
      <c r="P316" s="86"/>
      <c r="Q316" s="86"/>
      <c r="R316" s="86"/>
      <c r="S316" s="86"/>
      <c r="T316" s="86"/>
      <c r="U316" s="86"/>
      <c r="V316" s="86"/>
      <c r="W316" s="86"/>
      <c r="X316" s="86"/>
      <c r="Y316" s="86"/>
      <c r="Z316" s="86"/>
      <c r="AA316" s="86"/>
    </row>
    <row r="317" spans="1:27" ht="14.25" customHeight="1" x14ac:dyDescent="0.35">
      <c r="A317" s="76">
        <v>0</v>
      </c>
      <c r="B317" s="87">
        <v>0</v>
      </c>
      <c r="C317" s="76"/>
      <c r="D317" s="78">
        <f>IF(C317=0,0,_xlfn.IFNA(IF( MATCH(C317,Rangliste!B:B,0)&gt;0,0,1),1))</f>
        <v>0</v>
      </c>
      <c r="E317" s="85" t="str">
        <f t="shared" si="1"/>
        <v/>
      </c>
      <c r="F317" s="85"/>
      <c r="G317" s="83"/>
      <c r="H317" s="86"/>
      <c r="I317" s="86"/>
      <c r="J317" s="86"/>
      <c r="K317" s="62"/>
      <c r="L317" s="86"/>
      <c r="M317" s="86"/>
      <c r="N317" s="86"/>
      <c r="O317" s="86"/>
      <c r="P317" s="86"/>
      <c r="Q317" s="86"/>
      <c r="R317" s="86"/>
      <c r="S317" s="86"/>
      <c r="T317" s="86"/>
      <c r="U317" s="86"/>
      <c r="V317" s="86"/>
      <c r="W317" s="86"/>
      <c r="X317" s="86"/>
      <c r="Y317" s="86"/>
      <c r="Z317" s="86"/>
      <c r="AA317" s="86"/>
    </row>
    <row r="318" spans="1:27" ht="14.25" customHeight="1" x14ac:dyDescent="0.35">
      <c r="A318" s="76">
        <v>0</v>
      </c>
      <c r="B318" s="87">
        <v>0</v>
      </c>
      <c r="C318" s="76"/>
      <c r="D318" s="78">
        <f>IF(C318=0,0,_xlfn.IFNA(IF( MATCH(C318,Rangliste!B:B,0)&gt;0,0,1),1))</f>
        <v>0</v>
      </c>
      <c r="E318" s="85" t="str">
        <f t="shared" si="1"/>
        <v/>
      </c>
      <c r="F318" s="85"/>
      <c r="G318" s="83"/>
      <c r="H318" s="86"/>
      <c r="I318" s="86"/>
      <c r="J318" s="86"/>
      <c r="K318" s="62"/>
      <c r="L318" s="86"/>
      <c r="M318" s="86"/>
      <c r="N318" s="86"/>
      <c r="O318" s="86"/>
      <c r="P318" s="86"/>
      <c r="Q318" s="86"/>
      <c r="R318" s="86"/>
      <c r="S318" s="86"/>
      <c r="T318" s="86"/>
      <c r="U318" s="86"/>
      <c r="V318" s="86"/>
      <c r="W318" s="86"/>
      <c r="X318" s="86"/>
      <c r="Y318" s="86"/>
      <c r="Z318" s="86"/>
      <c r="AA318" s="86"/>
    </row>
    <row r="319" spans="1:27" ht="14.25" customHeight="1" x14ac:dyDescent="0.35">
      <c r="A319" s="76">
        <v>0</v>
      </c>
      <c r="B319" s="87">
        <v>0</v>
      </c>
      <c r="C319" s="76"/>
      <c r="D319" s="78">
        <f>IF(C319=0,0,_xlfn.IFNA(IF( MATCH(C319,Rangliste!B:B,0)&gt;0,0,1),1))</f>
        <v>0</v>
      </c>
      <c r="E319" s="85" t="str">
        <f t="shared" si="1"/>
        <v/>
      </c>
      <c r="F319" s="85"/>
      <c r="G319" s="83"/>
      <c r="H319" s="86"/>
      <c r="I319" s="86"/>
      <c r="J319" s="86"/>
      <c r="K319" s="62"/>
      <c r="L319" s="86"/>
      <c r="M319" s="86"/>
      <c r="N319" s="86"/>
      <c r="O319" s="86"/>
      <c r="P319" s="86"/>
      <c r="Q319" s="86"/>
      <c r="R319" s="86"/>
      <c r="S319" s="86"/>
      <c r="T319" s="86"/>
      <c r="U319" s="86"/>
      <c r="V319" s="86"/>
      <c r="W319" s="86"/>
      <c r="X319" s="86"/>
      <c r="Y319" s="86"/>
      <c r="Z319" s="86"/>
      <c r="AA319" s="86"/>
    </row>
    <row r="320" spans="1:27" ht="14.25" customHeight="1" x14ac:dyDescent="0.35">
      <c r="A320" s="76">
        <v>0</v>
      </c>
      <c r="B320" s="87">
        <v>0</v>
      </c>
      <c r="C320" s="76"/>
      <c r="D320" s="78">
        <f>IF(C320=0,0,_xlfn.IFNA(IF( MATCH(C320,Rangliste!B:B,0)&gt;0,0,1),1))</f>
        <v>0</v>
      </c>
      <c r="E320" s="85" t="str">
        <f t="shared" si="1"/>
        <v/>
      </c>
      <c r="F320" s="85"/>
      <c r="G320" s="83"/>
      <c r="H320" s="86"/>
      <c r="I320" s="86"/>
      <c r="J320" s="86"/>
      <c r="K320" s="62"/>
      <c r="L320" s="86"/>
      <c r="M320" s="86"/>
      <c r="N320" s="86"/>
      <c r="O320" s="86"/>
      <c r="P320" s="86"/>
      <c r="Q320" s="86"/>
      <c r="R320" s="86"/>
      <c r="S320" s="86"/>
      <c r="T320" s="86"/>
      <c r="U320" s="86"/>
      <c r="V320" s="86"/>
      <c r="W320" s="86"/>
      <c r="X320" s="86"/>
      <c r="Y320" s="86"/>
      <c r="Z320" s="86"/>
      <c r="AA320" s="86"/>
    </row>
    <row r="321" spans="1:27" ht="14.25" customHeight="1" x14ac:dyDescent="0.35">
      <c r="A321" s="76">
        <v>0</v>
      </c>
      <c r="B321" s="87">
        <v>0</v>
      </c>
      <c r="C321" s="76"/>
      <c r="D321" s="78">
        <f>IF(C321=0,0,_xlfn.IFNA(IF( MATCH(C321,Rangliste!B:B,0)&gt;0,0,1),1))</f>
        <v>0</v>
      </c>
      <c r="E321" s="85" t="str">
        <f t="shared" si="1"/>
        <v/>
      </c>
      <c r="F321" s="85"/>
      <c r="G321" s="83"/>
      <c r="H321" s="86"/>
      <c r="I321" s="86"/>
      <c r="J321" s="86"/>
      <c r="K321" s="62"/>
      <c r="L321" s="86"/>
      <c r="M321" s="86"/>
      <c r="N321" s="86"/>
      <c r="O321" s="86"/>
      <c r="P321" s="86"/>
      <c r="Q321" s="86"/>
      <c r="R321" s="86"/>
      <c r="S321" s="86"/>
      <c r="T321" s="86"/>
      <c r="U321" s="86"/>
      <c r="V321" s="86"/>
      <c r="W321" s="86"/>
      <c r="X321" s="86"/>
      <c r="Y321" s="86"/>
      <c r="Z321" s="86"/>
      <c r="AA321" s="86"/>
    </row>
    <row r="322" spans="1:27" ht="14.25" customHeight="1" x14ac:dyDescent="0.35">
      <c r="A322" s="76">
        <v>0</v>
      </c>
      <c r="B322" s="87">
        <v>0</v>
      </c>
      <c r="C322" s="76"/>
      <c r="D322" s="78">
        <f>IF(C322=0,0,_xlfn.IFNA(IF( MATCH(C322,Rangliste!B:B,0)&gt;0,0,1),1))</f>
        <v>0</v>
      </c>
      <c r="E322" s="85" t="str">
        <f t="shared" si="1"/>
        <v/>
      </c>
      <c r="F322" s="85"/>
      <c r="G322" s="83"/>
      <c r="H322" s="86"/>
      <c r="I322" s="86"/>
      <c r="J322" s="86"/>
      <c r="K322" s="62"/>
      <c r="L322" s="86"/>
      <c r="M322" s="86"/>
      <c r="N322" s="86"/>
      <c r="O322" s="86"/>
      <c r="P322" s="86"/>
      <c r="Q322" s="86"/>
      <c r="R322" s="86"/>
      <c r="S322" s="86"/>
      <c r="T322" s="86"/>
      <c r="U322" s="86"/>
      <c r="V322" s="86"/>
      <c r="W322" s="86"/>
      <c r="X322" s="86"/>
      <c r="Y322" s="86"/>
      <c r="Z322" s="86"/>
      <c r="AA322" s="86"/>
    </row>
    <row r="323" spans="1:27" ht="14.25" customHeight="1" x14ac:dyDescent="0.35">
      <c r="A323" s="76">
        <v>0</v>
      </c>
      <c r="B323" s="87">
        <v>0</v>
      </c>
      <c r="C323" s="76"/>
      <c r="D323" s="78">
        <f>IF(C323=0,0,_xlfn.IFNA(IF( MATCH(C323,Rangliste!B:B,0)&gt;0,0,1),1))</f>
        <v>0</v>
      </c>
      <c r="E323" s="85" t="str">
        <f t="shared" si="1"/>
        <v/>
      </c>
      <c r="F323" s="85"/>
      <c r="G323" s="83"/>
      <c r="H323" s="86"/>
      <c r="I323" s="86"/>
      <c r="J323" s="86"/>
      <c r="K323" s="62"/>
      <c r="L323" s="86"/>
      <c r="M323" s="86"/>
      <c r="N323" s="86"/>
      <c r="O323" s="86"/>
      <c r="P323" s="86"/>
      <c r="Q323" s="86"/>
      <c r="R323" s="86"/>
      <c r="S323" s="86"/>
      <c r="T323" s="86"/>
      <c r="U323" s="86"/>
      <c r="V323" s="86"/>
      <c r="W323" s="86"/>
      <c r="X323" s="86"/>
      <c r="Y323" s="86"/>
      <c r="Z323" s="86"/>
      <c r="AA323" s="86"/>
    </row>
    <row r="324" spans="1:27" ht="14.25" customHeight="1" x14ac:dyDescent="0.35">
      <c r="A324" s="76" t="str">
        <f t="array" ref="A324:A339">'NÖBV 2'!$B$3:$B$18</f>
        <v>Felix Österreicher</v>
      </c>
      <c r="B324" s="87" t="str">
        <f t="array" ref="B324:B355">'WBV 3'!$J$3:$J$34</f>
        <v>Leon Frank</v>
      </c>
      <c r="C324" s="76"/>
      <c r="D324" s="78">
        <f>IF(C324=0,0,_xlfn.IFNA(IF( MATCH(C324,Rangliste!B:B,0)&gt;0,0,1),1))</f>
        <v>0</v>
      </c>
      <c r="E324" s="85" t="str">
        <f t="shared" si="1"/>
        <v/>
      </c>
      <c r="F324" s="85"/>
      <c r="G324" s="83"/>
      <c r="H324" s="86"/>
      <c r="I324" s="86"/>
      <c r="J324" s="86"/>
      <c r="K324" s="62"/>
      <c r="L324" s="86"/>
      <c r="M324" s="86"/>
      <c r="N324" s="86"/>
      <c r="O324" s="86"/>
      <c r="P324" s="86"/>
      <c r="Q324" s="86"/>
      <c r="R324" s="86"/>
      <c r="S324" s="86"/>
      <c r="T324" s="86"/>
      <c r="U324" s="86"/>
      <c r="V324" s="86"/>
      <c r="W324" s="86"/>
      <c r="X324" s="86"/>
      <c r="Y324" s="86"/>
      <c r="Z324" s="86"/>
      <c r="AA324" s="86"/>
    </row>
    <row r="325" spans="1:27" ht="14.25" customHeight="1" x14ac:dyDescent="0.35">
      <c r="A325" s="76" t="str">
        <v>Wenzel Tiapal</v>
      </c>
      <c r="B325" s="87" t="str">
        <v>Tobias Gerner</v>
      </c>
      <c r="C325" s="76"/>
      <c r="D325" s="78">
        <f>IF(C325=0,0,_xlfn.IFNA(IF( MATCH(C325,Rangliste!B:B,0)&gt;0,0,1),1))</f>
        <v>0</v>
      </c>
      <c r="E325" s="85" t="str">
        <f t="shared" si="1"/>
        <v/>
      </c>
      <c r="F325" s="85"/>
      <c r="G325" s="83"/>
      <c r="H325" s="86"/>
      <c r="I325" s="86"/>
      <c r="J325" s="86"/>
      <c r="K325" s="62"/>
      <c r="L325" s="86"/>
      <c r="M325" s="86"/>
      <c r="N325" s="86"/>
      <c r="O325" s="86"/>
      <c r="P325" s="86"/>
      <c r="Q325" s="86"/>
      <c r="R325" s="86"/>
      <c r="S325" s="86"/>
      <c r="T325" s="86"/>
      <c r="U325" s="86"/>
      <c r="V325" s="86"/>
      <c r="W325" s="86"/>
      <c r="X325" s="86"/>
      <c r="Y325" s="86"/>
      <c r="Z325" s="86"/>
      <c r="AA325" s="86"/>
    </row>
    <row r="326" spans="1:27" ht="14.25" customHeight="1" x14ac:dyDescent="0.35">
      <c r="A326" s="76" t="str">
        <v>Maximilian Grünwald</v>
      </c>
      <c r="B326" s="87" t="str">
        <v>Golsamin Harandi</v>
      </c>
      <c r="C326" s="76"/>
      <c r="D326" s="78">
        <f>IF(C326=0,0,_xlfn.IFNA(IF( MATCH(C326,Rangliste!B:B,0)&gt;0,0,1),1))</f>
        <v>0</v>
      </c>
      <c r="E326" s="85" t="str">
        <f t="shared" si="1"/>
        <v/>
      </c>
      <c r="F326" s="85"/>
      <c r="G326" s="83"/>
      <c r="H326" s="86"/>
      <c r="I326" s="86"/>
      <c r="J326" s="86"/>
      <c r="K326" s="62"/>
      <c r="L326" s="86"/>
      <c r="M326" s="86"/>
      <c r="N326" s="86"/>
      <c r="O326" s="86"/>
      <c r="P326" s="86"/>
      <c r="Q326" s="86"/>
      <c r="R326" s="86"/>
      <c r="S326" s="86"/>
      <c r="T326" s="86"/>
      <c r="U326" s="86"/>
      <c r="V326" s="86"/>
      <c r="W326" s="86"/>
      <c r="X326" s="86"/>
      <c r="Y326" s="86"/>
      <c r="Z326" s="86"/>
      <c r="AA326" s="86"/>
    </row>
    <row r="327" spans="1:27" ht="14.25" customHeight="1" x14ac:dyDescent="0.35">
      <c r="A327" s="76" t="str">
        <v>Jannik Neulinger</v>
      </c>
      <c r="B327" s="87" t="str">
        <v>Jacob Chen</v>
      </c>
      <c r="C327" s="76"/>
      <c r="D327" s="78">
        <f>IF(C327=0,0,_xlfn.IFNA(IF( MATCH(C327,Rangliste!B:B,0)&gt;0,0,1),1))</f>
        <v>0</v>
      </c>
      <c r="E327" s="85" t="str">
        <f t="shared" si="1"/>
        <v/>
      </c>
      <c r="F327" s="85"/>
      <c r="G327" s="83"/>
      <c r="H327" s="86"/>
      <c r="I327" s="86"/>
      <c r="J327" s="86"/>
      <c r="K327" s="62"/>
      <c r="L327" s="86"/>
      <c r="M327" s="86"/>
      <c r="N327" s="86"/>
      <c r="O327" s="86"/>
      <c r="P327" s="86"/>
      <c r="Q327" s="86"/>
      <c r="R327" s="86"/>
      <c r="S327" s="86"/>
      <c r="T327" s="86"/>
      <c r="U327" s="86"/>
      <c r="V327" s="86"/>
      <c r="W327" s="86"/>
      <c r="X327" s="86"/>
      <c r="Y327" s="86"/>
      <c r="Z327" s="86"/>
      <c r="AA327" s="86"/>
    </row>
    <row r="328" spans="1:27" ht="14.25" customHeight="1" x14ac:dyDescent="0.35">
      <c r="A328" s="76" t="str">
        <v>Valentin Schefcik</v>
      </c>
      <c r="B328" s="87" t="str">
        <v>Sophie Zirnwald</v>
      </c>
      <c r="C328" s="76"/>
      <c r="D328" s="78">
        <f>IF(C328=0,0,_xlfn.IFNA(IF( MATCH(C328,Rangliste!B:B,0)&gt;0,0,1),1))</f>
        <v>0</v>
      </c>
      <c r="E328" s="85" t="str">
        <f t="shared" si="1"/>
        <v/>
      </c>
      <c r="F328" s="85"/>
      <c r="G328" s="83"/>
      <c r="H328" s="86"/>
      <c r="I328" s="86"/>
      <c r="J328" s="86"/>
      <c r="K328" s="62"/>
      <c r="L328" s="86"/>
      <c r="M328" s="86"/>
      <c r="N328" s="86"/>
      <c r="O328" s="86"/>
      <c r="P328" s="86"/>
      <c r="Q328" s="86"/>
      <c r="R328" s="86"/>
      <c r="S328" s="86"/>
      <c r="T328" s="86"/>
      <c r="U328" s="86"/>
      <c r="V328" s="86"/>
      <c r="W328" s="86"/>
      <c r="X328" s="86"/>
      <c r="Y328" s="86"/>
      <c r="Z328" s="86"/>
      <c r="AA328" s="86"/>
    </row>
    <row r="329" spans="1:27" ht="14.25" customHeight="1" x14ac:dyDescent="0.35">
      <c r="A329" s="76" t="str">
        <v>Tobias Quiroga</v>
      </c>
      <c r="B329" s="87" t="str">
        <v>Lana Ziyue Dai</v>
      </c>
      <c r="C329" s="76"/>
      <c r="D329" s="78">
        <f>IF(C329=0,0,_xlfn.IFNA(IF( MATCH(C329,Rangliste!B:B,0)&gt;0,0,1),1))</f>
        <v>0</v>
      </c>
      <c r="E329" s="85" t="str">
        <f t="shared" si="1"/>
        <v/>
      </c>
      <c r="F329" s="85"/>
      <c r="G329" s="83"/>
      <c r="H329" s="86"/>
      <c r="I329" s="86"/>
      <c r="J329" s="86"/>
      <c r="K329" s="62"/>
      <c r="L329" s="86"/>
      <c r="M329" s="86"/>
      <c r="N329" s="86"/>
      <c r="O329" s="86"/>
      <c r="P329" s="86"/>
      <c r="Q329" s="86"/>
      <c r="R329" s="86"/>
      <c r="S329" s="86"/>
      <c r="T329" s="86"/>
      <c r="U329" s="86"/>
      <c r="V329" s="86"/>
      <c r="W329" s="86"/>
      <c r="X329" s="86"/>
      <c r="Y329" s="86"/>
      <c r="Z329" s="86"/>
      <c r="AA329" s="86"/>
    </row>
    <row r="330" spans="1:27" ht="14.25" customHeight="1" x14ac:dyDescent="0.35">
      <c r="A330" s="76">
        <v>0</v>
      </c>
      <c r="B330" s="87" t="str">
        <v>Haorui Qu</v>
      </c>
      <c r="C330" s="76"/>
      <c r="D330" s="78">
        <f>IF(C330=0,0,_xlfn.IFNA(IF( MATCH(C330,Rangliste!B:B,0)&gt;0,0,1),1))</f>
        <v>0</v>
      </c>
      <c r="E330" s="85" t="str">
        <f t="shared" si="1"/>
        <v/>
      </c>
      <c r="F330" s="85"/>
      <c r="G330" s="83"/>
      <c r="H330" s="86"/>
      <c r="I330" s="86"/>
      <c r="J330" s="86"/>
      <c r="K330" s="62"/>
      <c r="L330" s="86"/>
      <c r="M330" s="86"/>
      <c r="N330" s="86"/>
      <c r="O330" s="86"/>
      <c r="P330" s="86"/>
      <c r="Q330" s="86"/>
      <c r="R330" s="86"/>
      <c r="S330" s="86"/>
      <c r="T330" s="86"/>
      <c r="U330" s="86"/>
      <c r="V330" s="86"/>
      <c r="W330" s="86"/>
      <c r="X330" s="86"/>
      <c r="Y330" s="86"/>
      <c r="Z330" s="86"/>
      <c r="AA330" s="86"/>
    </row>
    <row r="331" spans="1:27" ht="14.25" customHeight="1" x14ac:dyDescent="0.35">
      <c r="A331" s="76">
        <v>0</v>
      </c>
      <c r="B331" s="87" t="str">
        <v>Nitshada Keawsri</v>
      </c>
      <c r="C331" s="76"/>
      <c r="D331" s="78">
        <f>IF(C331=0,0,_xlfn.IFNA(IF( MATCH(C331,Rangliste!B:B,0)&gt;0,0,1),1))</f>
        <v>0</v>
      </c>
      <c r="E331" s="85" t="str">
        <f t="shared" si="1"/>
        <v/>
      </c>
      <c r="F331" s="85"/>
      <c r="G331" s="83"/>
      <c r="H331" s="86"/>
      <c r="I331" s="86"/>
      <c r="J331" s="86"/>
      <c r="K331" s="62"/>
      <c r="L331" s="86"/>
      <c r="M331" s="86"/>
      <c r="N331" s="86"/>
      <c r="O331" s="86"/>
      <c r="P331" s="86"/>
      <c r="Q331" s="86"/>
      <c r="R331" s="86"/>
      <c r="S331" s="86"/>
      <c r="T331" s="86"/>
      <c r="U331" s="86"/>
      <c r="V331" s="86"/>
      <c r="W331" s="86"/>
      <c r="X331" s="86"/>
      <c r="Y331" s="86"/>
      <c r="Z331" s="86"/>
      <c r="AA331" s="86"/>
    </row>
    <row r="332" spans="1:27" ht="14.25" customHeight="1" x14ac:dyDescent="0.35">
      <c r="A332" s="76">
        <v>0</v>
      </c>
      <c r="B332" s="87" t="str">
        <v>Aylin Simone Aktas</v>
      </c>
      <c r="C332" s="76"/>
      <c r="D332" s="78">
        <f>IF(C332=0,0,_xlfn.IFNA(IF( MATCH(C332,Rangliste!B:B,0)&gt;0,0,1),1))</f>
        <v>0</v>
      </c>
      <c r="E332" s="85" t="str">
        <f t="shared" si="1"/>
        <v/>
      </c>
      <c r="F332" s="85"/>
      <c r="G332" s="83"/>
      <c r="H332" s="86"/>
      <c r="I332" s="86"/>
      <c r="J332" s="86"/>
      <c r="K332" s="62"/>
      <c r="L332" s="86"/>
      <c r="M332" s="86"/>
      <c r="N332" s="86"/>
      <c r="O332" s="86"/>
      <c r="P332" s="86"/>
      <c r="Q332" s="86"/>
      <c r="R332" s="86"/>
      <c r="S332" s="86"/>
      <c r="T332" s="86"/>
      <c r="U332" s="86"/>
      <c r="V332" s="86"/>
      <c r="W332" s="86"/>
      <c r="X332" s="86"/>
      <c r="Y332" s="86"/>
      <c r="Z332" s="86"/>
      <c r="AA332" s="86"/>
    </row>
    <row r="333" spans="1:27" ht="14.25" customHeight="1" x14ac:dyDescent="0.35">
      <c r="A333" s="76">
        <v>0</v>
      </c>
      <c r="B333" s="87" t="str">
        <v>Yunqi Yang</v>
      </c>
      <c r="C333" s="76"/>
      <c r="D333" s="78">
        <f>IF(C333=0,0,_xlfn.IFNA(IF( MATCH(C333,Rangliste!B:B,0)&gt;0,0,1),1))</f>
        <v>0</v>
      </c>
      <c r="E333" s="85" t="str">
        <f t="shared" si="1"/>
        <v/>
      </c>
      <c r="F333" s="85"/>
      <c r="G333" s="83"/>
      <c r="H333" s="86"/>
      <c r="I333" s="86"/>
      <c r="J333" s="86"/>
      <c r="K333" s="62"/>
      <c r="L333" s="86"/>
      <c r="M333" s="86"/>
      <c r="N333" s="86"/>
      <c r="O333" s="86"/>
      <c r="P333" s="86"/>
      <c r="Q333" s="86"/>
      <c r="R333" s="86"/>
      <c r="S333" s="86"/>
      <c r="T333" s="86"/>
      <c r="U333" s="86"/>
      <c r="V333" s="86"/>
      <c r="W333" s="86"/>
      <c r="X333" s="86"/>
      <c r="Y333" s="86"/>
      <c r="Z333" s="86"/>
      <c r="AA333" s="86"/>
    </row>
    <row r="334" spans="1:27" ht="14.25" customHeight="1" x14ac:dyDescent="0.35">
      <c r="A334" s="76">
        <v>0</v>
      </c>
      <c r="B334" s="87" t="str">
        <v>Linna Dai</v>
      </c>
      <c r="C334" s="76"/>
      <c r="D334" s="78">
        <f>IF(C334=0,0,_xlfn.IFNA(IF( MATCH(C334,Rangliste!B:B,0)&gt;0,0,1),1))</f>
        <v>0</v>
      </c>
      <c r="E334" s="85" t="str">
        <f t="shared" si="1"/>
        <v/>
      </c>
      <c r="F334" s="85"/>
      <c r="G334" s="83"/>
      <c r="H334" s="86"/>
      <c r="I334" s="86"/>
      <c r="J334" s="86"/>
      <c r="K334" s="62"/>
      <c r="L334" s="86"/>
      <c r="M334" s="86"/>
      <c r="N334" s="86"/>
      <c r="O334" s="86"/>
      <c r="P334" s="86"/>
      <c r="Q334" s="86"/>
      <c r="R334" s="86"/>
      <c r="S334" s="86"/>
      <c r="T334" s="86"/>
      <c r="U334" s="86"/>
      <c r="V334" s="86"/>
      <c r="W334" s="86"/>
      <c r="X334" s="86"/>
      <c r="Y334" s="86"/>
      <c r="Z334" s="86"/>
      <c r="AA334" s="86"/>
    </row>
    <row r="335" spans="1:27" ht="14.25" customHeight="1" x14ac:dyDescent="0.35">
      <c r="A335" s="76">
        <v>0</v>
      </c>
      <c r="B335" s="87" t="str">
        <v>Wolfgang Scheifinger</v>
      </c>
      <c r="C335" s="76"/>
      <c r="D335" s="78">
        <f>IF(C335=0,0,_xlfn.IFNA(IF( MATCH(C335,Rangliste!B:B,0)&gt;0,0,1),1))</f>
        <v>0</v>
      </c>
      <c r="E335" s="85" t="str">
        <f t="shared" si="1"/>
        <v/>
      </c>
      <c r="F335" s="85"/>
      <c r="G335" s="83"/>
      <c r="H335" s="86"/>
      <c r="I335" s="86"/>
      <c r="J335" s="86"/>
      <c r="K335" s="62"/>
      <c r="L335" s="86"/>
      <c r="M335" s="86"/>
      <c r="N335" s="86"/>
      <c r="O335" s="86"/>
      <c r="P335" s="86"/>
      <c r="Q335" s="86"/>
      <c r="R335" s="86"/>
      <c r="S335" s="86"/>
      <c r="T335" s="86"/>
      <c r="U335" s="86"/>
      <c r="V335" s="86"/>
      <c r="W335" s="86"/>
      <c r="X335" s="86"/>
      <c r="Y335" s="86"/>
      <c r="Z335" s="86"/>
      <c r="AA335" s="86"/>
    </row>
    <row r="336" spans="1:27" ht="14.25" customHeight="1" x14ac:dyDescent="0.35">
      <c r="A336" s="76">
        <v>0</v>
      </c>
      <c r="B336" s="87" t="str">
        <v>Matthias Fessl</v>
      </c>
      <c r="C336" s="76"/>
      <c r="D336" s="78">
        <f>IF(C336=0,0,_xlfn.IFNA(IF( MATCH(C336,Rangliste!B:B,0)&gt;0,0,1),1))</f>
        <v>0</v>
      </c>
      <c r="E336" s="85" t="str">
        <f t="shared" si="1"/>
        <v/>
      </c>
      <c r="F336" s="85"/>
      <c r="G336" s="83"/>
      <c r="H336" s="86"/>
      <c r="I336" s="86"/>
      <c r="J336" s="86"/>
      <c r="K336" s="62"/>
      <c r="L336" s="86"/>
      <c r="M336" s="86"/>
      <c r="N336" s="86"/>
      <c r="O336" s="86"/>
      <c r="P336" s="86"/>
      <c r="Q336" s="86"/>
      <c r="R336" s="86"/>
      <c r="S336" s="86"/>
      <c r="T336" s="86"/>
      <c r="U336" s="86"/>
      <c r="V336" s="86"/>
      <c r="W336" s="86"/>
      <c r="X336" s="86"/>
      <c r="Y336" s="86"/>
      <c r="Z336" s="86"/>
      <c r="AA336" s="86"/>
    </row>
    <row r="337" spans="1:27" ht="14.25" customHeight="1" x14ac:dyDescent="0.35">
      <c r="A337" s="76">
        <v>0</v>
      </c>
      <c r="B337" s="87" t="str">
        <v>Sebastian Steiner</v>
      </c>
      <c r="C337" s="76"/>
      <c r="D337" s="78">
        <f>IF(C337=0,0,_xlfn.IFNA(IF( MATCH(C337,Rangliste!B:B,0)&gt;0,0,1),1))</f>
        <v>0</v>
      </c>
      <c r="E337" s="85" t="str">
        <f t="shared" si="1"/>
        <v/>
      </c>
      <c r="F337" s="85"/>
      <c r="G337" s="83"/>
      <c r="H337" s="86"/>
      <c r="I337" s="86"/>
      <c r="J337" s="86"/>
      <c r="K337" s="62"/>
      <c r="L337" s="86"/>
      <c r="M337" s="86"/>
      <c r="N337" s="86"/>
      <c r="O337" s="86"/>
      <c r="P337" s="86"/>
      <c r="Q337" s="86"/>
      <c r="R337" s="86"/>
      <c r="S337" s="86"/>
      <c r="T337" s="86"/>
      <c r="U337" s="86"/>
      <c r="V337" s="86"/>
      <c r="W337" s="86"/>
      <c r="X337" s="86"/>
      <c r="Y337" s="86"/>
      <c r="Z337" s="86"/>
      <c r="AA337" s="86"/>
    </row>
    <row r="338" spans="1:27" ht="14.25" customHeight="1" x14ac:dyDescent="0.35">
      <c r="A338" s="76">
        <v>0</v>
      </c>
      <c r="B338" s="87" t="str">
        <v>Leandra Pfendesak</v>
      </c>
      <c r="C338" s="76"/>
      <c r="D338" s="78">
        <f>IF(C338=0,0,_xlfn.IFNA(IF( MATCH(C338,Rangliste!B:B,0)&gt;0,0,1),1))</f>
        <v>0</v>
      </c>
      <c r="E338" s="85" t="str">
        <f t="shared" si="1"/>
        <v/>
      </c>
      <c r="F338" s="85"/>
      <c r="G338" s="83"/>
      <c r="H338" s="86"/>
      <c r="I338" s="86"/>
      <c r="J338" s="86"/>
      <c r="K338" s="62"/>
      <c r="L338" s="86"/>
      <c r="M338" s="86"/>
      <c r="N338" s="86"/>
      <c r="O338" s="86"/>
      <c r="P338" s="86"/>
      <c r="Q338" s="86"/>
      <c r="R338" s="86"/>
      <c r="S338" s="86"/>
      <c r="T338" s="86"/>
      <c r="U338" s="86"/>
      <c r="V338" s="86"/>
      <c r="W338" s="86"/>
      <c r="X338" s="86"/>
      <c r="Y338" s="86"/>
      <c r="Z338" s="86"/>
      <c r="AA338" s="86"/>
    </row>
    <row r="339" spans="1:27" ht="14.25" customHeight="1" x14ac:dyDescent="0.35">
      <c r="A339" s="76">
        <v>0</v>
      </c>
      <c r="B339" s="87" t="str">
        <v>Mia Khaylo</v>
      </c>
      <c r="C339" s="76"/>
      <c r="D339" s="78">
        <f>IF(C339=0,0,_xlfn.IFNA(IF( MATCH(C339,Rangliste!B:B,0)&gt;0,0,1),1))</f>
        <v>0</v>
      </c>
      <c r="E339" s="85" t="str">
        <f t="shared" si="1"/>
        <v/>
      </c>
      <c r="F339" s="85"/>
      <c r="G339" s="83"/>
      <c r="H339" s="86"/>
      <c r="I339" s="86"/>
      <c r="J339" s="86"/>
      <c r="K339" s="62"/>
      <c r="L339" s="86"/>
      <c r="M339" s="86"/>
      <c r="N339" s="86"/>
      <c r="O339" s="86"/>
      <c r="P339" s="86"/>
      <c r="Q339" s="86"/>
      <c r="R339" s="86"/>
      <c r="S339" s="86"/>
      <c r="T339" s="86"/>
      <c r="U339" s="86"/>
      <c r="V339" s="86"/>
      <c r="W339" s="86"/>
      <c r="X339" s="86"/>
      <c r="Y339" s="86"/>
      <c r="Z339" s="86"/>
      <c r="AA339" s="86"/>
    </row>
    <row r="340" spans="1:27" ht="14.25" customHeight="1" x14ac:dyDescent="0.35">
      <c r="A340" s="76" t="str">
        <f t="array" ref="A340:A355">'NÖBV 2'!$F$3:$F$18</f>
        <v>Lukas Buschenreithner</v>
      </c>
      <c r="B340" s="87" t="str">
        <v>Randeep Sekhon</v>
      </c>
      <c r="C340" s="76"/>
      <c r="D340" s="78">
        <f>IF(C340=0,0,_xlfn.IFNA(IF( MATCH(C340,Rangliste!B:B,0)&gt;0,0,1),1))</f>
        <v>0</v>
      </c>
      <c r="E340" s="85" t="str">
        <f t="shared" si="1"/>
        <v/>
      </c>
      <c r="F340" s="85"/>
      <c r="G340" s="83"/>
      <c r="H340" s="86"/>
      <c r="I340" s="86"/>
      <c r="J340" s="86"/>
      <c r="K340" s="62"/>
      <c r="L340" s="86"/>
      <c r="M340" s="86"/>
      <c r="N340" s="86"/>
      <c r="O340" s="86"/>
      <c r="P340" s="86"/>
      <c r="Q340" s="86"/>
      <c r="R340" s="86"/>
      <c r="S340" s="86"/>
      <c r="T340" s="86"/>
      <c r="U340" s="86"/>
      <c r="V340" s="86"/>
      <c r="W340" s="86"/>
      <c r="X340" s="86"/>
      <c r="Y340" s="86"/>
      <c r="Z340" s="86"/>
      <c r="AA340" s="86"/>
    </row>
    <row r="341" spans="1:27" ht="14.25" customHeight="1" x14ac:dyDescent="0.35">
      <c r="A341" s="76" t="str">
        <v>Tobias Lindorfer</v>
      </c>
      <c r="B341" s="87" t="str">
        <v>Vihaan Vishal Sharma</v>
      </c>
      <c r="C341" s="76"/>
      <c r="D341" s="78">
        <f>IF(C341=0,0,_xlfn.IFNA(IF( MATCH(C341,Rangliste!B:B,0)&gt;0,0,1),1))</f>
        <v>0</v>
      </c>
      <c r="E341" s="85" t="str">
        <f t="shared" si="1"/>
        <v/>
      </c>
      <c r="F341" s="85"/>
      <c r="G341" s="83"/>
      <c r="H341" s="86"/>
      <c r="I341" s="86"/>
      <c r="J341" s="86"/>
      <c r="K341" s="62"/>
      <c r="L341" s="86"/>
      <c r="M341" s="86"/>
      <c r="N341" s="86"/>
      <c r="O341" s="86"/>
      <c r="P341" s="86"/>
      <c r="Q341" s="86"/>
      <c r="R341" s="86"/>
      <c r="S341" s="86"/>
      <c r="T341" s="86"/>
      <c r="U341" s="86"/>
      <c r="V341" s="86"/>
      <c r="W341" s="86"/>
      <c r="X341" s="86"/>
      <c r="Y341" s="86"/>
      <c r="Z341" s="86"/>
      <c r="AA341" s="86"/>
    </row>
    <row r="342" spans="1:27" ht="14.25" customHeight="1" x14ac:dyDescent="0.35">
      <c r="A342" s="76" t="str">
        <v>Johanna Floßmann</v>
      </c>
      <c r="B342" s="87" t="str">
        <v>Martin Müller</v>
      </c>
      <c r="C342" s="76"/>
      <c r="D342" s="78">
        <f>IF(C342=0,0,_xlfn.IFNA(IF( MATCH(C342,Rangliste!B:B,0)&gt;0,0,1),1))</f>
        <v>0</v>
      </c>
      <c r="E342" s="85" t="str">
        <f t="shared" si="1"/>
        <v/>
      </c>
      <c r="F342" s="85"/>
      <c r="G342" s="83"/>
      <c r="H342" s="86"/>
      <c r="I342" s="86"/>
      <c r="J342" s="86"/>
      <c r="K342" s="62"/>
      <c r="L342" s="86"/>
      <c r="M342" s="86"/>
      <c r="N342" s="86"/>
      <c r="O342" s="86"/>
      <c r="P342" s="86"/>
      <c r="Q342" s="86"/>
      <c r="R342" s="86"/>
      <c r="S342" s="86"/>
      <c r="T342" s="86"/>
      <c r="U342" s="86"/>
      <c r="V342" s="86"/>
      <c r="W342" s="86"/>
      <c r="X342" s="86"/>
      <c r="Y342" s="86"/>
      <c r="Z342" s="86"/>
      <c r="AA342" s="86"/>
    </row>
    <row r="343" spans="1:27" ht="14.25" customHeight="1" x14ac:dyDescent="0.35">
      <c r="A343" s="76" t="str">
        <v>Daniel Reiter</v>
      </c>
      <c r="B343" s="87" t="str">
        <v>Paul Khaylo</v>
      </c>
      <c r="C343" s="76"/>
      <c r="D343" s="78">
        <f>IF(C343=0,0,_xlfn.IFNA(IF( MATCH(C343,Rangliste!B:B,0)&gt;0,0,1),1))</f>
        <v>0</v>
      </c>
      <c r="E343" s="85" t="str">
        <f t="shared" si="1"/>
        <v/>
      </c>
      <c r="F343" s="85"/>
      <c r="G343" s="83"/>
      <c r="H343" s="86"/>
      <c r="I343" s="86"/>
      <c r="J343" s="86"/>
      <c r="K343" s="62"/>
      <c r="L343" s="86"/>
      <c r="M343" s="86"/>
      <c r="N343" s="86"/>
      <c r="O343" s="86"/>
      <c r="P343" s="86"/>
      <c r="Q343" s="86"/>
      <c r="R343" s="86"/>
      <c r="S343" s="86"/>
      <c r="T343" s="86"/>
      <c r="U343" s="86"/>
      <c r="V343" s="86"/>
      <c r="W343" s="86"/>
      <c r="X343" s="86"/>
      <c r="Y343" s="86"/>
      <c r="Z343" s="86"/>
      <c r="AA343" s="86"/>
    </row>
    <row r="344" spans="1:27" ht="14.25" customHeight="1" x14ac:dyDescent="0.35">
      <c r="A344" s="76" t="str">
        <v>Felix Rädle</v>
      </c>
      <c r="B344" s="87">
        <v>0</v>
      </c>
      <c r="C344" s="76"/>
      <c r="D344" s="78">
        <f>IF(C344=0,0,_xlfn.IFNA(IF( MATCH(C344,Rangliste!B:B,0)&gt;0,0,1),1))</f>
        <v>0</v>
      </c>
      <c r="E344" s="85" t="str">
        <f t="shared" si="1"/>
        <v/>
      </c>
      <c r="F344" s="85"/>
      <c r="G344" s="83"/>
      <c r="H344" s="86"/>
      <c r="I344" s="86"/>
      <c r="J344" s="86"/>
      <c r="K344" s="62"/>
      <c r="L344" s="86"/>
      <c r="M344" s="86"/>
      <c r="N344" s="86"/>
      <c r="O344" s="86"/>
      <c r="P344" s="86"/>
      <c r="Q344" s="86"/>
      <c r="R344" s="86"/>
      <c r="S344" s="86"/>
      <c r="T344" s="86"/>
      <c r="U344" s="86"/>
      <c r="V344" s="86"/>
      <c r="W344" s="86"/>
      <c r="X344" s="86"/>
      <c r="Y344" s="86"/>
      <c r="Z344" s="86"/>
      <c r="AA344" s="86"/>
    </row>
    <row r="345" spans="1:27" ht="14.25" customHeight="1" x14ac:dyDescent="0.35">
      <c r="A345" s="76" t="str">
        <v>Leon Wolansky</v>
      </c>
      <c r="B345" s="87">
        <v>0</v>
      </c>
      <c r="C345" s="76"/>
      <c r="D345" s="78">
        <f>IF(C345=0,0,_xlfn.IFNA(IF( MATCH(C345,Rangliste!B:B,0)&gt;0,0,1),1))</f>
        <v>0</v>
      </c>
      <c r="E345" s="85" t="str">
        <f t="shared" si="1"/>
        <v/>
      </c>
      <c r="F345" s="85"/>
      <c r="G345" s="83"/>
      <c r="H345" s="86"/>
      <c r="I345" s="86"/>
      <c r="J345" s="86"/>
      <c r="K345" s="62"/>
      <c r="L345" s="86"/>
      <c r="M345" s="86"/>
      <c r="N345" s="86"/>
      <c r="O345" s="86"/>
      <c r="P345" s="86"/>
      <c r="Q345" s="86"/>
      <c r="R345" s="86"/>
      <c r="S345" s="86"/>
      <c r="T345" s="86"/>
      <c r="U345" s="86"/>
      <c r="V345" s="86"/>
      <c r="W345" s="86"/>
      <c r="X345" s="86"/>
      <c r="Y345" s="86"/>
      <c r="Z345" s="86"/>
      <c r="AA345" s="86"/>
    </row>
    <row r="346" spans="1:27" ht="14.25" customHeight="1" x14ac:dyDescent="0.35">
      <c r="A346" s="76" t="str">
        <v>Kristof Süveges</v>
      </c>
      <c r="B346" s="87">
        <v>0</v>
      </c>
      <c r="C346" s="76"/>
      <c r="D346" s="78">
        <f>IF(C346=0,0,_xlfn.IFNA(IF( MATCH(C346,Rangliste!B:B,0)&gt;0,0,1),1))</f>
        <v>0</v>
      </c>
      <c r="E346" s="85" t="str">
        <f t="shared" si="1"/>
        <v/>
      </c>
      <c r="F346" s="85"/>
      <c r="G346" s="83"/>
      <c r="H346" s="86"/>
      <c r="I346" s="86"/>
      <c r="J346" s="86"/>
      <c r="K346" s="62"/>
      <c r="L346" s="86"/>
      <c r="M346" s="86"/>
      <c r="N346" s="86"/>
      <c r="O346" s="86"/>
      <c r="P346" s="86"/>
      <c r="Q346" s="86"/>
      <c r="R346" s="86"/>
      <c r="S346" s="86"/>
      <c r="T346" s="86"/>
      <c r="U346" s="86"/>
      <c r="V346" s="86"/>
      <c r="W346" s="86"/>
      <c r="X346" s="86"/>
      <c r="Y346" s="86"/>
      <c r="Z346" s="86"/>
      <c r="AA346" s="86"/>
    </row>
    <row r="347" spans="1:27" ht="14.25" customHeight="1" x14ac:dyDescent="0.35">
      <c r="A347" s="76" t="str">
        <v>Julian Taferl</v>
      </c>
      <c r="B347" s="87">
        <v>0</v>
      </c>
      <c r="C347" s="76"/>
      <c r="D347" s="78">
        <f>IF(C347=0,0,_xlfn.IFNA(IF( MATCH(C347,Rangliste!B:B,0)&gt;0,0,1),1))</f>
        <v>0</v>
      </c>
      <c r="E347" s="85" t="str">
        <f t="shared" si="1"/>
        <v/>
      </c>
      <c r="F347" s="85"/>
      <c r="G347" s="83"/>
      <c r="H347" s="86"/>
      <c r="I347" s="86"/>
      <c r="J347" s="86"/>
      <c r="K347" s="62"/>
      <c r="L347" s="86"/>
      <c r="M347" s="86"/>
      <c r="N347" s="86"/>
      <c r="O347" s="86"/>
      <c r="P347" s="86"/>
      <c r="Q347" s="86"/>
      <c r="R347" s="86"/>
      <c r="S347" s="86"/>
      <c r="T347" s="86"/>
      <c r="U347" s="86"/>
      <c r="V347" s="86"/>
      <c r="W347" s="86"/>
      <c r="X347" s="86"/>
      <c r="Y347" s="86"/>
      <c r="Z347" s="86"/>
      <c r="AA347" s="86"/>
    </row>
    <row r="348" spans="1:27" ht="14.25" customHeight="1" x14ac:dyDescent="0.35">
      <c r="A348" s="76" t="str">
        <v>Elias Bauer</v>
      </c>
      <c r="B348" s="87">
        <v>0</v>
      </c>
      <c r="C348" s="76"/>
      <c r="D348" s="78">
        <f>IF(C348=0,0,_xlfn.IFNA(IF( MATCH(C348,Rangliste!B:B,0)&gt;0,0,1),1))</f>
        <v>0</v>
      </c>
      <c r="E348" s="85" t="str">
        <f t="shared" si="1"/>
        <v/>
      </c>
      <c r="F348" s="85"/>
      <c r="G348" s="83"/>
      <c r="H348" s="86"/>
      <c r="I348" s="86"/>
      <c r="J348" s="86"/>
      <c r="K348" s="62"/>
      <c r="L348" s="86"/>
      <c r="M348" s="86"/>
      <c r="N348" s="86"/>
      <c r="O348" s="86"/>
      <c r="P348" s="86"/>
      <c r="Q348" s="86"/>
      <c r="R348" s="86"/>
      <c r="S348" s="86"/>
      <c r="T348" s="86"/>
      <c r="U348" s="86"/>
      <c r="V348" s="86"/>
      <c r="W348" s="86"/>
      <c r="X348" s="86"/>
      <c r="Y348" s="86"/>
      <c r="Z348" s="86"/>
      <c r="AA348" s="86"/>
    </row>
    <row r="349" spans="1:27" ht="14.25" customHeight="1" x14ac:dyDescent="0.35">
      <c r="A349" s="76" t="str">
        <v>Anna Gugler</v>
      </c>
      <c r="B349" s="87">
        <v>0</v>
      </c>
      <c r="C349" s="76"/>
      <c r="D349" s="78">
        <f>IF(C349=0,0,_xlfn.IFNA(IF( MATCH(C349,Rangliste!B:B,0)&gt;0,0,1),1))</f>
        <v>0</v>
      </c>
      <c r="E349" s="85" t="str">
        <f t="shared" si="1"/>
        <v/>
      </c>
      <c r="F349" s="85"/>
      <c r="G349" s="83"/>
      <c r="H349" s="86"/>
      <c r="I349" s="86"/>
      <c r="J349" s="86"/>
      <c r="K349" s="62"/>
      <c r="L349" s="86"/>
      <c r="M349" s="86"/>
      <c r="N349" s="86"/>
      <c r="O349" s="86"/>
      <c r="P349" s="86"/>
      <c r="Q349" s="86"/>
      <c r="R349" s="86"/>
      <c r="S349" s="86"/>
      <c r="T349" s="86"/>
      <c r="U349" s="86"/>
      <c r="V349" s="86"/>
      <c r="W349" s="86"/>
      <c r="X349" s="86"/>
      <c r="Y349" s="86"/>
      <c r="Z349" s="86"/>
      <c r="AA349" s="86"/>
    </row>
    <row r="350" spans="1:27" ht="14.25" customHeight="1" x14ac:dyDescent="0.35">
      <c r="A350" s="76" t="str">
        <v>Rafael Burian</v>
      </c>
      <c r="B350" s="87">
        <v>0</v>
      </c>
      <c r="C350" s="76"/>
      <c r="D350" s="78">
        <f>IF(C350=0,0,_xlfn.IFNA(IF( MATCH(C350,Rangliste!B:B,0)&gt;0,0,1),1))</f>
        <v>0</v>
      </c>
      <c r="E350" s="85" t="str">
        <f t="shared" si="1"/>
        <v/>
      </c>
      <c r="F350" s="85"/>
      <c r="G350" s="83"/>
      <c r="H350" s="86"/>
      <c r="I350" s="86"/>
      <c r="J350" s="86"/>
      <c r="K350" s="62"/>
      <c r="L350" s="86"/>
      <c r="M350" s="86"/>
      <c r="N350" s="86"/>
      <c r="O350" s="86"/>
      <c r="P350" s="86"/>
      <c r="Q350" s="86"/>
      <c r="R350" s="86"/>
      <c r="S350" s="86"/>
      <c r="T350" s="86"/>
      <c r="U350" s="86"/>
      <c r="V350" s="86"/>
      <c r="W350" s="86"/>
      <c r="X350" s="86"/>
      <c r="Y350" s="86"/>
      <c r="Z350" s="86"/>
      <c r="AA350" s="86"/>
    </row>
    <row r="351" spans="1:27" ht="14.25" customHeight="1" x14ac:dyDescent="0.35">
      <c r="A351" s="76" t="str">
        <v>Viktoria Klein</v>
      </c>
      <c r="B351" s="87">
        <v>0</v>
      </c>
      <c r="C351" s="76"/>
      <c r="D351" s="78">
        <f>IF(C351=0,0,_xlfn.IFNA(IF( MATCH(C351,Rangliste!B:B,0)&gt;0,0,1),1))</f>
        <v>0</v>
      </c>
      <c r="E351" s="85" t="str">
        <f t="shared" si="1"/>
        <v/>
      </c>
      <c r="F351" s="85"/>
      <c r="G351" s="83"/>
      <c r="H351" s="86"/>
      <c r="I351" s="86"/>
      <c r="J351" s="86"/>
      <c r="K351" s="62"/>
      <c r="L351" s="86"/>
      <c r="M351" s="86"/>
      <c r="N351" s="86"/>
      <c r="O351" s="86"/>
      <c r="P351" s="86"/>
      <c r="Q351" s="86"/>
      <c r="R351" s="86"/>
      <c r="S351" s="86"/>
      <c r="T351" s="86"/>
      <c r="U351" s="86"/>
      <c r="V351" s="86"/>
      <c r="W351" s="86"/>
      <c r="X351" s="86"/>
      <c r="Y351" s="86"/>
      <c r="Z351" s="86"/>
      <c r="AA351" s="86"/>
    </row>
    <row r="352" spans="1:27" ht="14.25" customHeight="1" x14ac:dyDescent="0.35">
      <c r="A352" s="76" t="str">
        <v>Dimitrij Wolgin</v>
      </c>
      <c r="B352" s="87">
        <v>0</v>
      </c>
      <c r="C352" s="76"/>
      <c r="D352" s="78">
        <f>IF(C352=0,0,_xlfn.IFNA(IF( MATCH(C352,Rangliste!B:B,0)&gt;0,0,1),1))</f>
        <v>0</v>
      </c>
      <c r="E352" s="85" t="str">
        <f t="shared" si="1"/>
        <v/>
      </c>
      <c r="F352" s="85"/>
      <c r="G352" s="83"/>
      <c r="H352" s="86"/>
      <c r="I352" s="86"/>
      <c r="J352" s="86"/>
      <c r="K352" s="62"/>
      <c r="L352" s="86"/>
      <c r="M352" s="86"/>
      <c r="N352" s="86"/>
      <c r="O352" s="86"/>
      <c r="P352" s="86"/>
      <c r="Q352" s="86"/>
      <c r="R352" s="86"/>
      <c r="S352" s="86"/>
      <c r="T352" s="86"/>
      <c r="U352" s="86"/>
      <c r="V352" s="86"/>
      <c r="W352" s="86"/>
      <c r="X352" s="86"/>
      <c r="Y352" s="86"/>
      <c r="Z352" s="86"/>
      <c r="AA352" s="86"/>
    </row>
    <row r="353" spans="1:27" ht="14.25" customHeight="1" x14ac:dyDescent="0.35">
      <c r="A353" s="76" t="str">
        <v>Viktor Aleksic</v>
      </c>
      <c r="B353" s="87">
        <v>0</v>
      </c>
      <c r="C353" s="76"/>
      <c r="D353" s="78">
        <f>IF(C353=0,0,_xlfn.IFNA(IF( MATCH(C353,Rangliste!B:B,0)&gt;0,0,1),1))</f>
        <v>0</v>
      </c>
      <c r="E353" s="85" t="str">
        <f t="shared" si="1"/>
        <v/>
      </c>
      <c r="F353" s="85"/>
      <c r="G353" s="83"/>
      <c r="H353" s="86"/>
      <c r="I353" s="86"/>
      <c r="J353" s="86"/>
      <c r="K353" s="62"/>
      <c r="L353" s="86"/>
      <c r="M353" s="86"/>
      <c r="N353" s="86"/>
      <c r="O353" s="86"/>
      <c r="P353" s="86"/>
      <c r="Q353" s="86"/>
      <c r="R353" s="86"/>
      <c r="S353" s="86"/>
      <c r="T353" s="86"/>
      <c r="U353" s="86"/>
      <c r="V353" s="86"/>
      <c r="W353" s="86"/>
      <c r="X353" s="86"/>
      <c r="Y353" s="86"/>
      <c r="Z353" s="86"/>
      <c r="AA353" s="86"/>
    </row>
    <row r="354" spans="1:27" ht="14.25" customHeight="1" x14ac:dyDescent="0.35">
      <c r="A354" s="76" t="str">
        <v>Marco Papp</v>
      </c>
      <c r="B354" s="87">
        <v>0</v>
      </c>
      <c r="C354" s="76"/>
      <c r="D354" s="78">
        <f>IF(C354=0,0,_xlfn.IFNA(IF( MATCH(C354,Rangliste!B:B,0)&gt;0,0,1),1))</f>
        <v>0</v>
      </c>
      <c r="E354" s="85" t="str">
        <f t="shared" si="1"/>
        <v/>
      </c>
      <c r="F354" s="85"/>
      <c r="G354" s="83"/>
      <c r="H354" s="86"/>
      <c r="I354" s="86"/>
      <c r="J354" s="86"/>
      <c r="K354" s="62"/>
      <c r="L354" s="86"/>
      <c r="M354" s="86"/>
      <c r="N354" s="86"/>
      <c r="O354" s="86"/>
      <c r="P354" s="86"/>
      <c r="Q354" s="86"/>
      <c r="R354" s="86"/>
      <c r="S354" s="86"/>
      <c r="T354" s="86"/>
      <c r="U354" s="86"/>
      <c r="V354" s="86"/>
      <c r="W354" s="86"/>
      <c r="X354" s="86"/>
      <c r="Y354" s="86"/>
      <c r="Z354" s="86"/>
      <c r="AA354" s="86"/>
    </row>
    <row r="355" spans="1:27" ht="14.25" customHeight="1" x14ac:dyDescent="0.35">
      <c r="A355" s="76">
        <v>0</v>
      </c>
      <c r="B355" s="87">
        <v>0</v>
      </c>
      <c r="C355" s="76"/>
      <c r="D355" s="78">
        <f>IF(C355=0,0,_xlfn.IFNA(IF( MATCH(C355,Rangliste!B:B,0)&gt;0,0,1),1))</f>
        <v>0</v>
      </c>
      <c r="E355" s="85" t="str">
        <f t="shared" si="1"/>
        <v/>
      </c>
      <c r="F355" s="85"/>
      <c r="G355" s="83"/>
      <c r="H355" s="86"/>
      <c r="I355" s="86"/>
      <c r="J355" s="86"/>
      <c r="K355" s="62"/>
      <c r="L355" s="86"/>
      <c r="M355" s="86"/>
      <c r="N355" s="86"/>
      <c r="O355" s="86"/>
      <c r="P355" s="86"/>
      <c r="Q355" s="86"/>
      <c r="R355" s="86"/>
      <c r="S355" s="86"/>
      <c r="T355" s="86"/>
      <c r="U355" s="86"/>
      <c r="V355" s="86"/>
      <c r="W355" s="86"/>
      <c r="X355" s="86"/>
      <c r="Y355" s="86"/>
      <c r="Z355" s="86"/>
      <c r="AA355" s="86"/>
    </row>
    <row r="356" spans="1:27" ht="14.25" customHeight="1" x14ac:dyDescent="0.35">
      <c r="A356" s="76" t="str">
        <f t="array" ref="A356:A371">'NÖBV 2'!$J$3:$J$18</f>
        <v>Julian Österreicher</v>
      </c>
      <c r="B356" s="87" t="str">
        <f t="array" ref="B356:B387">'WBV 3'!$N$3:$N$34</f>
        <v>Louis Mayer</v>
      </c>
      <c r="C356" s="76"/>
      <c r="D356" s="78">
        <f>IF(C356=0,0,_xlfn.IFNA(IF( MATCH(C356,Rangliste!B:B,0)&gt;0,0,1),1))</f>
        <v>0</v>
      </c>
      <c r="E356" s="85" t="str">
        <f t="shared" si="1"/>
        <v/>
      </c>
      <c r="F356" s="85"/>
      <c r="G356" s="83"/>
      <c r="H356" s="86"/>
      <c r="I356" s="86"/>
      <c r="J356" s="86"/>
      <c r="K356" s="62"/>
      <c r="L356" s="86"/>
      <c r="M356" s="86"/>
      <c r="N356" s="86"/>
      <c r="O356" s="86"/>
      <c r="P356" s="86"/>
      <c r="Q356" s="86"/>
      <c r="R356" s="86"/>
      <c r="S356" s="86"/>
      <c r="T356" s="86"/>
      <c r="U356" s="86"/>
      <c r="V356" s="86"/>
      <c r="W356" s="86"/>
      <c r="X356" s="86"/>
      <c r="Y356" s="86"/>
      <c r="Z356" s="86"/>
      <c r="AA356" s="86"/>
    </row>
    <row r="357" spans="1:27" ht="14.25" customHeight="1" x14ac:dyDescent="0.35">
      <c r="A357" s="76" t="str">
        <v>Leon Hausmann</v>
      </c>
      <c r="B357" s="87" t="str">
        <v>Philipp Bauer</v>
      </c>
      <c r="C357" s="76"/>
      <c r="D357" s="78">
        <f>IF(C357=0,0,_xlfn.IFNA(IF( MATCH(C357,Rangliste!B:B,0)&gt;0,0,1),1))</f>
        <v>0</v>
      </c>
      <c r="E357" s="85" t="str">
        <f t="shared" si="1"/>
        <v/>
      </c>
      <c r="F357" s="85"/>
      <c r="G357" s="83"/>
      <c r="H357" s="86"/>
      <c r="I357" s="86"/>
      <c r="J357" s="86"/>
      <c r="K357" s="62"/>
      <c r="L357" s="86"/>
      <c r="M357" s="86"/>
      <c r="N357" s="86"/>
      <c r="O357" s="86"/>
      <c r="P357" s="86"/>
      <c r="Q357" s="86"/>
      <c r="R357" s="86"/>
      <c r="S357" s="86"/>
      <c r="T357" s="86"/>
      <c r="U357" s="86"/>
      <c r="V357" s="86"/>
      <c r="W357" s="86"/>
      <c r="X357" s="86"/>
      <c r="Y357" s="86"/>
      <c r="Z357" s="86"/>
      <c r="AA357" s="86"/>
    </row>
    <row r="358" spans="1:27" ht="14.25" customHeight="1" x14ac:dyDescent="0.35">
      <c r="A358" s="76" t="str">
        <v>Mátyás Palotai</v>
      </c>
      <c r="B358" s="87" t="str">
        <v>Vasudev Duggirala</v>
      </c>
      <c r="C358" s="76"/>
      <c r="D358" s="78">
        <f>IF(C358=0,0,_xlfn.IFNA(IF( MATCH(C358,Rangliste!B:B,0)&gt;0,0,1),1))</f>
        <v>0</v>
      </c>
      <c r="E358" s="85" t="str">
        <f t="shared" si="1"/>
        <v/>
      </c>
      <c r="F358" s="85"/>
      <c r="G358" s="83"/>
      <c r="H358" s="86"/>
      <c r="I358" s="86"/>
      <c r="J358" s="86"/>
      <c r="K358" s="62"/>
      <c r="L358" s="86"/>
      <c r="M358" s="86"/>
      <c r="N358" s="86"/>
      <c r="O358" s="86"/>
      <c r="P358" s="86"/>
      <c r="Q358" s="86"/>
      <c r="R358" s="86"/>
      <c r="S358" s="86"/>
      <c r="T358" s="86"/>
      <c r="U358" s="86"/>
      <c r="V358" s="86"/>
      <c r="W358" s="86"/>
      <c r="X358" s="86"/>
      <c r="Y358" s="86"/>
      <c r="Z358" s="86"/>
      <c r="AA358" s="86"/>
    </row>
    <row r="359" spans="1:27" ht="14.25" customHeight="1" x14ac:dyDescent="0.35">
      <c r="A359" s="76" t="str">
        <v>Nora Walter</v>
      </c>
      <c r="B359" s="87" t="str">
        <v>Agampreet Singh</v>
      </c>
      <c r="C359" s="76"/>
      <c r="D359" s="78">
        <f>IF(C359=0,0,_xlfn.IFNA(IF( MATCH(C359,Rangliste!B:B,0)&gt;0,0,1),1))</f>
        <v>0</v>
      </c>
      <c r="E359" s="85" t="str">
        <f t="shared" si="1"/>
        <v/>
      </c>
      <c r="F359" s="85"/>
      <c r="G359" s="83"/>
      <c r="H359" s="86"/>
      <c r="I359" s="86"/>
      <c r="J359" s="86"/>
      <c r="K359" s="62"/>
      <c r="L359" s="86"/>
      <c r="M359" s="86"/>
      <c r="N359" s="86"/>
      <c r="O359" s="86"/>
      <c r="P359" s="86"/>
      <c r="Q359" s="86"/>
      <c r="R359" s="86"/>
      <c r="S359" s="86"/>
      <c r="T359" s="86"/>
      <c r="U359" s="86"/>
      <c r="V359" s="86"/>
      <c r="W359" s="86"/>
      <c r="X359" s="86"/>
      <c r="Y359" s="86"/>
      <c r="Z359" s="86"/>
      <c r="AA359" s="86"/>
    </row>
    <row r="360" spans="1:27" ht="14.25" customHeight="1" x14ac:dyDescent="0.35">
      <c r="A360" s="76" t="str">
        <v>Sophie Grünwald</v>
      </c>
      <c r="B360" s="87" t="str">
        <v>Vito Eisenhardt</v>
      </c>
      <c r="C360" s="76"/>
      <c r="D360" s="78">
        <f>IF(C360=0,0,_xlfn.IFNA(IF( MATCH(C360,Rangliste!B:B,0)&gt;0,0,1),1))</f>
        <v>0</v>
      </c>
      <c r="E360" s="85" t="str">
        <f t="shared" si="1"/>
        <v/>
      </c>
      <c r="F360" s="85"/>
      <c r="G360" s="83"/>
      <c r="H360" s="86"/>
      <c r="I360" s="86"/>
      <c r="J360" s="86"/>
      <c r="K360" s="62"/>
      <c r="L360" s="86"/>
      <c r="M360" s="86"/>
      <c r="N360" s="86"/>
      <c r="O360" s="86"/>
      <c r="P360" s="86"/>
      <c r="Q360" s="86"/>
      <c r="R360" s="86"/>
      <c r="S360" s="86"/>
      <c r="T360" s="86"/>
      <c r="U360" s="86"/>
      <c r="V360" s="86"/>
      <c r="W360" s="86"/>
      <c r="X360" s="86"/>
      <c r="Y360" s="86"/>
      <c r="Z360" s="86"/>
      <c r="AA360" s="86"/>
    </row>
    <row r="361" spans="1:27" ht="14.25" customHeight="1" x14ac:dyDescent="0.35">
      <c r="A361" s="76" t="str">
        <v>Stella Marie Widder</v>
      </c>
      <c r="B361" s="87" t="str">
        <v>Benjamin Nagy</v>
      </c>
      <c r="C361" s="76"/>
      <c r="D361" s="78">
        <f>IF(C361=0,0,_xlfn.IFNA(IF( MATCH(C361,Rangliste!B:B,0)&gt;0,0,1),1))</f>
        <v>0</v>
      </c>
      <c r="E361" s="85" t="str">
        <f t="shared" si="1"/>
        <v/>
      </c>
      <c r="F361" s="85"/>
      <c r="G361" s="83"/>
      <c r="H361" s="86"/>
      <c r="I361" s="86"/>
      <c r="J361" s="86"/>
      <c r="K361" s="62"/>
      <c r="L361" s="86"/>
      <c r="M361" s="86"/>
      <c r="N361" s="86"/>
      <c r="O361" s="86"/>
      <c r="P361" s="86"/>
      <c r="Q361" s="86"/>
      <c r="R361" s="86"/>
      <c r="S361" s="86"/>
      <c r="T361" s="86"/>
      <c r="U361" s="86"/>
      <c r="V361" s="86"/>
      <c r="W361" s="86"/>
      <c r="X361" s="86"/>
      <c r="Y361" s="86"/>
      <c r="Z361" s="86"/>
      <c r="AA361" s="86"/>
    </row>
    <row r="362" spans="1:27" ht="14.25" customHeight="1" x14ac:dyDescent="0.35">
      <c r="A362" s="76" t="str">
        <v>Elma Duvnjak</v>
      </c>
      <c r="B362" s="87" t="str">
        <v>Clemens Braun</v>
      </c>
      <c r="C362" s="76"/>
      <c r="D362" s="78">
        <f>IF(C362=0,0,_xlfn.IFNA(IF( MATCH(C362,Rangliste!B:B,0)&gt;0,0,1),1))</f>
        <v>0</v>
      </c>
      <c r="E362" s="85" t="str">
        <f t="shared" si="1"/>
        <v/>
      </c>
      <c r="F362" s="85"/>
      <c r="G362" s="83"/>
      <c r="H362" s="86"/>
      <c r="I362" s="86"/>
      <c r="J362" s="86"/>
      <c r="K362" s="62"/>
      <c r="L362" s="86"/>
      <c r="M362" s="86"/>
      <c r="N362" s="86"/>
      <c r="O362" s="86"/>
      <c r="P362" s="86"/>
      <c r="Q362" s="86"/>
      <c r="R362" s="86"/>
      <c r="S362" s="86"/>
      <c r="T362" s="86"/>
      <c r="U362" s="86"/>
      <c r="V362" s="86"/>
      <c r="W362" s="86"/>
      <c r="X362" s="86"/>
      <c r="Y362" s="86"/>
      <c r="Z362" s="86"/>
      <c r="AA362" s="86"/>
    </row>
    <row r="363" spans="1:27" ht="14.25" customHeight="1" x14ac:dyDescent="0.35">
      <c r="A363" s="76" t="str">
        <v>Lorenz Grün</v>
      </c>
      <c r="B363" s="87" t="str">
        <v>Yinuo Chen</v>
      </c>
      <c r="C363" s="76"/>
      <c r="D363" s="78">
        <f>IF(C363=0,0,_xlfn.IFNA(IF( MATCH(C363,Rangliste!B:B,0)&gt;0,0,1),1))</f>
        <v>0</v>
      </c>
      <c r="E363" s="85" t="str">
        <f t="shared" si="1"/>
        <v/>
      </c>
      <c r="F363" s="85"/>
      <c r="G363" s="83"/>
      <c r="H363" s="86"/>
      <c r="I363" s="86"/>
      <c r="J363" s="86"/>
      <c r="K363" s="62"/>
      <c r="L363" s="86"/>
      <c r="M363" s="86"/>
      <c r="N363" s="86"/>
      <c r="O363" s="86"/>
      <c r="P363" s="86"/>
      <c r="Q363" s="86"/>
      <c r="R363" s="86"/>
      <c r="S363" s="86"/>
      <c r="T363" s="86"/>
      <c r="U363" s="86"/>
      <c r="V363" s="86"/>
      <c r="W363" s="86"/>
      <c r="X363" s="86"/>
      <c r="Y363" s="86"/>
      <c r="Z363" s="86"/>
      <c r="AA363" s="86"/>
    </row>
    <row r="364" spans="1:27" ht="14.25" customHeight="1" x14ac:dyDescent="0.35">
      <c r="A364" s="76" t="str">
        <v>Dario Kasser</v>
      </c>
      <c r="B364" s="87" t="str">
        <v>Sahasra Mangena</v>
      </c>
      <c r="C364" s="76"/>
      <c r="D364" s="78">
        <f>IF(C364=0,0,_xlfn.IFNA(IF( MATCH(C364,Rangliste!B:B,0)&gt;0,0,1),1))</f>
        <v>0</v>
      </c>
      <c r="E364" s="85" t="str">
        <f t="shared" si="1"/>
        <v/>
      </c>
      <c r="F364" s="85"/>
      <c r="G364" s="83"/>
      <c r="H364" s="86"/>
      <c r="I364" s="86"/>
      <c r="J364" s="86"/>
      <c r="K364" s="62"/>
      <c r="L364" s="86"/>
      <c r="M364" s="86"/>
      <c r="N364" s="86"/>
      <c r="O364" s="86"/>
      <c r="P364" s="86"/>
      <c r="Q364" s="86"/>
      <c r="R364" s="86"/>
      <c r="S364" s="86"/>
      <c r="T364" s="86"/>
      <c r="U364" s="86"/>
      <c r="V364" s="86"/>
      <c r="W364" s="86"/>
      <c r="X364" s="86"/>
      <c r="Y364" s="86"/>
      <c r="Z364" s="86"/>
      <c r="AA364" s="86"/>
    </row>
    <row r="365" spans="1:27" ht="14.25" customHeight="1" x14ac:dyDescent="0.35">
      <c r="A365" s="76" t="str">
        <v>Paul Lindorfer</v>
      </c>
      <c r="B365" s="87" t="str">
        <v>Antonio Garcia Strzeletz</v>
      </c>
      <c r="C365" s="76"/>
      <c r="D365" s="78">
        <f>IF(C365=0,0,_xlfn.IFNA(IF( MATCH(C365,Rangliste!B:B,0)&gt;0,0,1),1))</f>
        <v>0</v>
      </c>
      <c r="E365" s="85" t="str">
        <f t="shared" si="1"/>
        <v/>
      </c>
      <c r="F365" s="85"/>
      <c r="G365" s="83"/>
      <c r="H365" s="86"/>
      <c r="I365" s="86"/>
      <c r="J365" s="86"/>
      <c r="K365" s="62"/>
      <c r="L365" s="86"/>
      <c r="M365" s="86"/>
      <c r="N365" s="86"/>
      <c r="O365" s="86"/>
      <c r="P365" s="86"/>
      <c r="Q365" s="86"/>
      <c r="R365" s="86"/>
      <c r="S365" s="86"/>
      <c r="T365" s="86"/>
      <c r="U365" s="86"/>
      <c r="V365" s="86"/>
      <c r="W365" s="86"/>
      <c r="X365" s="86"/>
      <c r="Y365" s="86"/>
      <c r="Z365" s="86"/>
      <c r="AA365" s="86"/>
    </row>
    <row r="366" spans="1:27" ht="14.25" customHeight="1" x14ac:dyDescent="0.35">
      <c r="A366" s="76" t="str">
        <v>Hector Recalde</v>
      </c>
      <c r="B366" s="87" t="str">
        <v>Ben Holaus</v>
      </c>
      <c r="C366" s="76"/>
      <c r="D366" s="78">
        <f>IF(C366=0,0,_xlfn.IFNA(IF( MATCH(C366,Rangliste!B:B,0)&gt;0,0,1),1))</f>
        <v>0</v>
      </c>
      <c r="E366" s="85" t="str">
        <f t="shared" si="1"/>
        <v/>
      </c>
      <c r="F366" s="85"/>
      <c r="G366" s="83"/>
      <c r="H366" s="86"/>
      <c r="I366" s="86"/>
      <c r="J366" s="86"/>
      <c r="K366" s="62"/>
      <c r="L366" s="86"/>
      <c r="M366" s="86"/>
      <c r="N366" s="86"/>
      <c r="O366" s="86"/>
      <c r="P366" s="86"/>
      <c r="Q366" s="86"/>
      <c r="R366" s="86"/>
      <c r="S366" s="86"/>
      <c r="T366" s="86"/>
      <c r="U366" s="86"/>
      <c r="V366" s="86"/>
      <c r="W366" s="86"/>
      <c r="X366" s="86"/>
      <c r="Y366" s="86"/>
      <c r="Z366" s="86"/>
      <c r="AA366" s="86"/>
    </row>
    <row r="367" spans="1:27" ht="14.25" customHeight="1" x14ac:dyDescent="0.35">
      <c r="A367" s="76" t="str">
        <v>Emily Nistelberger</v>
      </c>
      <c r="B367" s="87" t="str">
        <v>Liam Hammer</v>
      </c>
      <c r="C367" s="76"/>
      <c r="D367" s="78">
        <f>IF(C367=0,0,_xlfn.IFNA(IF( MATCH(C367,Rangliste!B:B,0)&gt;0,0,1),1))</f>
        <v>0</v>
      </c>
      <c r="E367" s="85" t="str">
        <f t="shared" si="1"/>
        <v/>
      </c>
      <c r="F367" s="85"/>
      <c r="G367" s="83"/>
      <c r="H367" s="86"/>
      <c r="I367" s="86"/>
      <c r="J367" s="86"/>
      <c r="K367" s="62"/>
      <c r="L367" s="86"/>
      <c r="M367" s="86"/>
      <c r="N367" s="86"/>
      <c r="O367" s="86"/>
      <c r="P367" s="86"/>
      <c r="Q367" s="86"/>
      <c r="R367" s="86"/>
      <c r="S367" s="86"/>
      <c r="T367" s="86"/>
      <c r="U367" s="86"/>
      <c r="V367" s="86"/>
      <c r="W367" s="86"/>
      <c r="X367" s="86"/>
      <c r="Y367" s="86"/>
      <c r="Z367" s="86"/>
      <c r="AA367" s="86"/>
    </row>
    <row r="368" spans="1:27" ht="14.25" customHeight="1" x14ac:dyDescent="0.35">
      <c r="A368" s="76" t="str">
        <v>Emma Reiter</v>
      </c>
      <c r="B368" s="87" t="str">
        <v>David Orsolic</v>
      </c>
      <c r="C368" s="76"/>
      <c r="D368" s="78">
        <f>IF(C368=0,0,_xlfn.IFNA(IF( MATCH(C368,Rangliste!B:B,0)&gt;0,0,1),1))</f>
        <v>0</v>
      </c>
      <c r="E368" s="85" t="str">
        <f t="shared" si="1"/>
        <v/>
      </c>
      <c r="F368" s="85"/>
      <c r="G368" s="83"/>
      <c r="H368" s="86"/>
      <c r="I368" s="86"/>
      <c r="J368" s="86"/>
      <c r="K368" s="62"/>
      <c r="L368" s="86"/>
      <c r="M368" s="86"/>
      <c r="N368" s="86"/>
      <c r="O368" s="86"/>
      <c r="P368" s="86"/>
      <c r="Q368" s="86"/>
      <c r="R368" s="86"/>
      <c r="S368" s="86"/>
      <c r="T368" s="86"/>
      <c r="U368" s="86"/>
      <c r="V368" s="86"/>
      <c r="W368" s="86"/>
      <c r="X368" s="86"/>
      <c r="Y368" s="86"/>
      <c r="Z368" s="86"/>
      <c r="AA368" s="86"/>
    </row>
    <row r="369" spans="1:27" ht="14.25" customHeight="1" x14ac:dyDescent="0.35">
      <c r="A369" s="76" t="str">
        <v>Simon Walter</v>
      </c>
      <c r="B369" s="87" t="str">
        <v>Fabian Müller</v>
      </c>
      <c r="C369" s="76"/>
      <c r="D369" s="78">
        <f>IF(C369=0,0,_xlfn.IFNA(IF( MATCH(C369,Rangliste!B:B,0)&gt;0,0,1),1))</f>
        <v>0</v>
      </c>
      <c r="E369" s="85" t="str">
        <f t="shared" si="1"/>
        <v/>
      </c>
      <c r="F369" s="85"/>
      <c r="G369" s="83"/>
      <c r="H369" s="86"/>
      <c r="I369" s="86"/>
      <c r="J369" s="86"/>
      <c r="K369" s="62"/>
      <c r="L369" s="86"/>
      <c r="M369" s="86"/>
      <c r="N369" s="86"/>
      <c r="O369" s="86"/>
      <c r="P369" s="86"/>
      <c r="Q369" s="86"/>
      <c r="R369" s="86"/>
      <c r="S369" s="86"/>
      <c r="T369" s="86"/>
      <c r="U369" s="86"/>
      <c r="V369" s="86"/>
      <c r="W369" s="86"/>
      <c r="X369" s="86"/>
      <c r="Y369" s="86"/>
      <c r="Z369" s="86"/>
      <c r="AA369" s="86"/>
    </row>
    <row r="370" spans="1:27" ht="14.25" customHeight="1" x14ac:dyDescent="0.35">
      <c r="A370" s="76" t="str">
        <v>Simon Elmer</v>
      </c>
      <c r="B370" s="87">
        <v>0</v>
      </c>
      <c r="C370" s="76"/>
      <c r="D370" s="78">
        <f>IF(C370=0,0,_xlfn.IFNA(IF( MATCH(C370,Rangliste!B:B,0)&gt;0,0,1),1))</f>
        <v>0</v>
      </c>
      <c r="E370" s="85" t="str">
        <f t="shared" si="1"/>
        <v/>
      </c>
      <c r="F370" s="85"/>
      <c r="G370" s="83"/>
      <c r="H370" s="86"/>
      <c r="I370" s="86"/>
      <c r="J370" s="86"/>
      <c r="K370" s="62"/>
      <c r="L370" s="86"/>
      <c r="M370" s="86"/>
      <c r="N370" s="86"/>
      <c r="O370" s="86"/>
      <c r="P370" s="86"/>
      <c r="Q370" s="86"/>
      <c r="R370" s="86"/>
      <c r="S370" s="86"/>
      <c r="T370" s="86"/>
      <c r="U370" s="86"/>
      <c r="V370" s="86"/>
      <c r="W370" s="86"/>
      <c r="X370" s="86"/>
      <c r="Y370" s="86"/>
      <c r="Z370" s="86"/>
      <c r="AA370" s="86"/>
    </row>
    <row r="371" spans="1:27" ht="14.25" customHeight="1" x14ac:dyDescent="0.35">
      <c r="A371" s="76" t="str">
        <v>Paul Floßmann</v>
      </c>
      <c r="B371" s="87">
        <v>0</v>
      </c>
      <c r="C371" s="76"/>
      <c r="D371" s="78">
        <f>IF(C371=0,0,_xlfn.IFNA(IF( MATCH(C371,Rangliste!B:B,0)&gt;0,0,1),1))</f>
        <v>0</v>
      </c>
      <c r="E371" s="85" t="str">
        <f t="shared" si="1"/>
        <v/>
      </c>
      <c r="F371" s="85"/>
      <c r="G371" s="83"/>
      <c r="H371" s="86"/>
      <c r="I371" s="86"/>
      <c r="J371" s="86"/>
      <c r="K371" s="62"/>
      <c r="L371" s="86"/>
      <c r="M371" s="86"/>
      <c r="N371" s="86"/>
      <c r="O371" s="86"/>
      <c r="P371" s="86"/>
      <c r="Q371" s="86"/>
      <c r="R371" s="86"/>
      <c r="S371" s="86"/>
      <c r="T371" s="86"/>
      <c r="U371" s="86"/>
      <c r="V371" s="86"/>
      <c r="W371" s="86"/>
      <c r="X371" s="86"/>
      <c r="Y371" s="86"/>
      <c r="Z371" s="86"/>
      <c r="AA371" s="86"/>
    </row>
    <row r="372" spans="1:27" ht="14.25" customHeight="1" x14ac:dyDescent="0.35">
      <c r="A372" s="76">
        <f t="array" ref="A372:A387">'NÖBV 2'!$N$3:$N$18</f>
        <v>0</v>
      </c>
      <c r="B372" s="87">
        <v>0</v>
      </c>
      <c r="C372" s="76"/>
      <c r="D372" s="78">
        <f>IF(C372=0,0,_xlfn.IFNA(IF( MATCH(C372,Rangliste!B:B,0)&gt;0,0,1),1))</f>
        <v>0</v>
      </c>
      <c r="E372" s="85" t="str">
        <f t="shared" si="1"/>
        <v/>
      </c>
      <c r="F372" s="85"/>
      <c r="G372" s="83"/>
      <c r="H372" s="86"/>
      <c r="I372" s="86"/>
      <c r="J372" s="86"/>
      <c r="K372" s="62"/>
      <c r="L372" s="86"/>
      <c r="M372" s="86"/>
      <c r="N372" s="86"/>
      <c r="O372" s="86"/>
      <c r="P372" s="86"/>
      <c r="Q372" s="86"/>
      <c r="R372" s="86"/>
      <c r="S372" s="86"/>
      <c r="T372" s="86"/>
      <c r="U372" s="86"/>
      <c r="V372" s="86"/>
      <c r="W372" s="86"/>
      <c r="X372" s="86"/>
      <c r="Y372" s="86"/>
      <c r="Z372" s="86"/>
      <c r="AA372" s="86"/>
    </row>
    <row r="373" spans="1:27" ht="14.25" customHeight="1" x14ac:dyDescent="0.35">
      <c r="A373" s="76">
        <v>0</v>
      </c>
      <c r="B373" s="87">
        <v>0</v>
      </c>
      <c r="C373" s="76"/>
      <c r="D373" s="78">
        <f>IF(C373=0,0,_xlfn.IFNA(IF( MATCH(C373,Rangliste!B:B,0)&gt;0,0,1),1))</f>
        <v>0</v>
      </c>
      <c r="E373" s="85" t="str">
        <f t="shared" si="1"/>
        <v/>
      </c>
      <c r="F373" s="85"/>
      <c r="G373" s="83"/>
      <c r="H373" s="86"/>
      <c r="I373" s="86"/>
      <c r="J373" s="86"/>
      <c r="K373" s="62"/>
      <c r="L373" s="86"/>
      <c r="M373" s="86"/>
      <c r="N373" s="86"/>
      <c r="O373" s="86"/>
      <c r="P373" s="86"/>
      <c r="Q373" s="86"/>
      <c r="R373" s="86"/>
      <c r="S373" s="86"/>
      <c r="T373" s="86"/>
      <c r="U373" s="86"/>
      <c r="V373" s="86"/>
      <c r="W373" s="86"/>
      <c r="X373" s="86"/>
      <c r="Y373" s="86"/>
      <c r="Z373" s="86"/>
      <c r="AA373" s="86"/>
    </row>
    <row r="374" spans="1:27" ht="14.25" customHeight="1" x14ac:dyDescent="0.35">
      <c r="A374" s="76">
        <v>0</v>
      </c>
      <c r="B374" s="87">
        <v>0</v>
      </c>
      <c r="C374" s="76"/>
      <c r="D374" s="78">
        <f>IF(C374=0,0,_xlfn.IFNA(IF( MATCH(C374,Rangliste!B:B,0)&gt;0,0,1),1))</f>
        <v>0</v>
      </c>
      <c r="E374" s="85" t="str">
        <f t="shared" si="1"/>
        <v/>
      </c>
      <c r="F374" s="85"/>
      <c r="G374" s="83"/>
      <c r="H374" s="86"/>
      <c r="I374" s="86"/>
      <c r="J374" s="86"/>
      <c r="K374" s="62"/>
      <c r="L374" s="86"/>
      <c r="M374" s="86"/>
      <c r="N374" s="86"/>
      <c r="O374" s="86"/>
      <c r="P374" s="86"/>
      <c r="Q374" s="86"/>
      <c r="R374" s="86"/>
      <c r="S374" s="86"/>
      <c r="T374" s="86"/>
      <c r="U374" s="86"/>
      <c r="V374" s="86"/>
      <c r="W374" s="86"/>
      <c r="X374" s="86"/>
      <c r="Y374" s="86"/>
      <c r="Z374" s="86"/>
      <c r="AA374" s="86"/>
    </row>
    <row r="375" spans="1:27" ht="14.25" customHeight="1" x14ac:dyDescent="0.35">
      <c r="A375" s="76">
        <v>0</v>
      </c>
      <c r="B375" s="87">
        <v>0</v>
      </c>
      <c r="C375" s="76"/>
      <c r="D375" s="78">
        <f>IF(C375=0,0,_xlfn.IFNA(IF( MATCH(C375,Rangliste!B:B,0)&gt;0,0,1),1))</f>
        <v>0</v>
      </c>
      <c r="E375" s="85" t="str">
        <f t="shared" si="1"/>
        <v/>
      </c>
      <c r="F375" s="85"/>
      <c r="G375" s="83"/>
      <c r="H375" s="86"/>
      <c r="I375" s="86"/>
      <c r="J375" s="86"/>
      <c r="K375" s="62"/>
      <c r="L375" s="86"/>
      <c r="M375" s="86"/>
      <c r="N375" s="86"/>
      <c r="O375" s="86"/>
      <c r="P375" s="86"/>
      <c r="Q375" s="86"/>
      <c r="R375" s="86"/>
      <c r="S375" s="86"/>
      <c r="T375" s="86"/>
      <c r="U375" s="86"/>
      <c r="V375" s="86"/>
      <c r="W375" s="86"/>
      <c r="X375" s="86"/>
      <c r="Y375" s="86"/>
      <c r="Z375" s="86"/>
      <c r="AA375" s="86"/>
    </row>
    <row r="376" spans="1:27" ht="14.25" customHeight="1" x14ac:dyDescent="0.35">
      <c r="A376" s="76">
        <v>0</v>
      </c>
      <c r="B376" s="87">
        <v>0</v>
      </c>
      <c r="C376" s="76"/>
      <c r="D376" s="78">
        <f>IF(C376=0,0,_xlfn.IFNA(IF( MATCH(C376,Rangliste!B:B,0)&gt;0,0,1),1))</f>
        <v>0</v>
      </c>
      <c r="E376" s="85" t="str">
        <f t="shared" si="1"/>
        <v/>
      </c>
      <c r="F376" s="85"/>
      <c r="G376" s="83"/>
      <c r="H376" s="86"/>
      <c r="I376" s="86"/>
      <c r="J376" s="86"/>
      <c r="K376" s="62"/>
      <c r="L376" s="86"/>
      <c r="M376" s="86"/>
      <c r="N376" s="86"/>
      <c r="O376" s="86"/>
      <c r="P376" s="86"/>
      <c r="Q376" s="86"/>
      <c r="R376" s="86"/>
      <c r="S376" s="86"/>
      <c r="T376" s="86"/>
      <c r="U376" s="86"/>
      <c r="V376" s="86"/>
      <c r="W376" s="86"/>
      <c r="X376" s="86"/>
      <c r="Y376" s="86"/>
      <c r="Z376" s="86"/>
      <c r="AA376" s="86"/>
    </row>
    <row r="377" spans="1:27" ht="14.25" customHeight="1" x14ac:dyDescent="0.35">
      <c r="A377" s="76">
        <v>0</v>
      </c>
      <c r="B377" s="87">
        <v>0</v>
      </c>
      <c r="C377" s="76"/>
      <c r="D377" s="78">
        <f>IF(C377=0,0,_xlfn.IFNA(IF( MATCH(C377,Rangliste!B:B,0)&gt;0,0,1),1))</f>
        <v>0</v>
      </c>
      <c r="E377" s="85" t="str">
        <f t="shared" si="1"/>
        <v/>
      </c>
      <c r="F377" s="85"/>
      <c r="G377" s="83"/>
      <c r="H377" s="86"/>
      <c r="I377" s="86"/>
      <c r="J377" s="86"/>
      <c r="K377" s="62"/>
      <c r="L377" s="86"/>
      <c r="M377" s="86"/>
      <c r="N377" s="86"/>
      <c r="O377" s="86"/>
      <c r="P377" s="86"/>
      <c r="Q377" s="86"/>
      <c r="R377" s="86"/>
      <c r="S377" s="86"/>
      <c r="T377" s="86"/>
      <c r="U377" s="86"/>
      <c r="V377" s="86"/>
      <c r="W377" s="86"/>
      <c r="X377" s="86"/>
      <c r="Y377" s="86"/>
      <c r="Z377" s="86"/>
      <c r="AA377" s="86"/>
    </row>
    <row r="378" spans="1:27" ht="14.25" customHeight="1" x14ac:dyDescent="0.35">
      <c r="A378" s="76">
        <v>0</v>
      </c>
      <c r="B378" s="87">
        <v>0</v>
      </c>
      <c r="C378" s="76"/>
      <c r="D378" s="78">
        <f>IF(C378=0,0,_xlfn.IFNA(IF( MATCH(C378,Rangliste!B:B,0)&gt;0,0,1),1))</f>
        <v>0</v>
      </c>
      <c r="E378" s="85" t="str">
        <f t="shared" si="1"/>
        <v/>
      </c>
      <c r="F378" s="85"/>
      <c r="G378" s="83"/>
      <c r="H378" s="86"/>
      <c r="I378" s="86"/>
      <c r="J378" s="86"/>
      <c r="K378" s="62"/>
      <c r="L378" s="86"/>
      <c r="M378" s="86"/>
      <c r="N378" s="86"/>
      <c r="O378" s="86"/>
      <c r="P378" s="86"/>
      <c r="Q378" s="86"/>
      <c r="R378" s="86"/>
      <c r="S378" s="86"/>
      <c r="T378" s="86"/>
      <c r="U378" s="86"/>
      <c r="V378" s="86"/>
      <c r="W378" s="86"/>
      <c r="X378" s="86"/>
      <c r="Y378" s="86"/>
      <c r="Z378" s="86"/>
      <c r="AA378" s="86"/>
    </row>
    <row r="379" spans="1:27" ht="14.25" customHeight="1" x14ac:dyDescent="0.35">
      <c r="A379" s="76">
        <v>0</v>
      </c>
      <c r="B379" s="87">
        <v>0</v>
      </c>
      <c r="C379" s="76"/>
      <c r="D379" s="78">
        <f>IF(C379=0,0,_xlfn.IFNA(IF( MATCH(C379,Rangliste!B:B,0)&gt;0,0,1),1))</f>
        <v>0</v>
      </c>
      <c r="E379" s="85" t="str">
        <f t="shared" si="1"/>
        <v/>
      </c>
      <c r="F379" s="85"/>
      <c r="G379" s="83"/>
      <c r="H379" s="86"/>
      <c r="I379" s="86"/>
      <c r="J379" s="86"/>
      <c r="K379" s="62"/>
      <c r="L379" s="86"/>
      <c r="M379" s="86"/>
      <c r="N379" s="86"/>
      <c r="O379" s="86"/>
      <c r="P379" s="86"/>
      <c r="Q379" s="86"/>
      <c r="R379" s="86"/>
      <c r="S379" s="86"/>
      <c r="T379" s="86"/>
      <c r="U379" s="86"/>
      <c r="V379" s="86"/>
      <c r="W379" s="86"/>
      <c r="X379" s="86"/>
      <c r="Y379" s="86"/>
      <c r="Z379" s="86"/>
      <c r="AA379" s="86"/>
    </row>
    <row r="380" spans="1:27" ht="14.25" customHeight="1" x14ac:dyDescent="0.35">
      <c r="A380" s="76">
        <v>0</v>
      </c>
      <c r="B380" s="87">
        <v>0</v>
      </c>
      <c r="C380" s="76"/>
      <c r="D380" s="78">
        <f>IF(C380=0,0,_xlfn.IFNA(IF( MATCH(C380,Rangliste!B:B,0)&gt;0,0,1),1))</f>
        <v>0</v>
      </c>
      <c r="E380" s="85" t="str">
        <f t="shared" si="1"/>
        <v/>
      </c>
      <c r="F380" s="85"/>
      <c r="G380" s="83"/>
      <c r="H380" s="86"/>
      <c r="I380" s="86"/>
      <c r="J380" s="86"/>
      <c r="K380" s="62"/>
      <c r="L380" s="86"/>
      <c r="M380" s="86"/>
      <c r="N380" s="86"/>
      <c r="O380" s="86"/>
      <c r="P380" s="86"/>
      <c r="Q380" s="86"/>
      <c r="R380" s="86"/>
      <c r="S380" s="86"/>
      <c r="T380" s="86"/>
      <c r="U380" s="86"/>
      <c r="V380" s="86"/>
      <c r="W380" s="86"/>
      <c r="X380" s="86"/>
      <c r="Y380" s="86"/>
      <c r="Z380" s="86"/>
      <c r="AA380" s="86"/>
    </row>
    <row r="381" spans="1:27" ht="14.25" customHeight="1" x14ac:dyDescent="0.35">
      <c r="A381" s="76">
        <v>0</v>
      </c>
      <c r="B381" s="87">
        <v>0</v>
      </c>
      <c r="C381" s="76"/>
      <c r="D381" s="78">
        <f>IF(C381=0,0,_xlfn.IFNA(IF( MATCH(C381,Rangliste!B:B,0)&gt;0,0,1),1))</f>
        <v>0</v>
      </c>
      <c r="E381" s="85" t="str">
        <f t="shared" si="1"/>
        <v/>
      </c>
      <c r="F381" s="85"/>
      <c r="G381" s="83"/>
      <c r="H381" s="86"/>
      <c r="I381" s="86"/>
      <c r="J381" s="86"/>
      <c r="K381" s="62"/>
      <c r="L381" s="86"/>
      <c r="M381" s="86"/>
      <c r="N381" s="86"/>
      <c r="O381" s="86"/>
      <c r="P381" s="86"/>
      <c r="Q381" s="86"/>
      <c r="R381" s="86"/>
      <c r="S381" s="86"/>
      <c r="T381" s="86"/>
      <c r="U381" s="86"/>
      <c r="V381" s="86"/>
      <c r="W381" s="86"/>
      <c r="X381" s="86"/>
      <c r="Y381" s="86"/>
      <c r="Z381" s="86"/>
      <c r="AA381" s="86"/>
    </row>
    <row r="382" spans="1:27" ht="14.25" customHeight="1" x14ac:dyDescent="0.35">
      <c r="A382" s="76">
        <v>0</v>
      </c>
      <c r="B382" s="87">
        <v>0</v>
      </c>
      <c r="C382" s="76"/>
      <c r="D382" s="78">
        <f>IF(C382=0,0,_xlfn.IFNA(IF( MATCH(C382,Rangliste!B:B,0)&gt;0,0,1),1))</f>
        <v>0</v>
      </c>
      <c r="E382" s="85" t="str">
        <f t="shared" si="1"/>
        <v/>
      </c>
      <c r="F382" s="85"/>
      <c r="G382" s="83"/>
      <c r="H382" s="86"/>
      <c r="I382" s="86"/>
      <c r="J382" s="86"/>
      <c r="K382" s="62"/>
      <c r="L382" s="86"/>
      <c r="M382" s="86"/>
      <c r="N382" s="86"/>
      <c r="O382" s="86"/>
      <c r="P382" s="86"/>
      <c r="Q382" s="86"/>
      <c r="R382" s="86"/>
      <c r="S382" s="86"/>
      <c r="T382" s="86"/>
      <c r="U382" s="86"/>
      <c r="V382" s="86"/>
      <c r="W382" s="86"/>
      <c r="X382" s="86"/>
      <c r="Y382" s="86"/>
      <c r="Z382" s="86"/>
      <c r="AA382" s="86"/>
    </row>
    <row r="383" spans="1:27" ht="14.25" customHeight="1" x14ac:dyDescent="0.35">
      <c r="A383" s="76">
        <v>0</v>
      </c>
      <c r="B383" s="87">
        <v>0</v>
      </c>
      <c r="C383" s="76"/>
      <c r="D383" s="78">
        <f>IF(C383=0,0,_xlfn.IFNA(IF( MATCH(C383,Rangliste!B:B,0)&gt;0,0,1),1))</f>
        <v>0</v>
      </c>
      <c r="E383" s="85" t="str">
        <f t="shared" si="1"/>
        <v/>
      </c>
      <c r="F383" s="85"/>
      <c r="G383" s="83"/>
      <c r="H383" s="86"/>
      <c r="I383" s="86"/>
      <c r="J383" s="86"/>
      <c r="K383" s="62"/>
      <c r="L383" s="86"/>
      <c r="M383" s="86"/>
      <c r="N383" s="86"/>
      <c r="O383" s="86"/>
      <c r="P383" s="86"/>
      <c r="Q383" s="86"/>
      <c r="R383" s="86"/>
      <c r="S383" s="86"/>
      <c r="T383" s="86"/>
      <c r="U383" s="86"/>
      <c r="V383" s="86"/>
      <c r="W383" s="86"/>
      <c r="X383" s="86"/>
      <c r="Y383" s="86"/>
      <c r="Z383" s="86"/>
      <c r="AA383" s="86"/>
    </row>
    <row r="384" spans="1:27" ht="14.25" customHeight="1" x14ac:dyDescent="0.35">
      <c r="A384" s="76">
        <v>0</v>
      </c>
      <c r="B384" s="87">
        <v>0</v>
      </c>
      <c r="C384" s="76"/>
      <c r="D384" s="78">
        <f>IF(C384=0,0,_xlfn.IFNA(IF( MATCH(C384,Rangliste!B:B,0)&gt;0,0,1),1))</f>
        <v>0</v>
      </c>
      <c r="E384" s="85" t="str">
        <f t="shared" si="1"/>
        <v/>
      </c>
      <c r="F384" s="85"/>
      <c r="G384" s="83"/>
      <c r="H384" s="86"/>
      <c r="I384" s="86"/>
      <c r="J384" s="86"/>
      <c r="K384" s="62"/>
      <c r="L384" s="86"/>
      <c r="M384" s="86"/>
      <c r="N384" s="86"/>
      <c r="O384" s="86"/>
      <c r="P384" s="86"/>
      <c r="Q384" s="86"/>
      <c r="R384" s="86"/>
      <c r="S384" s="86"/>
      <c r="T384" s="86"/>
      <c r="U384" s="86"/>
      <c r="V384" s="86"/>
      <c r="W384" s="86"/>
      <c r="X384" s="86"/>
      <c r="Y384" s="86"/>
      <c r="Z384" s="86"/>
      <c r="AA384" s="86"/>
    </row>
    <row r="385" spans="1:27" ht="14.25" customHeight="1" x14ac:dyDescent="0.35">
      <c r="A385" s="76">
        <v>0</v>
      </c>
      <c r="B385" s="87">
        <v>0</v>
      </c>
      <c r="C385" s="76"/>
      <c r="D385" s="78">
        <f>IF(C385=0,0,_xlfn.IFNA(IF( MATCH(C385,Rangliste!B:B,0)&gt;0,0,1),1))</f>
        <v>0</v>
      </c>
      <c r="E385" s="85" t="str">
        <f t="shared" si="1"/>
        <v/>
      </c>
      <c r="F385" s="85"/>
      <c r="G385" s="83"/>
      <c r="H385" s="86"/>
      <c r="I385" s="86"/>
      <c r="J385" s="86"/>
      <c r="K385" s="62"/>
      <c r="L385" s="86"/>
      <c r="M385" s="86"/>
      <c r="N385" s="86"/>
      <c r="O385" s="86"/>
      <c r="P385" s="86"/>
      <c r="Q385" s="86"/>
      <c r="R385" s="86"/>
      <c r="S385" s="86"/>
      <c r="T385" s="86"/>
      <c r="U385" s="86"/>
      <c r="V385" s="86"/>
      <c r="W385" s="86"/>
      <c r="X385" s="86"/>
      <c r="Y385" s="86"/>
      <c r="Z385" s="86"/>
      <c r="AA385" s="86"/>
    </row>
    <row r="386" spans="1:27" ht="14.25" customHeight="1" x14ac:dyDescent="0.35">
      <c r="A386" s="76">
        <v>0</v>
      </c>
      <c r="B386" s="87">
        <v>0</v>
      </c>
      <c r="C386" s="76"/>
      <c r="D386" s="78">
        <f>IF(C386=0,0,_xlfn.IFNA(IF( MATCH(C386,Rangliste!B:B,0)&gt;0,0,1),1))</f>
        <v>0</v>
      </c>
      <c r="E386" s="85" t="str">
        <f t="shared" si="1"/>
        <v/>
      </c>
      <c r="F386" s="85"/>
      <c r="G386" s="83"/>
      <c r="H386" s="86"/>
      <c r="I386" s="86"/>
      <c r="J386" s="86"/>
      <c r="K386" s="62"/>
      <c r="L386" s="86"/>
      <c r="M386" s="86"/>
      <c r="N386" s="86"/>
      <c r="O386" s="86"/>
      <c r="P386" s="86"/>
      <c r="Q386" s="86"/>
      <c r="R386" s="86"/>
      <c r="S386" s="86"/>
      <c r="T386" s="86"/>
      <c r="U386" s="86"/>
      <c r="V386" s="86"/>
      <c r="W386" s="86"/>
      <c r="X386" s="86"/>
      <c r="Y386" s="86"/>
      <c r="Z386" s="86"/>
      <c r="AA386" s="86"/>
    </row>
    <row r="387" spans="1:27" ht="14.25" customHeight="1" x14ac:dyDescent="0.35">
      <c r="A387" s="76">
        <v>0</v>
      </c>
      <c r="B387" s="87">
        <v>0</v>
      </c>
      <c r="C387" s="76"/>
      <c r="D387" s="78">
        <f>IF(C387=0,0,_xlfn.IFNA(IF( MATCH(C387,Rangliste!B:B,0)&gt;0,0,1),1))</f>
        <v>0</v>
      </c>
      <c r="E387" s="85" t="str">
        <f t="shared" si="1"/>
        <v/>
      </c>
      <c r="F387" s="85"/>
      <c r="G387" s="83"/>
      <c r="H387" s="86"/>
      <c r="I387" s="86"/>
      <c r="J387" s="86"/>
      <c r="K387" s="62"/>
      <c r="L387" s="86"/>
      <c r="M387" s="86"/>
      <c r="N387" s="86"/>
      <c r="O387" s="86"/>
      <c r="P387" s="86"/>
      <c r="Q387" s="86"/>
      <c r="R387" s="86"/>
      <c r="S387" s="86"/>
      <c r="T387" s="86"/>
      <c r="U387" s="86"/>
      <c r="V387" s="86"/>
      <c r="W387" s="86"/>
      <c r="X387" s="86"/>
      <c r="Y387" s="86"/>
      <c r="Z387" s="86"/>
      <c r="AA387" s="86"/>
    </row>
    <row r="388" spans="1:27" ht="14.25" customHeight="1" x14ac:dyDescent="0.35">
      <c r="A388" s="76" t="str">
        <f t="array" ref="A388:A403">'NÖBV 3'!$B$3:$B$18</f>
        <v>Valentin Schefcik</v>
      </c>
      <c r="B388" s="84">
        <f t="array" ref="B388:B419">'WBV 4'!$B$3:$B$34</f>
        <v>0</v>
      </c>
      <c r="C388" s="76"/>
      <c r="D388" s="78">
        <f>IF(C388=0,0,_xlfn.IFNA(IF( MATCH(C388,Rangliste!B:B,0)&gt;0,0,1),1))</f>
        <v>0</v>
      </c>
      <c r="E388" s="85" t="str">
        <f t="shared" si="1"/>
        <v/>
      </c>
      <c r="F388" s="85"/>
      <c r="G388" s="83"/>
      <c r="H388" s="86"/>
      <c r="I388" s="86"/>
      <c r="J388" s="86"/>
      <c r="K388" s="62"/>
      <c r="L388" s="86"/>
      <c r="M388" s="86"/>
      <c r="N388" s="86"/>
      <c r="O388" s="86"/>
      <c r="P388" s="86"/>
      <c r="Q388" s="86"/>
      <c r="R388" s="86"/>
      <c r="S388" s="86"/>
      <c r="T388" s="86"/>
      <c r="U388" s="86"/>
      <c r="V388" s="86"/>
      <c r="W388" s="86"/>
      <c r="X388" s="86"/>
      <c r="Y388" s="86"/>
      <c r="Z388" s="86"/>
      <c r="AA388" s="86"/>
    </row>
    <row r="389" spans="1:27" ht="14.25" customHeight="1" x14ac:dyDescent="0.35">
      <c r="A389" s="76" t="str">
        <v>Elias Reisinger</v>
      </c>
      <c r="B389" s="77">
        <v>0</v>
      </c>
      <c r="C389" s="76"/>
      <c r="D389" s="78">
        <f>IF(C389=0,0,_xlfn.IFNA(IF( MATCH(C389,Rangliste!B:B,0)&gt;0,0,1),1))</f>
        <v>0</v>
      </c>
      <c r="E389" s="85" t="str">
        <f t="shared" si="1"/>
        <v/>
      </c>
      <c r="F389" s="85"/>
      <c r="G389" s="83"/>
      <c r="H389" s="86"/>
      <c r="I389" s="86"/>
      <c r="J389" s="86"/>
      <c r="K389" s="62"/>
      <c r="L389" s="86"/>
      <c r="M389" s="86"/>
      <c r="N389" s="86"/>
      <c r="O389" s="86"/>
      <c r="P389" s="86"/>
      <c r="Q389" s="86"/>
      <c r="R389" s="86"/>
      <c r="S389" s="86"/>
      <c r="T389" s="86"/>
      <c r="U389" s="86"/>
      <c r="V389" s="86"/>
      <c r="W389" s="86"/>
      <c r="X389" s="86"/>
      <c r="Y389" s="86"/>
      <c r="Z389" s="86"/>
      <c r="AA389" s="86"/>
    </row>
    <row r="390" spans="1:27" ht="14.25" customHeight="1" x14ac:dyDescent="0.35">
      <c r="A390" s="76" t="str">
        <v>Terrence Chen</v>
      </c>
      <c r="B390" s="77">
        <v>0</v>
      </c>
      <c r="C390" s="76"/>
      <c r="D390" s="78">
        <f>IF(C390=0,0,_xlfn.IFNA(IF( MATCH(C390,Rangliste!B:B,0)&gt;0,0,1),1))</f>
        <v>0</v>
      </c>
      <c r="E390" s="85" t="str">
        <f t="shared" si="1"/>
        <v/>
      </c>
      <c r="F390" s="85"/>
      <c r="G390" s="83"/>
      <c r="H390" s="86"/>
      <c r="I390" s="86"/>
      <c r="J390" s="86"/>
      <c r="K390" s="62"/>
      <c r="L390" s="86"/>
      <c r="M390" s="86"/>
      <c r="N390" s="86"/>
      <c r="O390" s="86"/>
      <c r="P390" s="86"/>
      <c r="Q390" s="86"/>
      <c r="R390" s="86"/>
      <c r="S390" s="86"/>
      <c r="T390" s="86"/>
      <c r="U390" s="86"/>
      <c r="V390" s="86"/>
      <c r="W390" s="86"/>
      <c r="X390" s="86"/>
      <c r="Y390" s="86"/>
      <c r="Z390" s="86"/>
      <c r="AA390" s="86"/>
    </row>
    <row r="391" spans="1:27" ht="14.25" customHeight="1" x14ac:dyDescent="0.35">
      <c r="A391" s="76" t="str">
        <v>Joachim Zeilerbauer</v>
      </c>
      <c r="B391" s="77">
        <v>0</v>
      </c>
      <c r="C391" s="76"/>
      <c r="D391" s="78">
        <f>IF(C391=0,0,_xlfn.IFNA(IF( MATCH(C391,Rangliste!B:B,0)&gt;0,0,1),1))</f>
        <v>0</v>
      </c>
      <c r="E391" s="85" t="str">
        <f t="shared" si="1"/>
        <v/>
      </c>
      <c r="F391" s="85"/>
      <c r="G391" s="83"/>
      <c r="H391" s="86"/>
      <c r="I391" s="86"/>
      <c r="J391" s="86"/>
      <c r="K391" s="62"/>
      <c r="L391" s="86"/>
      <c r="M391" s="86"/>
      <c r="N391" s="86"/>
      <c r="O391" s="86"/>
      <c r="P391" s="86"/>
      <c r="Q391" s="86"/>
      <c r="R391" s="86"/>
      <c r="S391" s="86"/>
      <c r="T391" s="86"/>
      <c r="U391" s="86"/>
      <c r="V391" s="86"/>
      <c r="W391" s="86"/>
      <c r="X391" s="86"/>
      <c r="Y391" s="86"/>
      <c r="Z391" s="86"/>
      <c r="AA391" s="86"/>
    </row>
    <row r="392" spans="1:27" ht="14.25" customHeight="1" x14ac:dyDescent="0.35">
      <c r="A392" s="76">
        <v>0</v>
      </c>
      <c r="B392" s="77">
        <v>0</v>
      </c>
      <c r="C392" s="76"/>
      <c r="D392" s="78">
        <f>IF(C392=0,0,_xlfn.IFNA(IF( MATCH(C392,Rangliste!B:B,0)&gt;0,0,1),1))</f>
        <v>0</v>
      </c>
      <c r="E392" s="85" t="str">
        <f t="shared" si="1"/>
        <v/>
      </c>
      <c r="F392" s="85"/>
      <c r="G392" s="83"/>
      <c r="H392" s="86"/>
      <c r="I392" s="86"/>
      <c r="J392" s="86"/>
      <c r="K392" s="62"/>
      <c r="L392" s="86"/>
      <c r="M392" s="86"/>
      <c r="N392" s="86"/>
      <c r="O392" s="86"/>
      <c r="P392" s="86"/>
      <c r="Q392" s="86"/>
      <c r="R392" s="86"/>
      <c r="S392" s="86"/>
      <c r="T392" s="86"/>
      <c r="U392" s="86"/>
      <c r="V392" s="86"/>
      <c r="W392" s="86"/>
      <c r="X392" s="86"/>
      <c r="Y392" s="86"/>
      <c r="Z392" s="86"/>
      <c r="AA392" s="86"/>
    </row>
    <row r="393" spans="1:27" ht="14.25" customHeight="1" x14ac:dyDescent="0.35">
      <c r="A393" s="76">
        <v>0</v>
      </c>
      <c r="B393" s="77">
        <v>0</v>
      </c>
      <c r="C393" s="76"/>
      <c r="D393" s="78">
        <f>IF(C393=0,0,_xlfn.IFNA(IF( MATCH(C393,Rangliste!B:B,0)&gt;0,0,1),1))</f>
        <v>0</v>
      </c>
      <c r="E393" s="85" t="str">
        <f t="shared" si="1"/>
        <v/>
      </c>
      <c r="F393" s="85"/>
      <c r="G393" s="83"/>
      <c r="H393" s="86"/>
      <c r="I393" s="86"/>
      <c r="J393" s="86"/>
      <c r="K393" s="62"/>
      <c r="L393" s="86"/>
      <c r="M393" s="86"/>
      <c r="N393" s="86"/>
      <c r="O393" s="86"/>
      <c r="P393" s="86"/>
      <c r="Q393" s="86"/>
      <c r="R393" s="86"/>
      <c r="S393" s="86"/>
      <c r="T393" s="86"/>
      <c r="U393" s="86"/>
      <c r="V393" s="86"/>
      <c r="W393" s="86"/>
      <c r="X393" s="86"/>
      <c r="Y393" s="86"/>
      <c r="Z393" s="86"/>
      <c r="AA393" s="86"/>
    </row>
    <row r="394" spans="1:27" ht="14.25" customHeight="1" x14ac:dyDescent="0.35">
      <c r="A394" s="76">
        <v>0</v>
      </c>
      <c r="B394" s="77">
        <v>0</v>
      </c>
      <c r="C394" s="76"/>
      <c r="D394" s="78">
        <f>IF(C394=0,0,_xlfn.IFNA(IF( MATCH(C394,Rangliste!B:B,0)&gt;0,0,1),1))</f>
        <v>0</v>
      </c>
      <c r="E394" s="85" t="str">
        <f t="shared" si="1"/>
        <v/>
      </c>
      <c r="F394" s="85"/>
      <c r="G394" s="83"/>
      <c r="H394" s="86"/>
      <c r="I394" s="86"/>
      <c r="J394" s="86"/>
      <c r="K394" s="62"/>
      <c r="L394" s="86"/>
      <c r="M394" s="86"/>
      <c r="N394" s="86"/>
      <c r="O394" s="86"/>
      <c r="P394" s="86"/>
      <c r="Q394" s="86"/>
      <c r="R394" s="86"/>
      <c r="S394" s="86"/>
      <c r="T394" s="86"/>
      <c r="U394" s="86"/>
      <c r="V394" s="86"/>
      <c r="W394" s="86"/>
      <c r="X394" s="86"/>
      <c r="Y394" s="86"/>
      <c r="Z394" s="86"/>
      <c r="AA394" s="86"/>
    </row>
    <row r="395" spans="1:27" ht="14.25" customHeight="1" x14ac:dyDescent="0.35">
      <c r="A395" s="76">
        <v>0</v>
      </c>
      <c r="B395" s="77">
        <v>0</v>
      </c>
      <c r="C395" s="76"/>
      <c r="D395" s="78">
        <f>IF(C395=0,0,_xlfn.IFNA(IF( MATCH(C395,Rangliste!B:B,0)&gt;0,0,1),1))</f>
        <v>0</v>
      </c>
      <c r="E395" s="85" t="str">
        <f t="shared" si="1"/>
        <v/>
      </c>
      <c r="F395" s="85"/>
      <c r="G395" s="83"/>
      <c r="H395" s="86"/>
      <c r="I395" s="86"/>
      <c r="J395" s="86"/>
      <c r="K395" s="62"/>
      <c r="L395" s="86"/>
      <c r="M395" s="86"/>
      <c r="N395" s="86"/>
      <c r="O395" s="86"/>
      <c r="P395" s="86"/>
      <c r="Q395" s="86"/>
      <c r="R395" s="86"/>
      <c r="S395" s="86"/>
      <c r="T395" s="86"/>
      <c r="U395" s="86"/>
      <c r="V395" s="86"/>
      <c r="W395" s="86"/>
      <c r="X395" s="86"/>
      <c r="Y395" s="86"/>
      <c r="Z395" s="86"/>
      <c r="AA395" s="86"/>
    </row>
    <row r="396" spans="1:27" ht="14.25" customHeight="1" x14ac:dyDescent="0.35">
      <c r="A396" s="76">
        <v>0</v>
      </c>
      <c r="B396" s="77">
        <v>0</v>
      </c>
      <c r="C396" s="76"/>
      <c r="D396" s="78">
        <f>IF(C396=0,0,_xlfn.IFNA(IF( MATCH(C396,Rangliste!B:B,0)&gt;0,0,1),1))</f>
        <v>0</v>
      </c>
      <c r="E396" s="85" t="str">
        <f t="shared" si="1"/>
        <v/>
      </c>
      <c r="F396" s="85"/>
      <c r="G396" s="83"/>
      <c r="H396" s="86"/>
      <c r="I396" s="86"/>
      <c r="J396" s="86"/>
      <c r="K396" s="62"/>
      <c r="L396" s="86"/>
      <c r="M396" s="86"/>
      <c r="N396" s="86"/>
      <c r="O396" s="86"/>
      <c r="P396" s="86"/>
      <c r="Q396" s="86"/>
      <c r="R396" s="86"/>
      <c r="S396" s="86"/>
      <c r="T396" s="86"/>
      <c r="U396" s="86"/>
      <c r="V396" s="86"/>
      <c r="W396" s="86"/>
      <c r="X396" s="86"/>
      <c r="Y396" s="86"/>
      <c r="Z396" s="86"/>
      <c r="AA396" s="86"/>
    </row>
    <row r="397" spans="1:27" ht="14.25" customHeight="1" x14ac:dyDescent="0.35">
      <c r="A397" s="76">
        <v>0</v>
      </c>
      <c r="B397" s="77">
        <v>0</v>
      </c>
      <c r="C397" s="76"/>
      <c r="D397" s="78">
        <f>IF(C397=0,0,_xlfn.IFNA(IF( MATCH(C397,Rangliste!B:B,0)&gt;0,0,1),1))</f>
        <v>0</v>
      </c>
      <c r="E397" s="85" t="str">
        <f t="shared" si="1"/>
        <v/>
      </c>
      <c r="F397" s="85"/>
      <c r="G397" s="83"/>
      <c r="H397" s="86"/>
      <c r="I397" s="86"/>
      <c r="J397" s="86"/>
      <c r="K397" s="62"/>
      <c r="L397" s="86"/>
      <c r="M397" s="86"/>
      <c r="N397" s="86"/>
      <c r="O397" s="86"/>
      <c r="P397" s="86"/>
      <c r="Q397" s="86"/>
      <c r="R397" s="86"/>
      <c r="S397" s="86"/>
      <c r="T397" s="86"/>
      <c r="U397" s="86"/>
      <c r="V397" s="86"/>
      <c r="W397" s="86"/>
      <c r="X397" s="86"/>
      <c r="Y397" s="86"/>
      <c r="Z397" s="86"/>
      <c r="AA397" s="86"/>
    </row>
    <row r="398" spans="1:27" ht="14.25" customHeight="1" x14ac:dyDescent="0.35">
      <c r="A398" s="76">
        <v>0</v>
      </c>
      <c r="B398" s="77">
        <v>0</v>
      </c>
      <c r="C398" s="76"/>
      <c r="D398" s="78">
        <f>IF(C398=0,0,_xlfn.IFNA(IF( MATCH(C398,Rangliste!B:B,0)&gt;0,0,1),1))</f>
        <v>0</v>
      </c>
      <c r="E398" s="85" t="str">
        <f t="shared" si="1"/>
        <v/>
      </c>
      <c r="F398" s="85"/>
      <c r="G398" s="83"/>
      <c r="H398" s="86"/>
      <c r="I398" s="86"/>
      <c r="J398" s="86"/>
      <c r="K398" s="62"/>
      <c r="L398" s="86"/>
      <c r="M398" s="86"/>
      <c r="N398" s="86"/>
      <c r="O398" s="86"/>
      <c r="P398" s="86"/>
      <c r="Q398" s="86"/>
      <c r="R398" s="86"/>
      <c r="S398" s="86"/>
      <c r="T398" s="86"/>
      <c r="U398" s="86"/>
      <c r="V398" s="86"/>
      <c r="W398" s="86"/>
      <c r="X398" s="86"/>
      <c r="Y398" s="86"/>
      <c r="Z398" s="86"/>
      <c r="AA398" s="86"/>
    </row>
    <row r="399" spans="1:27" ht="14.25" customHeight="1" x14ac:dyDescent="0.35">
      <c r="A399" s="76">
        <v>0</v>
      </c>
      <c r="B399" s="77">
        <v>0</v>
      </c>
      <c r="C399" s="76"/>
      <c r="D399" s="78">
        <f>IF(C399=0,0,_xlfn.IFNA(IF( MATCH(C399,Rangliste!B:B,0)&gt;0,0,1),1))</f>
        <v>0</v>
      </c>
      <c r="E399" s="85" t="str">
        <f t="shared" si="1"/>
        <v/>
      </c>
      <c r="F399" s="85"/>
      <c r="G399" s="83"/>
      <c r="H399" s="86"/>
      <c r="I399" s="86"/>
      <c r="J399" s="86"/>
      <c r="K399" s="62"/>
      <c r="L399" s="86"/>
      <c r="M399" s="86"/>
      <c r="N399" s="86"/>
      <c r="O399" s="86"/>
      <c r="P399" s="86"/>
      <c r="Q399" s="86"/>
      <c r="R399" s="86"/>
      <c r="S399" s="86"/>
      <c r="T399" s="86"/>
      <c r="U399" s="86"/>
      <c r="V399" s="86"/>
      <c r="W399" s="86"/>
      <c r="X399" s="86"/>
      <c r="Y399" s="86"/>
      <c r="Z399" s="86"/>
      <c r="AA399" s="86"/>
    </row>
    <row r="400" spans="1:27" ht="14.25" customHeight="1" x14ac:dyDescent="0.35">
      <c r="A400" s="76">
        <v>0</v>
      </c>
      <c r="B400" s="77">
        <v>0</v>
      </c>
      <c r="C400" s="76"/>
      <c r="D400" s="78">
        <f>IF(C400=0,0,_xlfn.IFNA(IF( MATCH(C400,Rangliste!B:B,0)&gt;0,0,1),1))</f>
        <v>0</v>
      </c>
      <c r="E400" s="85" t="str">
        <f t="shared" si="1"/>
        <v/>
      </c>
      <c r="F400" s="85"/>
      <c r="G400" s="83"/>
      <c r="H400" s="86"/>
      <c r="I400" s="86"/>
      <c r="J400" s="86"/>
      <c r="K400" s="62"/>
      <c r="L400" s="86"/>
      <c r="M400" s="86"/>
      <c r="N400" s="86"/>
      <c r="O400" s="86"/>
      <c r="P400" s="86"/>
      <c r="Q400" s="86"/>
      <c r="R400" s="86"/>
      <c r="S400" s="86"/>
      <c r="T400" s="86"/>
      <c r="U400" s="86"/>
      <c r="V400" s="86"/>
      <c r="W400" s="86"/>
      <c r="X400" s="86"/>
      <c r="Y400" s="86"/>
      <c r="Z400" s="86"/>
      <c r="AA400" s="86"/>
    </row>
    <row r="401" spans="1:27" ht="14.25" customHeight="1" x14ac:dyDescent="0.35">
      <c r="A401" s="76">
        <v>0</v>
      </c>
      <c r="B401" s="77">
        <v>0</v>
      </c>
      <c r="C401" s="76"/>
      <c r="D401" s="78">
        <f>IF(C401=0,0,_xlfn.IFNA(IF( MATCH(C401,Rangliste!B:B,0)&gt;0,0,1),1))</f>
        <v>0</v>
      </c>
      <c r="E401" s="85" t="str">
        <f t="shared" si="1"/>
        <v/>
      </c>
      <c r="F401" s="85"/>
      <c r="G401" s="83"/>
      <c r="H401" s="86"/>
      <c r="I401" s="86"/>
      <c r="J401" s="86"/>
      <c r="K401" s="62"/>
      <c r="L401" s="86"/>
      <c r="M401" s="86"/>
      <c r="N401" s="86"/>
      <c r="O401" s="86"/>
      <c r="P401" s="86"/>
      <c r="Q401" s="86"/>
      <c r="R401" s="86"/>
      <c r="S401" s="86"/>
      <c r="T401" s="86"/>
      <c r="U401" s="86"/>
      <c r="V401" s="86"/>
      <c r="W401" s="86"/>
      <c r="X401" s="86"/>
      <c r="Y401" s="86"/>
      <c r="Z401" s="86"/>
      <c r="AA401" s="86"/>
    </row>
    <row r="402" spans="1:27" ht="14.25" customHeight="1" x14ac:dyDescent="0.35">
      <c r="A402" s="76">
        <v>0</v>
      </c>
      <c r="B402" s="77">
        <v>0</v>
      </c>
      <c r="C402" s="76"/>
      <c r="D402" s="78">
        <f>IF(C402=0,0,_xlfn.IFNA(IF( MATCH(C402,Rangliste!B:B,0)&gt;0,0,1),1))</f>
        <v>0</v>
      </c>
      <c r="E402" s="85" t="str">
        <f t="shared" si="1"/>
        <v/>
      </c>
      <c r="F402" s="85"/>
      <c r="G402" s="83"/>
      <c r="H402" s="86"/>
      <c r="I402" s="86"/>
      <c r="J402" s="86"/>
      <c r="K402" s="62"/>
      <c r="L402" s="86"/>
      <c r="M402" s="86"/>
      <c r="N402" s="86"/>
      <c r="O402" s="86"/>
      <c r="P402" s="86"/>
      <c r="Q402" s="86"/>
      <c r="R402" s="86"/>
      <c r="S402" s="86"/>
      <c r="T402" s="86"/>
      <c r="U402" s="86"/>
      <c r="V402" s="86"/>
      <c r="W402" s="86"/>
      <c r="X402" s="86"/>
      <c r="Y402" s="86"/>
      <c r="Z402" s="86"/>
      <c r="AA402" s="86"/>
    </row>
    <row r="403" spans="1:27" ht="14.25" customHeight="1" x14ac:dyDescent="0.35">
      <c r="A403" s="76">
        <v>0</v>
      </c>
      <c r="B403" s="77">
        <v>0</v>
      </c>
      <c r="C403" s="76"/>
      <c r="D403" s="78">
        <f>IF(C403=0,0,_xlfn.IFNA(IF( MATCH(C403,Rangliste!B:B,0)&gt;0,0,1),1))</f>
        <v>0</v>
      </c>
      <c r="E403" s="85" t="str">
        <f t="shared" si="1"/>
        <v/>
      </c>
      <c r="F403" s="85"/>
      <c r="G403" s="83"/>
      <c r="H403" s="86"/>
      <c r="I403" s="86"/>
      <c r="J403" s="86"/>
      <c r="K403" s="62"/>
      <c r="L403" s="86"/>
      <c r="M403" s="86"/>
      <c r="N403" s="86"/>
      <c r="O403" s="86"/>
      <c r="P403" s="86"/>
      <c r="Q403" s="86"/>
      <c r="R403" s="86"/>
      <c r="S403" s="86"/>
      <c r="T403" s="86"/>
      <c r="U403" s="86"/>
      <c r="V403" s="86"/>
      <c r="W403" s="86"/>
      <c r="X403" s="86"/>
      <c r="Y403" s="86"/>
      <c r="Z403" s="86"/>
      <c r="AA403" s="86"/>
    </row>
    <row r="404" spans="1:27" ht="14.25" customHeight="1" x14ac:dyDescent="0.35">
      <c r="A404" s="76" t="str">
        <f t="array" ref="A404:A419">'NÖBV 3'!$F$3:$F$18</f>
        <v>Anja Reisinger</v>
      </c>
      <c r="B404" s="77">
        <v>0</v>
      </c>
      <c r="C404" s="76"/>
      <c r="D404" s="78">
        <f>IF(C404=0,0,_xlfn.IFNA(IF( MATCH(C404,Rangliste!B:B,0)&gt;0,0,1),1))</f>
        <v>0</v>
      </c>
      <c r="E404" s="85" t="str">
        <f t="shared" si="1"/>
        <v/>
      </c>
      <c r="F404" s="85"/>
      <c r="G404" s="83"/>
      <c r="H404" s="86"/>
      <c r="I404" s="86"/>
      <c r="J404" s="86"/>
      <c r="K404" s="62"/>
      <c r="L404" s="86"/>
      <c r="M404" s="86"/>
      <c r="N404" s="86"/>
      <c r="O404" s="86"/>
      <c r="P404" s="86"/>
      <c r="Q404" s="86"/>
      <c r="R404" s="86"/>
      <c r="S404" s="86"/>
      <c r="T404" s="86"/>
      <c r="U404" s="86"/>
      <c r="V404" s="86"/>
      <c r="W404" s="86"/>
      <c r="X404" s="86"/>
      <c r="Y404" s="86"/>
      <c r="Z404" s="86"/>
      <c r="AA404" s="86"/>
    </row>
    <row r="405" spans="1:27" ht="14.25" customHeight="1" x14ac:dyDescent="0.35">
      <c r="A405" s="76" t="str">
        <v>Johanna Floßmann</v>
      </c>
      <c r="B405" s="77">
        <v>0</v>
      </c>
      <c r="C405" s="76"/>
      <c r="D405" s="78">
        <f>IF(C405=0,0,_xlfn.IFNA(IF( MATCH(C405,Rangliste!B:B,0)&gt;0,0,1),1))</f>
        <v>0</v>
      </c>
      <c r="E405" s="85" t="str">
        <f t="shared" si="1"/>
        <v/>
      </c>
      <c r="F405" s="85"/>
      <c r="G405" s="83"/>
      <c r="H405" s="86"/>
      <c r="I405" s="86"/>
      <c r="J405" s="86"/>
      <c r="K405" s="62"/>
      <c r="L405" s="86"/>
      <c r="M405" s="86"/>
      <c r="N405" s="86"/>
      <c r="O405" s="86"/>
      <c r="P405" s="86"/>
      <c r="Q405" s="86"/>
      <c r="R405" s="86"/>
      <c r="S405" s="86"/>
      <c r="T405" s="86"/>
      <c r="U405" s="86"/>
      <c r="V405" s="86"/>
      <c r="W405" s="86"/>
      <c r="X405" s="86"/>
      <c r="Y405" s="86"/>
      <c r="Z405" s="86"/>
      <c r="AA405" s="86"/>
    </row>
    <row r="406" spans="1:27" ht="14.25" customHeight="1" x14ac:dyDescent="0.35">
      <c r="A406" s="76" t="str">
        <v>Rafael Burian</v>
      </c>
      <c r="B406" s="77">
        <v>0</v>
      </c>
      <c r="C406" s="76"/>
      <c r="D406" s="78">
        <f>IF(C406=0,0,_xlfn.IFNA(IF( MATCH(C406,Rangliste!B:B,0)&gt;0,0,1),1))</f>
        <v>0</v>
      </c>
      <c r="E406" s="85" t="str">
        <f t="shared" si="1"/>
        <v/>
      </c>
      <c r="F406" s="85"/>
      <c r="G406" s="83"/>
      <c r="H406" s="86"/>
      <c r="I406" s="86"/>
      <c r="J406" s="86"/>
      <c r="K406" s="62"/>
      <c r="L406" s="86"/>
      <c r="M406" s="86"/>
      <c r="N406" s="86"/>
      <c r="O406" s="86"/>
      <c r="P406" s="86"/>
      <c r="Q406" s="86"/>
      <c r="R406" s="86"/>
      <c r="S406" s="86"/>
      <c r="T406" s="86"/>
      <c r="U406" s="86"/>
      <c r="V406" s="86"/>
      <c r="W406" s="86"/>
      <c r="X406" s="86"/>
      <c r="Y406" s="86"/>
      <c r="Z406" s="86"/>
      <c r="AA406" s="86"/>
    </row>
    <row r="407" spans="1:27" ht="14.25" customHeight="1" x14ac:dyDescent="0.35">
      <c r="A407" s="76" t="str">
        <v>Dimitrij Wolgin</v>
      </c>
      <c r="B407" s="77">
        <v>0</v>
      </c>
      <c r="C407" s="76"/>
      <c r="D407" s="78">
        <f>IF(C407=0,0,_xlfn.IFNA(IF( MATCH(C407,Rangliste!B:B,0)&gt;0,0,1),1))</f>
        <v>0</v>
      </c>
      <c r="E407" s="85" t="str">
        <f t="shared" si="1"/>
        <v/>
      </c>
      <c r="F407" s="85"/>
      <c r="G407" s="83"/>
      <c r="H407" s="86"/>
      <c r="I407" s="86"/>
      <c r="J407" s="86"/>
      <c r="K407" s="62"/>
      <c r="L407" s="86"/>
      <c r="M407" s="86"/>
      <c r="N407" s="86"/>
      <c r="O407" s="86"/>
      <c r="P407" s="86"/>
      <c r="Q407" s="86"/>
      <c r="R407" s="86"/>
      <c r="S407" s="86"/>
      <c r="T407" s="86"/>
      <c r="U407" s="86"/>
      <c r="V407" s="86"/>
      <c r="W407" s="86"/>
      <c r="X407" s="86"/>
      <c r="Y407" s="86"/>
      <c r="Z407" s="86"/>
      <c r="AA407" s="86"/>
    </row>
    <row r="408" spans="1:27" ht="14.25" customHeight="1" x14ac:dyDescent="0.35">
      <c r="A408" s="76" t="str">
        <v>Sofia Neumann</v>
      </c>
      <c r="B408" s="77">
        <v>0</v>
      </c>
      <c r="C408" s="76"/>
      <c r="D408" s="78">
        <f>IF(C408=0,0,_xlfn.IFNA(IF( MATCH(C408,Rangliste!B:B,0)&gt;0,0,1),1))</f>
        <v>0</v>
      </c>
      <c r="E408" s="85" t="str">
        <f t="shared" si="1"/>
        <v/>
      </c>
      <c r="F408" s="85"/>
      <c r="G408" s="83"/>
      <c r="H408" s="86"/>
      <c r="I408" s="86"/>
      <c r="J408" s="86"/>
      <c r="K408" s="62"/>
      <c r="L408" s="86"/>
      <c r="M408" s="86"/>
      <c r="N408" s="86"/>
      <c r="O408" s="86"/>
      <c r="P408" s="86"/>
      <c r="Q408" s="86"/>
      <c r="R408" s="86"/>
      <c r="S408" s="86"/>
      <c r="T408" s="86"/>
      <c r="U408" s="86"/>
      <c r="V408" s="86"/>
      <c r="W408" s="86"/>
      <c r="X408" s="86"/>
      <c r="Y408" s="86"/>
      <c r="Z408" s="86"/>
      <c r="AA408" s="86"/>
    </row>
    <row r="409" spans="1:27" ht="14.25" customHeight="1" x14ac:dyDescent="0.35">
      <c r="A409" s="76" t="str">
        <v>Marco Papp</v>
      </c>
      <c r="B409" s="77">
        <v>0</v>
      </c>
      <c r="C409" s="76"/>
      <c r="D409" s="78">
        <f>IF(C409=0,0,_xlfn.IFNA(IF( MATCH(C409,Rangliste!B:B,0)&gt;0,0,1),1))</f>
        <v>0</v>
      </c>
      <c r="E409" s="85" t="str">
        <f t="shared" si="1"/>
        <v/>
      </c>
      <c r="F409" s="85"/>
      <c r="G409" s="83"/>
      <c r="H409" s="86"/>
      <c r="I409" s="86"/>
      <c r="J409" s="86"/>
      <c r="K409" s="62"/>
      <c r="L409" s="86"/>
      <c r="M409" s="86"/>
      <c r="N409" s="86"/>
      <c r="O409" s="86"/>
      <c r="P409" s="86"/>
      <c r="Q409" s="86"/>
      <c r="R409" s="86"/>
      <c r="S409" s="86"/>
      <c r="T409" s="86"/>
      <c r="U409" s="86"/>
      <c r="V409" s="86"/>
      <c r="W409" s="86"/>
      <c r="X409" s="86"/>
      <c r="Y409" s="86"/>
      <c r="Z409" s="86"/>
      <c r="AA409" s="86"/>
    </row>
    <row r="410" spans="1:27" ht="14.25" customHeight="1" x14ac:dyDescent="0.35">
      <c r="A410" s="76">
        <v>0</v>
      </c>
      <c r="B410" s="77">
        <v>0</v>
      </c>
      <c r="C410" s="76"/>
      <c r="D410" s="78">
        <f>IF(C410=0,0,_xlfn.IFNA(IF( MATCH(C410,Rangliste!B:B,0)&gt;0,0,1),1))</f>
        <v>0</v>
      </c>
      <c r="E410" s="85" t="str">
        <f t="shared" si="1"/>
        <v/>
      </c>
      <c r="F410" s="85"/>
      <c r="G410" s="83"/>
      <c r="H410" s="86"/>
      <c r="I410" s="86"/>
      <c r="J410" s="86"/>
      <c r="K410" s="62"/>
      <c r="L410" s="86"/>
      <c r="M410" s="86"/>
      <c r="N410" s="86"/>
      <c r="O410" s="86"/>
      <c r="P410" s="86"/>
      <c r="Q410" s="86"/>
      <c r="R410" s="86"/>
      <c r="S410" s="86"/>
      <c r="T410" s="86"/>
      <c r="U410" s="86"/>
      <c r="V410" s="86"/>
      <c r="W410" s="86"/>
      <c r="X410" s="86"/>
      <c r="Y410" s="86"/>
      <c r="Z410" s="86"/>
      <c r="AA410" s="86"/>
    </row>
    <row r="411" spans="1:27" ht="14.25" customHeight="1" x14ac:dyDescent="0.35">
      <c r="A411" s="76">
        <v>0</v>
      </c>
      <c r="B411" s="77">
        <v>0</v>
      </c>
      <c r="C411" s="76"/>
      <c r="D411" s="78">
        <f>IF(C411=0,0,_xlfn.IFNA(IF( MATCH(C411,Rangliste!B:B,0)&gt;0,0,1),1))</f>
        <v>0</v>
      </c>
      <c r="E411" s="85" t="str">
        <f t="shared" si="1"/>
        <v/>
      </c>
      <c r="F411" s="85"/>
      <c r="G411" s="83"/>
      <c r="H411" s="86"/>
      <c r="I411" s="86"/>
      <c r="J411" s="86"/>
      <c r="K411" s="62"/>
      <c r="L411" s="86"/>
      <c r="M411" s="86"/>
      <c r="N411" s="86"/>
      <c r="O411" s="86"/>
      <c r="P411" s="86"/>
      <c r="Q411" s="86"/>
      <c r="R411" s="86"/>
      <c r="S411" s="86"/>
      <c r="T411" s="86"/>
      <c r="U411" s="86"/>
      <c r="V411" s="86"/>
      <c r="W411" s="86"/>
      <c r="X411" s="86"/>
      <c r="Y411" s="86"/>
      <c r="Z411" s="86"/>
      <c r="AA411" s="86"/>
    </row>
    <row r="412" spans="1:27" ht="14.25" customHeight="1" x14ac:dyDescent="0.35">
      <c r="A412" s="76">
        <v>0</v>
      </c>
      <c r="B412" s="77">
        <v>0</v>
      </c>
      <c r="C412" s="76"/>
      <c r="D412" s="78">
        <f>IF(C412=0,0,_xlfn.IFNA(IF( MATCH(C412,Rangliste!B:B,0)&gt;0,0,1),1))</f>
        <v>0</v>
      </c>
      <c r="E412" s="85" t="str">
        <f t="shared" si="1"/>
        <v/>
      </c>
      <c r="F412" s="85"/>
      <c r="G412" s="83"/>
      <c r="H412" s="86"/>
      <c r="I412" s="86"/>
      <c r="J412" s="86"/>
      <c r="K412" s="62"/>
      <c r="L412" s="86"/>
      <c r="M412" s="86"/>
      <c r="N412" s="86"/>
      <c r="O412" s="86"/>
      <c r="P412" s="86"/>
      <c r="Q412" s="86"/>
      <c r="R412" s="86"/>
      <c r="S412" s="86"/>
      <c r="T412" s="86"/>
      <c r="U412" s="86"/>
      <c r="V412" s="86"/>
      <c r="W412" s="86"/>
      <c r="X412" s="86"/>
      <c r="Y412" s="86"/>
      <c r="Z412" s="86"/>
      <c r="AA412" s="86"/>
    </row>
    <row r="413" spans="1:27" ht="14.25" customHeight="1" x14ac:dyDescent="0.35">
      <c r="A413" s="76">
        <v>0</v>
      </c>
      <c r="B413" s="77">
        <v>0</v>
      </c>
      <c r="C413" s="76"/>
      <c r="D413" s="78">
        <f>IF(C413=0,0,_xlfn.IFNA(IF( MATCH(C413,Rangliste!B:B,0)&gt;0,0,1),1))</f>
        <v>0</v>
      </c>
      <c r="E413" s="85" t="str">
        <f t="shared" si="1"/>
        <v/>
      </c>
      <c r="F413" s="85"/>
      <c r="G413" s="83"/>
      <c r="H413" s="86"/>
      <c r="I413" s="86"/>
      <c r="J413" s="86"/>
      <c r="K413" s="62"/>
      <c r="L413" s="86"/>
      <c r="M413" s="86"/>
      <c r="N413" s="86"/>
      <c r="O413" s="86"/>
      <c r="P413" s="86"/>
      <c r="Q413" s="86"/>
      <c r="R413" s="86"/>
      <c r="S413" s="86"/>
      <c r="T413" s="86"/>
      <c r="U413" s="86"/>
      <c r="V413" s="86"/>
      <c r="W413" s="86"/>
      <c r="X413" s="86"/>
      <c r="Y413" s="86"/>
      <c r="Z413" s="86"/>
      <c r="AA413" s="86"/>
    </row>
    <row r="414" spans="1:27" ht="14.25" customHeight="1" x14ac:dyDescent="0.35">
      <c r="A414" s="76">
        <v>0</v>
      </c>
      <c r="B414" s="77">
        <v>0</v>
      </c>
      <c r="C414" s="76"/>
      <c r="D414" s="78">
        <f>IF(C414=0,0,_xlfn.IFNA(IF( MATCH(C414,Rangliste!B:B,0)&gt;0,0,1),1))</f>
        <v>0</v>
      </c>
      <c r="E414" s="85" t="str">
        <f t="shared" si="1"/>
        <v/>
      </c>
      <c r="F414" s="85"/>
      <c r="G414" s="83"/>
      <c r="H414" s="86"/>
      <c r="I414" s="86"/>
      <c r="J414" s="86"/>
      <c r="K414" s="62"/>
      <c r="L414" s="86"/>
      <c r="M414" s="86"/>
      <c r="N414" s="86"/>
      <c r="O414" s="86"/>
      <c r="P414" s="86"/>
      <c r="Q414" s="86"/>
      <c r="R414" s="86"/>
      <c r="S414" s="86"/>
      <c r="T414" s="86"/>
      <c r="U414" s="86"/>
      <c r="V414" s="86"/>
      <c r="W414" s="86"/>
      <c r="X414" s="86"/>
      <c r="Y414" s="86"/>
      <c r="Z414" s="86"/>
      <c r="AA414" s="86"/>
    </row>
    <row r="415" spans="1:27" ht="14.25" customHeight="1" x14ac:dyDescent="0.35">
      <c r="A415" s="76">
        <v>0</v>
      </c>
      <c r="B415" s="77">
        <v>0</v>
      </c>
      <c r="C415" s="76"/>
      <c r="D415" s="78">
        <f>IF(C415=0,0,_xlfn.IFNA(IF( MATCH(C415,Rangliste!B:B,0)&gt;0,0,1),1))</f>
        <v>0</v>
      </c>
      <c r="E415" s="85" t="str">
        <f t="shared" si="1"/>
        <v/>
      </c>
      <c r="F415" s="85"/>
      <c r="G415" s="83"/>
      <c r="H415" s="86"/>
      <c r="I415" s="86"/>
      <c r="J415" s="86"/>
      <c r="K415" s="62"/>
      <c r="L415" s="86"/>
      <c r="M415" s="86"/>
      <c r="N415" s="86"/>
      <c r="O415" s="86"/>
      <c r="P415" s="86"/>
      <c r="Q415" s="86"/>
      <c r="R415" s="86"/>
      <c r="S415" s="86"/>
      <c r="T415" s="86"/>
      <c r="U415" s="86"/>
      <c r="V415" s="86"/>
      <c r="W415" s="86"/>
      <c r="X415" s="86"/>
      <c r="Y415" s="86"/>
      <c r="Z415" s="86"/>
      <c r="AA415" s="86"/>
    </row>
    <row r="416" spans="1:27" ht="14.25" customHeight="1" x14ac:dyDescent="0.35">
      <c r="A416" s="76">
        <v>0</v>
      </c>
      <c r="B416" s="77">
        <v>0</v>
      </c>
      <c r="C416" s="76"/>
      <c r="D416" s="78">
        <f>IF(C416=0,0,_xlfn.IFNA(IF( MATCH(C416,Rangliste!B:B,0)&gt;0,0,1),1))</f>
        <v>0</v>
      </c>
      <c r="E416" s="85" t="str">
        <f t="shared" si="1"/>
        <v/>
      </c>
      <c r="F416" s="85"/>
      <c r="G416" s="83"/>
      <c r="H416" s="86"/>
      <c r="I416" s="86"/>
      <c r="J416" s="86"/>
      <c r="K416" s="62"/>
      <c r="L416" s="86"/>
      <c r="M416" s="86"/>
      <c r="N416" s="86"/>
      <c r="O416" s="86"/>
      <c r="P416" s="86"/>
      <c r="Q416" s="86"/>
      <c r="R416" s="86"/>
      <c r="S416" s="86"/>
      <c r="T416" s="86"/>
      <c r="U416" s="86"/>
      <c r="V416" s="86"/>
      <c r="W416" s="86"/>
      <c r="X416" s="86"/>
      <c r="Y416" s="86"/>
      <c r="Z416" s="86"/>
      <c r="AA416" s="86"/>
    </row>
    <row r="417" spans="1:27" ht="14.25" customHeight="1" x14ac:dyDescent="0.35">
      <c r="A417" s="76">
        <v>0</v>
      </c>
      <c r="B417" s="77">
        <v>0</v>
      </c>
      <c r="C417" s="76"/>
      <c r="D417" s="78">
        <f>IF(C417=0,0,_xlfn.IFNA(IF( MATCH(C417,Rangliste!B:B,0)&gt;0,0,1),1))</f>
        <v>0</v>
      </c>
      <c r="E417" s="85" t="str">
        <f t="shared" si="1"/>
        <v/>
      </c>
      <c r="F417" s="85"/>
      <c r="G417" s="83"/>
      <c r="H417" s="86"/>
      <c r="I417" s="86"/>
      <c r="J417" s="86"/>
      <c r="K417" s="62"/>
      <c r="L417" s="86"/>
      <c r="M417" s="86"/>
      <c r="N417" s="86"/>
      <c r="O417" s="86"/>
      <c r="P417" s="86"/>
      <c r="Q417" s="86"/>
      <c r="R417" s="86"/>
      <c r="S417" s="86"/>
      <c r="T417" s="86"/>
      <c r="U417" s="86"/>
      <c r="V417" s="86"/>
      <c r="W417" s="86"/>
      <c r="X417" s="86"/>
      <c r="Y417" s="86"/>
      <c r="Z417" s="86"/>
      <c r="AA417" s="86"/>
    </row>
    <row r="418" spans="1:27" ht="14.25" customHeight="1" x14ac:dyDescent="0.35">
      <c r="A418" s="76">
        <v>0</v>
      </c>
      <c r="B418" s="77">
        <v>0</v>
      </c>
      <c r="C418" s="76"/>
      <c r="D418" s="78">
        <f>IF(C418=0,0,_xlfn.IFNA(IF( MATCH(C418,Rangliste!B:B,0)&gt;0,0,1),1))</f>
        <v>0</v>
      </c>
      <c r="E418" s="85" t="str">
        <f t="shared" si="1"/>
        <v/>
      </c>
      <c r="F418" s="85"/>
      <c r="G418" s="83"/>
      <c r="H418" s="86"/>
      <c r="I418" s="86"/>
      <c r="J418" s="86"/>
      <c r="K418" s="62"/>
      <c r="L418" s="86"/>
      <c r="M418" s="86"/>
      <c r="N418" s="86"/>
      <c r="O418" s="86"/>
      <c r="P418" s="86"/>
      <c r="Q418" s="86"/>
      <c r="R418" s="86"/>
      <c r="S418" s="86"/>
      <c r="T418" s="86"/>
      <c r="U418" s="86"/>
      <c r="V418" s="86"/>
      <c r="W418" s="86"/>
      <c r="X418" s="86"/>
      <c r="Y418" s="86"/>
      <c r="Z418" s="86"/>
      <c r="AA418" s="86"/>
    </row>
    <row r="419" spans="1:27" ht="14.25" customHeight="1" x14ac:dyDescent="0.35">
      <c r="A419" s="76">
        <v>0</v>
      </c>
      <c r="B419" s="77">
        <v>0</v>
      </c>
      <c r="C419" s="76"/>
      <c r="D419" s="78">
        <f>IF(C419=0,0,_xlfn.IFNA(IF( MATCH(C419,Rangliste!B:B,0)&gt;0,0,1),1))</f>
        <v>0</v>
      </c>
      <c r="E419" s="85" t="str">
        <f t="shared" si="1"/>
        <v/>
      </c>
      <c r="F419" s="85"/>
      <c r="G419" s="83"/>
      <c r="H419" s="86"/>
      <c r="I419" s="86"/>
      <c r="J419" s="86"/>
      <c r="K419" s="62"/>
      <c r="L419" s="86"/>
      <c r="M419" s="86"/>
      <c r="N419" s="86"/>
      <c r="O419" s="86"/>
      <c r="P419" s="86"/>
      <c r="Q419" s="86"/>
      <c r="R419" s="86"/>
      <c r="S419" s="86"/>
      <c r="T419" s="86"/>
      <c r="U419" s="86"/>
      <c r="V419" s="86"/>
      <c r="W419" s="86"/>
      <c r="X419" s="86"/>
      <c r="Y419" s="86"/>
      <c r="Z419" s="86"/>
      <c r="AA419" s="86"/>
    </row>
    <row r="420" spans="1:27" ht="14.25" customHeight="1" x14ac:dyDescent="0.35">
      <c r="A420" s="76" t="str">
        <f t="array" ref="A420:A435">'NÖBV 3'!$J$3:$J$18</f>
        <v>Wolfgang Scheifinger</v>
      </c>
      <c r="B420" s="77">
        <f t="array" ref="B420:B451">'WBV 4'!$F$3:$F$34</f>
        <v>0</v>
      </c>
      <c r="C420" s="76"/>
      <c r="D420" s="78">
        <f>IF(C420=0,0,_xlfn.IFNA(IF( MATCH(C420,Rangliste!B:B,0)&gt;0,0,1),1))</f>
        <v>0</v>
      </c>
      <c r="E420" s="85" t="str">
        <f t="shared" si="1"/>
        <v/>
      </c>
      <c r="F420" s="85"/>
      <c r="G420" s="83"/>
      <c r="H420" s="86"/>
      <c r="I420" s="86"/>
      <c r="J420" s="86"/>
      <c r="K420" s="62"/>
      <c r="L420" s="86"/>
      <c r="M420" s="86"/>
      <c r="N420" s="86"/>
      <c r="O420" s="86"/>
      <c r="P420" s="86"/>
      <c r="Q420" s="86"/>
      <c r="R420" s="86"/>
      <c r="S420" s="86"/>
      <c r="T420" s="86"/>
      <c r="U420" s="86"/>
      <c r="V420" s="86"/>
      <c r="W420" s="86"/>
      <c r="X420" s="86"/>
      <c r="Y420" s="86"/>
      <c r="Z420" s="86"/>
      <c r="AA420" s="86"/>
    </row>
    <row r="421" spans="1:27" ht="14.25" customHeight="1" x14ac:dyDescent="0.35">
      <c r="A421" s="76" t="str">
        <v>Lara Burian</v>
      </c>
      <c r="B421" s="77">
        <v>0</v>
      </c>
      <c r="C421" s="76"/>
      <c r="D421" s="78">
        <f>IF(C421=0,0,_xlfn.IFNA(IF( MATCH(C421,Rangliste!B:B,0)&gt;0,0,1),1))</f>
        <v>0</v>
      </c>
      <c r="E421" s="85" t="str">
        <f t="shared" si="1"/>
        <v/>
      </c>
      <c r="F421" s="85"/>
      <c r="G421" s="83"/>
      <c r="H421" s="86"/>
      <c r="I421" s="86"/>
      <c r="J421" s="86"/>
      <c r="K421" s="62"/>
      <c r="L421" s="86"/>
      <c r="M421" s="86"/>
      <c r="N421" s="86"/>
      <c r="O421" s="86"/>
      <c r="P421" s="86"/>
      <c r="Q421" s="86"/>
      <c r="R421" s="86"/>
      <c r="S421" s="86"/>
      <c r="T421" s="86"/>
      <c r="U421" s="86"/>
      <c r="V421" s="86"/>
      <c r="W421" s="86"/>
      <c r="X421" s="86"/>
      <c r="Y421" s="86"/>
      <c r="Z421" s="86"/>
      <c r="AA421" s="86"/>
    </row>
    <row r="422" spans="1:27" ht="14.25" customHeight="1" x14ac:dyDescent="0.35">
      <c r="A422" s="76" t="str">
        <v>Julian Taferl</v>
      </c>
      <c r="B422" s="77">
        <v>0</v>
      </c>
      <c r="C422" s="76"/>
      <c r="D422" s="78">
        <f>IF(C422=0,0,_xlfn.IFNA(IF( MATCH(C422,Rangliste!B:B,0)&gt;0,0,1),1))</f>
        <v>0</v>
      </c>
      <c r="E422" s="85" t="str">
        <f t="shared" si="1"/>
        <v/>
      </c>
      <c r="F422" s="85"/>
      <c r="G422" s="83"/>
      <c r="H422" s="86"/>
      <c r="I422" s="86"/>
      <c r="J422" s="86"/>
      <c r="K422" s="62"/>
      <c r="L422" s="86"/>
      <c r="M422" s="86"/>
      <c r="N422" s="86"/>
      <c r="O422" s="86"/>
      <c r="P422" s="86"/>
      <c r="Q422" s="86"/>
      <c r="R422" s="86"/>
      <c r="S422" s="86"/>
      <c r="T422" s="86"/>
      <c r="U422" s="86"/>
      <c r="V422" s="86"/>
      <c r="W422" s="86"/>
      <c r="X422" s="86"/>
      <c r="Y422" s="86"/>
      <c r="Z422" s="86"/>
      <c r="AA422" s="86"/>
    </row>
    <row r="423" spans="1:27" ht="14.25" customHeight="1" x14ac:dyDescent="0.35">
      <c r="A423" s="76" t="str">
        <v>Nora Walter</v>
      </c>
      <c r="B423" s="77">
        <v>0</v>
      </c>
      <c r="C423" s="76"/>
      <c r="D423" s="78">
        <f>IF(C423=0,0,_xlfn.IFNA(IF( MATCH(C423,Rangliste!B:B,0)&gt;0,0,1),1))</f>
        <v>0</v>
      </c>
      <c r="E423" s="85" t="str">
        <f t="shared" si="1"/>
        <v/>
      </c>
      <c r="F423" s="85"/>
      <c r="G423" s="83"/>
      <c r="H423" s="86"/>
      <c r="I423" s="86"/>
      <c r="J423" s="86"/>
      <c r="K423" s="62"/>
      <c r="L423" s="86"/>
      <c r="M423" s="86"/>
      <c r="N423" s="86"/>
      <c r="O423" s="86"/>
      <c r="P423" s="86"/>
      <c r="Q423" s="86"/>
      <c r="R423" s="86"/>
      <c r="S423" s="86"/>
      <c r="T423" s="86"/>
      <c r="U423" s="86"/>
      <c r="V423" s="86"/>
      <c r="W423" s="86"/>
      <c r="X423" s="86"/>
      <c r="Y423" s="86"/>
      <c r="Z423" s="86"/>
      <c r="AA423" s="86"/>
    </row>
    <row r="424" spans="1:27" ht="14.25" customHeight="1" x14ac:dyDescent="0.35">
      <c r="A424" s="76" t="str">
        <v>Leon Hausmann</v>
      </c>
      <c r="B424" s="77">
        <v>0</v>
      </c>
      <c r="C424" s="76"/>
      <c r="D424" s="78">
        <f>IF(C424=0,0,_xlfn.IFNA(IF( MATCH(C424,Rangliste!B:B,0)&gt;0,0,1),1))</f>
        <v>0</v>
      </c>
      <c r="E424" s="85" t="str">
        <f t="shared" si="1"/>
        <v/>
      </c>
      <c r="F424" s="85"/>
      <c r="G424" s="83"/>
      <c r="H424" s="86"/>
      <c r="I424" s="86"/>
      <c r="J424" s="86"/>
      <c r="K424" s="62"/>
      <c r="L424" s="86"/>
      <c r="M424" s="86"/>
      <c r="N424" s="86"/>
      <c r="O424" s="86"/>
      <c r="P424" s="86"/>
      <c r="Q424" s="86"/>
      <c r="R424" s="86"/>
      <c r="S424" s="86"/>
      <c r="T424" s="86"/>
      <c r="U424" s="86"/>
      <c r="V424" s="86"/>
      <c r="W424" s="86"/>
      <c r="X424" s="86"/>
      <c r="Y424" s="86"/>
      <c r="Z424" s="86"/>
      <c r="AA424" s="86"/>
    </row>
    <row r="425" spans="1:27" ht="14.25" customHeight="1" x14ac:dyDescent="0.35">
      <c r="A425" s="76" t="str">
        <v>Felix Lamplmaier</v>
      </c>
      <c r="B425" s="77">
        <v>0</v>
      </c>
      <c r="C425" s="76"/>
      <c r="D425" s="78">
        <f>IF(C425=0,0,_xlfn.IFNA(IF( MATCH(C425,Rangliste!B:B,0)&gt;0,0,1),1))</f>
        <v>0</v>
      </c>
      <c r="E425" s="85" t="str">
        <f t="shared" si="1"/>
        <v/>
      </c>
      <c r="F425" s="85"/>
      <c r="G425" s="83"/>
      <c r="H425" s="86"/>
      <c r="I425" s="86"/>
      <c r="J425" s="86"/>
      <c r="K425" s="62"/>
      <c r="L425" s="86"/>
      <c r="M425" s="86"/>
      <c r="N425" s="86"/>
      <c r="O425" s="86"/>
      <c r="P425" s="86"/>
      <c r="Q425" s="86"/>
      <c r="R425" s="86"/>
      <c r="S425" s="86"/>
      <c r="T425" s="86"/>
      <c r="U425" s="86"/>
      <c r="V425" s="86"/>
      <c r="W425" s="86"/>
      <c r="X425" s="86"/>
      <c r="Y425" s="86"/>
      <c r="Z425" s="86"/>
      <c r="AA425" s="86"/>
    </row>
    <row r="426" spans="1:27" ht="14.25" customHeight="1" x14ac:dyDescent="0.35">
      <c r="A426" s="76" t="str">
        <v>Ilian Reisinger</v>
      </c>
      <c r="B426" s="77">
        <v>0</v>
      </c>
      <c r="C426" s="76"/>
      <c r="D426" s="78">
        <f>IF(C426=0,0,_xlfn.IFNA(IF( MATCH(C426,Rangliste!B:B,0)&gt;0,0,1),1))</f>
        <v>0</v>
      </c>
      <c r="E426" s="85" t="str">
        <f t="shared" si="1"/>
        <v/>
      </c>
      <c r="F426" s="85"/>
      <c r="G426" s="83"/>
      <c r="H426" s="86"/>
      <c r="I426" s="86"/>
      <c r="J426" s="86"/>
      <c r="K426" s="62"/>
      <c r="L426" s="86"/>
      <c r="M426" s="86"/>
      <c r="N426" s="86"/>
      <c r="O426" s="86"/>
      <c r="P426" s="86"/>
      <c r="Q426" s="86"/>
      <c r="R426" s="86"/>
      <c r="S426" s="86"/>
      <c r="T426" s="86"/>
      <c r="U426" s="86"/>
      <c r="V426" s="86"/>
      <c r="W426" s="86"/>
      <c r="X426" s="86"/>
      <c r="Y426" s="86"/>
      <c r="Z426" s="86"/>
      <c r="AA426" s="86"/>
    </row>
    <row r="427" spans="1:27" ht="14.25" customHeight="1" x14ac:dyDescent="0.35">
      <c r="A427" s="76" t="str">
        <v>Josua Zeilerbauer</v>
      </c>
      <c r="B427" s="77">
        <v>0</v>
      </c>
      <c r="C427" s="76"/>
      <c r="D427" s="78">
        <f>IF(C427=0,0,_xlfn.IFNA(IF( MATCH(C427,Rangliste!B:B,0)&gt;0,0,1),1))</f>
        <v>0</v>
      </c>
      <c r="E427" s="85" t="str">
        <f t="shared" si="1"/>
        <v/>
      </c>
      <c r="F427" s="85"/>
      <c r="G427" s="83"/>
      <c r="H427" s="86"/>
      <c r="I427" s="86"/>
      <c r="J427" s="86"/>
      <c r="K427" s="62"/>
      <c r="L427" s="86"/>
      <c r="M427" s="86"/>
      <c r="N427" s="86"/>
      <c r="O427" s="86"/>
      <c r="P427" s="86"/>
      <c r="Q427" s="86"/>
      <c r="R427" s="86"/>
      <c r="S427" s="86"/>
      <c r="T427" s="86"/>
      <c r="U427" s="86"/>
      <c r="V427" s="86"/>
      <c r="W427" s="86"/>
      <c r="X427" s="86"/>
      <c r="Y427" s="86"/>
      <c r="Z427" s="86"/>
      <c r="AA427" s="86"/>
    </row>
    <row r="428" spans="1:27" ht="14.25" customHeight="1" x14ac:dyDescent="0.35">
      <c r="A428" s="76" t="str">
        <v>Hector Recalde</v>
      </c>
      <c r="B428" s="77">
        <v>0</v>
      </c>
      <c r="C428" s="76"/>
      <c r="D428" s="78">
        <f>IF(C428=0,0,_xlfn.IFNA(IF( MATCH(C428,Rangliste!B:B,0)&gt;0,0,1),1))</f>
        <v>0</v>
      </c>
      <c r="E428" s="85" t="str">
        <f t="shared" si="1"/>
        <v/>
      </c>
      <c r="F428" s="85"/>
      <c r="G428" s="83"/>
      <c r="H428" s="86"/>
      <c r="I428" s="86"/>
      <c r="J428" s="86"/>
      <c r="K428" s="62"/>
      <c r="L428" s="86"/>
      <c r="M428" s="86"/>
      <c r="N428" s="86"/>
      <c r="O428" s="86"/>
      <c r="P428" s="86"/>
      <c r="Q428" s="86"/>
      <c r="R428" s="86"/>
      <c r="S428" s="86"/>
      <c r="T428" s="86"/>
      <c r="U428" s="86"/>
      <c r="V428" s="86"/>
      <c r="W428" s="86"/>
      <c r="X428" s="86"/>
      <c r="Y428" s="86"/>
      <c r="Z428" s="86"/>
      <c r="AA428" s="86"/>
    </row>
    <row r="429" spans="1:27" ht="14.25" customHeight="1" x14ac:dyDescent="0.35">
      <c r="A429" s="76" t="str">
        <v>Dario Kasser</v>
      </c>
      <c r="B429" s="77">
        <v>0</v>
      </c>
      <c r="C429" s="76"/>
      <c r="D429" s="78">
        <f>IF(C429=0,0,_xlfn.IFNA(IF( MATCH(C429,Rangliste!B:B,0)&gt;0,0,1),1))</f>
        <v>0</v>
      </c>
      <c r="E429" s="85" t="str">
        <f t="shared" si="1"/>
        <v/>
      </c>
      <c r="F429" s="85"/>
      <c r="G429" s="83"/>
      <c r="H429" s="86"/>
      <c r="I429" s="86"/>
      <c r="J429" s="86"/>
      <c r="K429" s="62"/>
      <c r="L429" s="86"/>
      <c r="M429" s="86"/>
      <c r="N429" s="86"/>
      <c r="O429" s="86"/>
      <c r="P429" s="86"/>
      <c r="Q429" s="86"/>
      <c r="R429" s="86"/>
      <c r="S429" s="86"/>
      <c r="T429" s="86"/>
      <c r="U429" s="86"/>
      <c r="V429" s="86"/>
      <c r="W429" s="86"/>
      <c r="X429" s="86"/>
      <c r="Y429" s="86"/>
      <c r="Z429" s="86"/>
      <c r="AA429" s="86"/>
    </row>
    <row r="430" spans="1:27" ht="14.25" customHeight="1" x14ac:dyDescent="0.35">
      <c r="A430" s="76" t="str">
        <v>Moritz Feher</v>
      </c>
      <c r="B430" s="77">
        <v>0</v>
      </c>
      <c r="C430" s="76"/>
      <c r="D430" s="78">
        <f>IF(C430=0,0,_xlfn.IFNA(IF( MATCH(C430,Rangliste!B:B,0)&gt;0,0,1),1))</f>
        <v>0</v>
      </c>
      <c r="E430" s="85" t="str">
        <f t="shared" si="1"/>
        <v/>
      </c>
      <c r="F430" s="85"/>
      <c r="G430" s="83"/>
      <c r="H430" s="86"/>
      <c r="I430" s="86"/>
      <c r="J430" s="86"/>
      <c r="K430" s="62"/>
      <c r="L430" s="86"/>
      <c r="M430" s="86"/>
      <c r="N430" s="86"/>
      <c r="O430" s="86"/>
      <c r="P430" s="86"/>
      <c r="Q430" s="86"/>
      <c r="R430" s="86"/>
      <c r="S430" s="86"/>
      <c r="T430" s="86"/>
      <c r="U430" s="86"/>
      <c r="V430" s="86"/>
      <c r="W430" s="86"/>
      <c r="X430" s="86"/>
      <c r="Y430" s="86"/>
      <c r="Z430" s="86"/>
      <c r="AA430" s="86"/>
    </row>
    <row r="431" spans="1:27" ht="14.25" customHeight="1" x14ac:dyDescent="0.35">
      <c r="A431" s="76">
        <v>0</v>
      </c>
      <c r="B431" s="77">
        <v>0</v>
      </c>
      <c r="C431" s="76"/>
      <c r="D431" s="78">
        <f>IF(C431=0,0,_xlfn.IFNA(IF( MATCH(C431,Rangliste!B:B,0)&gt;0,0,1),1))</f>
        <v>0</v>
      </c>
      <c r="E431" s="85" t="str">
        <f t="shared" si="1"/>
        <v/>
      </c>
      <c r="F431" s="85"/>
      <c r="G431" s="83"/>
      <c r="H431" s="86"/>
      <c r="I431" s="86"/>
      <c r="J431" s="86"/>
      <c r="K431" s="62"/>
      <c r="L431" s="86"/>
      <c r="M431" s="86"/>
      <c r="N431" s="86"/>
      <c r="O431" s="86"/>
      <c r="P431" s="86"/>
      <c r="Q431" s="86"/>
      <c r="R431" s="86"/>
      <c r="S431" s="86"/>
      <c r="T431" s="86"/>
      <c r="U431" s="86"/>
      <c r="V431" s="86"/>
      <c r="W431" s="86"/>
      <c r="X431" s="86"/>
      <c r="Y431" s="86"/>
      <c r="Z431" s="86"/>
      <c r="AA431" s="86"/>
    </row>
    <row r="432" spans="1:27" ht="14.25" customHeight="1" x14ac:dyDescent="0.35">
      <c r="A432" s="76">
        <v>0</v>
      </c>
      <c r="B432" s="77">
        <v>0</v>
      </c>
      <c r="C432" s="76"/>
      <c r="D432" s="78">
        <f>IF(C432=0,0,_xlfn.IFNA(IF( MATCH(C432,Rangliste!B:B,0)&gt;0,0,1),1))</f>
        <v>0</v>
      </c>
      <c r="E432" s="85" t="str">
        <f t="shared" si="1"/>
        <v/>
      </c>
      <c r="F432" s="85"/>
      <c r="G432" s="83"/>
      <c r="H432" s="86"/>
      <c r="I432" s="86"/>
      <c r="J432" s="86"/>
      <c r="K432" s="62"/>
      <c r="L432" s="86"/>
      <c r="M432" s="86"/>
      <c r="N432" s="86"/>
      <c r="O432" s="86"/>
      <c r="P432" s="86"/>
      <c r="Q432" s="86"/>
      <c r="R432" s="86"/>
      <c r="S432" s="86"/>
      <c r="T432" s="86"/>
      <c r="U432" s="86"/>
      <c r="V432" s="86"/>
      <c r="W432" s="86"/>
      <c r="X432" s="86"/>
      <c r="Y432" s="86"/>
      <c r="Z432" s="86"/>
      <c r="AA432" s="86"/>
    </row>
    <row r="433" spans="1:27" ht="14.25" customHeight="1" x14ac:dyDescent="0.35">
      <c r="A433" s="76">
        <v>0</v>
      </c>
      <c r="B433" s="77">
        <v>0</v>
      </c>
      <c r="C433" s="76"/>
      <c r="D433" s="78">
        <f>IF(C433=0,0,_xlfn.IFNA(IF( MATCH(C433,Rangliste!B:B,0)&gt;0,0,1),1))</f>
        <v>0</v>
      </c>
      <c r="E433" s="85" t="str">
        <f t="shared" si="1"/>
        <v/>
      </c>
      <c r="F433" s="85"/>
      <c r="G433" s="83"/>
      <c r="H433" s="86"/>
      <c r="I433" s="86"/>
      <c r="J433" s="86"/>
      <c r="K433" s="62"/>
      <c r="L433" s="86"/>
      <c r="M433" s="86"/>
      <c r="N433" s="86"/>
      <c r="O433" s="86"/>
      <c r="P433" s="86"/>
      <c r="Q433" s="86"/>
      <c r="R433" s="86"/>
      <c r="S433" s="86"/>
      <c r="T433" s="86"/>
      <c r="U433" s="86"/>
      <c r="V433" s="86"/>
      <c r="W433" s="86"/>
      <c r="X433" s="86"/>
      <c r="Y433" s="86"/>
      <c r="Z433" s="86"/>
      <c r="AA433" s="86"/>
    </row>
    <row r="434" spans="1:27" ht="14.25" customHeight="1" x14ac:dyDescent="0.35">
      <c r="A434" s="76">
        <v>0</v>
      </c>
      <c r="B434" s="77">
        <v>0</v>
      </c>
      <c r="C434" s="76"/>
      <c r="D434" s="78">
        <f>IF(C434=0,0,_xlfn.IFNA(IF( MATCH(C434,Rangliste!B:B,0)&gt;0,0,1),1))</f>
        <v>0</v>
      </c>
      <c r="E434" s="85" t="str">
        <f t="shared" si="1"/>
        <v/>
      </c>
      <c r="F434" s="85"/>
      <c r="G434" s="83"/>
      <c r="H434" s="86"/>
      <c r="I434" s="86"/>
      <c r="J434" s="86"/>
      <c r="K434" s="62"/>
      <c r="L434" s="86"/>
      <c r="M434" s="86"/>
      <c r="N434" s="86"/>
      <c r="O434" s="86"/>
      <c r="P434" s="86"/>
      <c r="Q434" s="86"/>
      <c r="R434" s="86"/>
      <c r="S434" s="86"/>
      <c r="T434" s="86"/>
      <c r="U434" s="86"/>
      <c r="V434" s="86"/>
      <c r="W434" s="86"/>
      <c r="X434" s="86"/>
      <c r="Y434" s="86"/>
      <c r="Z434" s="86"/>
      <c r="AA434" s="86"/>
    </row>
    <row r="435" spans="1:27" ht="14.25" customHeight="1" x14ac:dyDescent="0.35">
      <c r="A435" s="76">
        <v>0</v>
      </c>
      <c r="B435" s="77">
        <v>0</v>
      </c>
      <c r="C435" s="76"/>
      <c r="D435" s="78">
        <f>IF(C435=0,0,_xlfn.IFNA(IF( MATCH(C435,Rangliste!B:B,0)&gt;0,0,1),1))</f>
        <v>0</v>
      </c>
      <c r="E435" s="85" t="str">
        <f t="shared" si="1"/>
        <v/>
      </c>
      <c r="F435" s="85"/>
      <c r="G435" s="83"/>
      <c r="H435" s="86"/>
      <c r="I435" s="86"/>
      <c r="J435" s="86"/>
      <c r="K435" s="62"/>
      <c r="L435" s="86"/>
      <c r="M435" s="86"/>
      <c r="N435" s="86"/>
      <c r="O435" s="86"/>
      <c r="P435" s="86"/>
      <c r="Q435" s="86"/>
      <c r="R435" s="86"/>
      <c r="S435" s="86"/>
      <c r="T435" s="86"/>
      <c r="U435" s="86"/>
      <c r="V435" s="86"/>
      <c r="W435" s="86"/>
      <c r="X435" s="86"/>
      <c r="Y435" s="86"/>
      <c r="Z435" s="86"/>
      <c r="AA435" s="86"/>
    </row>
    <row r="436" spans="1:27" ht="14.25" customHeight="1" x14ac:dyDescent="0.35">
      <c r="A436" s="76" t="str">
        <f t="array" ref="A436:A451">'NÖBV 3'!$N$3:$N$18</f>
        <v>Liam Hammer</v>
      </c>
      <c r="B436" s="77">
        <v>0</v>
      </c>
      <c r="C436" s="76"/>
      <c r="D436" s="78">
        <f>IF(C436=0,0,_xlfn.IFNA(IF( MATCH(C436,Rangliste!B:B,0)&gt;0,0,1),1))</f>
        <v>0</v>
      </c>
      <c r="E436" s="85" t="str">
        <f t="shared" si="1"/>
        <v/>
      </c>
      <c r="F436" s="85"/>
      <c r="G436" s="83"/>
      <c r="H436" s="86"/>
      <c r="I436" s="86"/>
      <c r="J436" s="86"/>
      <c r="K436" s="62"/>
      <c r="L436" s="86"/>
      <c r="M436" s="86"/>
      <c r="N436" s="86"/>
      <c r="O436" s="86"/>
      <c r="P436" s="86"/>
      <c r="Q436" s="86"/>
      <c r="R436" s="86"/>
      <c r="S436" s="86"/>
      <c r="T436" s="86"/>
      <c r="U436" s="86"/>
      <c r="V436" s="86"/>
      <c r="W436" s="86"/>
      <c r="X436" s="86"/>
      <c r="Y436" s="86"/>
      <c r="Z436" s="86"/>
      <c r="AA436" s="86"/>
    </row>
    <row r="437" spans="1:27" ht="14.25" customHeight="1" x14ac:dyDescent="0.35">
      <c r="A437" s="76" t="str">
        <v>Jakob Müllner</v>
      </c>
      <c r="B437" s="77">
        <v>0</v>
      </c>
      <c r="C437" s="76"/>
      <c r="D437" s="78">
        <f>IF(C437=0,0,_xlfn.IFNA(IF( MATCH(C437,Rangliste!B:B,0)&gt;0,0,1),1))</f>
        <v>0</v>
      </c>
      <c r="E437" s="85" t="str">
        <f t="shared" si="1"/>
        <v/>
      </c>
      <c r="F437" s="85"/>
      <c r="G437" s="83"/>
      <c r="H437" s="86"/>
      <c r="I437" s="86"/>
      <c r="J437" s="86"/>
      <c r="K437" s="62"/>
      <c r="L437" s="86"/>
      <c r="M437" s="86"/>
      <c r="N437" s="86"/>
      <c r="O437" s="86"/>
      <c r="P437" s="86"/>
      <c r="Q437" s="86"/>
      <c r="R437" s="86"/>
      <c r="S437" s="86"/>
      <c r="T437" s="86"/>
      <c r="U437" s="86"/>
      <c r="V437" s="86"/>
      <c r="W437" s="86"/>
      <c r="X437" s="86"/>
      <c r="Y437" s="86"/>
      <c r="Z437" s="86"/>
      <c r="AA437" s="86"/>
    </row>
    <row r="438" spans="1:27" ht="14.25" customHeight="1" x14ac:dyDescent="0.35">
      <c r="A438" s="76" t="str">
        <v>Lola Petraschek</v>
      </c>
      <c r="B438" s="77">
        <v>0</v>
      </c>
      <c r="C438" s="76"/>
      <c r="D438" s="78">
        <f>IF(C438=0,0,_xlfn.IFNA(IF( MATCH(C438,Rangliste!B:B,0)&gt;0,0,1),1))</f>
        <v>0</v>
      </c>
      <c r="E438" s="85" t="str">
        <f t="shared" si="1"/>
        <v/>
      </c>
      <c r="F438" s="85"/>
      <c r="G438" s="83"/>
      <c r="H438" s="86"/>
      <c r="I438" s="86"/>
      <c r="J438" s="86"/>
      <c r="K438" s="62"/>
      <c r="L438" s="86"/>
      <c r="M438" s="86"/>
      <c r="N438" s="86"/>
      <c r="O438" s="86"/>
      <c r="P438" s="86"/>
      <c r="Q438" s="86"/>
      <c r="R438" s="86"/>
      <c r="S438" s="86"/>
      <c r="T438" s="86"/>
      <c r="U438" s="86"/>
      <c r="V438" s="86"/>
      <c r="W438" s="86"/>
      <c r="X438" s="86"/>
      <c r="Y438" s="86"/>
      <c r="Z438" s="86"/>
      <c r="AA438" s="86"/>
    </row>
    <row r="439" spans="1:27" ht="14.25" customHeight="1" x14ac:dyDescent="0.35">
      <c r="A439" s="76" t="str">
        <v>Alexander Wolgin</v>
      </c>
      <c r="B439" s="77">
        <v>0</v>
      </c>
      <c r="C439" s="76"/>
      <c r="D439" s="78">
        <f>IF(C439=0,0,_xlfn.IFNA(IF( MATCH(C439,Rangliste!B:B,0)&gt;0,0,1),1))</f>
        <v>0</v>
      </c>
      <c r="E439" s="85" t="str">
        <f t="shared" si="1"/>
        <v/>
      </c>
      <c r="F439" s="85"/>
      <c r="G439" s="83"/>
      <c r="H439" s="86"/>
      <c r="I439" s="86"/>
      <c r="J439" s="86"/>
      <c r="K439" s="62"/>
      <c r="L439" s="86"/>
      <c r="M439" s="86"/>
      <c r="N439" s="86"/>
      <c r="O439" s="86"/>
      <c r="P439" s="86"/>
      <c r="Q439" s="86"/>
      <c r="R439" s="86"/>
      <c r="S439" s="86"/>
      <c r="T439" s="86"/>
      <c r="U439" s="86"/>
      <c r="V439" s="86"/>
      <c r="W439" s="86"/>
      <c r="X439" s="86"/>
      <c r="Y439" s="86"/>
      <c r="Z439" s="86"/>
      <c r="AA439" s="86"/>
    </row>
    <row r="440" spans="1:27" ht="14.25" customHeight="1" x14ac:dyDescent="0.35">
      <c r="A440" s="76">
        <v>0</v>
      </c>
      <c r="B440" s="77">
        <v>0</v>
      </c>
      <c r="C440" s="76"/>
      <c r="D440" s="78">
        <f>IF(C440=0,0,_xlfn.IFNA(IF( MATCH(C440,Rangliste!B:B,0)&gt;0,0,1),1))</f>
        <v>0</v>
      </c>
      <c r="E440" s="85" t="str">
        <f t="shared" si="1"/>
        <v/>
      </c>
      <c r="F440" s="85"/>
      <c r="G440" s="83"/>
      <c r="H440" s="86"/>
      <c r="I440" s="86"/>
      <c r="J440" s="86"/>
      <c r="K440" s="62"/>
      <c r="L440" s="86"/>
      <c r="M440" s="86"/>
      <c r="N440" s="86"/>
      <c r="O440" s="86"/>
      <c r="P440" s="86"/>
      <c r="Q440" s="86"/>
      <c r="R440" s="86"/>
      <c r="S440" s="86"/>
      <c r="T440" s="86"/>
      <c r="U440" s="86"/>
      <c r="V440" s="86"/>
      <c r="W440" s="86"/>
      <c r="X440" s="86"/>
      <c r="Y440" s="86"/>
      <c r="Z440" s="86"/>
      <c r="AA440" s="86"/>
    </row>
    <row r="441" spans="1:27" ht="14.25" customHeight="1" x14ac:dyDescent="0.35">
      <c r="A441" s="76">
        <v>0</v>
      </c>
      <c r="B441" s="77">
        <v>0</v>
      </c>
      <c r="C441" s="76"/>
      <c r="D441" s="78">
        <f>IF(C441=0,0,_xlfn.IFNA(IF( MATCH(C441,Rangliste!B:B,0)&gt;0,0,1),1))</f>
        <v>0</v>
      </c>
      <c r="E441" s="85" t="str">
        <f t="shared" si="1"/>
        <v/>
      </c>
      <c r="F441" s="85"/>
      <c r="G441" s="83"/>
      <c r="H441" s="86"/>
      <c r="I441" s="86"/>
      <c r="J441" s="86"/>
      <c r="K441" s="62"/>
      <c r="L441" s="86"/>
      <c r="M441" s="86"/>
      <c r="N441" s="86"/>
      <c r="O441" s="86"/>
      <c r="P441" s="86"/>
      <c r="Q441" s="86"/>
      <c r="R441" s="86"/>
      <c r="S441" s="86"/>
      <c r="T441" s="86"/>
      <c r="U441" s="86"/>
      <c r="V441" s="86"/>
      <c r="W441" s="86"/>
      <c r="X441" s="86"/>
      <c r="Y441" s="86"/>
      <c r="Z441" s="86"/>
      <c r="AA441" s="86"/>
    </row>
    <row r="442" spans="1:27" ht="14.25" customHeight="1" x14ac:dyDescent="0.35">
      <c r="A442" s="76">
        <v>0</v>
      </c>
      <c r="B442" s="77">
        <v>0</v>
      </c>
      <c r="C442" s="76"/>
      <c r="D442" s="78">
        <f>IF(C442=0,0,_xlfn.IFNA(IF( MATCH(C442,Rangliste!B:B,0)&gt;0,0,1),1))</f>
        <v>0</v>
      </c>
      <c r="E442" s="85" t="str">
        <f t="shared" si="1"/>
        <v/>
      </c>
      <c r="F442" s="85"/>
      <c r="G442" s="83"/>
      <c r="H442" s="86"/>
      <c r="I442" s="86"/>
      <c r="J442" s="86"/>
      <c r="K442" s="62"/>
      <c r="L442" s="86"/>
      <c r="M442" s="86"/>
      <c r="N442" s="86"/>
      <c r="O442" s="86"/>
      <c r="P442" s="86"/>
      <c r="Q442" s="86"/>
      <c r="R442" s="86"/>
      <c r="S442" s="86"/>
      <c r="T442" s="86"/>
      <c r="U442" s="86"/>
      <c r="V442" s="86"/>
      <c r="W442" s="86"/>
      <c r="X442" s="86"/>
      <c r="Y442" s="86"/>
      <c r="Z442" s="86"/>
      <c r="AA442" s="86"/>
    </row>
    <row r="443" spans="1:27" ht="14.25" customHeight="1" x14ac:dyDescent="0.35">
      <c r="A443" s="76">
        <v>0</v>
      </c>
      <c r="B443" s="77">
        <v>0</v>
      </c>
      <c r="C443" s="76"/>
      <c r="D443" s="78">
        <f>IF(C443=0,0,_xlfn.IFNA(IF( MATCH(C443,Rangliste!B:B,0)&gt;0,0,1),1))</f>
        <v>0</v>
      </c>
      <c r="E443" s="85" t="str">
        <f t="shared" si="1"/>
        <v/>
      </c>
      <c r="F443" s="85"/>
      <c r="G443" s="83"/>
      <c r="H443" s="86"/>
      <c r="I443" s="86"/>
      <c r="J443" s="86"/>
      <c r="K443" s="62"/>
      <c r="L443" s="86"/>
      <c r="M443" s="86"/>
      <c r="N443" s="86"/>
      <c r="O443" s="86"/>
      <c r="P443" s="86"/>
      <c r="Q443" s="86"/>
      <c r="R443" s="86"/>
      <c r="S443" s="86"/>
      <c r="T443" s="86"/>
      <c r="U443" s="86"/>
      <c r="V443" s="86"/>
      <c r="W443" s="86"/>
      <c r="X443" s="86"/>
      <c r="Y443" s="86"/>
      <c r="Z443" s="86"/>
      <c r="AA443" s="86"/>
    </row>
    <row r="444" spans="1:27" ht="14.25" customHeight="1" x14ac:dyDescent="0.35">
      <c r="A444" s="76">
        <v>0</v>
      </c>
      <c r="B444" s="77">
        <v>0</v>
      </c>
      <c r="C444" s="76"/>
      <c r="D444" s="78">
        <f>IF(C444=0,0,_xlfn.IFNA(IF( MATCH(C444,Rangliste!B:B,0)&gt;0,0,1),1))</f>
        <v>0</v>
      </c>
      <c r="E444" s="85" t="str">
        <f t="shared" si="1"/>
        <v/>
      </c>
      <c r="F444" s="85"/>
      <c r="G444" s="83"/>
      <c r="H444" s="86"/>
      <c r="I444" s="86"/>
      <c r="J444" s="86"/>
      <c r="K444" s="62"/>
      <c r="L444" s="86"/>
      <c r="M444" s="86"/>
      <c r="N444" s="86"/>
      <c r="O444" s="86"/>
      <c r="P444" s="86"/>
      <c r="Q444" s="86"/>
      <c r="R444" s="86"/>
      <c r="S444" s="86"/>
      <c r="T444" s="86"/>
      <c r="U444" s="86"/>
      <c r="V444" s="86"/>
      <c r="W444" s="86"/>
      <c r="X444" s="86"/>
      <c r="Y444" s="86"/>
      <c r="Z444" s="86"/>
      <c r="AA444" s="86"/>
    </row>
    <row r="445" spans="1:27" ht="14.25" customHeight="1" x14ac:dyDescent="0.35">
      <c r="A445" s="76">
        <v>0</v>
      </c>
      <c r="B445" s="87">
        <v>0</v>
      </c>
      <c r="C445" s="76"/>
      <c r="D445" s="78">
        <f>IF(C445=0,0,_xlfn.IFNA(IF( MATCH(C445,Rangliste!B:B,0)&gt;0,0,1),1))</f>
        <v>0</v>
      </c>
      <c r="E445" s="85" t="str">
        <f t="shared" si="1"/>
        <v/>
      </c>
      <c r="F445" s="85"/>
      <c r="G445" s="83"/>
      <c r="H445" s="86"/>
      <c r="I445" s="86"/>
      <c r="J445" s="86"/>
      <c r="K445" s="62"/>
      <c r="L445" s="86"/>
      <c r="M445" s="86"/>
      <c r="N445" s="86"/>
      <c r="O445" s="86"/>
      <c r="P445" s="86"/>
      <c r="Q445" s="86"/>
      <c r="R445" s="86"/>
      <c r="S445" s="86"/>
      <c r="T445" s="86"/>
      <c r="U445" s="86"/>
      <c r="V445" s="86"/>
      <c r="W445" s="86"/>
      <c r="X445" s="86"/>
      <c r="Y445" s="86"/>
      <c r="Z445" s="86"/>
      <c r="AA445" s="86"/>
    </row>
    <row r="446" spans="1:27" ht="14.25" customHeight="1" x14ac:dyDescent="0.35">
      <c r="A446" s="76">
        <v>0</v>
      </c>
      <c r="B446" s="87">
        <v>0</v>
      </c>
      <c r="C446" s="76"/>
      <c r="D446" s="78">
        <f>IF(C446=0,0,_xlfn.IFNA(IF( MATCH(C446,Rangliste!B:B,0)&gt;0,0,1),1))</f>
        <v>0</v>
      </c>
      <c r="E446" s="85" t="str">
        <f t="shared" si="1"/>
        <v/>
      </c>
      <c r="F446" s="85"/>
      <c r="G446" s="83"/>
      <c r="H446" s="86"/>
      <c r="I446" s="86"/>
      <c r="J446" s="86"/>
      <c r="K446" s="62"/>
      <c r="L446" s="86"/>
      <c r="M446" s="86"/>
      <c r="N446" s="86"/>
      <c r="O446" s="86"/>
      <c r="P446" s="86"/>
      <c r="Q446" s="86"/>
      <c r="R446" s="86"/>
      <c r="S446" s="86"/>
      <c r="T446" s="86"/>
      <c r="U446" s="86"/>
      <c r="V446" s="86"/>
      <c r="W446" s="86"/>
      <c r="X446" s="86"/>
      <c r="Y446" s="86"/>
      <c r="Z446" s="86"/>
      <c r="AA446" s="86"/>
    </row>
    <row r="447" spans="1:27" ht="14.25" customHeight="1" x14ac:dyDescent="0.35">
      <c r="A447" s="76">
        <v>0</v>
      </c>
      <c r="B447" s="87">
        <v>0</v>
      </c>
      <c r="C447" s="76"/>
      <c r="D447" s="78">
        <f>IF(C447=0,0,_xlfn.IFNA(IF( MATCH(C447,Rangliste!B:B,0)&gt;0,0,1),1))</f>
        <v>0</v>
      </c>
      <c r="E447" s="85" t="str">
        <f t="shared" si="1"/>
        <v/>
      </c>
      <c r="F447" s="85"/>
      <c r="G447" s="83"/>
      <c r="H447" s="86"/>
      <c r="I447" s="86"/>
      <c r="J447" s="86"/>
      <c r="K447" s="62"/>
      <c r="L447" s="86"/>
      <c r="M447" s="86"/>
      <c r="N447" s="86"/>
      <c r="O447" s="86"/>
      <c r="P447" s="86"/>
      <c r="Q447" s="86"/>
      <c r="R447" s="86"/>
      <c r="S447" s="86"/>
      <c r="T447" s="86"/>
      <c r="U447" s="86"/>
      <c r="V447" s="86"/>
      <c r="W447" s="86"/>
      <c r="X447" s="86"/>
      <c r="Y447" s="86"/>
      <c r="Z447" s="86"/>
      <c r="AA447" s="86"/>
    </row>
    <row r="448" spans="1:27" ht="14.25" customHeight="1" x14ac:dyDescent="0.35">
      <c r="A448" s="76">
        <v>0</v>
      </c>
      <c r="B448" s="87">
        <v>0</v>
      </c>
      <c r="C448" s="76"/>
      <c r="D448" s="78">
        <f>IF(C448=0,0,_xlfn.IFNA(IF( MATCH(C448,Rangliste!B:B,0)&gt;0,0,1),1))</f>
        <v>0</v>
      </c>
      <c r="E448" s="85" t="str">
        <f t="shared" si="1"/>
        <v/>
      </c>
      <c r="F448" s="85"/>
      <c r="G448" s="83"/>
      <c r="H448" s="86"/>
      <c r="I448" s="86"/>
      <c r="J448" s="86"/>
      <c r="K448" s="62"/>
      <c r="L448" s="86"/>
      <c r="M448" s="86"/>
      <c r="N448" s="86"/>
      <c r="O448" s="86"/>
      <c r="P448" s="86"/>
      <c r="Q448" s="86"/>
      <c r="R448" s="86"/>
      <c r="S448" s="86"/>
      <c r="T448" s="86"/>
      <c r="U448" s="86"/>
      <c r="V448" s="86"/>
      <c r="W448" s="86"/>
      <c r="X448" s="86"/>
      <c r="Y448" s="86"/>
      <c r="Z448" s="86"/>
      <c r="AA448" s="86"/>
    </row>
    <row r="449" spans="1:27" ht="14.25" customHeight="1" x14ac:dyDescent="0.35">
      <c r="A449" s="76">
        <v>0</v>
      </c>
      <c r="B449" s="87">
        <v>0</v>
      </c>
      <c r="C449" s="76"/>
      <c r="D449" s="78">
        <f>IF(C449=0,0,_xlfn.IFNA(IF( MATCH(C449,Rangliste!B:B,0)&gt;0,0,1),1))</f>
        <v>0</v>
      </c>
      <c r="E449" s="85" t="str">
        <f t="shared" si="1"/>
        <v/>
      </c>
      <c r="F449" s="85"/>
      <c r="G449" s="83"/>
      <c r="H449" s="86"/>
      <c r="I449" s="86"/>
      <c r="J449" s="86"/>
      <c r="K449" s="62"/>
      <c r="L449" s="86"/>
      <c r="M449" s="86"/>
      <c r="N449" s="86"/>
      <c r="O449" s="86"/>
      <c r="P449" s="86"/>
      <c r="Q449" s="86"/>
      <c r="R449" s="86"/>
      <c r="S449" s="86"/>
      <c r="T449" s="86"/>
      <c r="U449" s="86"/>
      <c r="V449" s="86"/>
      <c r="W449" s="86"/>
      <c r="X449" s="86"/>
      <c r="Y449" s="86"/>
      <c r="Z449" s="86"/>
      <c r="AA449" s="86"/>
    </row>
    <row r="450" spans="1:27" ht="14.25" customHeight="1" x14ac:dyDescent="0.35">
      <c r="A450" s="76">
        <v>0</v>
      </c>
      <c r="B450" s="87">
        <v>0</v>
      </c>
      <c r="C450" s="76"/>
      <c r="D450" s="78">
        <f>IF(C450=0,0,_xlfn.IFNA(IF( MATCH(C450,Rangliste!B:B,0)&gt;0,0,1),1))</f>
        <v>0</v>
      </c>
      <c r="E450" s="85" t="str">
        <f t="shared" si="1"/>
        <v/>
      </c>
      <c r="F450" s="85"/>
      <c r="G450" s="83"/>
      <c r="H450" s="86"/>
      <c r="I450" s="86"/>
      <c r="J450" s="86"/>
      <c r="K450" s="62"/>
      <c r="L450" s="86"/>
      <c r="M450" s="86"/>
      <c r="N450" s="86"/>
      <c r="O450" s="86"/>
      <c r="P450" s="86"/>
      <c r="Q450" s="86"/>
      <c r="R450" s="86"/>
      <c r="S450" s="86"/>
      <c r="T450" s="86"/>
      <c r="U450" s="86"/>
      <c r="V450" s="86"/>
      <c r="W450" s="86"/>
      <c r="X450" s="86"/>
      <c r="Y450" s="86"/>
      <c r="Z450" s="86"/>
      <c r="AA450" s="86"/>
    </row>
    <row r="451" spans="1:27" ht="14.25" customHeight="1" x14ac:dyDescent="0.35">
      <c r="A451" s="76">
        <v>0</v>
      </c>
      <c r="B451" s="87">
        <v>0</v>
      </c>
      <c r="C451" s="76"/>
      <c r="D451" s="78">
        <f>IF(C451=0,0,_xlfn.IFNA(IF( MATCH(C451,Rangliste!B:B,0)&gt;0,0,1),1))</f>
        <v>0</v>
      </c>
      <c r="E451" s="85" t="str">
        <f t="shared" si="1"/>
        <v/>
      </c>
      <c r="F451" s="85"/>
      <c r="G451" s="83"/>
      <c r="H451" s="86"/>
      <c r="I451" s="86"/>
      <c r="J451" s="86"/>
      <c r="K451" s="62"/>
      <c r="L451" s="86"/>
      <c r="M451" s="86"/>
      <c r="N451" s="86"/>
      <c r="O451" s="86"/>
      <c r="P451" s="86"/>
      <c r="Q451" s="86"/>
      <c r="R451" s="86"/>
      <c r="S451" s="86"/>
      <c r="T451" s="86"/>
      <c r="U451" s="86"/>
      <c r="V451" s="86"/>
      <c r="W451" s="86"/>
      <c r="X451" s="86"/>
      <c r="Y451" s="86"/>
      <c r="Z451" s="86"/>
      <c r="AA451" s="86"/>
    </row>
    <row r="452" spans="1:27" ht="14.25" customHeight="1" x14ac:dyDescent="0.35">
      <c r="A452" s="76" t="str">
        <f t="array" ref="A452:A467">'Regioturnier 1'!$B$3:$B$18</f>
        <v>Ziqi Li</v>
      </c>
      <c r="B452" s="87">
        <f t="array" ref="B452:B483">'WBV 4'!$J$3:$J$34</f>
        <v>0</v>
      </c>
      <c r="C452" s="76"/>
      <c r="D452" s="78">
        <f>IF(C452=0,0,_xlfn.IFNA(IF( MATCH(C452,Rangliste!B:B,0)&gt;0,0,1),1))</f>
        <v>0</v>
      </c>
      <c r="E452" s="85" t="str">
        <f t="shared" si="1"/>
        <v/>
      </c>
      <c r="F452" s="85"/>
      <c r="G452" s="83"/>
      <c r="H452" s="86"/>
      <c r="I452" s="86"/>
      <c r="J452" s="86"/>
      <c r="K452" s="62"/>
      <c r="L452" s="86"/>
      <c r="M452" s="86"/>
      <c r="N452" s="86"/>
      <c r="O452" s="86"/>
      <c r="P452" s="86"/>
      <c r="Q452" s="86"/>
      <c r="R452" s="86"/>
      <c r="S452" s="86"/>
      <c r="T452" s="86"/>
      <c r="U452" s="86"/>
      <c r="V452" s="86"/>
      <c r="W452" s="86"/>
      <c r="X452" s="86"/>
      <c r="Y452" s="86"/>
      <c r="Z452" s="86"/>
      <c r="AA452" s="86"/>
    </row>
    <row r="453" spans="1:27" ht="14.25" customHeight="1" x14ac:dyDescent="0.35">
      <c r="A453" s="76" t="str">
        <v>Zhenhui Tang</v>
      </c>
      <c r="B453" s="87">
        <v>0</v>
      </c>
      <c r="C453" s="76"/>
      <c r="D453" s="78">
        <f>IF(C453=0,0,_xlfn.IFNA(IF( MATCH(C453,Rangliste!B:B,0)&gt;0,0,1),1))</f>
        <v>0</v>
      </c>
      <c r="E453" s="85" t="str">
        <f t="shared" si="1"/>
        <v/>
      </c>
      <c r="F453" s="85"/>
      <c r="G453" s="83"/>
      <c r="H453" s="86"/>
      <c r="I453" s="86"/>
      <c r="J453" s="86"/>
      <c r="K453" s="62"/>
      <c r="L453" s="86"/>
      <c r="M453" s="86"/>
      <c r="N453" s="86"/>
      <c r="O453" s="86"/>
      <c r="P453" s="86"/>
      <c r="Q453" s="86"/>
      <c r="R453" s="86"/>
      <c r="S453" s="86"/>
      <c r="T453" s="86"/>
      <c r="U453" s="86"/>
      <c r="V453" s="86"/>
      <c r="W453" s="86"/>
      <c r="X453" s="86"/>
      <c r="Y453" s="86"/>
      <c r="Z453" s="86"/>
      <c r="AA453" s="86"/>
    </row>
    <row r="454" spans="1:27" ht="14.25" customHeight="1" x14ac:dyDescent="0.35">
      <c r="A454" s="76" t="str">
        <v>Valentin Grebien</v>
      </c>
      <c r="B454" s="87">
        <v>0</v>
      </c>
      <c r="C454" s="76"/>
      <c r="D454" s="78">
        <f>IF(C454=0,0,_xlfn.IFNA(IF( MATCH(C454,Rangliste!B:B,0)&gt;0,0,1),1))</f>
        <v>0</v>
      </c>
      <c r="E454" s="85" t="str">
        <f t="shared" si="1"/>
        <v/>
      </c>
      <c r="F454" s="85"/>
      <c r="G454" s="83"/>
      <c r="H454" s="86"/>
      <c r="I454" s="86"/>
      <c r="J454" s="86"/>
      <c r="K454" s="62"/>
      <c r="L454" s="86"/>
      <c r="M454" s="86"/>
      <c r="N454" s="86"/>
      <c r="O454" s="86"/>
      <c r="P454" s="86"/>
      <c r="Q454" s="86"/>
      <c r="R454" s="86"/>
      <c r="S454" s="86"/>
      <c r="T454" s="86"/>
      <c r="U454" s="86"/>
      <c r="V454" s="86"/>
      <c r="W454" s="86"/>
      <c r="X454" s="86"/>
      <c r="Y454" s="86"/>
      <c r="Z454" s="86"/>
      <c r="AA454" s="86"/>
    </row>
    <row r="455" spans="1:27" ht="14.25" customHeight="1" x14ac:dyDescent="0.35">
      <c r="A455" s="76" t="str">
        <v>Leon Lu</v>
      </c>
      <c r="B455" s="87">
        <v>0</v>
      </c>
      <c r="C455" s="76"/>
      <c r="D455" s="78">
        <f>IF(C455=0,0,_xlfn.IFNA(IF( MATCH(C455,Rangliste!B:B,0)&gt;0,0,1),1))</f>
        <v>0</v>
      </c>
      <c r="E455" s="85" t="str">
        <f t="shared" si="1"/>
        <v/>
      </c>
      <c r="F455" s="85"/>
      <c r="G455" s="83"/>
      <c r="H455" s="86"/>
      <c r="I455" s="86"/>
      <c r="J455" s="86"/>
      <c r="K455" s="62"/>
      <c r="L455" s="86"/>
      <c r="M455" s="86"/>
      <c r="N455" s="86"/>
      <c r="O455" s="86"/>
      <c r="P455" s="86"/>
      <c r="Q455" s="86"/>
      <c r="R455" s="86"/>
      <c r="S455" s="86"/>
      <c r="T455" s="86"/>
      <c r="U455" s="86"/>
      <c r="V455" s="86"/>
      <c r="W455" s="86"/>
      <c r="X455" s="86"/>
      <c r="Y455" s="86"/>
      <c r="Z455" s="86"/>
      <c r="AA455" s="86"/>
    </row>
    <row r="456" spans="1:27" ht="14.25" customHeight="1" x14ac:dyDescent="0.35">
      <c r="A456" s="76" t="str">
        <v>Xinjie Chen</v>
      </c>
      <c r="B456" s="87">
        <v>0</v>
      </c>
      <c r="C456" s="76"/>
      <c r="D456" s="78">
        <f>IF(C456=0,0,_xlfn.IFNA(IF( MATCH(C456,Rangliste!B:B,0)&gt;0,0,1),1))</f>
        <v>0</v>
      </c>
      <c r="E456" s="85" t="str">
        <f t="shared" si="1"/>
        <v/>
      </c>
      <c r="F456" s="85"/>
      <c r="G456" s="83"/>
      <c r="H456" s="86"/>
      <c r="I456" s="86"/>
      <c r="J456" s="86"/>
      <c r="K456" s="62"/>
      <c r="L456" s="86"/>
      <c r="M456" s="86"/>
      <c r="N456" s="86"/>
      <c r="O456" s="86"/>
      <c r="P456" s="86"/>
      <c r="Q456" s="86"/>
      <c r="R456" s="86"/>
      <c r="S456" s="86"/>
      <c r="T456" s="86"/>
      <c r="U456" s="86"/>
      <c r="V456" s="86"/>
      <c r="W456" s="86"/>
      <c r="X456" s="86"/>
      <c r="Y456" s="86"/>
      <c r="Z456" s="86"/>
      <c r="AA456" s="86"/>
    </row>
    <row r="457" spans="1:27" ht="14.25" customHeight="1" x14ac:dyDescent="0.35">
      <c r="A457" s="76" t="str">
        <v>Sebastian Dollinger</v>
      </c>
      <c r="B457" s="87">
        <v>0</v>
      </c>
      <c r="C457" s="76"/>
      <c r="D457" s="78">
        <f>IF(C457=0,0,_xlfn.IFNA(IF( MATCH(C457,Rangliste!B:B,0)&gt;0,0,1),1))</f>
        <v>0</v>
      </c>
      <c r="E457" s="85" t="str">
        <f t="shared" si="1"/>
        <v/>
      </c>
      <c r="F457" s="85"/>
      <c r="G457" s="83"/>
      <c r="H457" s="86"/>
      <c r="I457" s="86"/>
      <c r="J457" s="86"/>
      <c r="K457" s="62"/>
      <c r="L457" s="86"/>
      <c r="M457" s="86"/>
      <c r="N457" s="86"/>
      <c r="O457" s="86"/>
      <c r="P457" s="86"/>
      <c r="Q457" s="86"/>
      <c r="R457" s="86"/>
      <c r="S457" s="86"/>
      <c r="T457" s="86"/>
      <c r="U457" s="86"/>
      <c r="V457" s="86"/>
      <c r="W457" s="86"/>
      <c r="X457" s="86"/>
      <c r="Y457" s="86"/>
      <c r="Z457" s="86"/>
      <c r="AA457" s="86"/>
    </row>
    <row r="458" spans="1:27" ht="14.25" customHeight="1" x14ac:dyDescent="0.35">
      <c r="A458" s="76" t="str">
        <v>Mustafa Hussaini</v>
      </c>
      <c r="B458" s="87">
        <v>0</v>
      </c>
      <c r="C458" s="76"/>
      <c r="D458" s="78">
        <f>IF(C458=0,0,_xlfn.IFNA(IF( MATCH(C458,Rangliste!B:B,0)&gt;0,0,1),1))</f>
        <v>0</v>
      </c>
      <c r="E458" s="85" t="str">
        <f t="shared" si="1"/>
        <v/>
      </c>
      <c r="F458" s="85"/>
      <c r="G458" s="83"/>
      <c r="H458" s="86"/>
      <c r="I458" s="86"/>
      <c r="J458" s="86"/>
      <c r="K458" s="62"/>
      <c r="L458" s="86"/>
      <c r="M458" s="86"/>
      <c r="N458" s="86"/>
      <c r="O458" s="86"/>
      <c r="P458" s="86"/>
      <c r="Q458" s="86"/>
      <c r="R458" s="86"/>
      <c r="S458" s="86"/>
      <c r="T458" s="86"/>
      <c r="U458" s="86"/>
      <c r="V458" s="86"/>
      <c r="W458" s="86"/>
      <c r="X458" s="86"/>
      <c r="Y458" s="86"/>
      <c r="Z458" s="86"/>
      <c r="AA458" s="86"/>
    </row>
    <row r="459" spans="1:27" ht="14.25" customHeight="1" x14ac:dyDescent="0.35">
      <c r="A459" s="76" t="str">
        <v>Wenzel Tiapal</v>
      </c>
      <c r="B459" s="87">
        <v>0</v>
      </c>
      <c r="C459" s="76"/>
      <c r="D459" s="78">
        <f>IF(C459=0,0,_xlfn.IFNA(IF( MATCH(C459,Rangliste!B:B,0)&gt;0,0,1),1))</f>
        <v>0</v>
      </c>
      <c r="E459" s="85" t="str">
        <f t="shared" si="1"/>
        <v/>
      </c>
      <c r="F459" s="85"/>
      <c r="G459" s="83"/>
      <c r="H459" s="86"/>
      <c r="I459" s="86"/>
      <c r="J459" s="86"/>
      <c r="K459" s="62"/>
      <c r="L459" s="86"/>
      <c r="M459" s="86"/>
      <c r="N459" s="86"/>
      <c r="O459" s="86"/>
      <c r="P459" s="86"/>
      <c r="Q459" s="86"/>
      <c r="R459" s="86"/>
      <c r="S459" s="86"/>
      <c r="T459" s="86"/>
      <c r="U459" s="86"/>
      <c r="V459" s="86"/>
      <c r="W459" s="86"/>
      <c r="X459" s="86"/>
      <c r="Y459" s="86"/>
      <c r="Z459" s="86"/>
      <c r="AA459" s="86"/>
    </row>
    <row r="460" spans="1:27" ht="14.25" customHeight="1" x14ac:dyDescent="0.35">
      <c r="A460" s="76" t="str">
        <v>Elias Reisinger</v>
      </c>
      <c r="B460" s="87">
        <v>0</v>
      </c>
      <c r="C460" s="76"/>
      <c r="D460" s="78">
        <f>IF(C460=0,0,_xlfn.IFNA(IF( MATCH(C460,Rangliste!B:B,0)&gt;0,0,1),1))</f>
        <v>0</v>
      </c>
      <c r="E460" s="85" t="str">
        <f t="shared" si="1"/>
        <v/>
      </c>
      <c r="F460" s="85"/>
      <c r="G460" s="83"/>
      <c r="H460" s="86"/>
      <c r="I460" s="86"/>
      <c r="J460" s="86"/>
      <c r="K460" s="62"/>
      <c r="L460" s="86"/>
      <c r="M460" s="86"/>
      <c r="N460" s="86"/>
      <c r="O460" s="86"/>
      <c r="P460" s="86"/>
      <c r="Q460" s="86"/>
      <c r="R460" s="86"/>
      <c r="S460" s="86"/>
      <c r="T460" s="86"/>
      <c r="U460" s="86"/>
      <c r="V460" s="86"/>
      <c r="W460" s="86"/>
      <c r="X460" s="86"/>
      <c r="Y460" s="86"/>
      <c r="Z460" s="86"/>
      <c r="AA460" s="86"/>
    </row>
    <row r="461" spans="1:27" ht="14.25" customHeight="1" x14ac:dyDescent="0.35">
      <c r="A461" s="76" t="str">
        <v>Valentin Schefcik</v>
      </c>
      <c r="B461" s="87">
        <v>0</v>
      </c>
      <c r="C461" s="76"/>
      <c r="D461" s="78">
        <f>IF(C461=0,0,_xlfn.IFNA(IF( MATCH(C461,Rangliste!B:B,0)&gt;0,0,1),1))</f>
        <v>0</v>
      </c>
      <c r="E461" s="85" t="str">
        <f t="shared" si="1"/>
        <v/>
      </c>
      <c r="F461" s="85"/>
      <c r="G461" s="83"/>
      <c r="H461" s="86"/>
      <c r="I461" s="86"/>
      <c r="J461" s="86"/>
      <c r="K461" s="62"/>
      <c r="L461" s="86"/>
      <c r="M461" s="86"/>
      <c r="N461" s="86"/>
      <c r="O461" s="86"/>
      <c r="P461" s="86"/>
      <c r="Q461" s="86"/>
      <c r="R461" s="86"/>
      <c r="S461" s="86"/>
      <c r="T461" s="86"/>
      <c r="U461" s="86"/>
      <c r="V461" s="86"/>
      <c r="W461" s="86"/>
      <c r="X461" s="86"/>
      <c r="Y461" s="86"/>
      <c r="Z461" s="86"/>
      <c r="AA461" s="86"/>
    </row>
    <row r="462" spans="1:27" ht="14.25" customHeight="1" x14ac:dyDescent="0.35">
      <c r="A462" s="76" t="str">
        <v>Samuel Nemeskal</v>
      </c>
      <c r="B462" s="87">
        <v>0</v>
      </c>
      <c r="C462" s="76"/>
      <c r="D462" s="78">
        <f>IF(C462=0,0,_xlfn.IFNA(IF( MATCH(C462,Rangliste!B:B,0)&gt;0,0,1),1))</f>
        <v>0</v>
      </c>
      <c r="E462" s="85" t="str">
        <f t="shared" si="1"/>
        <v/>
      </c>
      <c r="F462" s="85"/>
      <c r="G462" s="83"/>
      <c r="H462" s="86"/>
      <c r="I462" s="86"/>
      <c r="J462" s="86"/>
      <c r="K462" s="62"/>
      <c r="L462" s="86"/>
      <c r="M462" s="86"/>
      <c r="N462" s="86"/>
      <c r="O462" s="86"/>
      <c r="P462" s="86"/>
      <c r="Q462" s="86"/>
      <c r="R462" s="86"/>
      <c r="S462" s="86"/>
      <c r="T462" s="86"/>
      <c r="U462" s="86"/>
      <c r="V462" s="86"/>
      <c r="W462" s="86"/>
      <c r="X462" s="86"/>
      <c r="Y462" s="86"/>
      <c r="Z462" s="86"/>
      <c r="AA462" s="86"/>
    </row>
    <row r="463" spans="1:27" ht="14.25" customHeight="1" x14ac:dyDescent="0.35">
      <c r="A463" s="76" t="str">
        <v>Alexander Huang</v>
      </c>
      <c r="B463" s="87">
        <v>0</v>
      </c>
      <c r="C463" s="76"/>
      <c r="D463" s="78">
        <f>IF(C463=0,0,_xlfn.IFNA(IF( MATCH(C463,Rangliste!B:B,0)&gt;0,0,1),1))</f>
        <v>0</v>
      </c>
      <c r="E463" s="85" t="str">
        <f t="shared" si="1"/>
        <v/>
      </c>
      <c r="F463" s="85"/>
      <c r="G463" s="83"/>
      <c r="H463" s="86"/>
      <c r="I463" s="86"/>
      <c r="J463" s="86"/>
      <c r="K463" s="62"/>
      <c r="L463" s="86"/>
      <c r="M463" s="86"/>
      <c r="N463" s="86"/>
      <c r="O463" s="86"/>
      <c r="P463" s="86"/>
      <c r="Q463" s="86"/>
      <c r="R463" s="86"/>
      <c r="S463" s="86"/>
      <c r="T463" s="86"/>
      <c r="U463" s="86"/>
      <c r="V463" s="86"/>
      <c r="W463" s="86"/>
      <c r="X463" s="86"/>
      <c r="Y463" s="86"/>
      <c r="Z463" s="86"/>
      <c r="AA463" s="86"/>
    </row>
    <row r="464" spans="1:27" ht="14.25" customHeight="1" x14ac:dyDescent="0.35">
      <c r="A464" s="76" t="str">
        <v>Aron Massl</v>
      </c>
      <c r="B464" s="87">
        <v>0</v>
      </c>
      <c r="C464" s="76"/>
      <c r="D464" s="78">
        <f>IF(C464=0,0,_xlfn.IFNA(IF( MATCH(C464,Rangliste!B:B,0)&gt;0,0,1),1))</f>
        <v>0</v>
      </c>
      <c r="E464" s="85" t="str">
        <f t="shared" si="1"/>
        <v/>
      </c>
      <c r="F464" s="85"/>
      <c r="G464" s="83"/>
      <c r="H464" s="86"/>
      <c r="I464" s="86"/>
      <c r="J464" s="86"/>
      <c r="K464" s="62"/>
      <c r="L464" s="86"/>
      <c r="M464" s="86"/>
      <c r="N464" s="86"/>
      <c r="O464" s="86"/>
      <c r="P464" s="86"/>
      <c r="Q464" s="86"/>
      <c r="R464" s="86"/>
      <c r="S464" s="86"/>
      <c r="T464" s="86"/>
      <c r="U464" s="86"/>
      <c r="V464" s="86"/>
      <c r="W464" s="86"/>
      <c r="X464" s="86"/>
      <c r="Y464" s="86"/>
      <c r="Z464" s="86"/>
      <c r="AA464" s="86"/>
    </row>
    <row r="465" spans="1:27" ht="14.25" customHeight="1" x14ac:dyDescent="0.35">
      <c r="A465" s="76">
        <v>0</v>
      </c>
      <c r="B465" s="87">
        <v>0</v>
      </c>
      <c r="C465" s="76"/>
      <c r="D465" s="78">
        <f>IF(C465=0,0,_xlfn.IFNA(IF( MATCH(C465,Rangliste!B:B,0)&gt;0,0,1),1))</f>
        <v>0</v>
      </c>
      <c r="E465" s="85" t="str">
        <f t="shared" si="1"/>
        <v/>
      </c>
      <c r="F465" s="85"/>
      <c r="G465" s="83"/>
      <c r="H465" s="86"/>
      <c r="I465" s="86"/>
      <c r="J465" s="86"/>
      <c r="K465" s="62"/>
      <c r="L465" s="86"/>
      <c r="M465" s="86"/>
      <c r="N465" s="86"/>
      <c r="O465" s="86"/>
      <c r="P465" s="86"/>
      <c r="Q465" s="86"/>
      <c r="R465" s="86"/>
      <c r="S465" s="86"/>
      <c r="T465" s="86"/>
      <c r="U465" s="86"/>
      <c r="V465" s="86"/>
      <c r="W465" s="86"/>
      <c r="X465" s="86"/>
      <c r="Y465" s="86"/>
      <c r="Z465" s="86"/>
      <c r="AA465" s="86"/>
    </row>
    <row r="466" spans="1:27" ht="14.25" customHeight="1" x14ac:dyDescent="0.35">
      <c r="A466" s="76">
        <v>0</v>
      </c>
      <c r="B466" s="87">
        <v>0</v>
      </c>
      <c r="C466" s="76"/>
      <c r="D466" s="78">
        <f>IF(C466=0,0,_xlfn.IFNA(IF( MATCH(C466,Rangliste!B:B,0)&gt;0,0,1),1))</f>
        <v>0</v>
      </c>
      <c r="E466" s="85" t="str">
        <f t="shared" si="1"/>
        <v/>
      </c>
      <c r="F466" s="85"/>
      <c r="G466" s="83"/>
      <c r="H466" s="86"/>
      <c r="I466" s="86"/>
      <c r="J466" s="86"/>
      <c r="K466" s="62"/>
      <c r="L466" s="86"/>
      <c r="M466" s="86"/>
      <c r="N466" s="86"/>
      <c r="O466" s="86"/>
      <c r="P466" s="86"/>
      <c r="Q466" s="86"/>
      <c r="R466" s="86"/>
      <c r="S466" s="86"/>
      <c r="T466" s="86"/>
      <c r="U466" s="86"/>
      <c r="V466" s="86"/>
      <c r="W466" s="86"/>
      <c r="X466" s="86"/>
      <c r="Y466" s="86"/>
      <c r="Z466" s="86"/>
      <c r="AA466" s="86"/>
    </row>
    <row r="467" spans="1:27" ht="14.25" customHeight="1" x14ac:dyDescent="0.35">
      <c r="A467" s="76">
        <v>0</v>
      </c>
      <c r="B467" s="87">
        <v>0</v>
      </c>
      <c r="C467" s="76"/>
      <c r="D467" s="78">
        <f>IF(C467=0,0,_xlfn.IFNA(IF( MATCH(C467,Rangliste!B:B,0)&gt;0,0,1),1))</f>
        <v>0</v>
      </c>
      <c r="E467" s="85" t="str">
        <f t="shared" si="1"/>
        <v/>
      </c>
      <c r="F467" s="85"/>
      <c r="G467" s="83"/>
      <c r="H467" s="86"/>
      <c r="I467" s="86"/>
      <c r="J467" s="86"/>
      <c r="K467" s="62"/>
      <c r="L467" s="86"/>
      <c r="M467" s="86"/>
      <c r="N467" s="86"/>
      <c r="O467" s="86"/>
      <c r="P467" s="86"/>
      <c r="Q467" s="86"/>
      <c r="R467" s="86"/>
      <c r="S467" s="86"/>
      <c r="T467" s="86"/>
      <c r="U467" s="86"/>
      <c r="V467" s="86"/>
      <c r="W467" s="86"/>
      <c r="X467" s="86"/>
      <c r="Y467" s="86"/>
      <c r="Z467" s="86"/>
      <c r="AA467" s="86"/>
    </row>
    <row r="468" spans="1:27" ht="14.25" customHeight="1" x14ac:dyDescent="0.35">
      <c r="A468" s="76" t="str">
        <f t="array" ref="A468:A483">'Regioturnier 1'!$F$3:$F$18</f>
        <v>Philipp Grebien</v>
      </c>
      <c r="B468" s="87">
        <v>0</v>
      </c>
      <c r="C468" s="76"/>
      <c r="D468" s="78">
        <f>IF(C468=0,0,_xlfn.IFNA(IF( MATCH(C468,Rangliste!B:B,0)&gt;0,0,1),1))</f>
        <v>0</v>
      </c>
      <c r="E468" s="85" t="str">
        <f t="shared" si="1"/>
        <v/>
      </c>
      <c r="F468" s="85"/>
      <c r="G468" s="83"/>
      <c r="H468" s="86"/>
      <c r="I468" s="86"/>
      <c r="J468" s="86"/>
      <c r="K468" s="62"/>
      <c r="L468" s="86"/>
      <c r="M468" s="86"/>
      <c r="N468" s="86"/>
      <c r="O468" s="86"/>
      <c r="P468" s="86"/>
      <c r="Q468" s="86"/>
      <c r="R468" s="86"/>
      <c r="S468" s="86"/>
      <c r="T468" s="86"/>
      <c r="U468" s="86"/>
      <c r="V468" s="86"/>
      <c r="W468" s="86"/>
      <c r="X468" s="86"/>
      <c r="Y468" s="86"/>
      <c r="Z468" s="86"/>
      <c r="AA468" s="86"/>
    </row>
    <row r="469" spans="1:27" ht="14.25" customHeight="1" x14ac:dyDescent="0.35">
      <c r="A469" s="76" t="str">
        <v>Robin Schwaiger</v>
      </c>
      <c r="B469" s="87">
        <v>0</v>
      </c>
      <c r="C469" s="76"/>
      <c r="D469" s="78">
        <f>IF(C469=0,0,_xlfn.IFNA(IF( MATCH(C469,Rangliste!B:B,0)&gt;0,0,1),1))</f>
        <v>0</v>
      </c>
      <c r="E469" s="85" t="str">
        <f t="shared" si="1"/>
        <v/>
      </c>
      <c r="F469" s="85"/>
      <c r="G469" s="83"/>
      <c r="H469" s="86"/>
      <c r="I469" s="86"/>
      <c r="J469" s="86"/>
      <c r="K469" s="62"/>
      <c r="L469" s="86"/>
      <c r="M469" s="86"/>
      <c r="N469" s="86"/>
      <c r="O469" s="86"/>
      <c r="P469" s="86"/>
      <c r="Q469" s="86"/>
      <c r="R469" s="86"/>
      <c r="S469" s="86"/>
      <c r="T469" s="86"/>
      <c r="U469" s="86"/>
      <c r="V469" s="86"/>
      <c r="W469" s="86"/>
      <c r="X469" s="86"/>
      <c r="Y469" s="86"/>
      <c r="Z469" s="86"/>
      <c r="AA469" s="86"/>
    </row>
    <row r="470" spans="1:27" ht="14.25" customHeight="1" x14ac:dyDescent="0.35">
      <c r="A470" s="76" t="str">
        <v>Rafael Markus Gálos</v>
      </c>
      <c r="B470" s="87">
        <v>0</v>
      </c>
      <c r="C470" s="76"/>
      <c r="D470" s="78">
        <f>IF(C470=0,0,_xlfn.IFNA(IF( MATCH(C470,Rangliste!B:B,0)&gt;0,0,1),1))</f>
        <v>0</v>
      </c>
      <c r="E470" s="85" t="str">
        <f t="shared" si="1"/>
        <v/>
      </c>
      <c r="F470" s="85"/>
      <c r="G470" s="83"/>
      <c r="H470" s="86"/>
      <c r="I470" s="86"/>
      <c r="J470" s="86"/>
      <c r="K470" s="62"/>
      <c r="L470" s="86"/>
      <c r="M470" s="86"/>
      <c r="N470" s="86"/>
      <c r="O470" s="86"/>
      <c r="P470" s="86"/>
      <c r="Q470" s="86"/>
      <c r="R470" s="86"/>
      <c r="S470" s="86"/>
      <c r="T470" s="86"/>
      <c r="U470" s="86"/>
      <c r="V470" s="86"/>
      <c r="W470" s="86"/>
      <c r="X470" s="86"/>
      <c r="Y470" s="86"/>
      <c r="Z470" s="86"/>
      <c r="AA470" s="86"/>
    </row>
    <row r="471" spans="1:27" ht="14.25" customHeight="1" x14ac:dyDescent="0.35">
      <c r="A471" s="76" t="str">
        <v>Alexander Zadera</v>
      </c>
      <c r="B471" s="87">
        <v>0</v>
      </c>
      <c r="C471" s="76"/>
      <c r="D471" s="78">
        <f>IF(C471=0,0,_xlfn.IFNA(IF( MATCH(C471,Rangliste!B:B,0)&gt;0,0,1),1))</f>
        <v>0</v>
      </c>
      <c r="E471" s="85" t="str">
        <f t="shared" si="1"/>
        <v/>
      </c>
      <c r="F471" s="85"/>
      <c r="G471" s="83"/>
      <c r="H471" s="86"/>
      <c r="I471" s="86"/>
      <c r="J471" s="86"/>
      <c r="K471" s="62"/>
      <c r="L471" s="86"/>
      <c r="M471" s="86"/>
      <c r="N471" s="86"/>
      <c r="O471" s="86"/>
      <c r="P471" s="86"/>
      <c r="Q471" s="86"/>
      <c r="R471" s="86"/>
      <c r="S471" s="86"/>
      <c r="T471" s="86"/>
      <c r="U471" s="86"/>
      <c r="V471" s="86"/>
      <c r="W471" s="86"/>
      <c r="X471" s="86"/>
      <c r="Y471" s="86"/>
      <c r="Z471" s="86"/>
      <c r="AA471" s="86"/>
    </row>
    <row r="472" spans="1:27" ht="14.25" customHeight="1" x14ac:dyDescent="0.35">
      <c r="A472" s="76" t="str">
        <v>Boen Yan</v>
      </c>
      <c r="B472" s="87">
        <v>0</v>
      </c>
      <c r="C472" s="76"/>
      <c r="D472" s="78">
        <f>IF(C472=0,0,_xlfn.IFNA(IF( MATCH(C472,Rangliste!B:B,0)&gt;0,0,1),1))</f>
        <v>0</v>
      </c>
      <c r="E472" s="85" t="str">
        <f t="shared" si="1"/>
        <v/>
      </c>
      <c r="F472" s="85"/>
      <c r="G472" s="83"/>
      <c r="H472" s="86"/>
      <c r="I472" s="86"/>
      <c r="J472" s="86"/>
      <c r="K472" s="62"/>
      <c r="L472" s="86"/>
      <c r="M472" s="86"/>
      <c r="N472" s="86"/>
      <c r="O472" s="86"/>
      <c r="P472" s="86"/>
      <c r="Q472" s="86"/>
      <c r="R472" s="86"/>
      <c r="S472" s="86"/>
      <c r="T472" s="86"/>
      <c r="U472" s="86"/>
      <c r="V472" s="86"/>
      <c r="W472" s="86"/>
      <c r="X472" s="86"/>
      <c r="Y472" s="86"/>
      <c r="Z472" s="86"/>
      <c r="AA472" s="86"/>
    </row>
    <row r="473" spans="1:27" ht="14.25" customHeight="1" x14ac:dyDescent="0.35">
      <c r="A473" s="76" t="str">
        <v>Felix Sztatecsny</v>
      </c>
      <c r="B473" s="87">
        <v>0</v>
      </c>
      <c r="C473" s="76"/>
      <c r="D473" s="78">
        <f>IF(C473=0,0,_xlfn.IFNA(IF( MATCH(C473,Rangliste!B:B,0)&gt;0,0,1),1))</f>
        <v>0</v>
      </c>
      <c r="E473" s="85" t="str">
        <f t="shared" si="1"/>
        <v/>
      </c>
      <c r="F473" s="85"/>
      <c r="G473" s="83"/>
      <c r="H473" s="86"/>
      <c r="I473" s="86"/>
      <c r="J473" s="86"/>
      <c r="K473" s="62"/>
      <c r="L473" s="86"/>
      <c r="M473" s="86"/>
      <c r="N473" s="86"/>
      <c r="O473" s="86"/>
      <c r="P473" s="86"/>
      <c r="Q473" s="86"/>
      <c r="R473" s="86"/>
      <c r="S473" s="86"/>
      <c r="T473" s="86"/>
      <c r="U473" s="86"/>
      <c r="V473" s="86"/>
      <c r="W473" s="86"/>
      <c r="X473" s="86"/>
      <c r="Y473" s="86"/>
      <c r="Z473" s="86"/>
      <c r="AA473" s="86"/>
    </row>
    <row r="474" spans="1:27" ht="14.25" customHeight="1" x14ac:dyDescent="0.35">
      <c r="A474" s="76" t="str">
        <v>Tim Loy</v>
      </c>
      <c r="B474" s="87">
        <v>0</v>
      </c>
      <c r="C474" s="76"/>
      <c r="D474" s="78">
        <f>IF(C474=0,0,_xlfn.IFNA(IF( MATCH(C474,Rangliste!B:B,0)&gt;0,0,1),1))</f>
        <v>0</v>
      </c>
      <c r="E474" s="85" t="str">
        <f t="shared" si="1"/>
        <v/>
      </c>
      <c r="F474" s="85"/>
      <c r="G474" s="83"/>
      <c r="H474" s="86"/>
      <c r="I474" s="86"/>
      <c r="J474" s="86"/>
      <c r="K474" s="62"/>
      <c r="L474" s="86"/>
      <c r="M474" s="86"/>
      <c r="N474" s="86"/>
      <c r="O474" s="86"/>
      <c r="P474" s="86"/>
      <c r="Q474" s="86"/>
      <c r="R474" s="86"/>
      <c r="S474" s="86"/>
      <c r="T474" s="86"/>
      <c r="U474" s="86"/>
      <c r="V474" s="86"/>
      <c r="W474" s="86"/>
      <c r="X474" s="86"/>
      <c r="Y474" s="86"/>
      <c r="Z474" s="86"/>
      <c r="AA474" s="86"/>
    </row>
    <row r="475" spans="1:27" ht="14.25" customHeight="1" x14ac:dyDescent="0.35">
      <c r="A475" s="76" t="str">
        <v>Emil Fathulla</v>
      </c>
      <c r="B475" s="87">
        <v>0</v>
      </c>
      <c r="C475" s="76"/>
      <c r="D475" s="78">
        <f>IF(C475=0,0,_xlfn.IFNA(IF( MATCH(C475,Rangliste!B:B,0)&gt;0,0,1),1))</f>
        <v>0</v>
      </c>
      <c r="E475" s="85" t="str">
        <f t="shared" si="1"/>
        <v/>
      </c>
      <c r="F475" s="85"/>
      <c r="G475" s="83"/>
      <c r="H475" s="86"/>
      <c r="I475" s="86"/>
      <c r="J475" s="86"/>
      <c r="K475" s="62"/>
      <c r="L475" s="86"/>
      <c r="M475" s="86"/>
      <c r="N475" s="86"/>
      <c r="O475" s="86"/>
      <c r="P475" s="86"/>
      <c r="Q475" s="86"/>
      <c r="R475" s="86"/>
      <c r="S475" s="86"/>
      <c r="T475" s="86"/>
      <c r="U475" s="86"/>
      <c r="V475" s="86"/>
      <c r="W475" s="86"/>
      <c r="X475" s="86"/>
      <c r="Y475" s="86"/>
      <c r="Z475" s="86"/>
      <c r="AA475" s="86"/>
    </row>
    <row r="476" spans="1:27" ht="14.25" customHeight="1" x14ac:dyDescent="0.35">
      <c r="A476" s="76" t="str">
        <v>Leonhard Keiler</v>
      </c>
      <c r="B476" s="87">
        <v>0</v>
      </c>
      <c r="C476" s="76"/>
      <c r="D476" s="78">
        <f>IF(C476=0,0,_xlfn.IFNA(IF( MATCH(C476,Rangliste!B:B,0)&gt;0,0,1),1))</f>
        <v>0</v>
      </c>
      <c r="E476" s="85" t="str">
        <f t="shared" si="1"/>
        <v/>
      </c>
      <c r="F476" s="85"/>
      <c r="G476" s="83"/>
      <c r="H476" s="86"/>
      <c r="I476" s="86"/>
      <c r="J476" s="86"/>
      <c r="K476" s="62"/>
      <c r="L476" s="86"/>
      <c r="M476" s="86"/>
      <c r="N476" s="86"/>
      <c r="O476" s="86"/>
      <c r="P476" s="86"/>
      <c r="Q476" s="86"/>
      <c r="R476" s="86"/>
      <c r="S476" s="86"/>
      <c r="T476" s="86"/>
      <c r="U476" s="86"/>
      <c r="V476" s="86"/>
      <c r="W476" s="86"/>
      <c r="X476" s="86"/>
      <c r="Y476" s="86"/>
      <c r="Z476" s="86"/>
      <c r="AA476" s="86"/>
    </row>
    <row r="477" spans="1:27" ht="14.25" customHeight="1" x14ac:dyDescent="0.35">
      <c r="A477" s="76" t="str">
        <v>Tim Jeitler</v>
      </c>
      <c r="B477" s="87">
        <v>0</v>
      </c>
      <c r="C477" s="76"/>
      <c r="D477" s="78">
        <f>IF(C477=0,0,_xlfn.IFNA(IF( MATCH(C477,Rangliste!B:B,0)&gt;0,0,1),1))</f>
        <v>0</v>
      </c>
      <c r="E477" s="85" t="str">
        <f t="shared" si="1"/>
        <v/>
      </c>
      <c r="F477" s="85"/>
      <c r="G477" s="83"/>
      <c r="H477" s="86"/>
      <c r="I477" s="86"/>
      <c r="J477" s="86"/>
      <c r="K477" s="62"/>
      <c r="L477" s="86"/>
      <c r="M477" s="86"/>
      <c r="N477" s="86"/>
      <c r="O477" s="86"/>
      <c r="P477" s="86"/>
      <c r="Q477" s="86"/>
      <c r="R477" s="86"/>
      <c r="S477" s="86"/>
      <c r="T477" s="86"/>
      <c r="U477" s="86"/>
      <c r="V477" s="86"/>
      <c r="W477" s="86"/>
      <c r="X477" s="86"/>
      <c r="Y477" s="86"/>
      <c r="Z477" s="86"/>
      <c r="AA477" s="86"/>
    </row>
    <row r="478" spans="1:27" ht="14.25" customHeight="1" x14ac:dyDescent="0.35">
      <c r="A478" s="76" t="str">
        <v>Ilian Reisinger</v>
      </c>
      <c r="B478" s="87">
        <v>0</v>
      </c>
      <c r="C478" s="76"/>
      <c r="D478" s="78">
        <f>IF(C478=0,0,_xlfn.IFNA(IF( MATCH(C478,Rangliste!B:B,0)&gt;0,0,1),1))</f>
        <v>0</v>
      </c>
      <c r="E478" s="85" t="str">
        <f t="shared" si="1"/>
        <v/>
      </c>
      <c r="F478" s="85"/>
      <c r="G478" s="83"/>
      <c r="H478" s="86"/>
      <c r="I478" s="86"/>
      <c r="J478" s="86"/>
      <c r="K478" s="62"/>
      <c r="L478" s="86"/>
      <c r="M478" s="86"/>
      <c r="N478" s="86"/>
      <c r="O478" s="86"/>
      <c r="P478" s="86"/>
      <c r="Q478" s="86"/>
      <c r="R478" s="86"/>
      <c r="S478" s="86"/>
      <c r="T478" s="86"/>
      <c r="U478" s="86"/>
      <c r="V478" s="86"/>
      <c r="W478" s="86"/>
      <c r="X478" s="86"/>
      <c r="Y478" s="86"/>
      <c r="Z478" s="86"/>
      <c r="AA478" s="86"/>
    </row>
    <row r="479" spans="1:27" ht="14.25" customHeight="1" x14ac:dyDescent="0.35">
      <c r="A479" s="76" t="str">
        <v>Dario Kasser</v>
      </c>
      <c r="B479" s="87">
        <v>0</v>
      </c>
      <c r="C479" s="76"/>
      <c r="D479" s="78">
        <f>IF(C479=0,0,_xlfn.IFNA(IF( MATCH(C479,Rangliste!B:B,0)&gt;0,0,1),1))</f>
        <v>0</v>
      </c>
      <c r="E479" s="85" t="str">
        <f t="shared" si="1"/>
        <v/>
      </c>
      <c r="F479" s="85"/>
      <c r="G479" s="83"/>
      <c r="H479" s="86"/>
      <c r="I479" s="86"/>
      <c r="J479" s="86"/>
      <c r="K479" s="62"/>
      <c r="L479" s="86"/>
      <c r="M479" s="86"/>
      <c r="N479" s="86"/>
      <c r="O479" s="86"/>
      <c r="P479" s="86"/>
      <c r="Q479" s="86"/>
      <c r="R479" s="86"/>
      <c r="S479" s="86"/>
      <c r="T479" s="86"/>
      <c r="U479" s="86"/>
      <c r="V479" s="86"/>
      <c r="W479" s="86"/>
      <c r="X479" s="86"/>
      <c r="Y479" s="86"/>
      <c r="Z479" s="86"/>
      <c r="AA479" s="86"/>
    </row>
    <row r="480" spans="1:27" ht="14.25" customHeight="1" x14ac:dyDescent="0.35">
      <c r="A480" s="76" t="str">
        <v>Jacob Chen</v>
      </c>
      <c r="B480" s="87">
        <v>0</v>
      </c>
      <c r="C480" s="76"/>
      <c r="D480" s="78">
        <f>IF(C480=0,0,_xlfn.IFNA(IF( MATCH(C480,Rangliste!B:B,0)&gt;0,0,1),1))</f>
        <v>0</v>
      </c>
      <c r="E480" s="85" t="str">
        <f t="shared" si="1"/>
        <v/>
      </c>
      <c r="F480" s="85"/>
      <c r="G480" s="83"/>
      <c r="H480" s="86"/>
      <c r="I480" s="86"/>
      <c r="J480" s="86"/>
      <c r="K480" s="62"/>
      <c r="L480" s="86"/>
      <c r="M480" s="86"/>
      <c r="N480" s="86"/>
      <c r="O480" s="86"/>
      <c r="P480" s="86"/>
      <c r="Q480" s="86"/>
      <c r="R480" s="86"/>
      <c r="S480" s="86"/>
      <c r="T480" s="86"/>
      <c r="U480" s="86"/>
      <c r="V480" s="86"/>
      <c r="W480" s="86"/>
      <c r="X480" s="86"/>
      <c r="Y480" s="86"/>
      <c r="Z480" s="86"/>
      <c r="AA480" s="86"/>
    </row>
    <row r="481" spans="1:27" ht="14.25" customHeight="1" x14ac:dyDescent="0.35">
      <c r="A481" s="76" t="str">
        <v>Alvin Huang</v>
      </c>
      <c r="B481" s="87">
        <v>0</v>
      </c>
      <c r="C481" s="76"/>
      <c r="D481" s="78">
        <f>IF(C481=0,0,_xlfn.IFNA(IF( MATCH(C481,Rangliste!B:B,0)&gt;0,0,1),1))</f>
        <v>0</v>
      </c>
      <c r="E481" s="85" t="str">
        <f t="shared" si="1"/>
        <v/>
      </c>
      <c r="F481" s="85"/>
      <c r="G481" s="83"/>
      <c r="H481" s="86"/>
      <c r="I481" s="86"/>
      <c r="J481" s="86"/>
      <c r="K481" s="62"/>
      <c r="L481" s="86"/>
      <c r="M481" s="86"/>
      <c r="N481" s="86"/>
      <c r="O481" s="86"/>
      <c r="P481" s="86"/>
      <c r="Q481" s="86"/>
      <c r="R481" s="86"/>
      <c r="S481" s="86"/>
      <c r="T481" s="86"/>
      <c r="U481" s="86"/>
      <c r="V481" s="86"/>
      <c r="W481" s="86"/>
      <c r="X481" s="86"/>
      <c r="Y481" s="86"/>
      <c r="Z481" s="86"/>
      <c r="AA481" s="86"/>
    </row>
    <row r="482" spans="1:27" ht="14.25" customHeight="1" x14ac:dyDescent="0.35">
      <c r="A482" s="76" t="str">
        <v>Anton Baier</v>
      </c>
      <c r="B482" s="87">
        <v>0</v>
      </c>
      <c r="C482" s="76"/>
      <c r="D482" s="78">
        <f>IF(C482=0,0,_xlfn.IFNA(IF( MATCH(C482,Rangliste!B:B,0)&gt;0,0,1),1))</f>
        <v>0</v>
      </c>
      <c r="E482" s="85" t="str">
        <f t="shared" si="1"/>
        <v/>
      </c>
      <c r="F482" s="85"/>
      <c r="G482" s="83"/>
      <c r="H482" s="86"/>
      <c r="I482" s="86"/>
      <c r="J482" s="86"/>
      <c r="K482" s="62"/>
      <c r="L482" s="86"/>
      <c r="M482" s="86"/>
      <c r="N482" s="86"/>
      <c r="O482" s="86"/>
      <c r="P482" s="86"/>
      <c r="Q482" s="86"/>
      <c r="R482" s="86"/>
      <c r="S482" s="86"/>
      <c r="T482" s="86"/>
      <c r="U482" s="86"/>
      <c r="V482" s="86"/>
      <c r="W482" s="86"/>
      <c r="X482" s="86"/>
      <c r="Y482" s="86"/>
      <c r="Z482" s="86"/>
      <c r="AA482" s="86"/>
    </row>
    <row r="483" spans="1:27" ht="14.25" customHeight="1" x14ac:dyDescent="0.35">
      <c r="A483" s="76" t="str">
        <v>Tobias Gerner</v>
      </c>
      <c r="B483" s="87">
        <v>0</v>
      </c>
      <c r="C483" s="76"/>
      <c r="D483" s="78">
        <f>IF(C483=0,0,_xlfn.IFNA(IF( MATCH(C483,Rangliste!B:B,0)&gt;0,0,1),1))</f>
        <v>0</v>
      </c>
      <c r="E483" s="85" t="str">
        <f t="shared" si="1"/>
        <v/>
      </c>
      <c r="F483" s="85"/>
      <c r="G483" s="83"/>
      <c r="H483" s="86"/>
      <c r="I483" s="86"/>
      <c r="J483" s="86"/>
      <c r="K483" s="62"/>
      <c r="L483" s="86"/>
      <c r="M483" s="86"/>
      <c r="N483" s="86"/>
      <c r="O483" s="86"/>
      <c r="P483" s="86"/>
      <c r="Q483" s="86"/>
      <c r="R483" s="86"/>
      <c r="S483" s="86"/>
      <c r="T483" s="86"/>
      <c r="U483" s="86"/>
      <c r="V483" s="86"/>
      <c r="W483" s="86"/>
      <c r="X483" s="86"/>
      <c r="Y483" s="86"/>
      <c r="Z483" s="86"/>
      <c r="AA483" s="86"/>
    </row>
    <row r="484" spans="1:27" ht="14.25" customHeight="1" x14ac:dyDescent="0.35">
      <c r="A484" s="76">
        <f t="array" ref="A484:A499">'Regioturnier 1'!$J$3:$J$18</f>
        <v>0</v>
      </c>
      <c r="B484" s="87">
        <f t="array" ref="B484:B515">'WBV 4'!$N$3:$N$34</f>
        <v>0</v>
      </c>
      <c r="C484" s="76"/>
      <c r="D484" s="78">
        <f>IF(C484=0,0,_xlfn.IFNA(IF( MATCH(C484,Rangliste!B:B,0)&gt;0,0,1),1))</f>
        <v>0</v>
      </c>
      <c r="E484" s="85" t="str">
        <f t="shared" si="1"/>
        <v/>
      </c>
      <c r="F484" s="85"/>
      <c r="G484" s="83"/>
      <c r="H484" s="86"/>
      <c r="I484" s="86"/>
      <c r="J484" s="86"/>
      <c r="K484" s="62"/>
      <c r="L484" s="86"/>
      <c r="M484" s="86"/>
      <c r="N484" s="86"/>
      <c r="O484" s="86"/>
      <c r="P484" s="86"/>
      <c r="Q484" s="86"/>
      <c r="R484" s="86"/>
      <c r="S484" s="86"/>
      <c r="T484" s="86"/>
      <c r="U484" s="86"/>
      <c r="V484" s="86"/>
      <c r="W484" s="86"/>
      <c r="X484" s="86"/>
      <c r="Y484" s="86"/>
      <c r="Z484" s="86"/>
      <c r="AA484" s="86"/>
    </row>
    <row r="485" spans="1:27" ht="14.25" customHeight="1" x14ac:dyDescent="0.35">
      <c r="A485" s="76">
        <v>0</v>
      </c>
      <c r="B485" s="87">
        <v>0</v>
      </c>
      <c r="C485" s="76"/>
      <c r="D485" s="78">
        <f>IF(C485=0,0,_xlfn.IFNA(IF( MATCH(C485,Rangliste!B:B,0)&gt;0,0,1),1))</f>
        <v>0</v>
      </c>
      <c r="E485" s="85" t="str">
        <f t="shared" si="1"/>
        <v/>
      </c>
      <c r="F485" s="85"/>
      <c r="G485" s="83"/>
      <c r="H485" s="86"/>
      <c r="I485" s="86"/>
      <c r="J485" s="86"/>
      <c r="K485" s="62"/>
      <c r="L485" s="86"/>
      <c r="M485" s="86"/>
      <c r="N485" s="86"/>
      <c r="O485" s="86"/>
      <c r="P485" s="86"/>
      <c r="Q485" s="86"/>
      <c r="R485" s="86"/>
      <c r="S485" s="86"/>
      <c r="T485" s="86"/>
      <c r="U485" s="86"/>
      <c r="V485" s="86"/>
      <c r="W485" s="86"/>
      <c r="X485" s="86"/>
      <c r="Y485" s="86"/>
      <c r="Z485" s="86"/>
      <c r="AA485" s="86"/>
    </row>
    <row r="486" spans="1:27" ht="14.25" customHeight="1" x14ac:dyDescent="0.35">
      <c r="A486" s="76">
        <v>0</v>
      </c>
      <c r="B486" s="87">
        <v>0</v>
      </c>
      <c r="C486" s="76"/>
      <c r="D486" s="78">
        <f>IF(C486=0,0,_xlfn.IFNA(IF( MATCH(C486,Rangliste!B:B,0)&gt;0,0,1),1))</f>
        <v>0</v>
      </c>
      <c r="E486" s="85" t="str">
        <f t="shared" si="1"/>
        <v/>
      </c>
      <c r="F486" s="85"/>
      <c r="G486" s="83"/>
      <c r="H486" s="86"/>
      <c r="I486" s="86"/>
      <c r="J486" s="86"/>
      <c r="K486" s="62"/>
      <c r="L486" s="86"/>
      <c r="M486" s="86"/>
      <c r="N486" s="86"/>
      <c r="O486" s="86"/>
      <c r="P486" s="86"/>
      <c r="Q486" s="86"/>
      <c r="R486" s="86"/>
      <c r="S486" s="86"/>
      <c r="T486" s="86"/>
      <c r="U486" s="86"/>
      <c r="V486" s="86"/>
      <c r="W486" s="86"/>
      <c r="X486" s="86"/>
      <c r="Y486" s="86"/>
      <c r="Z486" s="86"/>
      <c r="AA486" s="86"/>
    </row>
    <row r="487" spans="1:27" ht="14.25" customHeight="1" x14ac:dyDescent="0.35">
      <c r="A487" s="76">
        <v>0</v>
      </c>
      <c r="B487" s="87">
        <v>0</v>
      </c>
      <c r="C487" s="76"/>
      <c r="D487" s="78">
        <f>IF(C487=0,0,_xlfn.IFNA(IF( MATCH(C487,Rangliste!B:B,0)&gt;0,0,1),1))</f>
        <v>0</v>
      </c>
      <c r="E487" s="85" t="str">
        <f t="shared" si="1"/>
        <v/>
      </c>
      <c r="F487" s="85"/>
      <c r="G487" s="83"/>
      <c r="H487" s="86"/>
      <c r="I487" s="86"/>
      <c r="J487" s="86"/>
      <c r="K487" s="62"/>
      <c r="L487" s="86"/>
      <c r="M487" s="86"/>
      <c r="N487" s="86"/>
      <c r="O487" s="86"/>
      <c r="P487" s="86"/>
      <c r="Q487" s="86"/>
      <c r="R487" s="86"/>
      <c r="S487" s="86"/>
      <c r="T487" s="86"/>
      <c r="U487" s="86"/>
      <c r="V487" s="86"/>
      <c r="W487" s="86"/>
      <c r="X487" s="86"/>
      <c r="Y487" s="86"/>
      <c r="Z487" s="86"/>
      <c r="AA487" s="86"/>
    </row>
    <row r="488" spans="1:27" ht="14.25" customHeight="1" x14ac:dyDescent="0.35">
      <c r="A488" s="76">
        <v>0</v>
      </c>
      <c r="B488" s="87">
        <v>0</v>
      </c>
      <c r="C488" s="76"/>
      <c r="D488" s="78">
        <f>IF(C488=0,0,_xlfn.IFNA(IF( MATCH(C488,Rangliste!B:B,0)&gt;0,0,1),1))</f>
        <v>0</v>
      </c>
      <c r="E488" s="85" t="str">
        <f t="shared" si="1"/>
        <v/>
      </c>
      <c r="F488" s="85"/>
      <c r="G488" s="83"/>
      <c r="H488" s="86"/>
      <c r="I488" s="86"/>
      <c r="J488" s="86"/>
      <c r="K488" s="62"/>
      <c r="L488" s="86"/>
      <c r="M488" s="86"/>
      <c r="N488" s="86"/>
      <c r="O488" s="86"/>
      <c r="P488" s="86"/>
      <c r="Q488" s="86"/>
      <c r="R488" s="86"/>
      <c r="S488" s="86"/>
      <c r="T488" s="86"/>
      <c r="U488" s="86"/>
      <c r="V488" s="86"/>
      <c r="W488" s="86"/>
      <c r="X488" s="86"/>
      <c r="Y488" s="86"/>
      <c r="Z488" s="86"/>
      <c r="AA488" s="86"/>
    </row>
    <row r="489" spans="1:27" ht="14.25" customHeight="1" x14ac:dyDescent="0.35">
      <c r="A489" s="76">
        <v>0</v>
      </c>
      <c r="B489" s="87">
        <v>0</v>
      </c>
      <c r="C489" s="76"/>
      <c r="D489" s="78">
        <f>IF(C489=0,0,_xlfn.IFNA(IF( MATCH(C489,Rangliste!B:B,0)&gt;0,0,1),1))</f>
        <v>0</v>
      </c>
      <c r="E489" s="85" t="str">
        <f t="shared" si="1"/>
        <v/>
      </c>
      <c r="F489" s="85"/>
      <c r="G489" s="83"/>
      <c r="H489" s="86"/>
      <c r="I489" s="86"/>
      <c r="J489" s="86"/>
      <c r="K489" s="62"/>
      <c r="L489" s="86"/>
      <c r="M489" s="86"/>
      <c r="N489" s="86"/>
      <c r="O489" s="86"/>
      <c r="P489" s="86"/>
      <c r="Q489" s="86"/>
      <c r="R489" s="86"/>
      <c r="S489" s="86"/>
      <c r="T489" s="86"/>
      <c r="U489" s="86"/>
      <c r="V489" s="86"/>
      <c r="W489" s="86"/>
      <c r="X489" s="86"/>
      <c r="Y489" s="86"/>
      <c r="Z489" s="86"/>
      <c r="AA489" s="86"/>
    </row>
    <row r="490" spans="1:27" ht="14.25" customHeight="1" x14ac:dyDescent="0.35">
      <c r="A490" s="76">
        <v>0</v>
      </c>
      <c r="B490" s="87">
        <v>0</v>
      </c>
      <c r="C490" s="76"/>
      <c r="D490" s="78">
        <f>IF(C490=0,0,_xlfn.IFNA(IF( MATCH(C490,Rangliste!B:B,0)&gt;0,0,1),1))</f>
        <v>0</v>
      </c>
      <c r="E490" s="85" t="str">
        <f t="shared" si="1"/>
        <v/>
      </c>
      <c r="F490" s="85"/>
      <c r="G490" s="83"/>
      <c r="H490" s="86"/>
      <c r="I490" s="86"/>
      <c r="J490" s="86"/>
      <c r="K490" s="62"/>
      <c r="L490" s="86"/>
      <c r="M490" s="86"/>
      <c r="N490" s="86"/>
      <c r="O490" s="86"/>
      <c r="P490" s="86"/>
      <c r="Q490" s="86"/>
      <c r="R490" s="86"/>
      <c r="S490" s="86"/>
      <c r="T490" s="86"/>
      <c r="U490" s="86"/>
      <c r="V490" s="86"/>
      <c r="W490" s="86"/>
      <c r="X490" s="86"/>
      <c r="Y490" s="86"/>
      <c r="Z490" s="86"/>
      <c r="AA490" s="86"/>
    </row>
    <row r="491" spans="1:27" ht="14.25" customHeight="1" x14ac:dyDescent="0.35">
      <c r="A491" s="76">
        <v>0</v>
      </c>
      <c r="B491" s="87">
        <v>0</v>
      </c>
      <c r="C491" s="76"/>
      <c r="D491" s="78">
        <f>IF(C491=0,0,_xlfn.IFNA(IF( MATCH(C491,Rangliste!B:B,0)&gt;0,0,1),1))</f>
        <v>0</v>
      </c>
      <c r="E491" s="85" t="str">
        <f t="shared" si="1"/>
        <v/>
      </c>
      <c r="F491" s="85"/>
      <c r="G491" s="83"/>
      <c r="H491" s="86"/>
      <c r="I491" s="86"/>
      <c r="J491" s="86"/>
      <c r="K491" s="62"/>
      <c r="L491" s="86"/>
      <c r="M491" s="86"/>
      <c r="N491" s="86"/>
      <c r="O491" s="86"/>
      <c r="P491" s="86"/>
      <c r="Q491" s="86"/>
      <c r="R491" s="86"/>
      <c r="S491" s="86"/>
      <c r="T491" s="86"/>
      <c r="U491" s="86"/>
      <c r="V491" s="86"/>
      <c r="W491" s="86"/>
      <c r="X491" s="86"/>
      <c r="Y491" s="86"/>
      <c r="Z491" s="86"/>
      <c r="AA491" s="86"/>
    </row>
    <row r="492" spans="1:27" ht="14.25" customHeight="1" x14ac:dyDescent="0.35">
      <c r="A492" s="76">
        <v>0</v>
      </c>
      <c r="B492" s="87">
        <v>0</v>
      </c>
      <c r="C492" s="76"/>
      <c r="D492" s="78">
        <f>IF(C492=0,0,_xlfn.IFNA(IF( MATCH(C492,Rangliste!B:B,0)&gt;0,0,1),1))</f>
        <v>0</v>
      </c>
      <c r="E492" s="85" t="str">
        <f t="shared" si="1"/>
        <v/>
      </c>
      <c r="F492" s="85"/>
      <c r="G492" s="83"/>
      <c r="H492" s="86"/>
      <c r="I492" s="86"/>
      <c r="J492" s="86"/>
      <c r="K492" s="62"/>
      <c r="L492" s="86"/>
      <c r="M492" s="86"/>
      <c r="N492" s="86"/>
      <c r="O492" s="86"/>
      <c r="P492" s="86"/>
      <c r="Q492" s="86"/>
      <c r="R492" s="86"/>
      <c r="S492" s="86"/>
      <c r="T492" s="86"/>
      <c r="U492" s="86"/>
      <c r="V492" s="86"/>
      <c r="W492" s="86"/>
      <c r="X492" s="86"/>
      <c r="Y492" s="86"/>
      <c r="Z492" s="86"/>
      <c r="AA492" s="86"/>
    </row>
    <row r="493" spans="1:27" ht="14.25" customHeight="1" x14ac:dyDescent="0.35">
      <c r="A493" s="76">
        <v>0</v>
      </c>
      <c r="B493" s="87">
        <v>0</v>
      </c>
      <c r="C493" s="76"/>
      <c r="D493" s="78">
        <f>IF(C493=0,0,_xlfn.IFNA(IF( MATCH(C493,Rangliste!B:B,0)&gt;0,0,1),1))</f>
        <v>0</v>
      </c>
      <c r="E493" s="85" t="str">
        <f t="shared" si="1"/>
        <v/>
      </c>
      <c r="F493" s="85"/>
      <c r="G493" s="83"/>
      <c r="H493" s="86"/>
      <c r="I493" s="86"/>
      <c r="J493" s="86"/>
      <c r="K493" s="62"/>
      <c r="L493" s="86"/>
      <c r="M493" s="86"/>
      <c r="N493" s="86"/>
      <c r="O493" s="86"/>
      <c r="P493" s="86"/>
      <c r="Q493" s="86"/>
      <c r="R493" s="86"/>
      <c r="S493" s="86"/>
      <c r="T493" s="86"/>
      <c r="U493" s="86"/>
      <c r="V493" s="86"/>
      <c r="W493" s="86"/>
      <c r="X493" s="86"/>
      <c r="Y493" s="86"/>
      <c r="Z493" s="86"/>
      <c r="AA493" s="86"/>
    </row>
    <row r="494" spans="1:27" ht="14.25" customHeight="1" x14ac:dyDescent="0.35">
      <c r="A494" s="76">
        <v>0</v>
      </c>
      <c r="B494" s="87">
        <v>0</v>
      </c>
      <c r="C494" s="76"/>
      <c r="D494" s="78">
        <f>IF(C494=0,0,_xlfn.IFNA(IF( MATCH(C494,Rangliste!B:B,0)&gt;0,0,1),1))</f>
        <v>0</v>
      </c>
      <c r="E494" s="85" t="str">
        <f t="shared" si="1"/>
        <v/>
      </c>
      <c r="F494" s="85"/>
      <c r="G494" s="83"/>
      <c r="H494" s="86"/>
      <c r="I494" s="86"/>
      <c r="J494" s="86"/>
      <c r="K494" s="62"/>
      <c r="L494" s="86"/>
      <c r="M494" s="86"/>
      <c r="N494" s="86"/>
      <c r="O494" s="86"/>
      <c r="P494" s="86"/>
      <c r="Q494" s="86"/>
      <c r="R494" s="86"/>
      <c r="S494" s="86"/>
      <c r="T494" s="86"/>
      <c r="U494" s="86"/>
      <c r="V494" s="86"/>
      <c r="W494" s="86"/>
      <c r="X494" s="86"/>
      <c r="Y494" s="86"/>
      <c r="Z494" s="86"/>
      <c r="AA494" s="86"/>
    </row>
    <row r="495" spans="1:27" ht="14.25" customHeight="1" x14ac:dyDescent="0.35">
      <c r="A495" s="76">
        <v>0</v>
      </c>
      <c r="B495" s="87">
        <v>0</v>
      </c>
      <c r="C495" s="76"/>
      <c r="D495" s="78">
        <f>IF(C495=0,0,_xlfn.IFNA(IF( MATCH(C495,Rangliste!B:B,0)&gt;0,0,1),1))</f>
        <v>0</v>
      </c>
      <c r="E495" s="85" t="str">
        <f t="shared" si="1"/>
        <v/>
      </c>
      <c r="F495" s="85"/>
      <c r="G495" s="83"/>
      <c r="H495" s="86"/>
      <c r="I495" s="86"/>
      <c r="J495" s="86"/>
      <c r="K495" s="62"/>
      <c r="L495" s="86"/>
      <c r="M495" s="86"/>
      <c r="N495" s="86"/>
      <c r="O495" s="86"/>
      <c r="P495" s="86"/>
      <c r="Q495" s="86"/>
      <c r="R495" s="86"/>
      <c r="S495" s="86"/>
      <c r="T495" s="86"/>
      <c r="U495" s="86"/>
      <c r="V495" s="86"/>
      <c r="W495" s="86"/>
      <c r="X495" s="86"/>
      <c r="Y495" s="86"/>
      <c r="Z495" s="86"/>
      <c r="AA495" s="86"/>
    </row>
    <row r="496" spans="1:27" ht="14.25" customHeight="1" x14ac:dyDescent="0.35">
      <c r="A496" s="76">
        <v>0</v>
      </c>
      <c r="B496" s="87">
        <v>0</v>
      </c>
      <c r="C496" s="76"/>
      <c r="D496" s="78">
        <f>IF(C496=0,0,_xlfn.IFNA(IF( MATCH(C496,Rangliste!B:B,0)&gt;0,0,1),1))</f>
        <v>0</v>
      </c>
      <c r="E496" s="85" t="str">
        <f t="shared" si="1"/>
        <v/>
      </c>
      <c r="F496" s="85"/>
      <c r="G496" s="83"/>
      <c r="H496" s="86"/>
      <c r="I496" s="86"/>
      <c r="J496" s="86"/>
      <c r="K496" s="62"/>
      <c r="L496" s="86"/>
      <c r="M496" s="86"/>
      <c r="N496" s="86"/>
      <c r="O496" s="86"/>
      <c r="P496" s="86"/>
      <c r="Q496" s="86"/>
      <c r="R496" s="86"/>
      <c r="S496" s="86"/>
      <c r="T496" s="86"/>
      <c r="U496" s="86"/>
      <c r="V496" s="86"/>
      <c r="W496" s="86"/>
      <c r="X496" s="86"/>
      <c r="Y496" s="86"/>
      <c r="Z496" s="86"/>
      <c r="AA496" s="86"/>
    </row>
    <row r="497" spans="1:27" ht="14.25" customHeight="1" x14ac:dyDescent="0.35">
      <c r="A497" s="76">
        <v>0</v>
      </c>
      <c r="B497" s="87">
        <v>0</v>
      </c>
      <c r="C497" s="76"/>
      <c r="D497" s="78">
        <f>IF(C497=0,0,_xlfn.IFNA(IF( MATCH(C497,Rangliste!B:B,0)&gt;0,0,1),1))</f>
        <v>0</v>
      </c>
      <c r="E497" s="85" t="str">
        <f t="shared" si="1"/>
        <v/>
      </c>
      <c r="F497" s="85"/>
      <c r="G497" s="83"/>
      <c r="H497" s="86"/>
      <c r="I497" s="86"/>
      <c r="J497" s="86"/>
      <c r="K497" s="62"/>
      <c r="L497" s="86"/>
      <c r="M497" s="86"/>
      <c r="N497" s="86"/>
      <c r="O497" s="86"/>
      <c r="P497" s="86"/>
      <c r="Q497" s="86"/>
      <c r="R497" s="86"/>
      <c r="S497" s="86"/>
      <c r="T497" s="86"/>
      <c r="U497" s="86"/>
      <c r="V497" s="86"/>
      <c r="W497" s="86"/>
      <c r="X497" s="86"/>
      <c r="Y497" s="86"/>
      <c r="Z497" s="86"/>
      <c r="AA497" s="86"/>
    </row>
    <row r="498" spans="1:27" ht="14.25" customHeight="1" x14ac:dyDescent="0.35">
      <c r="A498" s="76">
        <v>0</v>
      </c>
      <c r="B498" s="87">
        <v>0</v>
      </c>
      <c r="C498" s="76"/>
      <c r="D498" s="78">
        <f>IF(C498=0,0,_xlfn.IFNA(IF( MATCH(C498,Rangliste!B:B,0)&gt;0,0,1),1))</f>
        <v>0</v>
      </c>
      <c r="E498" s="85" t="str">
        <f t="shared" si="1"/>
        <v/>
      </c>
      <c r="F498" s="85"/>
      <c r="G498" s="83"/>
      <c r="H498" s="86"/>
      <c r="I498" s="86"/>
      <c r="J498" s="86"/>
      <c r="K498" s="62"/>
      <c r="L498" s="86"/>
      <c r="M498" s="86"/>
      <c r="N498" s="86"/>
      <c r="O498" s="86"/>
      <c r="P498" s="86"/>
      <c r="Q498" s="86"/>
      <c r="R498" s="86"/>
      <c r="S498" s="86"/>
      <c r="T498" s="86"/>
      <c r="U498" s="86"/>
      <c r="V498" s="86"/>
      <c r="W498" s="86"/>
      <c r="X498" s="86"/>
      <c r="Y498" s="86"/>
      <c r="Z498" s="86"/>
      <c r="AA498" s="86"/>
    </row>
    <row r="499" spans="1:27" ht="14.25" customHeight="1" x14ac:dyDescent="0.35">
      <c r="A499" s="76">
        <v>0</v>
      </c>
      <c r="B499" s="87">
        <v>0</v>
      </c>
      <c r="C499" s="76"/>
      <c r="D499" s="78">
        <f>IF(C499=0,0,_xlfn.IFNA(IF( MATCH(C499,Rangliste!B:B,0)&gt;0,0,1),1))</f>
        <v>0</v>
      </c>
      <c r="E499" s="85" t="str">
        <f t="shared" si="1"/>
        <v/>
      </c>
      <c r="F499" s="85"/>
      <c r="G499" s="83"/>
      <c r="H499" s="86"/>
      <c r="I499" s="86"/>
      <c r="J499" s="86"/>
      <c r="K499" s="62"/>
      <c r="L499" s="86"/>
      <c r="M499" s="86"/>
      <c r="N499" s="86"/>
      <c r="O499" s="86"/>
      <c r="P499" s="86"/>
      <c r="Q499" s="86"/>
      <c r="R499" s="86"/>
      <c r="S499" s="86"/>
      <c r="T499" s="86"/>
      <c r="U499" s="86"/>
      <c r="V499" s="86"/>
      <c r="W499" s="86"/>
      <c r="X499" s="86"/>
      <c r="Y499" s="86"/>
      <c r="Z499" s="86"/>
      <c r="AA499" s="86"/>
    </row>
    <row r="500" spans="1:27" ht="14.25" customHeight="1" x14ac:dyDescent="0.35">
      <c r="A500" s="76">
        <f t="array" ref="A500:A515">'Regioturnier 1'!$N$3:$N$18</f>
        <v>0</v>
      </c>
      <c r="B500" s="87">
        <v>0</v>
      </c>
      <c r="C500" s="76"/>
      <c r="D500" s="78">
        <f>IF(C500=0,0,_xlfn.IFNA(IF( MATCH(C500,Rangliste!B:B,0)&gt;0,0,1),1))</f>
        <v>0</v>
      </c>
      <c r="E500" s="85" t="str">
        <f t="shared" si="1"/>
        <v/>
      </c>
      <c r="F500" s="85"/>
      <c r="G500" s="83"/>
      <c r="H500" s="86"/>
      <c r="I500" s="86"/>
      <c r="J500" s="86"/>
      <c r="K500" s="62"/>
      <c r="L500" s="86"/>
      <c r="M500" s="86"/>
      <c r="N500" s="86"/>
      <c r="O500" s="86"/>
      <c r="P500" s="86"/>
      <c r="Q500" s="86"/>
      <c r="R500" s="86"/>
      <c r="S500" s="86"/>
      <c r="T500" s="86"/>
      <c r="U500" s="86"/>
      <c r="V500" s="86"/>
      <c r="W500" s="86"/>
      <c r="X500" s="86"/>
      <c r="Y500" s="86"/>
      <c r="Z500" s="86"/>
      <c r="AA500" s="86"/>
    </row>
    <row r="501" spans="1:27" ht="14.25" customHeight="1" x14ac:dyDescent="0.35">
      <c r="A501" s="76">
        <v>0</v>
      </c>
      <c r="B501" s="87">
        <v>0</v>
      </c>
      <c r="C501" s="76"/>
      <c r="D501" s="78">
        <f>IF(C501=0,0,_xlfn.IFNA(IF( MATCH(C501,Rangliste!B:B,0)&gt;0,0,1),1))</f>
        <v>0</v>
      </c>
      <c r="E501" s="85" t="str">
        <f t="shared" si="1"/>
        <v/>
      </c>
      <c r="F501" s="85"/>
      <c r="G501" s="83"/>
      <c r="H501" s="86"/>
      <c r="I501" s="86"/>
      <c r="J501" s="86"/>
      <c r="K501" s="62"/>
      <c r="L501" s="86"/>
      <c r="M501" s="86"/>
      <c r="N501" s="86"/>
      <c r="O501" s="86"/>
      <c r="P501" s="86"/>
      <c r="Q501" s="86"/>
      <c r="R501" s="86"/>
      <c r="S501" s="86"/>
      <c r="T501" s="86"/>
      <c r="U501" s="86"/>
      <c r="V501" s="86"/>
      <c r="W501" s="86"/>
      <c r="X501" s="86"/>
      <c r="Y501" s="86"/>
      <c r="Z501" s="86"/>
      <c r="AA501" s="86"/>
    </row>
    <row r="502" spans="1:27" ht="14.25" customHeight="1" x14ac:dyDescent="0.35">
      <c r="A502" s="76">
        <v>0</v>
      </c>
      <c r="B502" s="87">
        <v>0</v>
      </c>
      <c r="C502" s="76"/>
      <c r="D502" s="78">
        <f>IF(C502=0,0,_xlfn.IFNA(IF( MATCH(C502,Rangliste!B:B,0)&gt;0,0,1),1))</f>
        <v>0</v>
      </c>
      <c r="E502" s="85" t="str">
        <f t="shared" si="1"/>
        <v/>
      </c>
      <c r="F502" s="85"/>
      <c r="G502" s="83"/>
      <c r="H502" s="86"/>
      <c r="I502" s="86"/>
      <c r="J502" s="86"/>
      <c r="K502" s="62"/>
      <c r="L502" s="86"/>
      <c r="M502" s="86"/>
      <c r="N502" s="86"/>
      <c r="O502" s="86"/>
      <c r="P502" s="86"/>
      <c r="Q502" s="86"/>
      <c r="R502" s="86"/>
      <c r="S502" s="86"/>
      <c r="T502" s="86"/>
      <c r="U502" s="86"/>
      <c r="V502" s="86"/>
      <c r="W502" s="86"/>
      <c r="X502" s="86"/>
      <c r="Y502" s="86"/>
      <c r="Z502" s="86"/>
      <c r="AA502" s="86"/>
    </row>
    <row r="503" spans="1:27" ht="14.25" customHeight="1" x14ac:dyDescent="0.35">
      <c r="A503" s="76">
        <v>0</v>
      </c>
      <c r="B503" s="87">
        <v>0</v>
      </c>
      <c r="C503" s="76"/>
      <c r="D503" s="78">
        <f>IF(C503=0,0,_xlfn.IFNA(IF( MATCH(C503,Rangliste!B:B,0)&gt;0,0,1),1))</f>
        <v>0</v>
      </c>
      <c r="E503" s="85" t="str">
        <f t="shared" si="1"/>
        <v/>
      </c>
      <c r="F503" s="85"/>
      <c r="G503" s="83"/>
      <c r="H503" s="86"/>
      <c r="I503" s="86"/>
      <c r="J503" s="86"/>
      <c r="K503" s="62"/>
      <c r="L503" s="86"/>
      <c r="M503" s="86"/>
      <c r="N503" s="86"/>
      <c r="O503" s="86"/>
      <c r="P503" s="86"/>
      <c r="Q503" s="86"/>
      <c r="R503" s="86"/>
      <c r="S503" s="86"/>
      <c r="T503" s="86"/>
      <c r="U503" s="86"/>
      <c r="V503" s="86"/>
      <c r="W503" s="86"/>
      <c r="X503" s="86"/>
      <c r="Y503" s="86"/>
      <c r="Z503" s="86"/>
      <c r="AA503" s="86"/>
    </row>
    <row r="504" spans="1:27" ht="14.25" customHeight="1" x14ac:dyDescent="0.35">
      <c r="A504" s="76">
        <v>0</v>
      </c>
      <c r="B504" s="87">
        <v>0</v>
      </c>
      <c r="C504" s="76"/>
      <c r="D504" s="78">
        <f>IF(C504=0,0,_xlfn.IFNA(IF( MATCH(C504,Rangliste!B:B,0)&gt;0,0,1),1))</f>
        <v>0</v>
      </c>
      <c r="E504" s="85" t="str">
        <f t="shared" si="1"/>
        <v/>
      </c>
      <c r="F504" s="85"/>
      <c r="G504" s="83"/>
      <c r="H504" s="86"/>
      <c r="I504" s="86"/>
      <c r="J504" s="86"/>
      <c r="K504" s="62"/>
      <c r="L504" s="86"/>
      <c r="M504" s="86"/>
      <c r="N504" s="86"/>
      <c r="O504" s="86"/>
      <c r="P504" s="86"/>
      <c r="Q504" s="86"/>
      <c r="R504" s="86"/>
      <c r="S504" s="86"/>
      <c r="T504" s="86"/>
      <c r="U504" s="86"/>
      <c r="V504" s="86"/>
      <c r="W504" s="86"/>
      <c r="X504" s="86"/>
      <c r="Y504" s="86"/>
      <c r="Z504" s="86"/>
      <c r="AA504" s="86"/>
    </row>
    <row r="505" spans="1:27" ht="14.25" customHeight="1" x14ac:dyDescent="0.35">
      <c r="A505" s="76">
        <v>0</v>
      </c>
      <c r="B505" s="87">
        <v>0</v>
      </c>
      <c r="C505" s="76"/>
      <c r="D505" s="78">
        <f>IF(C505=0,0,_xlfn.IFNA(IF( MATCH(C505,Rangliste!B:B,0)&gt;0,0,1),1))</f>
        <v>0</v>
      </c>
      <c r="E505" s="85" t="str">
        <f t="shared" si="1"/>
        <v/>
      </c>
      <c r="F505" s="85"/>
      <c r="G505" s="83"/>
      <c r="H505" s="86"/>
      <c r="I505" s="86"/>
      <c r="J505" s="86"/>
      <c r="K505" s="62"/>
      <c r="L505" s="86"/>
      <c r="M505" s="86"/>
      <c r="N505" s="86"/>
      <c r="O505" s="86"/>
      <c r="P505" s="86"/>
      <c r="Q505" s="86"/>
      <c r="R505" s="86"/>
      <c r="S505" s="86"/>
      <c r="T505" s="86"/>
      <c r="U505" s="86"/>
      <c r="V505" s="86"/>
      <c r="W505" s="86"/>
      <c r="X505" s="86"/>
      <c r="Y505" s="86"/>
      <c r="Z505" s="86"/>
      <c r="AA505" s="86"/>
    </row>
    <row r="506" spans="1:27" ht="14.25" customHeight="1" x14ac:dyDescent="0.35">
      <c r="A506" s="76">
        <v>0</v>
      </c>
      <c r="B506" s="87">
        <v>0</v>
      </c>
      <c r="C506" s="76"/>
      <c r="D506" s="78">
        <f>IF(C506=0,0,_xlfn.IFNA(IF( MATCH(C506,Rangliste!B:B,0)&gt;0,0,1),1))</f>
        <v>0</v>
      </c>
      <c r="E506" s="85" t="str">
        <f t="shared" si="1"/>
        <v/>
      </c>
      <c r="F506" s="85"/>
      <c r="G506" s="83"/>
      <c r="H506" s="86"/>
      <c r="I506" s="86"/>
      <c r="J506" s="86"/>
      <c r="K506" s="62"/>
      <c r="L506" s="86"/>
      <c r="M506" s="86"/>
      <c r="N506" s="86"/>
      <c r="O506" s="86"/>
      <c r="P506" s="86"/>
      <c r="Q506" s="86"/>
      <c r="R506" s="86"/>
      <c r="S506" s="86"/>
      <c r="T506" s="86"/>
      <c r="U506" s="86"/>
      <c r="V506" s="86"/>
      <c r="W506" s="86"/>
      <c r="X506" s="86"/>
      <c r="Y506" s="86"/>
      <c r="Z506" s="86"/>
      <c r="AA506" s="86"/>
    </row>
    <row r="507" spans="1:27" ht="14.25" customHeight="1" x14ac:dyDescent="0.35">
      <c r="A507" s="76">
        <v>0</v>
      </c>
      <c r="B507" s="87">
        <v>0</v>
      </c>
      <c r="C507" s="76"/>
      <c r="D507" s="78">
        <f>IF(C507=0,0,_xlfn.IFNA(IF( MATCH(C507,Rangliste!B:B,0)&gt;0,0,1),1))</f>
        <v>0</v>
      </c>
      <c r="E507" s="85" t="str">
        <f t="shared" si="1"/>
        <v/>
      </c>
      <c r="F507" s="85"/>
      <c r="G507" s="83"/>
      <c r="H507" s="86"/>
      <c r="I507" s="86"/>
      <c r="J507" s="86"/>
      <c r="K507" s="62"/>
      <c r="L507" s="86"/>
      <c r="M507" s="86"/>
      <c r="N507" s="86"/>
      <c r="O507" s="86"/>
      <c r="P507" s="86"/>
      <c r="Q507" s="86"/>
      <c r="R507" s="86"/>
      <c r="S507" s="86"/>
      <c r="T507" s="86"/>
      <c r="U507" s="86"/>
      <c r="V507" s="86"/>
      <c r="W507" s="86"/>
      <c r="X507" s="86"/>
      <c r="Y507" s="86"/>
      <c r="Z507" s="86"/>
      <c r="AA507" s="86"/>
    </row>
    <row r="508" spans="1:27" ht="14.25" customHeight="1" x14ac:dyDescent="0.35">
      <c r="A508" s="76">
        <v>0</v>
      </c>
      <c r="B508" s="87">
        <v>0</v>
      </c>
      <c r="C508" s="76"/>
      <c r="D508" s="78">
        <f>IF(C508=0,0,_xlfn.IFNA(IF( MATCH(C508,Rangliste!B:B,0)&gt;0,0,1),1))</f>
        <v>0</v>
      </c>
      <c r="E508" s="85" t="str">
        <f t="shared" si="1"/>
        <v/>
      </c>
      <c r="F508" s="85"/>
      <c r="G508" s="83"/>
      <c r="H508" s="86"/>
      <c r="I508" s="86"/>
      <c r="J508" s="86"/>
      <c r="K508" s="62"/>
      <c r="L508" s="86"/>
      <c r="M508" s="86"/>
      <c r="N508" s="86"/>
      <c r="O508" s="86"/>
      <c r="P508" s="86"/>
      <c r="Q508" s="86"/>
      <c r="R508" s="86"/>
      <c r="S508" s="86"/>
      <c r="T508" s="86"/>
      <c r="U508" s="86"/>
      <c r="V508" s="86"/>
      <c r="W508" s="86"/>
      <c r="X508" s="86"/>
      <c r="Y508" s="86"/>
      <c r="Z508" s="86"/>
      <c r="AA508" s="86"/>
    </row>
    <row r="509" spans="1:27" ht="14.25" customHeight="1" x14ac:dyDescent="0.35">
      <c r="A509" s="76">
        <v>0</v>
      </c>
      <c r="B509" s="87">
        <v>0</v>
      </c>
      <c r="C509" s="76"/>
      <c r="D509" s="78">
        <f>IF(C509=0,0,_xlfn.IFNA(IF( MATCH(C509,Rangliste!B:B,0)&gt;0,0,1),1))</f>
        <v>0</v>
      </c>
      <c r="E509" s="85" t="str">
        <f t="shared" si="1"/>
        <v/>
      </c>
      <c r="F509" s="85"/>
      <c r="G509" s="83"/>
      <c r="H509" s="86"/>
      <c r="I509" s="86"/>
      <c r="J509" s="86"/>
      <c r="K509" s="62"/>
      <c r="L509" s="86"/>
      <c r="M509" s="86"/>
      <c r="N509" s="86"/>
      <c r="O509" s="86"/>
      <c r="P509" s="86"/>
      <c r="Q509" s="86"/>
      <c r="R509" s="86"/>
      <c r="S509" s="86"/>
      <c r="T509" s="86"/>
      <c r="U509" s="86"/>
      <c r="V509" s="86"/>
      <c r="W509" s="86"/>
      <c r="X509" s="86"/>
      <c r="Y509" s="86"/>
      <c r="Z509" s="86"/>
      <c r="AA509" s="86"/>
    </row>
    <row r="510" spans="1:27" ht="14.25" customHeight="1" x14ac:dyDescent="0.35">
      <c r="A510" s="76">
        <v>0</v>
      </c>
      <c r="B510" s="87">
        <v>0</v>
      </c>
      <c r="C510" s="76"/>
      <c r="D510" s="78">
        <f>IF(C510=0,0,_xlfn.IFNA(IF( MATCH(C510,Rangliste!B:B,0)&gt;0,0,1),1))</f>
        <v>0</v>
      </c>
      <c r="E510" s="85" t="str">
        <f t="shared" si="1"/>
        <v/>
      </c>
      <c r="F510" s="85"/>
      <c r="G510" s="83"/>
      <c r="H510" s="86"/>
      <c r="I510" s="86"/>
      <c r="J510" s="86"/>
      <c r="K510" s="62"/>
      <c r="L510" s="86"/>
      <c r="M510" s="86"/>
      <c r="N510" s="86"/>
      <c r="O510" s="86"/>
      <c r="P510" s="86"/>
      <c r="Q510" s="86"/>
      <c r="R510" s="86"/>
      <c r="S510" s="86"/>
      <c r="T510" s="86"/>
      <c r="U510" s="86"/>
      <c r="V510" s="86"/>
      <c r="W510" s="86"/>
      <c r="X510" s="86"/>
      <c r="Y510" s="86"/>
      <c r="Z510" s="86"/>
      <c r="AA510" s="86"/>
    </row>
    <row r="511" spans="1:27" ht="14.25" customHeight="1" x14ac:dyDescent="0.35">
      <c r="A511" s="76">
        <v>0</v>
      </c>
      <c r="B511" s="87">
        <v>0</v>
      </c>
      <c r="C511" s="76"/>
      <c r="D511" s="78">
        <f>IF(C511=0,0,_xlfn.IFNA(IF( MATCH(C511,Rangliste!B:B,0)&gt;0,0,1),1))</f>
        <v>0</v>
      </c>
      <c r="E511" s="85" t="str">
        <f t="shared" si="1"/>
        <v/>
      </c>
      <c r="F511" s="85"/>
      <c r="G511" s="83"/>
      <c r="H511" s="86"/>
      <c r="I511" s="86"/>
      <c r="J511" s="86"/>
      <c r="K511" s="62"/>
      <c r="L511" s="86"/>
      <c r="M511" s="86"/>
      <c r="N511" s="86"/>
      <c r="O511" s="86"/>
      <c r="P511" s="86"/>
      <c r="Q511" s="86"/>
      <c r="R511" s="86"/>
      <c r="S511" s="86"/>
      <c r="T511" s="86"/>
      <c r="U511" s="86"/>
      <c r="V511" s="86"/>
      <c r="W511" s="86"/>
      <c r="X511" s="86"/>
      <c r="Y511" s="86"/>
      <c r="Z511" s="86"/>
      <c r="AA511" s="86"/>
    </row>
    <row r="512" spans="1:27" ht="14.25" customHeight="1" x14ac:dyDescent="0.35">
      <c r="A512" s="76">
        <v>0</v>
      </c>
      <c r="B512" s="87">
        <v>0</v>
      </c>
      <c r="C512" s="76"/>
      <c r="D512" s="78">
        <f>IF(C512=0,0,_xlfn.IFNA(IF( MATCH(C512,Rangliste!B:B,0)&gt;0,0,1),1))</f>
        <v>0</v>
      </c>
      <c r="E512" s="85" t="str">
        <f t="shared" si="1"/>
        <v/>
      </c>
      <c r="F512" s="85"/>
      <c r="G512" s="83"/>
      <c r="H512" s="86"/>
      <c r="I512" s="86"/>
      <c r="J512" s="86"/>
      <c r="K512" s="62"/>
      <c r="L512" s="86"/>
      <c r="M512" s="86"/>
      <c r="N512" s="86"/>
      <c r="O512" s="86"/>
      <c r="P512" s="86"/>
      <c r="Q512" s="86"/>
      <c r="R512" s="86"/>
      <c r="S512" s="86"/>
      <c r="T512" s="86"/>
      <c r="U512" s="86"/>
      <c r="V512" s="86"/>
      <c r="W512" s="86"/>
      <c r="X512" s="86"/>
      <c r="Y512" s="86"/>
      <c r="Z512" s="86"/>
      <c r="AA512" s="86"/>
    </row>
    <row r="513" spans="1:27" ht="14.25" customHeight="1" x14ac:dyDescent="0.35">
      <c r="A513" s="76">
        <v>0</v>
      </c>
      <c r="B513" s="87">
        <v>0</v>
      </c>
      <c r="C513" s="76"/>
      <c r="D513" s="78">
        <f>IF(C513=0,0,_xlfn.IFNA(IF( MATCH(C513,Rangliste!B:B,0)&gt;0,0,1),1))</f>
        <v>0</v>
      </c>
      <c r="E513" s="85" t="str">
        <f t="shared" si="1"/>
        <v/>
      </c>
      <c r="F513" s="85"/>
      <c r="G513" s="83"/>
      <c r="H513" s="86"/>
      <c r="I513" s="86"/>
      <c r="J513" s="86"/>
      <c r="K513" s="62"/>
      <c r="L513" s="86"/>
      <c r="M513" s="86"/>
      <c r="N513" s="86"/>
      <c r="O513" s="86"/>
      <c r="P513" s="86"/>
      <c r="Q513" s="86"/>
      <c r="R513" s="86"/>
      <c r="S513" s="86"/>
      <c r="T513" s="86"/>
      <c r="U513" s="86"/>
      <c r="V513" s="86"/>
      <c r="W513" s="86"/>
      <c r="X513" s="86"/>
      <c r="Y513" s="86"/>
      <c r="Z513" s="86"/>
      <c r="AA513" s="86"/>
    </row>
    <row r="514" spans="1:27" ht="14.25" customHeight="1" x14ac:dyDescent="0.35">
      <c r="A514" s="76">
        <v>0</v>
      </c>
      <c r="B514" s="87">
        <v>0</v>
      </c>
      <c r="C514" s="76"/>
      <c r="D514" s="78">
        <f>IF(C514=0,0,_xlfn.IFNA(IF( MATCH(C514,Rangliste!B:B,0)&gt;0,0,1),1))</f>
        <v>0</v>
      </c>
      <c r="E514" s="85" t="str">
        <f t="shared" ref="E514:E758" si="2">IF(D514=1,C514,"")</f>
        <v/>
      </c>
      <c r="F514" s="85"/>
      <c r="G514" s="83"/>
      <c r="H514" s="86"/>
      <c r="I514" s="86"/>
      <c r="J514" s="86"/>
      <c r="K514" s="62"/>
      <c r="L514" s="86"/>
      <c r="M514" s="86"/>
      <c r="N514" s="86"/>
      <c r="O514" s="86"/>
      <c r="P514" s="86"/>
      <c r="Q514" s="86"/>
      <c r="R514" s="86"/>
      <c r="S514" s="86"/>
      <c r="T514" s="86"/>
      <c r="U514" s="86"/>
      <c r="V514" s="86"/>
      <c r="W514" s="86"/>
      <c r="X514" s="86"/>
      <c r="Y514" s="86"/>
      <c r="Z514" s="86"/>
      <c r="AA514" s="86"/>
    </row>
    <row r="515" spans="1:27" ht="14.25" customHeight="1" x14ac:dyDescent="0.35">
      <c r="A515" s="76">
        <v>0</v>
      </c>
      <c r="B515" s="87">
        <v>0</v>
      </c>
      <c r="C515" s="76"/>
      <c r="D515" s="78">
        <f>IF(C515=0,0,_xlfn.IFNA(IF( MATCH(C515,Rangliste!B:B,0)&gt;0,0,1),1))</f>
        <v>0</v>
      </c>
      <c r="E515" s="85" t="str">
        <f t="shared" si="2"/>
        <v/>
      </c>
      <c r="F515" s="85"/>
      <c r="G515" s="83"/>
      <c r="H515" s="86"/>
      <c r="I515" s="86"/>
      <c r="J515" s="86"/>
      <c r="K515" s="62"/>
      <c r="L515" s="86"/>
      <c r="M515" s="86"/>
      <c r="N515" s="86"/>
      <c r="O515" s="86"/>
      <c r="P515" s="86"/>
      <c r="Q515" s="86"/>
      <c r="R515" s="86"/>
      <c r="S515" s="86"/>
      <c r="T515" s="86"/>
      <c r="U515" s="86"/>
      <c r="V515" s="86"/>
      <c r="W515" s="86"/>
      <c r="X515" s="86"/>
      <c r="Y515" s="86"/>
      <c r="Z515" s="86"/>
      <c r="AA515" s="86"/>
    </row>
    <row r="516" spans="1:27" ht="14.25" customHeight="1" x14ac:dyDescent="0.35">
      <c r="A516" s="76" t="str">
        <f t="array" ref="A516:A531">'Regioturnier 2'!$B$3:$B$18</f>
        <v>Valentin Grebien</v>
      </c>
      <c r="B516" s="84" t="str">
        <f t="array" ref="B516:B547">'NÖBV 1'!$B$3:$B$34</f>
        <v>Mia Gindulin</v>
      </c>
      <c r="C516" s="76"/>
      <c r="D516" s="78">
        <f>IF(C516=0,0,_xlfn.IFNA(IF( MATCH(C516,Rangliste!B:B,0)&gt;0,0,1),1))</f>
        <v>0</v>
      </c>
      <c r="E516" s="85" t="str">
        <f t="shared" si="2"/>
        <v/>
      </c>
      <c r="F516" s="85"/>
      <c r="G516" s="83"/>
      <c r="H516" s="86"/>
      <c r="I516" s="86"/>
      <c r="J516" s="86"/>
      <c r="K516" s="62"/>
      <c r="L516" s="86"/>
      <c r="M516" s="86"/>
      <c r="N516" s="86"/>
      <c r="O516" s="86"/>
      <c r="P516" s="86"/>
      <c r="Q516" s="86"/>
      <c r="R516" s="86"/>
      <c r="S516" s="86"/>
      <c r="T516" s="86"/>
      <c r="U516" s="86"/>
      <c r="V516" s="86"/>
      <c r="W516" s="86"/>
      <c r="X516" s="86"/>
      <c r="Y516" s="86"/>
      <c r="Z516" s="86"/>
      <c r="AA516" s="86"/>
    </row>
    <row r="517" spans="1:27" ht="14.25" customHeight="1" x14ac:dyDescent="0.35">
      <c r="A517" s="76" t="str">
        <v>Matthias Trimmel</v>
      </c>
      <c r="B517" s="77" t="str">
        <v>Lisa Gindulin</v>
      </c>
      <c r="C517" s="76"/>
      <c r="D517" s="78">
        <f>IF(C517=0,0,_xlfn.IFNA(IF( MATCH(C517,Rangliste!B:B,0)&gt;0,0,1),1))</f>
        <v>0</v>
      </c>
      <c r="E517" s="85" t="str">
        <f t="shared" si="2"/>
        <v/>
      </c>
      <c r="F517" s="85"/>
      <c r="G517" s="83"/>
      <c r="H517" s="86"/>
      <c r="I517" s="86"/>
      <c r="J517" s="86"/>
      <c r="K517" s="62"/>
      <c r="L517" s="86"/>
      <c r="M517" s="86"/>
      <c r="N517" s="86"/>
      <c r="O517" s="86"/>
      <c r="P517" s="86"/>
      <c r="Q517" s="86"/>
      <c r="R517" s="86"/>
      <c r="S517" s="86"/>
      <c r="T517" s="86"/>
      <c r="U517" s="86"/>
      <c r="V517" s="86"/>
      <c r="W517" s="86"/>
      <c r="X517" s="86"/>
      <c r="Y517" s="86"/>
      <c r="Z517" s="86"/>
      <c r="AA517" s="86"/>
    </row>
    <row r="518" spans="1:27" ht="14.25" customHeight="1" x14ac:dyDescent="0.35">
      <c r="A518" s="76" t="str">
        <v>Xinjie Chen</v>
      </c>
      <c r="B518" s="77" t="str">
        <v>Tobias Quiroga</v>
      </c>
      <c r="C518" s="76"/>
      <c r="D518" s="78">
        <f>IF(C518=0,0,_xlfn.IFNA(IF( MATCH(C518,Rangliste!B:B,0)&gt;0,0,1),1))</f>
        <v>0</v>
      </c>
      <c r="E518" s="85" t="str">
        <f t="shared" si="2"/>
        <v/>
      </c>
      <c r="F518" s="85"/>
      <c r="G518" s="83"/>
      <c r="H518" s="86"/>
      <c r="I518" s="86"/>
      <c r="J518" s="86"/>
      <c r="K518" s="62"/>
      <c r="L518" s="86"/>
      <c r="M518" s="86"/>
      <c r="N518" s="86"/>
      <c r="O518" s="86"/>
      <c r="P518" s="86"/>
      <c r="Q518" s="86"/>
      <c r="R518" s="86"/>
      <c r="S518" s="86"/>
      <c r="T518" s="86"/>
      <c r="U518" s="86"/>
      <c r="V518" s="86"/>
      <c r="W518" s="86"/>
      <c r="X518" s="86"/>
      <c r="Y518" s="86"/>
      <c r="Z518" s="86"/>
      <c r="AA518" s="86"/>
    </row>
    <row r="519" spans="1:27" ht="14.25" customHeight="1" x14ac:dyDescent="0.35">
      <c r="A519" s="76" t="str">
        <v>Ricky Chen</v>
      </c>
      <c r="B519" s="77" t="str">
        <v>Mario Mitterer</v>
      </c>
      <c r="C519" s="76"/>
      <c r="D519" s="78">
        <f>IF(C519=0,0,_xlfn.IFNA(IF( MATCH(C519,Rangliste!B:B,0)&gt;0,0,1),1))</f>
        <v>0</v>
      </c>
      <c r="E519" s="85" t="str">
        <f t="shared" si="2"/>
        <v/>
      </c>
      <c r="F519" s="85"/>
      <c r="G519" s="83"/>
      <c r="H519" s="86"/>
      <c r="I519" s="86"/>
      <c r="J519" s="86"/>
      <c r="K519" s="62"/>
      <c r="L519" s="86"/>
      <c r="M519" s="86"/>
      <c r="N519" s="86"/>
      <c r="O519" s="86"/>
      <c r="P519" s="86"/>
      <c r="Q519" s="86"/>
      <c r="R519" s="86"/>
      <c r="S519" s="86"/>
      <c r="T519" s="86"/>
      <c r="U519" s="86"/>
      <c r="V519" s="86"/>
      <c r="W519" s="86"/>
      <c r="X519" s="86"/>
      <c r="Y519" s="86"/>
      <c r="Z519" s="86"/>
      <c r="AA519" s="86"/>
    </row>
    <row r="520" spans="1:27" ht="14.25" customHeight="1" x14ac:dyDescent="0.35">
      <c r="A520" s="76" t="str">
        <v>Leon Lu</v>
      </c>
      <c r="B520" s="77" t="str">
        <v>Wenzel Tiapal</v>
      </c>
      <c r="C520" s="76"/>
      <c r="D520" s="78">
        <f>IF(C520=0,0,_xlfn.IFNA(IF( MATCH(C520,Rangliste!B:B,0)&gt;0,0,1),1))</f>
        <v>0</v>
      </c>
      <c r="E520" s="85" t="str">
        <f t="shared" si="2"/>
        <v/>
      </c>
      <c r="F520" s="85"/>
      <c r="G520" s="83"/>
      <c r="H520" s="86"/>
      <c r="I520" s="86"/>
      <c r="J520" s="86"/>
      <c r="K520" s="62"/>
      <c r="L520" s="86"/>
      <c r="M520" s="86"/>
      <c r="N520" s="86"/>
      <c r="O520" s="86"/>
      <c r="P520" s="86"/>
      <c r="Q520" s="86"/>
      <c r="R520" s="86"/>
      <c r="S520" s="86"/>
      <c r="T520" s="86"/>
      <c r="U520" s="86"/>
      <c r="V520" s="86"/>
      <c r="W520" s="86"/>
      <c r="X520" s="86"/>
      <c r="Y520" s="86"/>
      <c r="Z520" s="86"/>
      <c r="AA520" s="86"/>
    </row>
    <row r="521" spans="1:27" ht="14.25" customHeight="1" x14ac:dyDescent="0.35">
      <c r="A521" s="76" t="str">
        <v>Sebastian Dollinger</v>
      </c>
      <c r="B521" s="77">
        <v>0</v>
      </c>
      <c r="C521" s="76"/>
      <c r="D521" s="78">
        <f>IF(C521=0,0,_xlfn.IFNA(IF( MATCH(C521,Rangliste!B:B,0)&gt;0,0,1),1))</f>
        <v>0</v>
      </c>
      <c r="E521" s="85" t="str">
        <f t="shared" si="2"/>
        <v/>
      </c>
      <c r="F521" s="85"/>
      <c r="G521" s="83"/>
      <c r="H521" s="86"/>
      <c r="I521" s="86"/>
      <c r="J521" s="86"/>
      <c r="K521" s="62"/>
      <c r="L521" s="86"/>
      <c r="M521" s="86"/>
      <c r="N521" s="86"/>
      <c r="O521" s="86"/>
      <c r="P521" s="86"/>
      <c r="Q521" s="86"/>
      <c r="R521" s="86"/>
      <c r="S521" s="86"/>
      <c r="T521" s="86"/>
      <c r="U521" s="86"/>
      <c r="V521" s="86"/>
      <c r="W521" s="86"/>
      <c r="X521" s="86"/>
      <c r="Y521" s="86"/>
      <c r="Z521" s="86"/>
      <c r="AA521" s="86"/>
    </row>
    <row r="522" spans="1:27" ht="14.25" customHeight="1" x14ac:dyDescent="0.35">
      <c r="A522" s="76" t="str">
        <v>Wenzel Tiapal</v>
      </c>
      <c r="B522" s="77">
        <v>0</v>
      </c>
      <c r="C522" s="76"/>
      <c r="D522" s="78">
        <f>IF(C522=0,0,_xlfn.IFNA(IF( MATCH(C522,Rangliste!B:B,0)&gt;0,0,1),1))</f>
        <v>0</v>
      </c>
      <c r="E522" s="85" t="str">
        <f t="shared" si="2"/>
        <v/>
      </c>
      <c r="F522" s="85"/>
      <c r="G522" s="83"/>
      <c r="H522" s="86"/>
      <c r="I522" s="86"/>
      <c r="J522" s="86"/>
      <c r="K522" s="62"/>
      <c r="L522" s="86"/>
      <c r="M522" s="86"/>
      <c r="N522" s="86"/>
      <c r="O522" s="86"/>
      <c r="P522" s="86"/>
      <c r="Q522" s="86"/>
      <c r="R522" s="86"/>
      <c r="S522" s="86"/>
      <c r="T522" s="86"/>
      <c r="U522" s="86"/>
      <c r="V522" s="86"/>
      <c r="W522" s="86"/>
      <c r="X522" s="86"/>
      <c r="Y522" s="86"/>
      <c r="Z522" s="86"/>
      <c r="AA522" s="86"/>
    </row>
    <row r="523" spans="1:27" ht="14.25" customHeight="1" x14ac:dyDescent="0.35">
      <c r="A523" s="76" t="str">
        <v>Tobias Quiroga</v>
      </c>
      <c r="B523" s="77">
        <v>0</v>
      </c>
      <c r="C523" s="76"/>
      <c r="D523" s="78">
        <f>IF(C523=0,0,_xlfn.IFNA(IF( MATCH(C523,Rangliste!B:B,0)&gt;0,0,1),1))</f>
        <v>0</v>
      </c>
      <c r="E523" s="85" t="str">
        <f t="shared" si="2"/>
        <v/>
      </c>
      <c r="F523" s="85"/>
      <c r="G523" s="83"/>
      <c r="H523" s="86"/>
      <c r="I523" s="86"/>
      <c r="J523" s="86"/>
      <c r="K523" s="62"/>
      <c r="L523" s="86"/>
      <c r="M523" s="86"/>
      <c r="N523" s="86"/>
      <c r="O523" s="86"/>
      <c r="P523" s="86"/>
      <c r="Q523" s="86"/>
      <c r="R523" s="86"/>
      <c r="S523" s="86"/>
      <c r="T523" s="86"/>
      <c r="U523" s="86"/>
      <c r="V523" s="86"/>
      <c r="W523" s="86"/>
      <c r="X523" s="86"/>
      <c r="Y523" s="86"/>
      <c r="Z523" s="86"/>
      <c r="AA523" s="86"/>
    </row>
    <row r="524" spans="1:27" ht="14.25" customHeight="1" x14ac:dyDescent="0.35">
      <c r="A524" s="76" t="str">
        <v>Valentin Schefcik</v>
      </c>
      <c r="B524" s="77">
        <v>0</v>
      </c>
      <c r="C524" s="76"/>
      <c r="D524" s="78">
        <f>IF(C524=0,0,_xlfn.IFNA(IF( MATCH(C524,Rangliste!B:B,0)&gt;0,0,1),1))</f>
        <v>0</v>
      </c>
      <c r="E524" s="85" t="str">
        <f t="shared" si="2"/>
        <v/>
      </c>
      <c r="F524" s="85"/>
      <c r="G524" s="83"/>
      <c r="H524" s="86"/>
      <c r="I524" s="86"/>
      <c r="J524" s="86"/>
      <c r="K524" s="62"/>
      <c r="L524" s="86"/>
      <c r="M524" s="86"/>
      <c r="N524" s="86"/>
      <c r="O524" s="86"/>
      <c r="P524" s="86"/>
      <c r="Q524" s="86"/>
      <c r="R524" s="86"/>
      <c r="S524" s="86"/>
      <c r="T524" s="86"/>
      <c r="U524" s="86"/>
      <c r="V524" s="86"/>
      <c r="W524" s="86"/>
      <c r="X524" s="86"/>
      <c r="Y524" s="86"/>
      <c r="Z524" s="86"/>
      <c r="AA524" s="86"/>
    </row>
    <row r="525" spans="1:27" ht="14.25" customHeight="1" x14ac:dyDescent="0.35">
      <c r="A525" s="76">
        <v>0</v>
      </c>
      <c r="B525" s="77">
        <v>0</v>
      </c>
      <c r="C525" s="76"/>
      <c r="D525" s="78">
        <f>IF(C525=0,0,_xlfn.IFNA(IF( MATCH(C525,Rangliste!B:B,0)&gt;0,0,1),1))</f>
        <v>0</v>
      </c>
      <c r="E525" s="85" t="str">
        <f t="shared" si="2"/>
        <v/>
      </c>
      <c r="F525" s="85"/>
      <c r="G525" s="83"/>
      <c r="H525" s="86"/>
      <c r="I525" s="86"/>
      <c r="J525" s="86"/>
      <c r="K525" s="62"/>
      <c r="L525" s="86"/>
      <c r="M525" s="86"/>
      <c r="N525" s="86"/>
      <c r="O525" s="86"/>
      <c r="P525" s="86"/>
      <c r="Q525" s="86"/>
      <c r="R525" s="86"/>
      <c r="S525" s="86"/>
      <c r="T525" s="86"/>
      <c r="U525" s="86"/>
      <c r="V525" s="86"/>
      <c r="W525" s="86"/>
      <c r="X525" s="86"/>
      <c r="Y525" s="86"/>
      <c r="Z525" s="86"/>
      <c r="AA525" s="86"/>
    </row>
    <row r="526" spans="1:27" ht="14.25" customHeight="1" x14ac:dyDescent="0.35">
      <c r="A526" s="76">
        <v>0</v>
      </c>
      <c r="B526" s="77">
        <v>0</v>
      </c>
      <c r="C526" s="76"/>
      <c r="D526" s="78">
        <f>IF(C526=0,0,_xlfn.IFNA(IF( MATCH(C526,Rangliste!B:B,0)&gt;0,0,1),1))</f>
        <v>0</v>
      </c>
      <c r="E526" s="85" t="str">
        <f t="shared" si="2"/>
        <v/>
      </c>
      <c r="F526" s="85"/>
      <c r="G526" s="83"/>
      <c r="H526" s="86"/>
      <c r="I526" s="86"/>
      <c r="J526" s="86"/>
      <c r="K526" s="62"/>
      <c r="L526" s="86"/>
      <c r="M526" s="86"/>
      <c r="N526" s="86"/>
      <c r="O526" s="86"/>
      <c r="P526" s="86"/>
      <c r="Q526" s="86"/>
      <c r="R526" s="86"/>
      <c r="S526" s="86"/>
      <c r="T526" s="86"/>
      <c r="U526" s="86"/>
      <c r="V526" s="86"/>
      <c r="W526" s="86"/>
      <c r="X526" s="86"/>
      <c r="Y526" s="86"/>
      <c r="Z526" s="86"/>
      <c r="AA526" s="86"/>
    </row>
    <row r="527" spans="1:27" ht="14.25" customHeight="1" x14ac:dyDescent="0.35">
      <c r="A527" s="76">
        <v>0</v>
      </c>
      <c r="B527" s="77">
        <v>0</v>
      </c>
      <c r="C527" s="76"/>
      <c r="D527" s="78">
        <f>IF(C527=0,0,_xlfn.IFNA(IF( MATCH(C527,Rangliste!B:B,0)&gt;0,0,1),1))</f>
        <v>0</v>
      </c>
      <c r="E527" s="85" t="str">
        <f t="shared" si="2"/>
        <v/>
      </c>
      <c r="F527" s="85"/>
      <c r="G527" s="83"/>
      <c r="H527" s="86"/>
      <c r="I527" s="86"/>
      <c r="J527" s="86"/>
      <c r="K527" s="62"/>
      <c r="L527" s="86"/>
      <c r="M527" s="86"/>
      <c r="N527" s="86"/>
      <c r="O527" s="86"/>
      <c r="P527" s="86"/>
      <c r="Q527" s="86"/>
      <c r="R527" s="86"/>
      <c r="S527" s="86"/>
      <c r="T527" s="86"/>
      <c r="U527" s="86"/>
      <c r="V527" s="86"/>
      <c r="W527" s="86"/>
      <c r="X527" s="86"/>
      <c r="Y527" s="86"/>
      <c r="Z527" s="86"/>
      <c r="AA527" s="86"/>
    </row>
    <row r="528" spans="1:27" ht="14.25" customHeight="1" x14ac:dyDescent="0.35">
      <c r="A528" s="76">
        <v>0</v>
      </c>
      <c r="B528" s="77">
        <v>0</v>
      </c>
      <c r="C528" s="76"/>
      <c r="D528" s="78">
        <f>IF(C528=0,0,_xlfn.IFNA(IF( MATCH(C528,Rangliste!B:B,0)&gt;0,0,1),1))</f>
        <v>0</v>
      </c>
      <c r="E528" s="85" t="str">
        <f t="shared" si="2"/>
        <v/>
      </c>
      <c r="F528" s="85"/>
      <c r="G528" s="83"/>
      <c r="H528" s="86"/>
      <c r="I528" s="86"/>
      <c r="J528" s="86"/>
      <c r="K528" s="62"/>
      <c r="L528" s="86"/>
      <c r="M528" s="86"/>
      <c r="N528" s="86"/>
      <c r="O528" s="86"/>
      <c r="P528" s="86"/>
      <c r="Q528" s="86"/>
      <c r="R528" s="86"/>
      <c r="S528" s="86"/>
      <c r="T528" s="86"/>
      <c r="U528" s="86"/>
      <c r="V528" s="86"/>
      <c r="W528" s="86"/>
      <c r="X528" s="86"/>
      <c r="Y528" s="86"/>
      <c r="Z528" s="86"/>
      <c r="AA528" s="86"/>
    </row>
    <row r="529" spans="1:27" ht="14.25" customHeight="1" x14ac:dyDescent="0.35">
      <c r="A529" s="76">
        <v>0</v>
      </c>
      <c r="B529" s="77">
        <v>0</v>
      </c>
      <c r="C529" s="76"/>
      <c r="D529" s="78">
        <f>IF(C529=0,0,_xlfn.IFNA(IF( MATCH(C529,Rangliste!B:B,0)&gt;0,0,1),1))</f>
        <v>0</v>
      </c>
      <c r="E529" s="85" t="str">
        <f t="shared" si="2"/>
        <v/>
      </c>
      <c r="F529" s="85"/>
      <c r="G529" s="83"/>
      <c r="H529" s="86"/>
      <c r="I529" s="86"/>
      <c r="J529" s="86"/>
      <c r="K529" s="62"/>
      <c r="L529" s="86"/>
      <c r="M529" s="86"/>
      <c r="N529" s="86"/>
      <c r="O529" s="86"/>
      <c r="P529" s="86"/>
      <c r="Q529" s="86"/>
      <c r="R529" s="86"/>
      <c r="S529" s="86"/>
      <c r="T529" s="86"/>
      <c r="U529" s="86"/>
      <c r="V529" s="86"/>
      <c r="W529" s="86"/>
      <c r="X529" s="86"/>
      <c r="Y529" s="86"/>
      <c r="Z529" s="86"/>
      <c r="AA529" s="86"/>
    </row>
    <row r="530" spans="1:27" ht="14.25" customHeight="1" x14ac:dyDescent="0.35">
      <c r="A530" s="76">
        <v>0</v>
      </c>
      <c r="B530" s="77">
        <v>0</v>
      </c>
      <c r="C530" s="76"/>
      <c r="D530" s="78">
        <f>IF(C530=0,0,_xlfn.IFNA(IF( MATCH(C530,Rangliste!B:B,0)&gt;0,0,1),1))</f>
        <v>0</v>
      </c>
      <c r="E530" s="85" t="str">
        <f t="shared" si="2"/>
        <v/>
      </c>
      <c r="F530" s="85"/>
      <c r="G530" s="83"/>
      <c r="H530" s="86"/>
      <c r="I530" s="86"/>
      <c r="J530" s="86"/>
      <c r="K530" s="62"/>
      <c r="L530" s="86"/>
      <c r="M530" s="86"/>
      <c r="N530" s="86"/>
      <c r="O530" s="86"/>
      <c r="P530" s="86"/>
      <c r="Q530" s="86"/>
      <c r="R530" s="86"/>
      <c r="S530" s="86"/>
      <c r="T530" s="86"/>
      <c r="U530" s="86"/>
      <c r="V530" s="86"/>
      <c r="W530" s="86"/>
      <c r="X530" s="86"/>
      <c r="Y530" s="86"/>
      <c r="Z530" s="86"/>
      <c r="AA530" s="86"/>
    </row>
    <row r="531" spans="1:27" ht="14.25" customHeight="1" x14ac:dyDescent="0.35">
      <c r="A531" s="76">
        <v>0</v>
      </c>
      <c r="B531" s="77">
        <v>0</v>
      </c>
      <c r="C531" s="76"/>
      <c r="D531" s="78">
        <f>IF(C531=0,0,_xlfn.IFNA(IF( MATCH(C531,Rangliste!B:B,0)&gt;0,0,1),1))</f>
        <v>0</v>
      </c>
      <c r="E531" s="85" t="str">
        <f t="shared" si="2"/>
        <v/>
      </c>
      <c r="F531" s="85"/>
      <c r="G531" s="83"/>
      <c r="H531" s="86"/>
      <c r="I531" s="86"/>
      <c r="J531" s="86"/>
      <c r="K531" s="62"/>
      <c r="L531" s="86"/>
      <c r="M531" s="86"/>
      <c r="N531" s="86"/>
      <c r="O531" s="86"/>
      <c r="P531" s="86"/>
      <c r="Q531" s="86"/>
      <c r="R531" s="86"/>
      <c r="S531" s="86"/>
      <c r="T531" s="86"/>
      <c r="U531" s="86"/>
      <c r="V531" s="86"/>
      <c r="W531" s="86"/>
      <c r="X531" s="86"/>
      <c r="Y531" s="86"/>
      <c r="Z531" s="86"/>
      <c r="AA531" s="86"/>
    </row>
    <row r="532" spans="1:27" ht="14.25" customHeight="1" x14ac:dyDescent="0.35">
      <c r="A532" s="76" t="str">
        <f t="array" ref="A532:A547">'Regioturnier 2'!$F$3:$F$18</f>
        <v>Samuel Nemeskal</v>
      </c>
      <c r="B532" s="77">
        <v>0</v>
      </c>
      <c r="C532" s="76"/>
      <c r="D532" s="78">
        <f>IF(C532=0,0,_xlfn.IFNA(IF( MATCH(C532,Rangliste!B:B,0)&gt;0,0,1),1))</f>
        <v>0</v>
      </c>
      <c r="E532" s="85" t="str">
        <f t="shared" si="2"/>
        <v/>
      </c>
      <c r="F532" s="85"/>
      <c r="G532" s="83"/>
      <c r="H532" s="86"/>
      <c r="I532" s="86"/>
      <c r="J532" s="86"/>
      <c r="K532" s="62"/>
      <c r="L532" s="86"/>
      <c r="M532" s="86"/>
      <c r="N532" s="86"/>
      <c r="O532" s="86"/>
      <c r="P532" s="86"/>
      <c r="Q532" s="86"/>
      <c r="R532" s="86"/>
      <c r="S532" s="86"/>
      <c r="T532" s="86"/>
      <c r="U532" s="86"/>
      <c r="V532" s="86"/>
      <c r="W532" s="86"/>
      <c r="X532" s="86"/>
      <c r="Y532" s="86"/>
      <c r="Z532" s="86"/>
      <c r="AA532" s="86"/>
    </row>
    <row r="533" spans="1:27" ht="14.25" customHeight="1" x14ac:dyDescent="0.35">
      <c r="A533" s="76" t="str">
        <v>Philipp Grebien</v>
      </c>
      <c r="B533" s="77">
        <v>0</v>
      </c>
      <c r="C533" s="76"/>
      <c r="D533" s="78">
        <f>IF(C533=0,0,_xlfn.IFNA(IF( MATCH(C533,Rangliste!B:B,0)&gt;0,0,1),1))</f>
        <v>0</v>
      </c>
      <c r="E533" s="85" t="str">
        <f t="shared" si="2"/>
        <v/>
      </c>
      <c r="F533" s="85"/>
      <c r="G533" s="83"/>
      <c r="H533" s="86"/>
      <c r="I533" s="86"/>
      <c r="J533" s="86"/>
      <c r="K533" s="62"/>
      <c r="L533" s="86"/>
      <c r="M533" s="86"/>
      <c r="N533" s="86"/>
      <c r="O533" s="86"/>
      <c r="P533" s="86"/>
      <c r="Q533" s="86"/>
      <c r="R533" s="86"/>
      <c r="S533" s="86"/>
      <c r="T533" s="86"/>
      <c r="U533" s="86"/>
      <c r="V533" s="86"/>
      <c r="W533" s="86"/>
      <c r="X533" s="86"/>
      <c r="Y533" s="86"/>
      <c r="Z533" s="86"/>
      <c r="AA533" s="86"/>
    </row>
    <row r="534" spans="1:27" ht="14.25" customHeight="1" x14ac:dyDescent="0.35">
      <c r="A534" s="76" t="str">
        <v>Agam Singh</v>
      </c>
      <c r="B534" s="77">
        <v>0</v>
      </c>
      <c r="C534" s="76"/>
      <c r="D534" s="78">
        <f>IF(C534=0,0,_xlfn.IFNA(IF( MATCH(C534,Rangliste!B:B,0)&gt;0,0,1),1))</f>
        <v>0</v>
      </c>
      <c r="E534" s="85" t="str">
        <f t="shared" si="2"/>
        <v/>
      </c>
      <c r="F534" s="85"/>
      <c r="G534" s="83"/>
      <c r="H534" s="86"/>
      <c r="I534" s="86"/>
      <c r="J534" s="86"/>
      <c r="K534" s="62"/>
      <c r="L534" s="86"/>
      <c r="M534" s="86"/>
      <c r="N534" s="86"/>
      <c r="O534" s="86"/>
      <c r="P534" s="86"/>
      <c r="Q534" s="86"/>
      <c r="R534" s="86"/>
      <c r="S534" s="86"/>
      <c r="T534" s="86"/>
      <c r="U534" s="86"/>
      <c r="V534" s="86"/>
      <c r="W534" s="86"/>
      <c r="X534" s="86"/>
      <c r="Y534" s="86"/>
      <c r="Z534" s="86"/>
      <c r="AA534" s="86"/>
    </row>
    <row r="535" spans="1:27" ht="14.25" customHeight="1" x14ac:dyDescent="0.35">
      <c r="A535" s="76" t="str">
        <v>Felix Sztatecsny</v>
      </c>
      <c r="B535" s="77">
        <v>0</v>
      </c>
      <c r="C535" s="76"/>
      <c r="D535" s="78">
        <f>IF(C535=0,0,_xlfn.IFNA(IF( MATCH(C535,Rangliste!B:B,0)&gt;0,0,1),1))</f>
        <v>0</v>
      </c>
      <c r="E535" s="85" t="str">
        <f t="shared" si="2"/>
        <v/>
      </c>
      <c r="F535" s="85"/>
      <c r="G535" s="83"/>
      <c r="H535" s="86"/>
      <c r="I535" s="86"/>
      <c r="J535" s="86"/>
      <c r="K535" s="62"/>
      <c r="L535" s="86"/>
      <c r="M535" s="86"/>
      <c r="N535" s="86"/>
      <c r="O535" s="86"/>
      <c r="P535" s="86"/>
      <c r="Q535" s="86"/>
      <c r="R535" s="86"/>
      <c r="S535" s="86"/>
      <c r="T535" s="86"/>
      <c r="U535" s="86"/>
      <c r="V535" s="86"/>
      <c r="W535" s="86"/>
      <c r="X535" s="86"/>
      <c r="Y535" s="86"/>
      <c r="Z535" s="86"/>
      <c r="AA535" s="86"/>
    </row>
    <row r="536" spans="1:27" ht="14.25" customHeight="1" x14ac:dyDescent="0.35">
      <c r="A536" s="76" t="str">
        <v>Felix Rädle</v>
      </c>
      <c r="B536" s="77">
        <v>0</v>
      </c>
      <c r="C536" s="76"/>
      <c r="D536" s="78">
        <f>IF(C536=0,0,_xlfn.IFNA(IF( MATCH(C536,Rangliste!B:B,0)&gt;0,0,1),1))</f>
        <v>0</v>
      </c>
      <c r="E536" s="85" t="str">
        <f t="shared" si="2"/>
        <v/>
      </c>
      <c r="F536" s="85"/>
      <c r="G536" s="83"/>
      <c r="H536" s="86"/>
      <c r="I536" s="86"/>
      <c r="J536" s="86"/>
      <c r="K536" s="62"/>
      <c r="L536" s="86"/>
      <c r="M536" s="86"/>
      <c r="N536" s="86"/>
      <c r="O536" s="86"/>
      <c r="P536" s="86"/>
      <c r="Q536" s="86"/>
      <c r="R536" s="86"/>
      <c r="S536" s="86"/>
      <c r="T536" s="86"/>
      <c r="U536" s="86"/>
      <c r="V536" s="86"/>
      <c r="W536" s="86"/>
      <c r="X536" s="86"/>
      <c r="Y536" s="86"/>
      <c r="Z536" s="86"/>
      <c r="AA536" s="86"/>
    </row>
    <row r="537" spans="1:27" ht="14.25" customHeight="1" x14ac:dyDescent="0.35">
      <c r="A537" s="76" t="str">
        <v>Luis Burker</v>
      </c>
      <c r="B537" s="77">
        <v>0</v>
      </c>
      <c r="C537" s="76"/>
      <c r="D537" s="78">
        <f>IF(C537=0,0,_xlfn.IFNA(IF( MATCH(C537,Rangliste!B:B,0)&gt;0,0,1),1))</f>
        <v>0</v>
      </c>
      <c r="E537" s="85" t="str">
        <f t="shared" si="2"/>
        <v/>
      </c>
      <c r="F537" s="85"/>
      <c r="G537" s="83"/>
      <c r="H537" s="86"/>
      <c r="I537" s="86"/>
      <c r="J537" s="86"/>
      <c r="K537" s="62"/>
      <c r="L537" s="86"/>
      <c r="M537" s="86"/>
      <c r="N537" s="86"/>
      <c r="O537" s="86"/>
      <c r="P537" s="86"/>
      <c r="Q537" s="86"/>
      <c r="R537" s="86"/>
      <c r="S537" s="86"/>
      <c r="T537" s="86"/>
      <c r="U537" s="86"/>
      <c r="V537" s="86"/>
      <c r="W537" s="86"/>
      <c r="X537" s="86"/>
      <c r="Y537" s="86"/>
      <c r="Z537" s="86"/>
      <c r="AA537" s="86"/>
    </row>
    <row r="538" spans="1:27" ht="14.25" customHeight="1" x14ac:dyDescent="0.35">
      <c r="A538" s="76" t="str">
        <v>Dimitrij Wolgin</v>
      </c>
      <c r="B538" s="77">
        <v>0</v>
      </c>
      <c r="C538" s="76"/>
      <c r="D538" s="78">
        <f>IF(C538=0,0,_xlfn.IFNA(IF( MATCH(C538,Rangliste!B:B,0)&gt;0,0,1),1))</f>
        <v>0</v>
      </c>
      <c r="E538" s="85" t="str">
        <f t="shared" si="2"/>
        <v/>
      </c>
      <c r="F538" s="85"/>
      <c r="G538" s="83"/>
      <c r="H538" s="86"/>
      <c r="I538" s="86"/>
      <c r="J538" s="86"/>
      <c r="K538" s="62"/>
      <c r="L538" s="86"/>
      <c r="M538" s="86"/>
      <c r="N538" s="86"/>
      <c r="O538" s="86"/>
      <c r="P538" s="86"/>
      <c r="Q538" s="86"/>
      <c r="R538" s="86"/>
      <c r="S538" s="86"/>
      <c r="T538" s="86"/>
      <c r="U538" s="86"/>
      <c r="V538" s="86"/>
      <c r="W538" s="86"/>
      <c r="X538" s="86"/>
      <c r="Y538" s="86"/>
      <c r="Z538" s="86"/>
      <c r="AA538" s="86"/>
    </row>
    <row r="539" spans="1:27" ht="14.25" customHeight="1" x14ac:dyDescent="0.35">
      <c r="A539" s="76" t="str">
        <v>Jacob Chen</v>
      </c>
      <c r="B539" s="77">
        <v>0</v>
      </c>
      <c r="C539" s="76"/>
      <c r="D539" s="78">
        <f>IF(C539=0,0,_xlfn.IFNA(IF( MATCH(C539,Rangliste!B:B,0)&gt;0,0,1),1))</f>
        <v>0</v>
      </c>
      <c r="E539" s="85" t="str">
        <f t="shared" si="2"/>
        <v/>
      </c>
      <c r="F539" s="85"/>
      <c r="G539" s="83"/>
      <c r="H539" s="86"/>
      <c r="I539" s="86"/>
      <c r="J539" s="86"/>
      <c r="K539" s="62"/>
      <c r="L539" s="86"/>
      <c r="M539" s="86"/>
      <c r="N539" s="86"/>
      <c r="O539" s="86"/>
      <c r="P539" s="86"/>
      <c r="Q539" s="86"/>
      <c r="R539" s="86"/>
      <c r="S539" s="86"/>
      <c r="T539" s="86"/>
      <c r="U539" s="86"/>
      <c r="V539" s="86"/>
      <c r="W539" s="86"/>
      <c r="X539" s="86"/>
      <c r="Y539" s="86"/>
      <c r="Z539" s="86"/>
      <c r="AA539" s="86"/>
    </row>
    <row r="540" spans="1:27" ht="14.25" customHeight="1" x14ac:dyDescent="0.35">
      <c r="A540" s="76" t="str">
        <v>Marco Papp</v>
      </c>
      <c r="B540" s="77">
        <v>0</v>
      </c>
      <c r="C540" s="76"/>
      <c r="D540" s="78">
        <f>IF(C540=0,0,_xlfn.IFNA(IF( MATCH(C540,Rangliste!B:B,0)&gt;0,0,1),1))</f>
        <v>0</v>
      </c>
      <c r="E540" s="85" t="str">
        <f t="shared" si="2"/>
        <v/>
      </c>
      <c r="F540" s="85"/>
      <c r="G540" s="83"/>
      <c r="H540" s="86"/>
      <c r="I540" s="86"/>
      <c r="J540" s="86"/>
      <c r="K540" s="62"/>
      <c r="L540" s="86"/>
      <c r="M540" s="86"/>
      <c r="N540" s="86"/>
      <c r="O540" s="86"/>
      <c r="P540" s="86"/>
      <c r="Q540" s="86"/>
      <c r="R540" s="86"/>
      <c r="S540" s="86"/>
      <c r="T540" s="86"/>
      <c r="U540" s="86"/>
      <c r="V540" s="86"/>
      <c r="W540" s="86"/>
      <c r="X540" s="86"/>
      <c r="Y540" s="86"/>
      <c r="Z540" s="86"/>
      <c r="AA540" s="86"/>
    </row>
    <row r="541" spans="1:27" ht="14.25" customHeight="1" x14ac:dyDescent="0.35">
      <c r="A541" s="76">
        <v>0</v>
      </c>
      <c r="B541" s="77">
        <v>0</v>
      </c>
      <c r="C541" s="76"/>
      <c r="D541" s="78">
        <f>IF(C541=0,0,_xlfn.IFNA(IF( MATCH(C541,Rangliste!B:B,0)&gt;0,0,1),1))</f>
        <v>0</v>
      </c>
      <c r="E541" s="85" t="str">
        <f t="shared" si="2"/>
        <v/>
      </c>
      <c r="F541" s="85"/>
      <c r="G541" s="83"/>
      <c r="H541" s="86"/>
      <c r="I541" s="86"/>
      <c r="J541" s="86"/>
      <c r="K541" s="62"/>
      <c r="L541" s="86"/>
      <c r="M541" s="86"/>
      <c r="N541" s="86"/>
      <c r="O541" s="86"/>
      <c r="P541" s="86"/>
      <c r="Q541" s="86"/>
      <c r="R541" s="86"/>
      <c r="S541" s="86"/>
      <c r="T541" s="86"/>
      <c r="U541" s="86"/>
      <c r="V541" s="86"/>
      <c r="W541" s="86"/>
      <c r="X541" s="86"/>
      <c r="Y541" s="86"/>
      <c r="Z541" s="86"/>
      <c r="AA541" s="86"/>
    </row>
    <row r="542" spans="1:27" ht="14.25" customHeight="1" x14ac:dyDescent="0.35">
      <c r="A542" s="76">
        <v>0</v>
      </c>
      <c r="B542" s="77">
        <v>0</v>
      </c>
      <c r="C542" s="76"/>
      <c r="D542" s="78">
        <f>IF(C542=0,0,_xlfn.IFNA(IF( MATCH(C542,Rangliste!B:B,0)&gt;0,0,1),1))</f>
        <v>0</v>
      </c>
      <c r="E542" s="85" t="str">
        <f t="shared" si="2"/>
        <v/>
      </c>
      <c r="F542" s="85"/>
      <c r="G542" s="83"/>
      <c r="H542" s="86"/>
      <c r="I542" s="86"/>
      <c r="J542" s="86"/>
      <c r="K542" s="62"/>
      <c r="L542" s="86"/>
      <c r="M542" s="86"/>
      <c r="N542" s="86"/>
      <c r="O542" s="86"/>
      <c r="P542" s="86"/>
      <c r="Q542" s="86"/>
      <c r="R542" s="86"/>
      <c r="S542" s="86"/>
      <c r="T542" s="86"/>
      <c r="U542" s="86"/>
      <c r="V542" s="86"/>
      <c r="W542" s="86"/>
      <c r="X542" s="86"/>
      <c r="Y542" s="86"/>
      <c r="Z542" s="86"/>
      <c r="AA542" s="86"/>
    </row>
    <row r="543" spans="1:27" ht="14.25" customHeight="1" x14ac:dyDescent="0.35">
      <c r="A543" s="76">
        <v>0</v>
      </c>
      <c r="B543" s="77">
        <v>0</v>
      </c>
      <c r="C543" s="76"/>
      <c r="D543" s="78">
        <f>IF(C543=0,0,_xlfn.IFNA(IF( MATCH(C543,Rangliste!B:B,0)&gt;0,0,1),1))</f>
        <v>0</v>
      </c>
      <c r="E543" s="85" t="str">
        <f t="shared" si="2"/>
        <v/>
      </c>
      <c r="F543" s="85"/>
      <c r="G543" s="83"/>
      <c r="H543" s="86"/>
      <c r="I543" s="86"/>
      <c r="J543" s="86"/>
      <c r="K543" s="62"/>
      <c r="L543" s="86"/>
      <c r="M543" s="86"/>
      <c r="N543" s="86"/>
      <c r="O543" s="86"/>
      <c r="P543" s="86"/>
      <c r="Q543" s="86"/>
      <c r="R543" s="86"/>
      <c r="S543" s="86"/>
      <c r="T543" s="86"/>
      <c r="U543" s="86"/>
      <c r="V543" s="86"/>
      <c r="W543" s="86"/>
      <c r="X543" s="86"/>
      <c r="Y543" s="86"/>
      <c r="Z543" s="86"/>
      <c r="AA543" s="86"/>
    </row>
    <row r="544" spans="1:27" ht="14.25" customHeight="1" x14ac:dyDescent="0.35">
      <c r="A544" s="76">
        <v>0</v>
      </c>
      <c r="B544" s="77">
        <v>0</v>
      </c>
      <c r="C544" s="76"/>
      <c r="D544" s="78">
        <f>IF(C544=0,0,_xlfn.IFNA(IF( MATCH(C544,Rangliste!B:B,0)&gt;0,0,1),1))</f>
        <v>0</v>
      </c>
      <c r="E544" s="85" t="str">
        <f t="shared" si="2"/>
        <v/>
      </c>
      <c r="F544" s="85"/>
      <c r="G544" s="83"/>
      <c r="H544" s="86"/>
      <c r="I544" s="86"/>
      <c r="J544" s="86"/>
      <c r="K544" s="62"/>
      <c r="L544" s="86"/>
      <c r="M544" s="86"/>
      <c r="N544" s="86"/>
      <c r="O544" s="86"/>
      <c r="P544" s="86"/>
      <c r="Q544" s="86"/>
      <c r="R544" s="86"/>
      <c r="S544" s="86"/>
      <c r="T544" s="86"/>
      <c r="U544" s="86"/>
      <c r="V544" s="86"/>
      <c r="W544" s="86"/>
      <c r="X544" s="86"/>
      <c r="Y544" s="86"/>
      <c r="Z544" s="86"/>
      <c r="AA544" s="86"/>
    </row>
    <row r="545" spans="1:27" ht="14.25" customHeight="1" x14ac:dyDescent="0.35">
      <c r="A545" s="76">
        <v>0</v>
      </c>
      <c r="B545" s="77">
        <v>0</v>
      </c>
      <c r="C545" s="76"/>
      <c r="D545" s="78">
        <f>IF(C545=0,0,_xlfn.IFNA(IF( MATCH(C545,Rangliste!B:B,0)&gt;0,0,1),1))</f>
        <v>0</v>
      </c>
      <c r="E545" s="85" t="str">
        <f t="shared" si="2"/>
        <v/>
      </c>
      <c r="F545" s="85"/>
      <c r="G545" s="83"/>
      <c r="H545" s="86"/>
      <c r="I545" s="86"/>
      <c r="J545" s="86"/>
      <c r="K545" s="62"/>
      <c r="L545" s="86"/>
      <c r="M545" s="86"/>
      <c r="N545" s="86"/>
      <c r="O545" s="86"/>
      <c r="P545" s="86"/>
      <c r="Q545" s="86"/>
      <c r="R545" s="86"/>
      <c r="S545" s="86"/>
      <c r="T545" s="86"/>
      <c r="U545" s="86"/>
      <c r="V545" s="86"/>
      <c r="W545" s="86"/>
      <c r="X545" s="86"/>
      <c r="Y545" s="86"/>
      <c r="Z545" s="86"/>
      <c r="AA545" s="86"/>
    </row>
    <row r="546" spans="1:27" ht="14.25" customHeight="1" x14ac:dyDescent="0.35">
      <c r="A546" s="76">
        <v>0</v>
      </c>
      <c r="B546" s="77">
        <v>0</v>
      </c>
      <c r="C546" s="76"/>
      <c r="D546" s="78">
        <f>IF(C546=0,0,_xlfn.IFNA(IF( MATCH(C546,Rangliste!B:B,0)&gt;0,0,1),1))</f>
        <v>0</v>
      </c>
      <c r="E546" s="85" t="str">
        <f t="shared" si="2"/>
        <v/>
      </c>
      <c r="F546" s="85"/>
      <c r="G546" s="83"/>
      <c r="H546" s="86"/>
      <c r="I546" s="86"/>
      <c r="J546" s="86"/>
      <c r="K546" s="62"/>
      <c r="L546" s="86"/>
      <c r="M546" s="86"/>
      <c r="N546" s="86"/>
      <c r="O546" s="86"/>
      <c r="P546" s="86"/>
      <c r="Q546" s="86"/>
      <c r="R546" s="86"/>
      <c r="S546" s="86"/>
      <c r="T546" s="86"/>
      <c r="U546" s="86"/>
      <c r="V546" s="86"/>
      <c r="W546" s="86"/>
      <c r="X546" s="86"/>
      <c r="Y546" s="86"/>
      <c r="Z546" s="86"/>
      <c r="AA546" s="86"/>
    </row>
    <row r="547" spans="1:27" ht="14.25" customHeight="1" x14ac:dyDescent="0.35">
      <c r="A547" s="76">
        <v>0</v>
      </c>
      <c r="B547" s="77">
        <v>0</v>
      </c>
      <c r="C547" s="76"/>
      <c r="D547" s="78">
        <f>IF(C547=0,0,_xlfn.IFNA(IF( MATCH(C547,Rangliste!B:B,0)&gt;0,0,1),1))</f>
        <v>0</v>
      </c>
      <c r="E547" s="85" t="str">
        <f t="shared" si="2"/>
        <v/>
      </c>
      <c r="F547" s="85"/>
      <c r="G547" s="83"/>
      <c r="H547" s="86"/>
      <c r="I547" s="86"/>
      <c r="J547" s="86"/>
      <c r="K547" s="62"/>
      <c r="L547" s="86"/>
      <c r="M547" s="86"/>
      <c r="N547" s="86"/>
      <c r="O547" s="86"/>
      <c r="P547" s="86"/>
      <c r="Q547" s="86"/>
      <c r="R547" s="86"/>
      <c r="S547" s="86"/>
      <c r="T547" s="86"/>
      <c r="U547" s="86"/>
      <c r="V547" s="86"/>
      <c r="W547" s="86"/>
      <c r="X547" s="86"/>
      <c r="Y547" s="86"/>
      <c r="Z547" s="86"/>
      <c r="AA547" s="86"/>
    </row>
    <row r="548" spans="1:27" ht="14.25" customHeight="1" x14ac:dyDescent="0.35">
      <c r="A548" s="76" t="str">
        <f t="array" ref="A548:A563">'Regioturnier 2'!$J$3:$J$18</f>
        <v>Rafael Burian</v>
      </c>
      <c r="B548" s="77" t="str">
        <f t="array" ref="B548:B579">'NÖBV 1'!$F$3:$F$34</f>
        <v>Elias Reisinger</v>
      </c>
      <c r="C548" s="76"/>
      <c r="D548" s="78">
        <f>IF(C548=0,0,_xlfn.IFNA(IF( MATCH(C548,Rangliste!B:B,0)&gt;0,0,1),1))</f>
        <v>0</v>
      </c>
      <c r="E548" s="85" t="str">
        <f t="shared" si="2"/>
        <v/>
      </c>
      <c r="F548" s="85"/>
      <c r="G548" s="83"/>
      <c r="H548" s="86"/>
      <c r="I548" s="86"/>
      <c r="J548" s="86"/>
      <c r="K548" s="62"/>
      <c r="L548" s="86"/>
      <c r="M548" s="86"/>
      <c r="N548" s="86"/>
      <c r="O548" s="86"/>
      <c r="P548" s="86"/>
      <c r="Q548" s="86"/>
      <c r="R548" s="86"/>
      <c r="S548" s="86"/>
      <c r="T548" s="86"/>
      <c r="U548" s="86"/>
      <c r="V548" s="86"/>
      <c r="W548" s="86"/>
      <c r="X548" s="86"/>
      <c r="Y548" s="86"/>
      <c r="Z548" s="86"/>
      <c r="AA548" s="86"/>
    </row>
    <row r="549" spans="1:27" ht="14.25" customHeight="1" x14ac:dyDescent="0.35">
      <c r="A549" s="76" t="str">
        <v>Frederik Braun</v>
      </c>
      <c r="B549" s="77" t="str">
        <v>Anja Reisinger</v>
      </c>
      <c r="C549" s="76"/>
      <c r="D549" s="78">
        <f>IF(C549=0,0,_xlfn.IFNA(IF( MATCH(C549,Rangliste!B:B,0)&gt;0,0,1),1))</f>
        <v>0</v>
      </c>
      <c r="E549" s="85" t="str">
        <f t="shared" si="2"/>
        <v/>
      </c>
      <c r="F549" s="85"/>
      <c r="G549" s="83"/>
      <c r="H549" s="86"/>
      <c r="I549" s="86"/>
      <c r="J549" s="86"/>
      <c r="K549" s="62"/>
      <c r="L549" s="86"/>
      <c r="M549" s="86"/>
      <c r="N549" s="86"/>
      <c r="O549" s="86"/>
      <c r="P549" s="86"/>
      <c r="Q549" s="86"/>
      <c r="R549" s="86"/>
      <c r="S549" s="86"/>
      <c r="T549" s="86"/>
      <c r="U549" s="86"/>
      <c r="V549" s="86"/>
      <c r="W549" s="86"/>
      <c r="X549" s="86"/>
      <c r="Y549" s="86"/>
      <c r="Z549" s="86"/>
      <c r="AA549" s="86"/>
    </row>
    <row r="550" spans="1:27" ht="14.25" customHeight="1" x14ac:dyDescent="0.35">
      <c r="A550" s="76" t="str">
        <v>Haorui Qu</v>
      </c>
      <c r="B550" s="77" t="str">
        <v>Johanna Floßmann</v>
      </c>
      <c r="C550" s="76"/>
      <c r="D550" s="78">
        <f>IF(C550=0,0,_xlfn.IFNA(IF( MATCH(C550,Rangliste!B:B,0)&gt;0,0,1),1))</f>
        <v>0</v>
      </c>
      <c r="E550" s="85" t="str">
        <f t="shared" si="2"/>
        <v/>
      </c>
      <c r="F550" s="85"/>
      <c r="G550" s="83"/>
      <c r="H550" s="86"/>
      <c r="I550" s="86"/>
      <c r="J550" s="86"/>
      <c r="K550" s="62"/>
      <c r="L550" s="86"/>
      <c r="M550" s="86"/>
      <c r="N550" s="86"/>
      <c r="O550" s="86"/>
      <c r="P550" s="86"/>
      <c r="Q550" s="86"/>
      <c r="R550" s="86"/>
      <c r="S550" s="86"/>
      <c r="T550" s="86"/>
      <c r="U550" s="86"/>
      <c r="V550" s="86"/>
      <c r="W550" s="86"/>
      <c r="X550" s="86"/>
      <c r="Y550" s="86"/>
      <c r="Z550" s="86"/>
      <c r="AA550" s="86"/>
    </row>
    <row r="551" spans="1:27" ht="14.25" customHeight="1" x14ac:dyDescent="0.35">
      <c r="A551" s="76" t="str">
        <v>Dario Kasser</v>
      </c>
      <c r="B551" s="77" t="str">
        <v>Joachim Zeilerbauer</v>
      </c>
      <c r="C551" s="76"/>
      <c r="D551" s="78">
        <f>IF(C551=0,0,_xlfn.IFNA(IF( MATCH(C551,Rangliste!B:B,0)&gt;0,0,1),1))</f>
        <v>0</v>
      </c>
      <c r="E551" s="85" t="str">
        <f t="shared" si="2"/>
        <v/>
      </c>
      <c r="F551" s="85"/>
      <c r="G551" s="83"/>
      <c r="H551" s="86"/>
      <c r="I551" s="86"/>
      <c r="J551" s="86"/>
      <c r="K551" s="62"/>
      <c r="L551" s="86"/>
      <c r="M551" s="86"/>
      <c r="N551" s="86"/>
      <c r="O551" s="86"/>
      <c r="P551" s="86"/>
      <c r="Q551" s="86"/>
      <c r="R551" s="86"/>
      <c r="S551" s="86"/>
      <c r="T551" s="86"/>
      <c r="U551" s="86"/>
      <c r="V551" s="86"/>
      <c r="W551" s="86"/>
      <c r="X551" s="86"/>
      <c r="Y551" s="86"/>
      <c r="Z551" s="86"/>
      <c r="AA551" s="86"/>
    </row>
    <row r="552" spans="1:27" ht="14.25" customHeight="1" x14ac:dyDescent="0.35">
      <c r="A552" s="76" t="str">
        <v>Louis Mayer</v>
      </c>
      <c r="B552" s="77" t="str">
        <v>Aleksandar Zaharieski</v>
      </c>
      <c r="C552" s="76"/>
      <c r="D552" s="78">
        <f>IF(C552=0,0,_xlfn.IFNA(IF( MATCH(C552,Rangliste!B:B,0)&gt;0,0,1),1))</f>
        <v>0</v>
      </c>
      <c r="E552" s="85" t="str">
        <f t="shared" si="2"/>
        <v/>
      </c>
      <c r="F552" s="85"/>
      <c r="G552" s="83"/>
      <c r="H552" s="86"/>
      <c r="I552" s="86"/>
      <c r="J552" s="86"/>
      <c r="K552" s="62"/>
      <c r="L552" s="86"/>
      <c r="M552" s="86"/>
      <c r="N552" s="86"/>
      <c r="O552" s="86"/>
      <c r="P552" s="86"/>
      <c r="Q552" s="86"/>
      <c r="R552" s="86"/>
      <c r="S552" s="86"/>
      <c r="T552" s="86"/>
      <c r="U552" s="86"/>
      <c r="V552" s="86"/>
      <c r="W552" s="86"/>
      <c r="X552" s="86"/>
      <c r="Y552" s="86"/>
      <c r="Z552" s="86"/>
      <c r="AA552" s="86"/>
    </row>
    <row r="553" spans="1:27" ht="14.25" customHeight="1" x14ac:dyDescent="0.35">
      <c r="A553" s="76" t="str">
        <v>Alvin Huang</v>
      </c>
      <c r="B553" s="77" t="str">
        <v>Felix Sztatecsny</v>
      </c>
      <c r="C553" s="76"/>
      <c r="D553" s="78">
        <f>IF(C553=0,0,_xlfn.IFNA(IF( MATCH(C553,Rangliste!B:B,0)&gt;0,0,1),1))</f>
        <v>0</v>
      </c>
      <c r="E553" s="85" t="str">
        <f t="shared" si="2"/>
        <v/>
      </c>
      <c r="F553" s="85"/>
      <c r="G553" s="83"/>
      <c r="H553" s="86"/>
      <c r="I553" s="86"/>
      <c r="J553" s="86"/>
      <c r="K553" s="62"/>
      <c r="L553" s="86"/>
      <c r="M553" s="86"/>
      <c r="N553" s="86"/>
      <c r="O553" s="86"/>
      <c r="P553" s="86"/>
      <c r="Q553" s="86"/>
      <c r="R553" s="86"/>
      <c r="S553" s="86"/>
      <c r="T553" s="86"/>
      <c r="U553" s="86"/>
      <c r="V553" s="86"/>
      <c r="W553" s="86"/>
      <c r="X553" s="86"/>
      <c r="Y553" s="86"/>
      <c r="Z553" s="86"/>
      <c r="AA553" s="86"/>
    </row>
    <row r="554" spans="1:27" ht="14.25" customHeight="1" x14ac:dyDescent="0.35">
      <c r="A554" s="76">
        <v>0</v>
      </c>
      <c r="B554" s="77" t="str">
        <v>Tim Jeitler</v>
      </c>
      <c r="C554" s="76"/>
      <c r="D554" s="78">
        <f>IF(C554=0,0,_xlfn.IFNA(IF( MATCH(C554,Rangliste!B:B,0)&gt;0,0,1),1))</f>
        <v>0</v>
      </c>
      <c r="E554" s="85" t="str">
        <f t="shared" si="2"/>
        <v/>
      </c>
      <c r="F554" s="85"/>
      <c r="G554" s="83"/>
      <c r="H554" s="86"/>
      <c r="I554" s="86"/>
      <c r="J554" s="86"/>
      <c r="K554" s="62"/>
      <c r="L554" s="86"/>
      <c r="M554" s="86"/>
      <c r="N554" s="86"/>
      <c r="O554" s="86"/>
      <c r="P554" s="86"/>
      <c r="Q554" s="86"/>
      <c r="R554" s="86"/>
      <c r="S554" s="86"/>
      <c r="T554" s="86"/>
      <c r="U554" s="86"/>
      <c r="V554" s="86"/>
      <c r="W554" s="86"/>
      <c r="X554" s="86"/>
      <c r="Y554" s="86"/>
      <c r="Z554" s="86"/>
      <c r="AA554" s="86"/>
    </row>
    <row r="555" spans="1:27" ht="14.25" customHeight="1" x14ac:dyDescent="0.35">
      <c r="A555" s="76">
        <v>0</v>
      </c>
      <c r="B555" s="77">
        <v>0</v>
      </c>
      <c r="C555" s="76"/>
      <c r="D555" s="78">
        <f>IF(C555=0,0,_xlfn.IFNA(IF( MATCH(C555,Rangliste!B:B,0)&gt;0,0,1),1))</f>
        <v>0</v>
      </c>
      <c r="E555" s="85" t="str">
        <f t="shared" si="2"/>
        <v/>
      </c>
      <c r="F555" s="85"/>
      <c r="G555" s="83"/>
      <c r="H555" s="86"/>
      <c r="I555" s="86"/>
      <c r="J555" s="86"/>
      <c r="K555" s="62"/>
      <c r="L555" s="86"/>
      <c r="M555" s="86"/>
      <c r="N555" s="86"/>
      <c r="O555" s="86"/>
      <c r="P555" s="86"/>
      <c r="Q555" s="86"/>
      <c r="R555" s="86"/>
      <c r="S555" s="86"/>
      <c r="T555" s="86"/>
      <c r="U555" s="86"/>
      <c r="V555" s="86"/>
      <c r="W555" s="86"/>
      <c r="X555" s="86"/>
      <c r="Y555" s="86"/>
      <c r="Z555" s="86"/>
      <c r="AA555" s="86"/>
    </row>
    <row r="556" spans="1:27" ht="14.25" customHeight="1" x14ac:dyDescent="0.35">
      <c r="A556" s="76">
        <v>0</v>
      </c>
      <c r="B556" s="77">
        <v>0</v>
      </c>
      <c r="C556" s="76"/>
      <c r="D556" s="78">
        <f>IF(C556=0,0,_xlfn.IFNA(IF( MATCH(C556,Rangliste!B:B,0)&gt;0,0,1),1))</f>
        <v>0</v>
      </c>
      <c r="E556" s="85" t="str">
        <f t="shared" si="2"/>
        <v/>
      </c>
      <c r="F556" s="85"/>
      <c r="G556" s="83"/>
      <c r="H556" s="86"/>
      <c r="I556" s="86"/>
      <c r="J556" s="86"/>
      <c r="K556" s="62"/>
      <c r="L556" s="86"/>
      <c r="M556" s="86"/>
      <c r="N556" s="86"/>
      <c r="O556" s="86"/>
      <c r="P556" s="86"/>
      <c r="Q556" s="86"/>
      <c r="R556" s="86"/>
      <c r="S556" s="86"/>
      <c r="T556" s="86"/>
      <c r="U556" s="86"/>
      <c r="V556" s="86"/>
      <c r="W556" s="86"/>
      <c r="X556" s="86"/>
      <c r="Y556" s="86"/>
      <c r="Z556" s="86"/>
      <c r="AA556" s="86"/>
    </row>
    <row r="557" spans="1:27" ht="14.25" customHeight="1" x14ac:dyDescent="0.35">
      <c r="A557" s="76">
        <v>0</v>
      </c>
      <c r="B557" s="77">
        <v>0</v>
      </c>
      <c r="C557" s="76"/>
      <c r="D557" s="78">
        <f>IF(C557=0,0,_xlfn.IFNA(IF( MATCH(C557,Rangliste!B:B,0)&gt;0,0,1),1))</f>
        <v>0</v>
      </c>
      <c r="E557" s="85" t="str">
        <f t="shared" si="2"/>
        <v/>
      </c>
      <c r="F557" s="85"/>
      <c r="G557" s="83"/>
      <c r="H557" s="86"/>
      <c r="I557" s="86"/>
      <c r="J557" s="86"/>
      <c r="K557" s="62"/>
      <c r="L557" s="86"/>
      <c r="M557" s="86"/>
      <c r="N557" s="86"/>
      <c r="O557" s="86"/>
      <c r="P557" s="86"/>
      <c r="Q557" s="86"/>
      <c r="R557" s="86"/>
      <c r="S557" s="86"/>
      <c r="T557" s="86"/>
      <c r="U557" s="86"/>
      <c r="V557" s="86"/>
      <c r="W557" s="86"/>
      <c r="X557" s="86"/>
      <c r="Y557" s="86"/>
      <c r="Z557" s="86"/>
      <c r="AA557" s="86"/>
    </row>
    <row r="558" spans="1:27" ht="14.25" customHeight="1" x14ac:dyDescent="0.35">
      <c r="A558" s="76">
        <v>0</v>
      </c>
      <c r="B558" s="77">
        <v>0</v>
      </c>
      <c r="C558" s="76"/>
      <c r="D558" s="78">
        <f>IF(C558=0,0,_xlfn.IFNA(IF( MATCH(C558,Rangliste!B:B,0)&gt;0,0,1),1))</f>
        <v>0</v>
      </c>
      <c r="E558" s="85" t="str">
        <f t="shared" si="2"/>
        <v/>
      </c>
      <c r="F558" s="85"/>
      <c r="G558" s="83"/>
      <c r="H558" s="86"/>
      <c r="I558" s="86"/>
      <c r="J558" s="86"/>
      <c r="K558" s="62"/>
      <c r="L558" s="86"/>
      <c r="M558" s="86"/>
      <c r="N558" s="86"/>
      <c r="O558" s="86"/>
      <c r="P558" s="86"/>
      <c r="Q558" s="86"/>
      <c r="R558" s="86"/>
      <c r="S558" s="86"/>
      <c r="T558" s="86"/>
      <c r="U558" s="86"/>
      <c r="V558" s="86"/>
      <c r="W558" s="86"/>
      <c r="X558" s="86"/>
      <c r="Y558" s="86"/>
      <c r="Z558" s="86"/>
      <c r="AA558" s="86"/>
    </row>
    <row r="559" spans="1:27" ht="14.25" customHeight="1" x14ac:dyDescent="0.35">
      <c r="A559" s="76">
        <v>0</v>
      </c>
      <c r="B559" s="77">
        <v>0</v>
      </c>
      <c r="C559" s="76"/>
      <c r="D559" s="78">
        <f>IF(C559=0,0,_xlfn.IFNA(IF( MATCH(C559,Rangliste!B:B,0)&gt;0,0,1),1))</f>
        <v>0</v>
      </c>
      <c r="E559" s="85" t="str">
        <f t="shared" si="2"/>
        <v/>
      </c>
      <c r="F559" s="85"/>
      <c r="G559" s="83"/>
      <c r="H559" s="86"/>
      <c r="I559" s="86"/>
      <c r="J559" s="86"/>
      <c r="K559" s="62"/>
      <c r="L559" s="86"/>
      <c r="M559" s="86"/>
      <c r="N559" s="86"/>
      <c r="O559" s="86"/>
      <c r="P559" s="86"/>
      <c r="Q559" s="86"/>
      <c r="R559" s="86"/>
      <c r="S559" s="86"/>
      <c r="T559" s="86"/>
      <c r="U559" s="86"/>
      <c r="V559" s="86"/>
      <c r="W559" s="86"/>
      <c r="X559" s="86"/>
      <c r="Y559" s="86"/>
      <c r="Z559" s="86"/>
      <c r="AA559" s="86"/>
    </row>
    <row r="560" spans="1:27" ht="14.25" customHeight="1" x14ac:dyDescent="0.35">
      <c r="A560" s="76">
        <v>0</v>
      </c>
      <c r="B560" s="77">
        <v>0</v>
      </c>
      <c r="C560" s="76"/>
      <c r="D560" s="78">
        <f>IF(C560=0,0,_xlfn.IFNA(IF( MATCH(C560,Rangliste!B:B,0)&gt;0,0,1),1))</f>
        <v>0</v>
      </c>
      <c r="E560" s="85" t="str">
        <f t="shared" si="2"/>
        <v/>
      </c>
      <c r="F560" s="85"/>
      <c r="G560" s="83"/>
      <c r="H560" s="86"/>
      <c r="I560" s="86"/>
      <c r="J560" s="86"/>
      <c r="K560" s="62"/>
      <c r="L560" s="86"/>
      <c r="M560" s="86"/>
      <c r="N560" s="86"/>
      <c r="O560" s="86"/>
      <c r="P560" s="86"/>
      <c r="Q560" s="86"/>
      <c r="R560" s="86"/>
      <c r="S560" s="86"/>
      <c r="T560" s="86"/>
      <c r="U560" s="86"/>
      <c r="V560" s="86"/>
      <c r="W560" s="86"/>
      <c r="X560" s="86"/>
      <c r="Y560" s="86"/>
      <c r="Z560" s="86"/>
      <c r="AA560" s="86"/>
    </row>
    <row r="561" spans="1:27" ht="14.25" customHeight="1" x14ac:dyDescent="0.35">
      <c r="A561" s="76">
        <v>0</v>
      </c>
      <c r="B561" s="77">
        <v>0</v>
      </c>
      <c r="C561" s="76"/>
      <c r="D561" s="78">
        <f>IF(C561=0,0,_xlfn.IFNA(IF( MATCH(C561,Rangliste!B:B,0)&gt;0,0,1),1))</f>
        <v>0</v>
      </c>
      <c r="E561" s="85" t="str">
        <f t="shared" si="2"/>
        <v/>
      </c>
      <c r="F561" s="85"/>
      <c r="G561" s="83"/>
      <c r="H561" s="86"/>
      <c r="I561" s="86"/>
      <c r="J561" s="86"/>
      <c r="K561" s="62"/>
      <c r="L561" s="86"/>
      <c r="M561" s="86"/>
      <c r="N561" s="86"/>
      <c r="O561" s="86"/>
      <c r="P561" s="86"/>
      <c r="Q561" s="86"/>
      <c r="R561" s="86"/>
      <c r="S561" s="86"/>
      <c r="T561" s="86"/>
      <c r="U561" s="86"/>
      <c r="V561" s="86"/>
      <c r="W561" s="86"/>
      <c r="X561" s="86"/>
      <c r="Y561" s="86"/>
      <c r="Z561" s="86"/>
      <c r="AA561" s="86"/>
    </row>
    <row r="562" spans="1:27" ht="14.25" customHeight="1" x14ac:dyDescent="0.35">
      <c r="A562" s="76">
        <v>0</v>
      </c>
      <c r="B562" s="77">
        <v>0</v>
      </c>
      <c r="C562" s="76"/>
      <c r="D562" s="78">
        <f>IF(C562=0,0,_xlfn.IFNA(IF( MATCH(C562,Rangliste!B:B,0)&gt;0,0,1),1))</f>
        <v>0</v>
      </c>
      <c r="E562" s="85" t="str">
        <f t="shared" si="2"/>
        <v/>
      </c>
      <c r="F562" s="85"/>
      <c r="G562" s="83"/>
      <c r="H562" s="86"/>
      <c r="I562" s="86"/>
      <c r="J562" s="86"/>
      <c r="K562" s="62"/>
      <c r="L562" s="86"/>
      <c r="M562" s="86"/>
      <c r="N562" s="86"/>
      <c r="O562" s="86"/>
      <c r="P562" s="86"/>
      <c r="Q562" s="86"/>
      <c r="R562" s="86"/>
      <c r="S562" s="86"/>
      <c r="T562" s="86"/>
      <c r="U562" s="86"/>
      <c r="V562" s="86"/>
      <c r="W562" s="86"/>
      <c r="X562" s="86"/>
      <c r="Y562" s="86"/>
      <c r="Z562" s="86"/>
      <c r="AA562" s="86"/>
    </row>
    <row r="563" spans="1:27" ht="14.25" customHeight="1" x14ac:dyDescent="0.35">
      <c r="A563" s="76">
        <v>0</v>
      </c>
      <c r="B563" s="77">
        <v>0</v>
      </c>
      <c r="C563" s="76"/>
      <c r="D563" s="78">
        <f>IF(C563=0,0,_xlfn.IFNA(IF( MATCH(C563,Rangliste!B:B,0)&gt;0,0,1),1))</f>
        <v>0</v>
      </c>
      <c r="E563" s="85" t="str">
        <f t="shared" si="2"/>
        <v/>
      </c>
      <c r="F563" s="85"/>
      <c r="G563" s="83"/>
      <c r="H563" s="86"/>
      <c r="I563" s="86"/>
      <c r="J563" s="86"/>
      <c r="K563" s="62"/>
      <c r="L563" s="86"/>
      <c r="M563" s="86"/>
      <c r="N563" s="86"/>
      <c r="O563" s="86"/>
      <c r="P563" s="86"/>
      <c r="Q563" s="86"/>
      <c r="R563" s="86"/>
      <c r="S563" s="86"/>
      <c r="T563" s="86"/>
      <c r="U563" s="86"/>
      <c r="V563" s="86"/>
      <c r="W563" s="86"/>
      <c r="X563" s="86"/>
      <c r="Y563" s="86"/>
      <c r="Z563" s="86"/>
      <c r="AA563" s="86"/>
    </row>
    <row r="564" spans="1:27" ht="14.25" customHeight="1" x14ac:dyDescent="0.35">
      <c r="A564" s="76">
        <f t="array" ref="A564:A579">'Regioturnier 2'!$N$3:$N$18</f>
        <v>0</v>
      </c>
      <c r="B564" s="77">
        <v>0</v>
      </c>
      <c r="C564" s="76"/>
      <c r="D564" s="78">
        <f>IF(C564=0,0,_xlfn.IFNA(IF( MATCH(C564,Rangliste!B:B,0)&gt;0,0,1),1))</f>
        <v>0</v>
      </c>
      <c r="E564" s="85" t="str">
        <f t="shared" si="2"/>
        <v/>
      </c>
      <c r="F564" s="85"/>
      <c r="G564" s="83"/>
      <c r="H564" s="86"/>
      <c r="I564" s="86"/>
      <c r="J564" s="86"/>
      <c r="K564" s="62"/>
      <c r="L564" s="86"/>
      <c r="M564" s="86"/>
      <c r="N564" s="86"/>
      <c r="O564" s="86"/>
      <c r="P564" s="86"/>
      <c r="Q564" s="86"/>
      <c r="R564" s="86"/>
      <c r="S564" s="86"/>
      <c r="T564" s="86"/>
      <c r="U564" s="86"/>
      <c r="V564" s="86"/>
      <c r="W564" s="86"/>
      <c r="X564" s="86"/>
      <c r="Y564" s="86"/>
      <c r="Z564" s="86"/>
      <c r="AA564" s="86"/>
    </row>
    <row r="565" spans="1:27" ht="14.25" customHeight="1" x14ac:dyDescent="0.35">
      <c r="A565" s="76">
        <v>0</v>
      </c>
      <c r="B565" s="77">
        <v>0</v>
      </c>
      <c r="C565" s="76"/>
      <c r="D565" s="78">
        <f>IF(C565=0,0,_xlfn.IFNA(IF( MATCH(C565,Rangliste!B:B,0)&gt;0,0,1),1))</f>
        <v>0</v>
      </c>
      <c r="E565" s="85" t="str">
        <f t="shared" si="2"/>
        <v/>
      </c>
      <c r="F565" s="85"/>
      <c r="G565" s="83"/>
      <c r="H565" s="86"/>
      <c r="I565" s="86"/>
      <c r="J565" s="86"/>
      <c r="K565" s="62"/>
      <c r="L565" s="86"/>
      <c r="M565" s="86"/>
      <c r="N565" s="86"/>
      <c r="O565" s="86"/>
      <c r="P565" s="86"/>
      <c r="Q565" s="86"/>
      <c r="R565" s="86"/>
      <c r="S565" s="86"/>
      <c r="T565" s="86"/>
      <c r="U565" s="86"/>
      <c r="V565" s="86"/>
      <c r="W565" s="86"/>
      <c r="X565" s="86"/>
      <c r="Y565" s="86"/>
      <c r="Z565" s="86"/>
      <c r="AA565" s="86"/>
    </row>
    <row r="566" spans="1:27" ht="14.25" customHeight="1" x14ac:dyDescent="0.35">
      <c r="A566" s="76">
        <v>0</v>
      </c>
      <c r="B566" s="77">
        <v>0</v>
      </c>
      <c r="C566" s="76"/>
      <c r="D566" s="78">
        <f>IF(C566=0,0,_xlfn.IFNA(IF( MATCH(C566,Rangliste!B:B,0)&gt;0,0,1),1))</f>
        <v>0</v>
      </c>
      <c r="E566" s="85" t="str">
        <f t="shared" si="2"/>
        <v/>
      </c>
      <c r="F566" s="85"/>
      <c r="G566" s="83"/>
      <c r="H566" s="86"/>
      <c r="I566" s="86"/>
      <c r="J566" s="86"/>
      <c r="K566" s="62"/>
      <c r="L566" s="86"/>
      <c r="M566" s="86"/>
      <c r="N566" s="86"/>
      <c r="O566" s="86"/>
      <c r="P566" s="86"/>
      <c r="Q566" s="86"/>
      <c r="R566" s="86"/>
      <c r="S566" s="86"/>
      <c r="T566" s="86"/>
      <c r="U566" s="86"/>
      <c r="V566" s="86"/>
      <c r="W566" s="86"/>
      <c r="X566" s="86"/>
      <c r="Y566" s="86"/>
      <c r="Z566" s="86"/>
      <c r="AA566" s="86"/>
    </row>
    <row r="567" spans="1:27" ht="14.25" customHeight="1" x14ac:dyDescent="0.35">
      <c r="A567" s="76">
        <v>0</v>
      </c>
      <c r="B567" s="77">
        <v>0</v>
      </c>
      <c r="C567" s="76"/>
      <c r="D567" s="78">
        <f>IF(C567=0,0,_xlfn.IFNA(IF( MATCH(C567,Rangliste!B:B,0)&gt;0,0,1),1))</f>
        <v>0</v>
      </c>
      <c r="E567" s="85" t="str">
        <f t="shared" si="2"/>
        <v/>
      </c>
      <c r="F567" s="85"/>
      <c r="G567" s="83"/>
      <c r="H567" s="86"/>
      <c r="I567" s="86"/>
      <c r="J567" s="86"/>
      <c r="K567" s="62"/>
      <c r="L567" s="86"/>
      <c r="M567" s="86"/>
      <c r="N567" s="86"/>
      <c r="O567" s="86"/>
      <c r="P567" s="86"/>
      <c r="Q567" s="86"/>
      <c r="R567" s="86"/>
      <c r="S567" s="86"/>
      <c r="T567" s="86"/>
      <c r="U567" s="86"/>
      <c r="V567" s="86"/>
      <c r="W567" s="86"/>
      <c r="X567" s="86"/>
      <c r="Y567" s="86"/>
      <c r="Z567" s="86"/>
      <c r="AA567" s="86"/>
    </row>
    <row r="568" spans="1:27" ht="14.25" customHeight="1" x14ac:dyDescent="0.35">
      <c r="A568" s="76">
        <v>0</v>
      </c>
      <c r="B568" s="77">
        <v>0</v>
      </c>
      <c r="C568" s="76"/>
      <c r="D568" s="78">
        <f>IF(C568=0,0,_xlfn.IFNA(IF( MATCH(C568,Rangliste!B:B,0)&gt;0,0,1),1))</f>
        <v>0</v>
      </c>
      <c r="E568" s="85" t="str">
        <f t="shared" si="2"/>
        <v/>
      </c>
      <c r="F568" s="85"/>
      <c r="G568" s="83"/>
      <c r="H568" s="86"/>
      <c r="I568" s="86"/>
      <c r="J568" s="86"/>
      <c r="K568" s="62"/>
      <c r="L568" s="86"/>
      <c r="M568" s="86"/>
      <c r="N568" s="86"/>
      <c r="O568" s="86"/>
      <c r="P568" s="86"/>
      <c r="Q568" s="86"/>
      <c r="R568" s="86"/>
      <c r="S568" s="86"/>
      <c r="T568" s="86"/>
      <c r="U568" s="86"/>
      <c r="V568" s="86"/>
      <c r="W568" s="86"/>
      <c r="X568" s="86"/>
      <c r="Y568" s="86"/>
      <c r="Z568" s="86"/>
      <c r="AA568" s="86"/>
    </row>
    <row r="569" spans="1:27" ht="14.25" customHeight="1" x14ac:dyDescent="0.35">
      <c r="A569" s="76">
        <v>0</v>
      </c>
      <c r="B569" s="77">
        <v>0</v>
      </c>
      <c r="C569" s="76"/>
      <c r="D569" s="78">
        <f>IF(C569=0,0,_xlfn.IFNA(IF( MATCH(C569,Rangliste!B:B,0)&gt;0,0,1),1))</f>
        <v>0</v>
      </c>
      <c r="E569" s="85" t="str">
        <f t="shared" si="2"/>
        <v/>
      </c>
      <c r="F569" s="85"/>
      <c r="G569" s="83"/>
      <c r="H569" s="86"/>
      <c r="I569" s="86"/>
      <c r="J569" s="86"/>
      <c r="K569" s="62"/>
      <c r="L569" s="86"/>
      <c r="M569" s="86"/>
      <c r="N569" s="86"/>
      <c r="O569" s="86"/>
      <c r="P569" s="86"/>
      <c r="Q569" s="86"/>
      <c r="R569" s="86"/>
      <c r="S569" s="86"/>
      <c r="T569" s="86"/>
      <c r="U569" s="86"/>
      <c r="V569" s="86"/>
      <c r="W569" s="86"/>
      <c r="X569" s="86"/>
      <c r="Y569" s="86"/>
      <c r="Z569" s="86"/>
      <c r="AA569" s="86"/>
    </row>
    <row r="570" spans="1:27" ht="14.25" customHeight="1" x14ac:dyDescent="0.35">
      <c r="A570" s="76">
        <v>0</v>
      </c>
      <c r="B570" s="77">
        <v>0</v>
      </c>
      <c r="C570" s="76"/>
      <c r="D570" s="78">
        <f>IF(C570=0,0,_xlfn.IFNA(IF( MATCH(C570,Rangliste!B:B,0)&gt;0,0,1),1))</f>
        <v>0</v>
      </c>
      <c r="E570" s="85" t="str">
        <f t="shared" si="2"/>
        <v/>
      </c>
      <c r="F570" s="85"/>
      <c r="G570" s="83"/>
      <c r="H570" s="86"/>
      <c r="I570" s="86"/>
      <c r="J570" s="86"/>
      <c r="K570" s="62"/>
      <c r="L570" s="86"/>
      <c r="M570" s="86"/>
      <c r="N570" s="86"/>
      <c r="O570" s="86"/>
      <c r="P570" s="86"/>
      <c r="Q570" s="86"/>
      <c r="R570" s="86"/>
      <c r="S570" s="86"/>
      <c r="T570" s="86"/>
      <c r="U570" s="86"/>
      <c r="V570" s="86"/>
      <c r="W570" s="86"/>
      <c r="X570" s="86"/>
      <c r="Y570" s="86"/>
      <c r="Z570" s="86"/>
      <c r="AA570" s="86"/>
    </row>
    <row r="571" spans="1:27" ht="14.25" customHeight="1" x14ac:dyDescent="0.35">
      <c r="A571" s="76">
        <v>0</v>
      </c>
      <c r="B571" s="77">
        <v>0</v>
      </c>
      <c r="C571" s="76"/>
      <c r="D571" s="78">
        <f>IF(C571=0,0,_xlfn.IFNA(IF( MATCH(C571,Rangliste!B:B,0)&gt;0,0,1),1))</f>
        <v>0</v>
      </c>
      <c r="E571" s="85" t="str">
        <f t="shared" si="2"/>
        <v/>
      </c>
      <c r="F571" s="85"/>
      <c r="G571" s="83"/>
      <c r="H571" s="86"/>
      <c r="I571" s="86"/>
      <c r="J571" s="86"/>
      <c r="K571" s="62"/>
      <c r="L571" s="86"/>
      <c r="M571" s="86"/>
      <c r="N571" s="86"/>
      <c r="O571" s="86"/>
      <c r="P571" s="86"/>
      <c r="Q571" s="86"/>
      <c r="R571" s="86"/>
      <c r="S571" s="86"/>
      <c r="T571" s="86"/>
      <c r="U571" s="86"/>
      <c r="V571" s="86"/>
      <c r="W571" s="86"/>
      <c r="X571" s="86"/>
      <c r="Y571" s="86"/>
      <c r="Z571" s="86"/>
      <c r="AA571" s="86"/>
    </row>
    <row r="572" spans="1:27" ht="14.25" customHeight="1" x14ac:dyDescent="0.35">
      <c r="A572" s="76">
        <v>0</v>
      </c>
      <c r="B572" s="77">
        <v>0</v>
      </c>
      <c r="C572" s="76"/>
      <c r="D572" s="78">
        <f>IF(C572=0,0,_xlfn.IFNA(IF( MATCH(C572,Rangliste!B:B,0)&gt;0,0,1),1))</f>
        <v>0</v>
      </c>
      <c r="E572" s="85" t="str">
        <f t="shared" si="2"/>
        <v/>
      </c>
      <c r="F572" s="85"/>
      <c r="G572" s="83"/>
      <c r="H572" s="86"/>
      <c r="I572" s="86"/>
      <c r="J572" s="86"/>
      <c r="K572" s="62"/>
      <c r="L572" s="86"/>
      <c r="M572" s="86"/>
      <c r="N572" s="86"/>
      <c r="O572" s="86"/>
      <c r="P572" s="86"/>
      <c r="Q572" s="86"/>
      <c r="R572" s="86"/>
      <c r="S572" s="86"/>
      <c r="T572" s="86"/>
      <c r="U572" s="86"/>
      <c r="V572" s="86"/>
      <c r="W572" s="86"/>
      <c r="X572" s="86"/>
      <c r="Y572" s="86"/>
      <c r="Z572" s="86"/>
      <c r="AA572" s="86"/>
    </row>
    <row r="573" spans="1:27" ht="14.25" customHeight="1" x14ac:dyDescent="0.35">
      <c r="A573" s="76">
        <v>0</v>
      </c>
      <c r="B573" s="87">
        <v>0</v>
      </c>
      <c r="C573" s="76"/>
      <c r="D573" s="78">
        <f>IF(C573=0,0,_xlfn.IFNA(IF( MATCH(C573,Rangliste!B:B,0)&gt;0,0,1),1))</f>
        <v>0</v>
      </c>
      <c r="E573" s="85" t="str">
        <f t="shared" si="2"/>
        <v/>
      </c>
      <c r="F573" s="85"/>
      <c r="G573" s="83"/>
      <c r="H573" s="86"/>
      <c r="I573" s="86"/>
      <c r="J573" s="86"/>
      <c r="K573" s="62"/>
      <c r="L573" s="86"/>
      <c r="M573" s="86"/>
      <c r="N573" s="86"/>
      <c r="O573" s="86"/>
      <c r="P573" s="86"/>
      <c r="Q573" s="86"/>
      <c r="R573" s="86"/>
      <c r="S573" s="86"/>
      <c r="T573" s="86"/>
      <c r="U573" s="86"/>
      <c r="V573" s="86"/>
      <c r="W573" s="86"/>
      <c r="X573" s="86"/>
      <c r="Y573" s="86"/>
      <c r="Z573" s="86"/>
      <c r="AA573" s="86"/>
    </row>
    <row r="574" spans="1:27" ht="14.25" customHeight="1" x14ac:dyDescent="0.35">
      <c r="A574" s="76">
        <v>0</v>
      </c>
      <c r="B574" s="87">
        <v>0</v>
      </c>
      <c r="C574" s="76"/>
      <c r="D574" s="78">
        <f>IF(C574=0,0,_xlfn.IFNA(IF( MATCH(C574,Rangliste!B:B,0)&gt;0,0,1),1))</f>
        <v>0</v>
      </c>
      <c r="E574" s="85" t="str">
        <f t="shared" si="2"/>
        <v/>
      </c>
      <c r="F574" s="85"/>
      <c r="G574" s="83"/>
      <c r="H574" s="86"/>
      <c r="I574" s="86"/>
      <c r="J574" s="86"/>
      <c r="K574" s="62"/>
      <c r="L574" s="86"/>
      <c r="M574" s="86"/>
      <c r="N574" s="86"/>
      <c r="O574" s="86"/>
      <c r="P574" s="86"/>
      <c r="Q574" s="86"/>
      <c r="R574" s="86"/>
      <c r="S574" s="86"/>
      <c r="T574" s="86"/>
      <c r="U574" s="86"/>
      <c r="V574" s="86"/>
      <c r="W574" s="86"/>
      <c r="X574" s="86"/>
      <c r="Y574" s="86"/>
      <c r="Z574" s="86"/>
      <c r="AA574" s="86"/>
    </row>
    <row r="575" spans="1:27" ht="14.25" customHeight="1" x14ac:dyDescent="0.35">
      <c r="A575" s="76">
        <v>0</v>
      </c>
      <c r="B575" s="87">
        <v>0</v>
      </c>
      <c r="C575" s="76"/>
      <c r="D575" s="78">
        <f>IF(C575=0,0,_xlfn.IFNA(IF( MATCH(C575,Rangliste!B:B,0)&gt;0,0,1),1))</f>
        <v>0</v>
      </c>
      <c r="E575" s="85" t="str">
        <f t="shared" si="2"/>
        <v/>
      </c>
      <c r="F575" s="85"/>
      <c r="G575" s="83"/>
      <c r="H575" s="86"/>
      <c r="I575" s="86"/>
      <c r="J575" s="86"/>
      <c r="K575" s="62"/>
      <c r="L575" s="86"/>
      <c r="M575" s="86"/>
      <c r="N575" s="86"/>
      <c r="O575" s="86"/>
      <c r="P575" s="86"/>
      <c r="Q575" s="86"/>
      <c r="R575" s="86"/>
      <c r="S575" s="86"/>
      <c r="T575" s="86"/>
      <c r="U575" s="86"/>
      <c r="V575" s="86"/>
      <c r="W575" s="86"/>
      <c r="X575" s="86"/>
      <c r="Y575" s="86"/>
      <c r="Z575" s="86"/>
      <c r="AA575" s="86"/>
    </row>
    <row r="576" spans="1:27" ht="14.25" customHeight="1" x14ac:dyDescent="0.35">
      <c r="A576" s="76">
        <v>0</v>
      </c>
      <c r="B576" s="87">
        <v>0</v>
      </c>
      <c r="C576" s="76"/>
      <c r="D576" s="78">
        <f>IF(C576=0,0,_xlfn.IFNA(IF( MATCH(C576,Rangliste!B:B,0)&gt;0,0,1),1))</f>
        <v>0</v>
      </c>
      <c r="E576" s="85" t="str">
        <f t="shared" si="2"/>
        <v/>
      </c>
      <c r="F576" s="85"/>
      <c r="G576" s="83"/>
      <c r="H576" s="86"/>
      <c r="I576" s="86"/>
      <c r="J576" s="86"/>
      <c r="K576" s="62"/>
      <c r="L576" s="86"/>
      <c r="M576" s="86"/>
      <c r="N576" s="86"/>
      <c r="O576" s="86"/>
      <c r="P576" s="86"/>
      <c r="Q576" s="86"/>
      <c r="R576" s="86"/>
      <c r="S576" s="86"/>
      <c r="T576" s="86"/>
      <c r="U576" s="86"/>
      <c r="V576" s="86"/>
      <c r="W576" s="86"/>
      <c r="X576" s="86"/>
      <c r="Y576" s="86"/>
      <c r="Z576" s="86"/>
      <c r="AA576" s="86"/>
    </row>
    <row r="577" spans="1:27" ht="14.25" customHeight="1" x14ac:dyDescent="0.35">
      <c r="A577" s="76">
        <v>0</v>
      </c>
      <c r="B577" s="87">
        <v>0</v>
      </c>
      <c r="C577" s="76"/>
      <c r="D577" s="78">
        <f>IF(C577=0,0,_xlfn.IFNA(IF( MATCH(C577,Rangliste!B:B,0)&gt;0,0,1),1))</f>
        <v>0</v>
      </c>
      <c r="E577" s="85" t="str">
        <f t="shared" si="2"/>
        <v/>
      </c>
      <c r="F577" s="85"/>
      <c r="G577" s="83"/>
      <c r="H577" s="86"/>
      <c r="I577" s="86"/>
      <c r="J577" s="86"/>
      <c r="K577" s="62"/>
      <c r="L577" s="86"/>
      <c r="M577" s="86"/>
      <c r="N577" s="86"/>
      <c r="O577" s="86"/>
      <c r="P577" s="86"/>
      <c r="Q577" s="86"/>
      <c r="R577" s="86"/>
      <c r="S577" s="86"/>
      <c r="T577" s="86"/>
      <c r="U577" s="86"/>
      <c r="V577" s="86"/>
      <c r="W577" s="86"/>
      <c r="X577" s="86"/>
      <c r="Y577" s="86"/>
      <c r="Z577" s="86"/>
      <c r="AA577" s="86"/>
    </row>
    <row r="578" spans="1:27" ht="14.25" customHeight="1" x14ac:dyDescent="0.35">
      <c r="A578" s="76">
        <v>0</v>
      </c>
      <c r="B578" s="87">
        <v>0</v>
      </c>
      <c r="C578" s="76"/>
      <c r="D578" s="78">
        <f>IF(C578=0,0,_xlfn.IFNA(IF( MATCH(C578,Rangliste!B:B,0)&gt;0,0,1),1))</f>
        <v>0</v>
      </c>
      <c r="E578" s="85" t="str">
        <f t="shared" si="2"/>
        <v/>
      </c>
      <c r="F578" s="85"/>
      <c r="G578" s="83"/>
      <c r="H578" s="86"/>
      <c r="I578" s="86"/>
      <c r="J578" s="86"/>
      <c r="K578" s="62"/>
      <c r="L578" s="86"/>
      <c r="M578" s="86"/>
      <c r="N578" s="86"/>
      <c r="O578" s="86"/>
      <c r="P578" s="86"/>
      <c r="Q578" s="86"/>
      <c r="R578" s="86"/>
      <c r="S578" s="86"/>
      <c r="T578" s="86"/>
      <c r="U578" s="86"/>
      <c r="V578" s="86"/>
      <c r="W578" s="86"/>
      <c r="X578" s="86"/>
      <c r="Y578" s="86"/>
      <c r="Z578" s="86"/>
      <c r="AA578" s="86"/>
    </row>
    <row r="579" spans="1:27" ht="14.25" customHeight="1" x14ac:dyDescent="0.35">
      <c r="A579" s="76">
        <v>0</v>
      </c>
      <c r="B579" s="87">
        <v>0</v>
      </c>
      <c r="C579" s="76"/>
      <c r="D579" s="78">
        <f>IF(C579=0,0,_xlfn.IFNA(IF( MATCH(C579,Rangliste!B:B,0)&gt;0,0,1),1))</f>
        <v>0</v>
      </c>
      <c r="E579" s="85" t="str">
        <f t="shared" si="2"/>
        <v/>
      </c>
      <c r="F579" s="85"/>
      <c r="G579" s="83"/>
      <c r="H579" s="86"/>
      <c r="I579" s="86"/>
      <c r="J579" s="86"/>
      <c r="K579" s="62"/>
      <c r="L579" s="86"/>
      <c r="M579" s="86"/>
      <c r="N579" s="86"/>
      <c r="O579" s="86"/>
      <c r="P579" s="86"/>
      <c r="Q579" s="86"/>
      <c r="R579" s="86"/>
      <c r="S579" s="86"/>
      <c r="T579" s="86"/>
      <c r="U579" s="86"/>
      <c r="V579" s="86"/>
      <c r="W579" s="86"/>
      <c r="X579" s="86"/>
      <c r="Y579" s="86"/>
      <c r="Z579" s="86"/>
      <c r="AA579" s="86"/>
    </row>
    <row r="580" spans="1:27" ht="14.25" customHeight="1" x14ac:dyDescent="0.35">
      <c r="A580" s="76">
        <f t="array" ref="A580:A595">'Regioturnier 3'!$B$3:$B$18</f>
        <v>0</v>
      </c>
      <c r="B580" s="87" t="str">
        <f t="array" ref="B580:B611">'NÖBV 1'!$J$3:$J$34</f>
        <v>Felix Rädle</v>
      </c>
      <c r="C580" s="76"/>
      <c r="D580" s="78">
        <f>IF(C580=0,0,_xlfn.IFNA(IF( MATCH(C580,Rangliste!B:B,0)&gt;0,0,1),1))</f>
        <v>0</v>
      </c>
      <c r="E580" s="85" t="str">
        <f t="shared" si="2"/>
        <v/>
      </c>
      <c r="F580" s="85"/>
      <c r="G580" s="83"/>
      <c r="H580" s="86"/>
      <c r="I580" s="86"/>
      <c r="J580" s="86"/>
      <c r="K580" s="62"/>
      <c r="L580" s="86"/>
      <c r="M580" s="86"/>
      <c r="N580" s="86"/>
      <c r="O580" s="86"/>
      <c r="P580" s="86"/>
      <c r="Q580" s="86"/>
      <c r="R580" s="86"/>
      <c r="S580" s="86"/>
      <c r="T580" s="86"/>
      <c r="U580" s="86"/>
      <c r="V580" s="86"/>
      <c r="W580" s="86"/>
      <c r="X580" s="86"/>
      <c r="Y580" s="86"/>
      <c r="Z580" s="86"/>
      <c r="AA580" s="86"/>
    </row>
    <row r="581" spans="1:27" ht="14.25" customHeight="1" x14ac:dyDescent="0.35">
      <c r="A581" s="76">
        <v>0</v>
      </c>
      <c r="B581" s="87" t="str">
        <v>Josua Zeilerbauer</v>
      </c>
      <c r="C581" s="76"/>
      <c r="D581" s="78">
        <f>IF(C581=0,0,_xlfn.IFNA(IF( MATCH(C581,Rangliste!B:B,0)&gt;0,0,1),1))</f>
        <v>0</v>
      </c>
      <c r="E581" s="85" t="str">
        <f t="shared" si="2"/>
        <v/>
      </c>
      <c r="F581" s="85"/>
      <c r="G581" s="83"/>
      <c r="H581" s="86"/>
      <c r="I581" s="86"/>
      <c r="J581" s="86"/>
      <c r="K581" s="62"/>
      <c r="L581" s="86"/>
      <c r="M581" s="86"/>
      <c r="N581" s="86"/>
      <c r="O581" s="86"/>
      <c r="P581" s="86"/>
      <c r="Q581" s="86"/>
      <c r="R581" s="86"/>
      <c r="S581" s="86"/>
      <c r="T581" s="86"/>
      <c r="U581" s="86"/>
      <c r="V581" s="86"/>
      <c r="W581" s="86"/>
      <c r="X581" s="86"/>
      <c r="Y581" s="86"/>
      <c r="Z581" s="86"/>
      <c r="AA581" s="86"/>
    </row>
    <row r="582" spans="1:27" ht="14.25" customHeight="1" x14ac:dyDescent="0.35">
      <c r="A582" s="76">
        <v>0</v>
      </c>
      <c r="B582" s="87" t="str">
        <v>Vanessa Kurz</v>
      </c>
      <c r="C582" s="76"/>
      <c r="D582" s="78">
        <f>IF(C582=0,0,_xlfn.IFNA(IF( MATCH(C582,Rangliste!B:B,0)&gt;0,0,1),1))</f>
        <v>0</v>
      </c>
      <c r="E582" s="85" t="str">
        <f t="shared" si="2"/>
        <v/>
      </c>
      <c r="F582" s="85"/>
      <c r="G582" s="83"/>
      <c r="H582" s="86"/>
      <c r="I582" s="86"/>
      <c r="J582" s="86"/>
      <c r="K582" s="62"/>
      <c r="L582" s="86"/>
      <c r="M582" s="86"/>
      <c r="N582" s="86"/>
      <c r="O582" s="86"/>
      <c r="P582" s="86"/>
      <c r="Q582" s="86"/>
      <c r="R582" s="86"/>
      <c r="S582" s="86"/>
      <c r="T582" s="86"/>
      <c r="U582" s="86"/>
      <c r="V582" s="86"/>
      <c r="W582" s="86"/>
      <c r="X582" s="86"/>
      <c r="Y582" s="86"/>
      <c r="Z582" s="86"/>
      <c r="AA582" s="86"/>
    </row>
    <row r="583" spans="1:27" ht="14.25" customHeight="1" x14ac:dyDescent="0.35">
      <c r="A583" s="76">
        <v>0</v>
      </c>
      <c r="B583" s="87" t="str">
        <v>Felix Lamplmaier</v>
      </c>
      <c r="C583" s="76"/>
      <c r="D583" s="78">
        <f>IF(C583=0,0,_xlfn.IFNA(IF( MATCH(C583,Rangliste!B:B,0)&gt;0,0,1),1))</f>
        <v>0</v>
      </c>
      <c r="E583" s="85" t="str">
        <f t="shared" si="2"/>
        <v/>
      </c>
      <c r="F583" s="85"/>
      <c r="G583" s="83"/>
      <c r="H583" s="86"/>
      <c r="I583" s="86"/>
      <c r="J583" s="86"/>
      <c r="K583" s="62"/>
      <c r="L583" s="86"/>
      <c r="M583" s="86"/>
      <c r="N583" s="86"/>
      <c r="O583" s="86"/>
      <c r="P583" s="86"/>
      <c r="Q583" s="86"/>
      <c r="R583" s="86"/>
      <c r="S583" s="86"/>
      <c r="T583" s="86"/>
      <c r="U583" s="86"/>
      <c r="V583" s="86"/>
      <c r="W583" s="86"/>
      <c r="X583" s="86"/>
      <c r="Y583" s="86"/>
      <c r="Z583" s="86"/>
      <c r="AA583" s="86"/>
    </row>
    <row r="584" spans="1:27" ht="14.25" customHeight="1" x14ac:dyDescent="0.35">
      <c r="A584" s="76">
        <v>0</v>
      </c>
      <c r="B584" s="87" t="str">
        <v>Nora Walter</v>
      </c>
      <c r="C584" s="76"/>
      <c r="D584" s="78">
        <f>IF(C584=0,0,_xlfn.IFNA(IF( MATCH(C584,Rangliste!B:B,0)&gt;0,0,1),1))</f>
        <v>0</v>
      </c>
      <c r="E584" s="85" t="str">
        <f t="shared" si="2"/>
        <v/>
      </c>
      <c r="F584" s="85"/>
      <c r="G584" s="83"/>
      <c r="H584" s="86"/>
      <c r="I584" s="86"/>
      <c r="J584" s="86"/>
      <c r="K584" s="62"/>
      <c r="L584" s="86"/>
      <c r="M584" s="86"/>
      <c r="N584" s="86"/>
      <c r="O584" s="86"/>
      <c r="P584" s="86"/>
      <c r="Q584" s="86"/>
      <c r="R584" s="86"/>
      <c r="S584" s="86"/>
      <c r="T584" s="86"/>
      <c r="U584" s="86"/>
      <c r="V584" s="86"/>
      <c r="W584" s="86"/>
      <c r="X584" s="86"/>
      <c r="Y584" s="86"/>
      <c r="Z584" s="86"/>
      <c r="AA584" s="86"/>
    </row>
    <row r="585" spans="1:27" ht="14.25" customHeight="1" x14ac:dyDescent="0.35">
      <c r="A585" s="76">
        <v>0</v>
      </c>
      <c r="B585" s="87" t="str">
        <v>Ilian Reisinger</v>
      </c>
      <c r="C585" s="76"/>
      <c r="D585" s="78">
        <f>IF(C585=0,0,_xlfn.IFNA(IF( MATCH(C585,Rangliste!B:B,0)&gt;0,0,1),1))</f>
        <v>0</v>
      </c>
      <c r="E585" s="85" t="str">
        <f t="shared" si="2"/>
        <v/>
      </c>
      <c r="F585" s="85"/>
      <c r="G585" s="83"/>
      <c r="H585" s="86"/>
      <c r="I585" s="86"/>
      <c r="J585" s="86"/>
      <c r="K585" s="62"/>
      <c r="L585" s="86"/>
      <c r="M585" s="86"/>
      <c r="N585" s="86"/>
      <c r="O585" s="86"/>
      <c r="P585" s="86"/>
      <c r="Q585" s="86"/>
      <c r="R585" s="86"/>
      <c r="S585" s="86"/>
      <c r="T585" s="86"/>
      <c r="U585" s="86"/>
      <c r="V585" s="86"/>
      <c r="W585" s="86"/>
      <c r="X585" s="86"/>
      <c r="Y585" s="86"/>
      <c r="Z585" s="86"/>
      <c r="AA585" s="86"/>
    </row>
    <row r="586" spans="1:27" ht="14.25" customHeight="1" x14ac:dyDescent="0.35">
      <c r="A586" s="76">
        <v>0</v>
      </c>
      <c r="B586" s="87" t="str">
        <v>Vinzenz Fischlmair</v>
      </c>
      <c r="C586" s="76"/>
      <c r="D586" s="78">
        <f>IF(C586=0,0,_xlfn.IFNA(IF( MATCH(C586,Rangliste!B:B,0)&gt;0,0,1),1))</f>
        <v>0</v>
      </c>
      <c r="E586" s="85" t="str">
        <f t="shared" si="2"/>
        <v/>
      </c>
      <c r="F586" s="85"/>
      <c r="G586" s="83"/>
      <c r="H586" s="86"/>
      <c r="I586" s="86"/>
      <c r="J586" s="86"/>
      <c r="K586" s="62"/>
      <c r="L586" s="86"/>
      <c r="M586" s="86"/>
      <c r="N586" s="86"/>
      <c r="O586" s="86"/>
      <c r="P586" s="86"/>
      <c r="Q586" s="86"/>
      <c r="R586" s="86"/>
      <c r="S586" s="86"/>
      <c r="T586" s="86"/>
      <c r="U586" s="86"/>
      <c r="V586" s="86"/>
      <c r="W586" s="86"/>
      <c r="X586" s="86"/>
      <c r="Y586" s="86"/>
      <c r="Z586" s="86"/>
      <c r="AA586" s="86"/>
    </row>
    <row r="587" spans="1:27" ht="14.25" customHeight="1" x14ac:dyDescent="0.35">
      <c r="A587" s="76">
        <v>0</v>
      </c>
      <c r="B587" s="87" t="str">
        <v>Felix Alt</v>
      </c>
      <c r="C587" s="76"/>
      <c r="D587" s="78">
        <f>IF(C587=0,0,_xlfn.IFNA(IF( MATCH(C587,Rangliste!B:B,0)&gt;0,0,1),1))</f>
        <v>0</v>
      </c>
      <c r="E587" s="85" t="str">
        <f t="shared" si="2"/>
        <v/>
      </c>
      <c r="F587" s="85"/>
      <c r="G587" s="83"/>
      <c r="H587" s="86"/>
      <c r="I587" s="86"/>
      <c r="J587" s="86"/>
      <c r="K587" s="62"/>
      <c r="L587" s="86"/>
      <c r="M587" s="86"/>
      <c r="N587" s="86"/>
      <c r="O587" s="86"/>
      <c r="P587" s="86"/>
      <c r="Q587" s="86"/>
      <c r="R587" s="86"/>
      <c r="S587" s="86"/>
      <c r="T587" s="86"/>
      <c r="U587" s="86"/>
      <c r="V587" s="86"/>
      <c r="W587" s="86"/>
      <c r="X587" s="86"/>
      <c r="Y587" s="86"/>
      <c r="Z587" s="86"/>
      <c r="AA587" s="86"/>
    </row>
    <row r="588" spans="1:27" ht="14.25" customHeight="1" x14ac:dyDescent="0.35">
      <c r="A588" s="76">
        <v>0</v>
      </c>
      <c r="B588" s="87" t="str">
        <v>Maximilian Jin</v>
      </c>
      <c r="C588" s="76"/>
      <c r="D588" s="78">
        <f>IF(C588=0,0,_xlfn.IFNA(IF( MATCH(C588,Rangliste!B:B,0)&gt;0,0,1),1))</f>
        <v>0</v>
      </c>
      <c r="E588" s="85" t="str">
        <f t="shared" si="2"/>
        <v/>
      </c>
      <c r="F588" s="85"/>
      <c r="G588" s="83"/>
      <c r="H588" s="86"/>
      <c r="I588" s="86"/>
      <c r="J588" s="86"/>
      <c r="K588" s="62"/>
      <c r="L588" s="86"/>
      <c r="M588" s="86"/>
      <c r="N588" s="86"/>
      <c r="O588" s="86"/>
      <c r="P588" s="86"/>
      <c r="Q588" s="86"/>
      <c r="R588" s="86"/>
      <c r="S588" s="86"/>
      <c r="T588" s="86"/>
      <c r="U588" s="86"/>
      <c r="V588" s="86"/>
      <c r="W588" s="86"/>
      <c r="X588" s="86"/>
      <c r="Y588" s="86"/>
      <c r="Z588" s="86"/>
      <c r="AA588" s="86"/>
    </row>
    <row r="589" spans="1:27" ht="14.25" customHeight="1" x14ac:dyDescent="0.35">
      <c r="A589" s="76">
        <v>0</v>
      </c>
      <c r="B589" s="87" t="str">
        <v>Luis Burker</v>
      </c>
      <c r="C589" s="76"/>
      <c r="D589" s="78">
        <f>IF(C589=0,0,_xlfn.IFNA(IF( MATCH(C589,Rangliste!B:B,0)&gt;0,0,1),1))</f>
        <v>0</v>
      </c>
      <c r="E589" s="85" t="str">
        <f t="shared" si="2"/>
        <v/>
      </c>
      <c r="F589" s="85"/>
      <c r="G589" s="83"/>
      <c r="H589" s="86"/>
      <c r="I589" s="86"/>
      <c r="J589" s="86"/>
      <c r="K589" s="62"/>
      <c r="L589" s="86"/>
      <c r="M589" s="86"/>
      <c r="N589" s="86"/>
      <c r="O589" s="86"/>
      <c r="P589" s="86"/>
      <c r="Q589" s="86"/>
      <c r="R589" s="86"/>
      <c r="S589" s="86"/>
      <c r="T589" s="86"/>
      <c r="U589" s="86"/>
      <c r="V589" s="86"/>
      <c r="W589" s="86"/>
      <c r="X589" s="86"/>
      <c r="Y589" s="86"/>
      <c r="Z589" s="86"/>
      <c r="AA589" s="86"/>
    </row>
    <row r="590" spans="1:27" ht="14.25" customHeight="1" x14ac:dyDescent="0.35">
      <c r="A590" s="76">
        <v>0</v>
      </c>
      <c r="B590" s="87" t="str">
        <v>Dario Kasser</v>
      </c>
      <c r="C590" s="76"/>
      <c r="D590" s="78">
        <f>IF(C590=0,0,_xlfn.IFNA(IF( MATCH(C590,Rangliste!B:B,0)&gt;0,0,1),1))</f>
        <v>0</v>
      </c>
      <c r="E590" s="85" t="str">
        <f t="shared" si="2"/>
        <v/>
      </c>
      <c r="F590" s="85"/>
      <c r="G590" s="83"/>
      <c r="H590" s="86"/>
      <c r="I590" s="86"/>
      <c r="J590" s="86"/>
      <c r="K590" s="62"/>
      <c r="L590" s="86"/>
      <c r="M590" s="86"/>
      <c r="N590" s="86"/>
      <c r="O590" s="86"/>
      <c r="P590" s="86"/>
      <c r="Q590" s="86"/>
      <c r="R590" s="86"/>
      <c r="S590" s="86"/>
      <c r="T590" s="86"/>
      <c r="U590" s="86"/>
      <c r="V590" s="86"/>
      <c r="W590" s="86"/>
      <c r="X590" s="86"/>
      <c r="Y590" s="86"/>
      <c r="Z590" s="86"/>
      <c r="AA590" s="86"/>
    </row>
    <row r="591" spans="1:27" ht="14.25" customHeight="1" x14ac:dyDescent="0.35">
      <c r="A591" s="76">
        <v>0</v>
      </c>
      <c r="B591" s="87" t="str">
        <v>Marco Papp</v>
      </c>
      <c r="C591" s="76"/>
      <c r="D591" s="78">
        <f>IF(C591=0,0,_xlfn.IFNA(IF( MATCH(C591,Rangliste!B:B,0)&gt;0,0,1),1))</f>
        <v>0</v>
      </c>
      <c r="E591" s="85" t="str">
        <f t="shared" si="2"/>
        <v/>
      </c>
      <c r="F591" s="85"/>
      <c r="G591" s="83"/>
      <c r="H591" s="86"/>
      <c r="I591" s="86"/>
      <c r="J591" s="86"/>
      <c r="K591" s="62"/>
      <c r="L591" s="86"/>
      <c r="M591" s="86"/>
      <c r="N591" s="86"/>
      <c r="O591" s="86"/>
      <c r="P591" s="86"/>
      <c r="Q591" s="86"/>
      <c r="R591" s="86"/>
      <c r="S591" s="86"/>
      <c r="T591" s="86"/>
      <c r="U591" s="86"/>
      <c r="V591" s="86"/>
      <c r="W591" s="86"/>
      <c r="X591" s="86"/>
      <c r="Y591" s="86"/>
      <c r="Z591" s="86"/>
      <c r="AA591" s="86"/>
    </row>
    <row r="592" spans="1:27" ht="14.25" customHeight="1" x14ac:dyDescent="0.35">
      <c r="A592" s="76">
        <v>0</v>
      </c>
      <c r="B592" s="87" t="str">
        <v>Sofia Neumann</v>
      </c>
      <c r="C592" s="76"/>
      <c r="D592" s="78">
        <f>IF(C592=0,0,_xlfn.IFNA(IF( MATCH(C592,Rangliste!B:B,0)&gt;0,0,1),1))</f>
        <v>0</v>
      </c>
      <c r="E592" s="85" t="str">
        <f t="shared" si="2"/>
        <v/>
      </c>
      <c r="F592" s="85"/>
      <c r="G592" s="83"/>
      <c r="H592" s="86"/>
      <c r="I592" s="86"/>
      <c r="J592" s="86"/>
      <c r="K592" s="62"/>
      <c r="L592" s="86"/>
      <c r="M592" s="86"/>
      <c r="N592" s="86"/>
      <c r="O592" s="86"/>
      <c r="P592" s="86"/>
      <c r="Q592" s="86"/>
      <c r="R592" s="86"/>
      <c r="S592" s="86"/>
      <c r="T592" s="86"/>
      <c r="U592" s="86"/>
      <c r="V592" s="86"/>
      <c r="W592" s="86"/>
      <c r="X592" s="86"/>
      <c r="Y592" s="86"/>
      <c r="Z592" s="86"/>
      <c r="AA592" s="86"/>
    </row>
    <row r="593" spans="1:27" ht="14.25" customHeight="1" x14ac:dyDescent="0.35">
      <c r="A593" s="76">
        <v>0</v>
      </c>
      <c r="B593" s="87" t="str">
        <v>Kevin Zheng</v>
      </c>
      <c r="C593" s="76"/>
      <c r="D593" s="78">
        <f>IF(C593=0,0,_xlfn.IFNA(IF( MATCH(C593,Rangliste!B:B,0)&gt;0,0,1),1))</f>
        <v>0</v>
      </c>
      <c r="E593" s="85" t="str">
        <f t="shared" si="2"/>
        <v/>
      </c>
      <c r="F593" s="85"/>
      <c r="G593" s="83"/>
      <c r="H593" s="86"/>
      <c r="I593" s="86"/>
      <c r="J593" s="86"/>
      <c r="K593" s="62"/>
      <c r="L593" s="86"/>
      <c r="M593" s="86"/>
      <c r="N593" s="86"/>
      <c r="O593" s="86"/>
      <c r="P593" s="86"/>
      <c r="Q593" s="86"/>
      <c r="R593" s="86"/>
      <c r="S593" s="86"/>
      <c r="T593" s="86"/>
      <c r="U593" s="86"/>
      <c r="V593" s="86"/>
      <c r="W593" s="86"/>
      <c r="X593" s="86"/>
      <c r="Y593" s="86"/>
      <c r="Z593" s="86"/>
      <c r="AA593" s="86"/>
    </row>
    <row r="594" spans="1:27" ht="14.25" customHeight="1" x14ac:dyDescent="0.35">
      <c r="A594" s="76">
        <v>0</v>
      </c>
      <c r="B594" s="87" t="str">
        <v>Florentin Ahammer</v>
      </c>
      <c r="C594" s="76"/>
      <c r="D594" s="78">
        <f>IF(C594=0,0,_xlfn.IFNA(IF( MATCH(C594,Rangliste!B:B,0)&gt;0,0,1),1))</f>
        <v>0</v>
      </c>
      <c r="E594" s="85" t="str">
        <f t="shared" si="2"/>
        <v/>
      </c>
      <c r="F594" s="85"/>
      <c r="G594" s="83"/>
      <c r="H594" s="86"/>
      <c r="I594" s="86"/>
      <c r="J594" s="86"/>
      <c r="K594" s="62"/>
      <c r="L594" s="86"/>
      <c r="M594" s="86"/>
      <c r="N594" s="86"/>
      <c r="O594" s="86"/>
      <c r="P594" s="86"/>
      <c r="Q594" s="86"/>
      <c r="R594" s="86"/>
      <c r="S594" s="86"/>
      <c r="T594" s="86"/>
      <c r="U594" s="86"/>
      <c r="V594" s="86"/>
      <c r="W594" s="86"/>
      <c r="X594" s="86"/>
      <c r="Y594" s="86"/>
      <c r="Z594" s="86"/>
      <c r="AA594" s="86"/>
    </row>
    <row r="595" spans="1:27" ht="14.25" customHeight="1" x14ac:dyDescent="0.35">
      <c r="A595" s="76">
        <v>0</v>
      </c>
      <c r="B595" s="87" t="str">
        <v>Hector Recalde</v>
      </c>
      <c r="C595" s="76"/>
      <c r="D595" s="78">
        <f>IF(C595=0,0,_xlfn.IFNA(IF( MATCH(C595,Rangliste!B:B,0)&gt;0,0,1),1))</f>
        <v>0</v>
      </c>
      <c r="E595" s="85" t="str">
        <f t="shared" si="2"/>
        <v/>
      </c>
      <c r="F595" s="85"/>
      <c r="G595" s="83"/>
      <c r="H595" s="86"/>
      <c r="I595" s="86"/>
      <c r="J595" s="86"/>
      <c r="K595" s="62"/>
      <c r="L595" s="86"/>
      <c r="M595" s="86"/>
      <c r="N595" s="86"/>
      <c r="O595" s="86"/>
      <c r="P595" s="86"/>
      <c r="Q595" s="86"/>
      <c r="R595" s="86"/>
      <c r="S595" s="86"/>
      <c r="T595" s="86"/>
      <c r="U595" s="86"/>
      <c r="V595" s="86"/>
      <c r="W595" s="86"/>
      <c r="X595" s="86"/>
      <c r="Y595" s="86"/>
      <c r="Z595" s="86"/>
      <c r="AA595" s="86"/>
    </row>
    <row r="596" spans="1:27" ht="14.25" customHeight="1" x14ac:dyDescent="0.35">
      <c r="A596" s="76">
        <f t="array" ref="A596:A611">'Regioturnier 3'!$F$3:$F$18</f>
        <v>0</v>
      </c>
      <c r="B596" s="87" t="str">
        <v>Simon Walter</v>
      </c>
      <c r="C596" s="76"/>
      <c r="D596" s="78">
        <f>IF(C596=0,0,_xlfn.IFNA(IF( MATCH(C596,Rangliste!B:B,0)&gt;0,0,1),1))</f>
        <v>0</v>
      </c>
      <c r="E596" s="85" t="str">
        <f t="shared" si="2"/>
        <v/>
      </c>
      <c r="F596" s="85"/>
      <c r="G596" s="83"/>
      <c r="H596" s="86"/>
      <c r="I596" s="86"/>
      <c r="J596" s="86"/>
      <c r="K596" s="62"/>
      <c r="L596" s="86"/>
      <c r="M596" s="86"/>
      <c r="N596" s="86"/>
      <c r="O596" s="86"/>
      <c r="P596" s="86"/>
      <c r="Q596" s="86"/>
      <c r="R596" s="86"/>
      <c r="S596" s="86"/>
      <c r="T596" s="86"/>
      <c r="U596" s="86"/>
      <c r="V596" s="86"/>
      <c r="W596" s="86"/>
      <c r="X596" s="86"/>
      <c r="Y596" s="86"/>
      <c r="Z596" s="86"/>
      <c r="AA596" s="86"/>
    </row>
    <row r="597" spans="1:27" ht="14.25" customHeight="1" x14ac:dyDescent="0.35">
      <c r="A597" s="76">
        <v>0</v>
      </c>
      <c r="B597" s="87" t="str">
        <v>Jakob Elmer</v>
      </c>
      <c r="C597" s="76"/>
      <c r="D597" s="78">
        <f>IF(C597=0,0,_xlfn.IFNA(IF( MATCH(C597,Rangliste!B:B,0)&gt;0,0,1),1))</f>
        <v>0</v>
      </c>
      <c r="E597" s="85" t="str">
        <f t="shared" si="2"/>
        <v/>
      </c>
      <c r="F597" s="85"/>
      <c r="G597" s="83"/>
      <c r="H597" s="86"/>
      <c r="I597" s="86"/>
      <c r="J597" s="86"/>
      <c r="K597" s="62"/>
      <c r="L597" s="86"/>
      <c r="M597" s="86"/>
      <c r="N597" s="86"/>
      <c r="O597" s="86"/>
      <c r="P597" s="86"/>
      <c r="Q597" s="86"/>
      <c r="R597" s="86"/>
      <c r="S597" s="86"/>
      <c r="T597" s="86"/>
      <c r="U597" s="86"/>
      <c r="V597" s="86"/>
      <c r="W597" s="86"/>
      <c r="X597" s="86"/>
      <c r="Y597" s="86"/>
      <c r="Z597" s="86"/>
      <c r="AA597" s="86"/>
    </row>
    <row r="598" spans="1:27" ht="14.25" customHeight="1" x14ac:dyDescent="0.35">
      <c r="A598" s="76">
        <v>0</v>
      </c>
      <c r="B598" s="87" t="str">
        <v>Konrad Milleder</v>
      </c>
      <c r="C598" s="76"/>
      <c r="D598" s="78">
        <f>IF(C598=0,0,_xlfn.IFNA(IF( MATCH(C598,Rangliste!B:B,0)&gt;0,0,1),1))</f>
        <v>0</v>
      </c>
      <c r="E598" s="85" t="str">
        <f t="shared" si="2"/>
        <v/>
      </c>
      <c r="F598" s="85"/>
      <c r="G598" s="83"/>
      <c r="H598" s="86"/>
      <c r="I598" s="86"/>
      <c r="J598" s="86"/>
      <c r="K598" s="62"/>
      <c r="L598" s="86"/>
      <c r="M598" s="86"/>
      <c r="N598" s="86"/>
      <c r="O598" s="86"/>
      <c r="P598" s="86"/>
      <c r="Q598" s="86"/>
      <c r="R598" s="86"/>
      <c r="S598" s="86"/>
      <c r="T598" s="86"/>
      <c r="U598" s="86"/>
      <c r="V598" s="86"/>
      <c r="W598" s="86"/>
      <c r="X598" s="86"/>
      <c r="Y598" s="86"/>
      <c r="Z598" s="86"/>
      <c r="AA598" s="86"/>
    </row>
    <row r="599" spans="1:27" ht="14.25" customHeight="1" x14ac:dyDescent="0.35">
      <c r="A599" s="76">
        <v>0</v>
      </c>
      <c r="B599" s="87">
        <v>0</v>
      </c>
      <c r="C599" s="76"/>
      <c r="D599" s="78">
        <f>IF(C599=0,0,_xlfn.IFNA(IF( MATCH(C599,Rangliste!B:B,0)&gt;0,0,1),1))</f>
        <v>0</v>
      </c>
      <c r="E599" s="85" t="str">
        <f t="shared" si="2"/>
        <v/>
      </c>
      <c r="F599" s="85"/>
      <c r="G599" s="83"/>
      <c r="H599" s="86"/>
      <c r="I599" s="86"/>
      <c r="J599" s="86"/>
      <c r="K599" s="62"/>
      <c r="L599" s="86"/>
      <c r="M599" s="86"/>
      <c r="N599" s="86"/>
      <c r="O599" s="86"/>
      <c r="P599" s="86"/>
      <c r="Q599" s="86"/>
      <c r="R599" s="86"/>
      <c r="S599" s="86"/>
      <c r="T599" s="86"/>
      <c r="U599" s="86"/>
      <c r="V599" s="86"/>
      <c r="W599" s="86"/>
      <c r="X599" s="86"/>
      <c r="Y599" s="86"/>
      <c r="Z599" s="86"/>
      <c r="AA599" s="86"/>
    </row>
    <row r="600" spans="1:27" ht="14.25" customHeight="1" x14ac:dyDescent="0.35">
      <c r="A600" s="76">
        <v>0</v>
      </c>
      <c r="B600" s="87">
        <v>0</v>
      </c>
      <c r="C600" s="76"/>
      <c r="D600" s="78">
        <f>IF(C600=0,0,_xlfn.IFNA(IF( MATCH(C600,Rangliste!B:B,0)&gt;0,0,1),1))</f>
        <v>0</v>
      </c>
      <c r="E600" s="85" t="str">
        <f t="shared" si="2"/>
        <v/>
      </c>
      <c r="F600" s="85"/>
      <c r="G600" s="83"/>
      <c r="H600" s="86"/>
      <c r="I600" s="86"/>
      <c r="J600" s="86"/>
      <c r="K600" s="62"/>
      <c r="L600" s="86"/>
      <c r="M600" s="86"/>
      <c r="N600" s="86"/>
      <c r="O600" s="86"/>
      <c r="P600" s="86"/>
      <c r="Q600" s="86"/>
      <c r="R600" s="86"/>
      <c r="S600" s="86"/>
      <c r="T600" s="86"/>
      <c r="U600" s="86"/>
      <c r="V600" s="86"/>
      <c r="W600" s="86"/>
      <c r="X600" s="86"/>
      <c r="Y600" s="86"/>
      <c r="Z600" s="86"/>
      <c r="AA600" s="86"/>
    </row>
    <row r="601" spans="1:27" ht="14.25" customHeight="1" x14ac:dyDescent="0.35">
      <c r="A601" s="76">
        <v>0</v>
      </c>
      <c r="B601" s="87">
        <v>0</v>
      </c>
      <c r="C601" s="76"/>
      <c r="D601" s="78">
        <f>IF(C601=0,0,_xlfn.IFNA(IF( MATCH(C601,Rangliste!B:B,0)&gt;0,0,1),1))</f>
        <v>0</v>
      </c>
      <c r="E601" s="85" t="str">
        <f t="shared" si="2"/>
        <v/>
      </c>
      <c r="F601" s="85"/>
      <c r="G601" s="83"/>
      <c r="H601" s="86"/>
      <c r="I601" s="86"/>
      <c r="J601" s="86"/>
      <c r="K601" s="62"/>
      <c r="L601" s="86"/>
      <c r="M601" s="86"/>
      <c r="N601" s="86"/>
      <c r="O601" s="86"/>
      <c r="P601" s="86"/>
      <c r="Q601" s="86"/>
      <c r="R601" s="86"/>
      <c r="S601" s="86"/>
      <c r="T601" s="86"/>
      <c r="U601" s="86"/>
      <c r="V601" s="86"/>
      <c r="W601" s="86"/>
      <c r="X601" s="86"/>
      <c r="Y601" s="86"/>
      <c r="Z601" s="86"/>
      <c r="AA601" s="86"/>
    </row>
    <row r="602" spans="1:27" ht="14.25" customHeight="1" x14ac:dyDescent="0.35">
      <c r="A602" s="76">
        <v>0</v>
      </c>
      <c r="B602" s="87">
        <v>0</v>
      </c>
      <c r="C602" s="76"/>
      <c r="D602" s="78">
        <f>IF(C602=0,0,_xlfn.IFNA(IF( MATCH(C602,Rangliste!B:B,0)&gt;0,0,1),1))</f>
        <v>0</v>
      </c>
      <c r="E602" s="85" t="str">
        <f t="shared" si="2"/>
        <v/>
      </c>
      <c r="F602" s="85"/>
      <c r="G602" s="83"/>
      <c r="H602" s="86"/>
      <c r="I602" s="86"/>
      <c r="J602" s="86"/>
      <c r="K602" s="62"/>
      <c r="L602" s="86"/>
      <c r="M602" s="86"/>
      <c r="N602" s="86"/>
      <c r="O602" s="86"/>
      <c r="P602" s="86"/>
      <c r="Q602" s="86"/>
      <c r="R602" s="86"/>
      <c r="S602" s="86"/>
      <c r="T602" s="86"/>
      <c r="U602" s="86"/>
      <c r="V602" s="86"/>
      <c r="W602" s="86"/>
      <c r="X602" s="86"/>
      <c r="Y602" s="86"/>
      <c r="Z602" s="86"/>
      <c r="AA602" s="86"/>
    </row>
    <row r="603" spans="1:27" ht="14.25" customHeight="1" x14ac:dyDescent="0.35">
      <c r="A603" s="76">
        <v>0</v>
      </c>
      <c r="B603" s="87">
        <v>0</v>
      </c>
      <c r="C603" s="76"/>
      <c r="D603" s="78">
        <f>IF(C603=0,0,_xlfn.IFNA(IF( MATCH(C603,Rangliste!B:B,0)&gt;0,0,1),1))</f>
        <v>0</v>
      </c>
      <c r="E603" s="85" t="str">
        <f t="shared" si="2"/>
        <v/>
      </c>
      <c r="F603" s="85"/>
      <c r="G603" s="83"/>
      <c r="H603" s="86"/>
      <c r="I603" s="86"/>
      <c r="J603" s="86"/>
      <c r="K603" s="62"/>
      <c r="L603" s="86"/>
      <c r="M603" s="86"/>
      <c r="N603" s="86"/>
      <c r="O603" s="86"/>
      <c r="P603" s="86"/>
      <c r="Q603" s="86"/>
      <c r="R603" s="86"/>
      <c r="S603" s="86"/>
      <c r="T603" s="86"/>
      <c r="U603" s="86"/>
      <c r="V603" s="86"/>
      <c r="W603" s="86"/>
      <c r="X603" s="86"/>
      <c r="Y603" s="86"/>
      <c r="Z603" s="86"/>
      <c r="AA603" s="86"/>
    </row>
    <row r="604" spans="1:27" ht="14.25" customHeight="1" x14ac:dyDescent="0.35">
      <c r="A604" s="76">
        <v>0</v>
      </c>
      <c r="B604" s="87">
        <v>0</v>
      </c>
      <c r="C604" s="76"/>
      <c r="D604" s="78">
        <f>IF(C604=0,0,_xlfn.IFNA(IF( MATCH(C604,Rangliste!B:B,0)&gt;0,0,1),1))</f>
        <v>0</v>
      </c>
      <c r="E604" s="85" t="str">
        <f t="shared" si="2"/>
        <v/>
      </c>
      <c r="F604" s="85"/>
      <c r="G604" s="83"/>
      <c r="H604" s="86"/>
      <c r="I604" s="86"/>
      <c r="J604" s="86"/>
      <c r="K604" s="62"/>
      <c r="L604" s="86"/>
      <c r="M604" s="86"/>
      <c r="N604" s="86"/>
      <c r="O604" s="86"/>
      <c r="P604" s="86"/>
      <c r="Q604" s="86"/>
      <c r="R604" s="86"/>
      <c r="S604" s="86"/>
      <c r="T604" s="86"/>
      <c r="U604" s="86"/>
      <c r="V604" s="86"/>
      <c r="W604" s="86"/>
      <c r="X604" s="86"/>
      <c r="Y604" s="86"/>
      <c r="Z604" s="86"/>
      <c r="AA604" s="86"/>
    </row>
    <row r="605" spans="1:27" ht="14.25" customHeight="1" x14ac:dyDescent="0.35">
      <c r="A605" s="76">
        <v>0</v>
      </c>
      <c r="B605" s="87">
        <v>0</v>
      </c>
      <c r="C605" s="76"/>
      <c r="D605" s="78">
        <f>IF(C605=0,0,_xlfn.IFNA(IF( MATCH(C605,Rangliste!B:B,0)&gt;0,0,1),1))</f>
        <v>0</v>
      </c>
      <c r="E605" s="85" t="str">
        <f t="shared" si="2"/>
        <v/>
      </c>
      <c r="F605" s="85"/>
      <c r="G605" s="83"/>
      <c r="H605" s="86"/>
      <c r="I605" s="86"/>
      <c r="J605" s="86"/>
      <c r="K605" s="62"/>
      <c r="L605" s="86"/>
      <c r="M605" s="86"/>
      <c r="N605" s="86"/>
      <c r="O605" s="86"/>
      <c r="P605" s="86"/>
      <c r="Q605" s="86"/>
      <c r="R605" s="86"/>
      <c r="S605" s="86"/>
      <c r="T605" s="86"/>
      <c r="U605" s="86"/>
      <c r="V605" s="86"/>
      <c r="W605" s="86"/>
      <c r="X605" s="86"/>
      <c r="Y605" s="86"/>
      <c r="Z605" s="86"/>
      <c r="AA605" s="86"/>
    </row>
    <row r="606" spans="1:27" ht="14.25" customHeight="1" x14ac:dyDescent="0.35">
      <c r="A606" s="76">
        <v>0</v>
      </c>
      <c r="B606" s="87">
        <v>0</v>
      </c>
      <c r="C606" s="76"/>
      <c r="D606" s="78">
        <f>IF(C606=0,0,_xlfn.IFNA(IF( MATCH(C606,Rangliste!B:B,0)&gt;0,0,1),1))</f>
        <v>0</v>
      </c>
      <c r="E606" s="85" t="str">
        <f t="shared" si="2"/>
        <v/>
      </c>
      <c r="F606" s="85"/>
      <c r="G606" s="83"/>
      <c r="H606" s="86"/>
      <c r="I606" s="86"/>
      <c r="J606" s="86"/>
      <c r="K606" s="62"/>
      <c r="L606" s="86"/>
      <c r="M606" s="86"/>
      <c r="N606" s="86"/>
      <c r="O606" s="86"/>
      <c r="P606" s="86"/>
      <c r="Q606" s="86"/>
      <c r="R606" s="86"/>
      <c r="S606" s="86"/>
      <c r="T606" s="86"/>
      <c r="U606" s="86"/>
      <c r="V606" s="86"/>
      <c r="W606" s="86"/>
      <c r="X606" s="86"/>
      <c r="Y606" s="86"/>
      <c r="Z606" s="86"/>
      <c r="AA606" s="86"/>
    </row>
    <row r="607" spans="1:27" ht="14.25" customHeight="1" x14ac:dyDescent="0.35">
      <c r="A607" s="76">
        <v>0</v>
      </c>
      <c r="B607" s="87">
        <v>0</v>
      </c>
      <c r="C607" s="76"/>
      <c r="D607" s="78">
        <f>IF(C607=0,0,_xlfn.IFNA(IF( MATCH(C607,Rangliste!B:B,0)&gt;0,0,1),1))</f>
        <v>0</v>
      </c>
      <c r="E607" s="85" t="str">
        <f t="shared" si="2"/>
        <v/>
      </c>
      <c r="F607" s="85"/>
      <c r="G607" s="83"/>
      <c r="H607" s="86"/>
      <c r="I607" s="86"/>
      <c r="J607" s="86"/>
      <c r="K607" s="62"/>
      <c r="L607" s="86"/>
      <c r="M607" s="86"/>
      <c r="N607" s="86"/>
      <c r="O607" s="86"/>
      <c r="P607" s="86"/>
      <c r="Q607" s="86"/>
      <c r="R607" s="86"/>
      <c r="S607" s="86"/>
      <c r="T607" s="86"/>
      <c r="U607" s="86"/>
      <c r="V607" s="86"/>
      <c r="W607" s="86"/>
      <c r="X607" s="86"/>
      <c r="Y607" s="86"/>
      <c r="Z607" s="86"/>
      <c r="AA607" s="86"/>
    </row>
    <row r="608" spans="1:27" ht="14.25" customHeight="1" x14ac:dyDescent="0.35">
      <c r="A608" s="76">
        <v>0</v>
      </c>
      <c r="B608" s="87">
        <v>0</v>
      </c>
      <c r="C608" s="76"/>
      <c r="D608" s="78">
        <f>IF(C608=0,0,_xlfn.IFNA(IF( MATCH(C608,Rangliste!B:B,0)&gt;0,0,1),1))</f>
        <v>0</v>
      </c>
      <c r="E608" s="85" t="str">
        <f t="shared" si="2"/>
        <v/>
      </c>
      <c r="F608" s="85"/>
      <c r="G608" s="83"/>
      <c r="H608" s="86"/>
      <c r="I608" s="86"/>
      <c r="J608" s="86"/>
      <c r="K608" s="62"/>
      <c r="L608" s="86"/>
      <c r="M608" s="86"/>
      <c r="N608" s="86"/>
      <c r="O608" s="86"/>
      <c r="P608" s="86"/>
      <c r="Q608" s="86"/>
      <c r="R608" s="86"/>
      <c r="S608" s="86"/>
      <c r="T608" s="86"/>
      <c r="U608" s="86"/>
      <c r="V608" s="86"/>
      <c r="W608" s="86"/>
      <c r="X608" s="86"/>
      <c r="Y608" s="86"/>
      <c r="Z608" s="86"/>
      <c r="AA608" s="86"/>
    </row>
    <row r="609" spans="1:27" ht="14.25" customHeight="1" x14ac:dyDescent="0.35">
      <c r="A609" s="76">
        <v>0</v>
      </c>
      <c r="B609" s="87">
        <v>0</v>
      </c>
      <c r="C609" s="76"/>
      <c r="D609" s="78">
        <f>IF(C609=0,0,_xlfn.IFNA(IF( MATCH(C609,Rangliste!B:B,0)&gt;0,0,1),1))</f>
        <v>0</v>
      </c>
      <c r="E609" s="85" t="str">
        <f t="shared" si="2"/>
        <v/>
      </c>
      <c r="F609" s="85"/>
      <c r="G609" s="83"/>
      <c r="H609" s="86"/>
      <c r="I609" s="86"/>
      <c r="J609" s="86"/>
      <c r="K609" s="62"/>
      <c r="L609" s="86"/>
      <c r="M609" s="86"/>
      <c r="N609" s="86"/>
      <c r="O609" s="86"/>
      <c r="P609" s="86"/>
      <c r="Q609" s="86"/>
      <c r="R609" s="86"/>
      <c r="S609" s="86"/>
      <c r="T609" s="86"/>
      <c r="U609" s="86"/>
      <c r="V609" s="86"/>
      <c r="W609" s="86"/>
      <c r="X609" s="86"/>
      <c r="Y609" s="86"/>
      <c r="Z609" s="86"/>
      <c r="AA609" s="86"/>
    </row>
    <row r="610" spans="1:27" ht="14.25" customHeight="1" x14ac:dyDescent="0.35">
      <c r="A610" s="76">
        <v>0</v>
      </c>
      <c r="B610" s="87">
        <v>0</v>
      </c>
      <c r="C610" s="76"/>
      <c r="D610" s="78">
        <f>IF(C610=0,0,_xlfn.IFNA(IF( MATCH(C610,Rangliste!B:B,0)&gt;0,0,1),1))</f>
        <v>0</v>
      </c>
      <c r="E610" s="85" t="str">
        <f t="shared" si="2"/>
        <v/>
      </c>
      <c r="F610" s="85"/>
      <c r="G610" s="83"/>
      <c r="H610" s="86"/>
      <c r="I610" s="86"/>
      <c r="J610" s="86"/>
      <c r="K610" s="62"/>
      <c r="L610" s="86"/>
      <c r="M610" s="86"/>
      <c r="N610" s="86"/>
      <c r="O610" s="86"/>
      <c r="P610" s="86"/>
      <c r="Q610" s="86"/>
      <c r="R610" s="86"/>
      <c r="S610" s="86"/>
      <c r="T610" s="86"/>
      <c r="U610" s="86"/>
      <c r="V610" s="86"/>
      <c r="W610" s="86"/>
      <c r="X610" s="86"/>
      <c r="Y610" s="86"/>
      <c r="Z610" s="86"/>
      <c r="AA610" s="86"/>
    </row>
    <row r="611" spans="1:27" ht="14.25" customHeight="1" x14ac:dyDescent="0.35">
      <c r="A611" s="76">
        <v>0</v>
      </c>
      <c r="B611" s="87">
        <v>0</v>
      </c>
      <c r="C611" s="76"/>
      <c r="D611" s="78">
        <f>IF(C611=0,0,_xlfn.IFNA(IF( MATCH(C611,Rangliste!B:B,0)&gt;0,0,1),1))</f>
        <v>0</v>
      </c>
      <c r="E611" s="85" t="str">
        <f t="shared" si="2"/>
        <v/>
      </c>
      <c r="F611" s="85"/>
      <c r="G611" s="83"/>
      <c r="H611" s="86"/>
      <c r="I611" s="86"/>
      <c r="J611" s="86"/>
      <c r="K611" s="62"/>
      <c r="L611" s="86"/>
      <c r="M611" s="86"/>
      <c r="N611" s="86"/>
      <c r="O611" s="86"/>
      <c r="P611" s="86"/>
      <c r="Q611" s="86"/>
      <c r="R611" s="86"/>
      <c r="S611" s="86"/>
      <c r="T611" s="86"/>
      <c r="U611" s="86"/>
      <c r="V611" s="86"/>
      <c r="W611" s="86"/>
      <c r="X611" s="86"/>
      <c r="Y611" s="86"/>
      <c r="Z611" s="86"/>
      <c r="AA611" s="86"/>
    </row>
    <row r="612" spans="1:27" ht="14.25" customHeight="1" x14ac:dyDescent="0.35">
      <c r="A612" s="76">
        <f t="array" ref="A612:A627">'Regioturnier 3'!$J$3:$J$18</f>
        <v>0</v>
      </c>
      <c r="B612" s="87">
        <f t="array" ref="B612:B643">'NÖBV 1'!$N$3:$N$34</f>
        <v>0</v>
      </c>
      <c r="C612" s="76"/>
      <c r="D612" s="78">
        <f>IF(C612=0,0,_xlfn.IFNA(IF( MATCH(C612,Rangliste!B:B,0)&gt;0,0,1),1))</f>
        <v>0</v>
      </c>
      <c r="E612" s="85" t="str">
        <f t="shared" si="2"/>
        <v/>
      </c>
      <c r="F612" s="85"/>
      <c r="G612" s="83"/>
      <c r="H612" s="86"/>
      <c r="I612" s="86"/>
      <c r="J612" s="86"/>
      <c r="K612" s="62"/>
      <c r="L612" s="86"/>
      <c r="M612" s="86"/>
      <c r="N612" s="86"/>
      <c r="O612" s="86"/>
      <c r="P612" s="86"/>
      <c r="Q612" s="86"/>
      <c r="R612" s="86"/>
      <c r="S612" s="86"/>
      <c r="T612" s="86"/>
      <c r="U612" s="86"/>
      <c r="V612" s="86"/>
      <c r="W612" s="86"/>
      <c r="X612" s="86"/>
      <c r="Y612" s="86"/>
      <c r="Z612" s="86"/>
      <c r="AA612" s="86"/>
    </row>
    <row r="613" spans="1:27" ht="14.25" customHeight="1" x14ac:dyDescent="0.35">
      <c r="A613" s="76">
        <v>0</v>
      </c>
      <c r="B613" s="87">
        <v>0</v>
      </c>
      <c r="C613" s="76"/>
      <c r="D613" s="78">
        <f>IF(C613=0,0,_xlfn.IFNA(IF( MATCH(C613,Rangliste!B:B,0)&gt;0,0,1),1))</f>
        <v>0</v>
      </c>
      <c r="E613" s="85" t="str">
        <f t="shared" si="2"/>
        <v/>
      </c>
      <c r="F613" s="85"/>
      <c r="G613" s="83"/>
      <c r="H613" s="86"/>
      <c r="I613" s="86"/>
      <c r="J613" s="86"/>
      <c r="K613" s="62"/>
      <c r="L613" s="86"/>
      <c r="M613" s="86"/>
      <c r="N613" s="86"/>
      <c r="O613" s="86"/>
      <c r="P613" s="86"/>
      <c r="Q613" s="86"/>
      <c r="R613" s="86"/>
      <c r="S613" s="86"/>
      <c r="T613" s="86"/>
      <c r="U613" s="86"/>
      <c r="V613" s="86"/>
      <c r="W613" s="86"/>
      <c r="X613" s="86"/>
      <c r="Y613" s="86"/>
      <c r="Z613" s="86"/>
      <c r="AA613" s="86"/>
    </row>
    <row r="614" spans="1:27" ht="14.25" customHeight="1" x14ac:dyDescent="0.35">
      <c r="A614" s="76">
        <v>0</v>
      </c>
      <c r="B614" s="87">
        <v>0</v>
      </c>
      <c r="C614" s="76"/>
      <c r="D614" s="78">
        <f>IF(C614=0,0,_xlfn.IFNA(IF( MATCH(C614,Rangliste!B:B,0)&gt;0,0,1),1))</f>
        <v>0</v>
      </c>
      <c r="E614" s="85" t="str">
        <f t="shared" si="2"/>
        <v/>
      </c>
      <c r="F614" s="85"/>
      <c r="G614" s="83"/>
      <c r="H614" s="86"/>
      <c r="I614" s="86"/>
      <c r="J614" s="86"/>
      <c r="K614" s="62"/>
      <c r="L614" s="86"/>
      <c r="M614" s="86"/>
      <c r="N614" s="86"/>
      <c r="O614" s="86"/>
      <c r="P614" s="86"/>
      <c r="Q614" s="86"/>
      <c r="R614" s="86"/>
      <c r="S614" s="86"/>
      <c r="T614" s="86"/>
      <c r="U614" s="86"/>
      <c r="V614" s="86"/>
      <c r="W614" s="86"/>
      <c r="X614" s="86"/>
      <c r="Y614" s="86"/>
      <c r="Z614" s="86"/>
      <c r="AA614" s="86"/>
    </row>
    <row r="615" spans="1:27" ht="14.25" customHeight="1" x14ac:dyDescent="0.35">
      <c r="A615" s="76">
        <v>0</v>
      </c>
      <c r="B615" s="87">
        <v>0</v>
      </c>
      <c r="C615" s="76"/>
      <c r="D615" s="78">
        <f>IF(C615=0,0,_xlfn.IFNA(IF( MATCH(C615,Rangliste!B:B,0)&gt;0,0,1),1))</f>
        <v>0</v>
      </c>
      <c r="E615" s="85" t="str">
        <f t="shared" si="2"/>
        <v/>
      </c>
      <c r="F615" s="85"/>
      <c r="G615" s="83"/>
      <c r="H615" s="86"/>
      <c r="I615" s="86"/>
      <c r="J615" s="86"/>
      <c r="K615" s="62"/>
      <c r="L615" s="86"/>
      <c r="M615" s="86"/>
      <c r="N615" s="86"/>
      <c r="O615" s="86"/>
      <c r="P615" s="86"/>
      <c r="Q615" s="86"/>
      <c r="R615" s="86"/>
      <c r="S615" s="86"/>
      <c r="T615" s="86"/>
      <c r="U615" s="86"/>
      <c r="V615" s="86"/>
      <c r="W615" s="86"/>
      <c r="X615" s="86"/>
      <c r="Y615" s="86"/>
      <c r="Z615" s="86"/>
      <c r="AA615" s="86"/>
    </row>
    <row r="616" spans="1:27" ht="14.25" customHeight="1" x14ac:dyDescent="0.35">
      <c r="A616" s="76">
        <v>0</v>
      </c>
      <c r="B616" s="87">
        <v>0</v>
      </c>
      <c r="C616" s="76"/>
      <c r="D616" s="78">
        <f>IF(C616=0,0,_xlfn.IFNA(IF( MATCH(C616,Rangliste!B:B,0)&gt;0,0,1),1))</f>
        <v>0</v>
      </c>
      <c r="E616" s="85" t="str">
        <f t="shared" si="2"/>
        <v/>
      </c>
      <c r="F616" s="85"/>
      <c r="G616" s="83"/>
      <c r="H616" s="86"/>
      <c r="I616" s="86"/>
      <c r="J616" s="86"/>
      <c r="K616" s="62"/>
      <c r="L616" s="86"/>
      <c r="M616" s="86"/>
      <c r="N616" s="86"/>
      <c r="O616" s="86"/>
      <c r="P616" s="86"/>
      <c r="Q616" s="86"/>
      <c r="R616" s="86"/>
      <c r="S616" s="86"/>
      <c r="T616" s="86"/>
      <c r="U616" s="86"/>
      <c r="V616" s="86"/>
      <c r="W616" s="86"/>
      <c r="X616" s="86"/>
      <c r="Y616" s="86"/>
      <c r="Z616" s="86"/>
      <c r="AA616" s="86"/>
    </row>
    <row r="617" spans="1:27" ht="14.25" customHeight="1" x14ac:dyDescent="0.35">
      <c r="A617" s="76">
        <v>0</v>
      </c>
      <c r="B617" s="87">
        <v>0</v>
      </c>
      <c r="C617" s="76"/>
      <c r="D617" s="78">
        <f>IF(C617=0,0,_xlfn.IFNA(IF( MATCH(C617,Rangliste!B:B,0)&gt;0,0,1),1))</f>
        <v>0</v>
      </c>
      <c r="E617" s="85" t="str">
        <f t="shared" si="2"/>
        <v/>
      </c>
      <c r="F617" s="85"/>
      <c r="G617" s="83"/>
      <c r="H617" s="86"/>
      <c r="I617" s="86"/>
      <c r="J617" s="86"/>
      <c r="K617" s="62"/>
      <c r="L617" s="86"/>
      <c r="M617" s="86"/>
      <c r="N617" s="86"/>
      <c r="O617" s="86"/>
      <c r="P617" s="86"/>
      <c r="Q617" s="86"/>
      <c r="R617" s="86"/>
      <c r="S617" s="86"/>
      <c r="T617" s="86"/>
      <c r="U617" s="86"/>
      <c r="V617" s="86"/>
      <c r="W617" s="86"/>
      <c r="X617" s="86"/>
      <c r="Y617" s="86"/>
      <c r="Z617" s="86"/>
      <c r="AA617" s="86"/>
    </row>
    <row r="618" spans="1:27" ht="14.25" customHeight="1" x14ac:dyDescent="0.35">
      <c r="A618" s="76">
        <v>0</v>
      </c>
      <c r="B618" s="87">
        <v>0</v>
      </c>
      <c r="C618" s="76"/>
      <c r="D618" s="78">
        <f>IF(C618=0,0,_xlfn.IFNA(IF( MATCH(C618,Rangliste!B:B,0)&gt;0,0,1),1))</f>
        <v>0</v>
      </c>
      <c r="E618" s="85" t="str">
        <f t="shared" si="2"/>
        <v/>
      </c>
      <c r="F618" s="85"/>
      <c r="G618" s="83"/>
      <c r="H618" s="86"/>
      <c r="I618" s="86"/>
      <c r="J618" s="86"/>
      <c r="K618" s="62"/>
      <c r="L618" s="86"/>
      <c r="M618" s="86"/>
      <c r="N618" s="86"/>
      <c r="O618" s="86"/>
      <c r="P618" s="86"/>
      <c r="Q618" s="86"/>
      <c r="R618" s="86"/>
      <c r="S618" s="86"/>
      <c r="T618" s="86"/>
      <c r="U618" s="86"/>
      <c r="V618" s="86"/>
      <c r="W618" s="86"/>
      <c r="X618" s="86"/>
      <c r="Y618" s="86"/>
      <c r="Z618" s="86"/>
      <c r="AA618" s="86"/>
    </row>
    <row r="619" spans="1:27" ht="14.25" customHeight="1" x14ac:dyDescent="0.35">
      <c r="A619" s="76">
        <v>0</v>
      </c>
      <c r="B619" s="87">
        <v>0</v>
      </c>
      <c r="C619" s="76"/>
      <c r="D619" s="78">
        <f>IF(C619=0,0,_xlfn.IFNA(IF( MATCH(C619,Rangliste!B:B,0)&gt;0,0,1),1))</f>
        <v>0</v>
      </c>
      <c r="E619" s="85" t="str">
        <f t="shared" si="2"/>
        <v/>
      </c>
      <c r="F619" s="85"/>
      <c r="G619" s="83"/>
      <c r="H619" s="86"/>
      <c r="I619" s="86"/>
      <c r="J619" s="86"/>
      <c r="K619" s="62"/>
      <c r="L619" s="86"/>
      <c r="M619" s="86"/>
      <c r="N619" s="86"/>
      <c r="O619" s="86"/>
      <c r="P619" s="86"/>
      <c r="Q619" s="86"/>
      <c r="R619" s="86"/>
      <c r="S619" s="86"/>
      <c r="T619" s="86"/>
      <c r="U619" s="86"/>
      <c r="V619" s="86"/>
      <c r="W619" s="86"/>
      <c r="X619" s="86"/>
      <c r="Y619" s="86"/>
      <c r="Z619" s="86"/>
      <c r="AA619" s="86"/>
    </row>
    <row r="620" spans="1:27" ht="14.25" customHeight="1" x14ac:dyDescent="0.35">
      <c r="A620" s="76">
        <v>0</v>
      </c>
      <c r="B620" s="87">
        <v>0</v>
      </c>
      <c r="C620" s="76"/>
      <c r="D620" s="78">
        <f>IF(C620=0,0,_xlfn.IFNA(IF( MATCH(C620,Rangliste!B:B,0)&gt;0,0,1),1))</f>
        <v>0</v>
      </c>
      <c r="E620" s="85" t="str">
        <f t="shared" si="2"/>
        <v/>
      </c>
      <c r="F620" s="85"/>
      <c r="G620" s="83"/>
      <c r="H620" s="86"/>
      <c r="I620" s="86"/>
      <c r="J620" s="86"/>
      <c r="K620" s="62"/>
      <c r="L620" s="86"/>
      <c r="M620" s="86"/>
      <c r="N620" s="86"/>
      <c r="O620" s="86"/>
      <c r="P620" s="86"/>
      <c r="Q620" s="86"/>
      <c r="R620" s="86"/>
      <c r="S620" s="86"/>
      <c r="T620" s="86"/>
      <c r="U620" s="86"/>
      <c r="V620" s="86"/>
      <c r="W620" s="86"/>
      <c r="X620" s="86"/>
      <c r="Y620" s="86"/>
      <c r="Z620" s="86"/>
      <c r="AA620" s="86"/>
    </row>
    <row r="621" spans="1:27" ht="14.25" customHeight="1" x14ac:dyDescent="0.35">
      <c r="A621" s="76">
        <v>0</v>
      </c>
      <c r="B621" s="87">
        <v>0</v>
      </c>
      <c r="C621" s="76"/>
      <c r="D621" s="78">
        <f>IF(C621=0,0,_xlfn.IFNA(IF( MATCH(C621,Rangliste!B:B,0)&gt;0,0,1),1))</f>
        <v>0</v>
      </c>
      <c r="E621" s="85" t="str">
        <f t="shared" si="2"/>
        <v/>
      </c>
      <c r="F621" s="85"/>
      <c r="G621" s="83"/>
      <c r="H621" s="86"/>
      <c r="I621" s="86"/>
      <c r="J621" s="86"/>
      <c r="K621" s="62"/>
      <c r="L621" s="86"/>
      <c r="M621" s="86"/>
      <c r="N621" s="86"/>
      <c r="O621" s="86"/>
      <c r="P621" s="86"/>
      <c r="Q621" s="86"/>
      <c r="R621" s="86"/>
      <c r="S621" s="86"/>
      <c r="T621" s="86"/>
      <c r="U621" s="86"/>
      <c r="V621" s="86"/>
      <c r="W621" s="86"/>
      <c r="X621" s="86"/>
      <c r="Y621" s="86"/>
      <c r="Z621" s="86"/>
      <c r="AA621" s="86"/>
    </row>
    <row r="622" spans="1:27" ht="14.25" customHeight="1" x14ac:dyDescent="0.35">
      <c r="A622" s="76">
        <v>0</v>
      </c>
      <c r="B622" s="87">
        <v>0</v>
      </c>
      <c r="C622" s="76"/>
      <c r="D622" s="78">
        <f>IF(C622=0,0,_xlfn.IFNA(IF( MATCH(C622,Rangliste!B:B,0)&gt;0,0,1),1))</f>
        <v>0</v>
      </c>
      <c r="E622" s="85" t="str">
        <f t="shared" si="2"/>
        <v/>
      </c>
      <c r="F622" s="85"/>
      <c r="G622" s="83"/>
      <c r="H622" s="86"/>
      <c r="I622" s="86"/>
      <c r="J622" s="86"/>
      <c r="K622" s="62"/>
      <c r="L622" s="86"/>
      <c r="M622" s="86"/>
      <c r="N622" s="86"/>
      <c r="O622" s="86"/>
      <c r="P622" s="86"/>
      <c r="Q622" s="86"/>
      <c r="R622" s="86"/>
      <c r="S622" s="86"/>
      <c r="T622" s="86"/>
      <c r="U622" s="86"/>
      <c r="V622" s="86"/>
      <c r="W622" s="86"/>
      <c r="X622" s="86"/>
      <c r="Y622" s="86"/>
      <c r="Z622" s="86"/>
      <c r="AA622" s="86"/>
    </row>
    <row r="623" spans="1:27" ht="14.25" customHeight="1" x14ac:dyDescent="0.35">
      <c r="A623" s="76">
        <v>0</v>
      </c>
      <c r="B623" s="87">
        <v>0</v>
      </c>
      <c r="C623" s="76"/>
      <c r="D623" s="78">
        <f>IF(C623=0,0,_xlfn.IFNA(IF( MATCH(C623,Rangliste!B:B,0)&gt;0,0,1),1))</f>
        <v>0</v>
      </c>
      <c r="E623" s="85" t="str">
        <f t="shared" si="2"/>
        <v/>
      </c>
      <c r="F623" s="85"/>
      <c r="G623" s="83"/>
      <c r="H623" s="86"/>
      <c r="I623" s="86"/>
      <c r="J623" s="86"/>
      <c r="K623" s="62"/>
      <c r="L623" s="86"/>
      <c r="M623" s="86"/>
      <c r="N623" s="86"/>
      <c r="O623" s="86"/>
      <c r="P623" s="86"/>
      <c r="Q623" s="86"/>
      <c r="R623" s="86"/>
      <c r="S623" s="86"/>
      <c r="T623" s="86"/>
      <c r="U623" s="86"/>
      <c r="V623" s="86"/>
      <c r="W623" s="86"/>
      <c r="X623" s="86"/>
      <c r="Y623" s="86"/>
      <c r="Z623" s="86"/>
      <c r="AA623" s="86"/>
    </row>
    <row r="624" spans="1:27" ht="14.25" customHeight="1" x14ac:dyDescent="0.35">
      <c r="A624" s="76">
        <v>0</v>
      </c>
      <c r="B624" s="87">
        <v>0</v>
      </c>
      <c r="C624" s="76"/>
      <c r="D624" s="78">
        <f>IF(C624=0,0,_xlfn.IFNA(IF( MATCH(C624,Rangliste!B:B,0)&gt;0,0,1),1))</f>
        <v>0</v>
      </c>
      <c r="E624" s="85" t="str">
        <f t="shared" si="2"/>
        <v/>
      </c>
      <c r="F624" s="85"/>
      <c r="G624" s="83"/>
      <c r="H624" s="86"/>
      <c r="I624" s="86"/>
      <c r="J624" s="86"/>
      <c r="K624" s="62"/>
      <c r="L624" s="86"/>
      <c r="M624" s="86"/>
      <c r="N624" s="86"/>
      <c r="O624" s="86"/>
      <c r="P624" s="86"/>
      <c r="Q624" s="86"/>
      <c r="R624" s="86"/>
      <c r="S624" s="86"/>
      <c r="T624" s="86"/>
      <c r="U624" s="86"/>
      <c r="V624" s="86"/>
      <c r="W624" s="86"/>
      <c r="X624" s="86"/>
      <c r="Y624" s="86"/>
      <c r="Z624" s="86"/>
      <c r="AA624" s="86"/>
    </row>
    <row r="625" spans="1:27" ht="14.25" customHeight="1" x14ac:dyDescent="0.35">
      <c r="A625" s="76">
        <v>0</v>
      </c>
      <c r="B625" s="87">
        <v>0</v>
      </c>
      <c r="C625" s="76"/>
      <c r="D625" s="78">
        <f>IF(C625=0,0,_xlfn.IFNA(IF( MATCH(C625,Rangliste!B:B,0)&gt;0,0,1),1))</f>
        <v>0</v>
      </c>
      <c r="E625" s="85" t="str">
        <f t="shared" si="2"/>
        <v/>
      </c>
      <c r="F625" s="85"/>
      <c r="G625" s="83"/>
      <c r="H625" s="86"/>
      <c r="I625" s="86"/>
      <c r="J625" s="86"/>
      <c r="K625" s="62"/>
      <c r="L625" s="86"/>
      <c r="M625" s="86"/>
      <c r="N625" s="86"/>
      <c r="O625" s="86"/>
      <c r="P625" s="86"/>
      <c r="Q625" s="86"/>
      <c r="R625" s="86"/>
      <c r="S625" s="86"/>
      <c r="T625" s="86"/>
      <c r="U625" s="86"/>
      <c r="V625" s="86"/>
      <c r="W625" s="86"/>
      <c r="X625" s="86"/>
      <c r="Y625" s="86"/>
      <c r="Z625" s="86"/>
      <c r="AA625" s="86"/>
    </row>
    <row r="626" spans="1:27" ht="14.25" customHeight="1" x14ac:dyDescent="0.35">
      <c r="A626" s="76">
        <v>0</v>
      </c>
      <c r="B626" s="87">
        <v>0</v>
      </c>
      <c r="C626" s="76"/>
      <c r="D626" s="78">
        <f>IF(C626=0,0,_xlfn.IFNA(IF( MATCH(C626,Rangliste!B:B,0)&gt;0,0,1),1))</f>
        <v>0</v>
      </c>
      <c r="E626" s="85" t="str">
        <f t="shared" si="2"/>
        <v/>
      </c>
      <c r="F626" s="85"/>
      <c r="G626" s="83"/>
      <c r="H626" s="86"/>
      <c r="I626" s="86"/>
      <c r="J626" s="86"/>
      <c r="K626" s="62"/>
      <c r="L626" s="86"/>
      <c r="M626" s="86"/>
      <c r="N626" s="86"/>
      <c r="O626" s="86"/>
      <c r="P626" s="86"/>
      <c r="Q626" s="86"/>
      <c r="R626" s="86"/>
      <c r="S626" s="86"/>
      <c r="T626" s="86"/>
      <c r="U626" s="86"/>
      <c r="V626" s="86"/>
      <c r="W626" s="86"/>
      <c r="X626" s="86"/>
      <c r="Y626" s="86"/>
      <c r="Z626" s="86"/>
      <c r="AA626" s="86"/>
    </row>
    <row r="627" spans="1:27" ht="14.25" customHeight="1" x14ac:dyDescent="0.35">
      <c r="A627" s="76">
        <v>0</v>
      </c>
      <c r="B627" s="87">
        <v>0</v>
      </c>
      <c r="C627" s="76"/>
      <c r="D627" s="78">
        <f>IF(C627=0,0,_xlfn.IFNA(IF( MATCH(C627,Rangliste!B:B,0)&gt;0,0,1),1))</f>
        <v>0</v>
      </c>
      <c r="E627" s="85" t="str">
        <f t="shared" si="2"/>
        <v/>
      </c>
      <c r="F627" s="85"/>
      <c r="G627" s="83"/>
      <c r="H627" s="86"/>
      <c r="I627" s="86"/>
      <c r="J627" s="86"/>
      <c r="K627" s="62"/>
      <c r="L627" s="86"/>
      <c r="M627" s="86"/>
      <c r="N627" s="86"/>
      <c r="O627" s="86"/>
      <c r="P627" s="86"/>
      <c r="Q627" s="86"/>
      <c r="R627" s="86"/>
      <c r="S627" s="86"/>
      <c r="T627" s="86"/>
      <c r="U627" s="86"/>
      <c r="V627" s="86"/>
      <c r="W627" s="86"/>
      <c r="X627" s="86"/>
      <c r="Y627" s="86"/>
      <c r="Z627" s="86"/>
      <c r="AA627" s="86"/>
    </row>
    <row r="628" spans="1:27" ht="14.25" customHeight="1" x14ac:dyDescent="0.35">
      <c r="A628" s="76">
        <f t="array" ref="A628:A643">'Regioturnier 3'!$N$3:$N$18</f>
        <v>0</v>
      </c>
      <c r="B628" s="87">
        <v>0</v>
      </c>
      <c r="C628" s="76"/>
      <c r="D628" s="78">
        <f>IF(C628=0,0,_xlfn.IFNA(IF( MATCH(C628,Rangliste!B:B,0)&gt;0,0,1),1))</f>
        <v>0</v>
      </c>
      <c r="E628" s="85" t="str">
        <f t="shared" si="2"/>
        <v/>
      </c>
      <c r="F628" s="85"/>
      <c r="G628" s="83"/>
      <c r="H628" s="86"/>
      <c r="I628" s="86"/>
      <c r="J628" s="86"/>
      <c r="K628" s="62"/>
      <c r="L628" s="86"/>
      <c r="M628" s="86"/>
      <c r="N628" s="86"/>
      <c r="O628" s="86"/>
      <c r="P628" s="86"/>
      <c r="Q628" s="86"/>
      <c r="R628" s="86"/>
      <c r="S628" s="86"/>
      <c r="T628" s="86"/>
      <c r="U628" s="86"/>
      <c r="V628" s="86"/>
      <c r="W628" s="86"/>
      <c r="X628" s="86"/>
      <c r="Y628" s="86"/>
      <c r="Z628" s="86"/>
      <c r="AA628" s="86"/>
    </row>
    <row r="629" spans="1:27" ht="14.25" customHeight="1" x14ac:dyDescent="0.35">
      <c r="A629" s="76">
        <v>0</v>
      </c>
      <c r="B629" s="87">
        <v>0</v>
      </c>
      <c r="C629" s="76"/>
      <c r="D629" s="78">
        <f>IF(C629=0,0,_xlfn.IFNA(IF( MATCH(C629,Rangliste!B:B,0)&gt;0,0,1),1))</f>
        <v>0</v>
      </c>
      <c r="E629" s="85" t="str">
        <f t="shared" si="2"/>
        <v/>
      </c>
      <c r="F629" s="85"/>
      <c r="G629" s="83"/>
      <c r="H629" s="86"/>
      <c r="I629" s="86"/>
      <c r="J629" s="86"/>
      <c r="K629" s="62"/>
      <c r="L629" s="86"/>
      <c r="M629" s="86"/>
      <c r="N629" s="86"/>
      <c r="O629" s="86"/>
      <c r="P629" s="86"/>
      <c r="Q629" s="86"/>
      <c r="R629" s="86"/>
      <c r="S629" s="86"/>
      <c r="T629" s="86"/>
      <c r="U629" s="86"/>
      <c r="V629" s="86"/>
      <c r="W629" s="86"/>
      <c r="X629" s="86"/>
      <c r="Y629" s="86"/>
      <c r="Z629" s="86"/>
      <c r="AA629" s="86"/>
    </row>
    <row r="630" spans="1:27" ht="14.25" customHeight="1" x14ac:dyDescent="0.35">
      <c r="A630" s="76">
        <v>0</v>
      </c>
      <c r="B630" s="87">
        <v>0</v>
      </c>
      <c r="C630" s="76"/>
      <c r="D630" s="78">
        <f>IF(C630=0,0,_xlfn.IFNA(IF( MATCH(C630,Rangliste!B:B,0)&gt;0,0,1),1))</f>
        <v>0</v>
      </c>
      <c r="E630" s="85" t="str">
        <f t="shared" si="2"/>
        <v/>
      </c>
      <c r="F630" s="85"/>
      <c r="G630" s="83"/>
      <c r="H630" s="86"/>
      <c r="I630" s="86"/>
      <c r="J630" s="86"/>
      <c r="K630" s="62"/>
      <c r="L630" s="86"/>
      <c r="M630" s="86"/>
      <c r="N630" s="86"/>
      <c r="O630" s="86"/>
      <c r="P630" s="86"/>
      <c r="Q630" s="86"/>
      <c r="R630" s="86"/>
      <c r="S630" s="86"/>
      <c r="T630" s="86"/>
      <c r="U630" s="86"/>
      <c r="V630" s="86"/>
      <c r="W630" s="86"/>
      <c r="X630" s="86"/>
      <c r="Y630" s="86"/>
      <c r="Z630" s="86"/>
      <c r="AA630" s="86"/>
    </row>
    <row r="631" spans="1:27" ht="14.25" customHeight="1" x14ac:dyDescent="0.35">
      <c r="A631" s="76">
        <v>0</v>
      </c>
      <c r="B631" s="87">
        <v>0</v>
      </c>
      <c r="C631" s="76"/>
      <c r="D631" s="78">
        <f>IF(C631=0,0,_xlfn.IFNA(IF( MATCH(C631,Rangliste!B:B,0)&gt;0,0,1),1))</f>
        <v>0</v>
      </c>
      <c r="E631" s="85" t="str">
        <f t="shared" si="2"/>
        <v/>
      </c>
      <c r="F631" s="85"/>
      <c r="G631" s="83"/>
      <c r="H631" s="86"/>
      <c r="I631" s="86"/>
      <c r="J631" s="86"/>
      <c r="K631" s="62"/>
      <c r="L631" s="86"/>
      <c r="M631" s="86"/>
      <c r="N631" s="86"/>
      <c r="O631" s="86"/>
      <c r="P631" s="86"/>
      <c r="Q631" s="86"/>
      <c r="R631" s="86"/>
      <c r="S631" s="86"/>
      <c r="T631" s="86"/>
      <c r="U631" s="86"/>
      <c r="V631" s="86"/>
      <c r="W631" s="86"/>
      <c r="X631" s="86"/>
      <c r="Y631" s="86"/>
      <c r="Z631" s="86"/>
      <c r="AA631" s="86"/>
    </row>
    <row r="632" spans="1:27" ht="14.25" customHeight="1" x14ac:dyDescent="0.35">
      <c r="A632" s="76">
        <v>0</v>
      </c>
      <c r="B632" s="87">
        <v>0</v>
      </c>
      <c r="C632" s="76"/>
      <c r="D632" s="78">
        <f>IF(C632=0,0,_xlfn.IFNA(IF( MATCH(C632,Rangliste!B:B,0)&gt;0,0,1),1))</f>
        <v>0</v>
      </c>
      <c r="E632" s="85" t="str">
        <f t="shared" si="2"/>
        <v/>
      </c>
      <c r="F632" s="85"/>
      <c r="G632" s="83"/>
      <c r="H632" s="86"/>
      <c r="I632" s="86"/>
      <c r="J632" s="86"/>
      <c r="K632" s="62"/>
      <c r="L632" s="86"/>
      <c r="M632" s="86"/>
      <c r="N632" s="86"/>
      <c r="O632" s="86"/>
      <c r="P632" s="86"/>
      <c r="Q632" s="86"/>
      <c r="R632" s="86"/>
      <c r="S632" s="86"/>
      <c r="T632" s="86"/>
      <c r="U632" s="86"/>
      <c r="V632" s="86"/>
      <c r="W632" s="86"/>
      <c r="X632" s="86"/>
      <c r="Y632" s="86"/>
      <c r="Z632" s="86"/>
      <c r="AA632" s="86"/>
    </row>
    <row r="633" spans="1:27" ht="14.25" customHeight="1" x14ac:dyDescent="0.35">
      <c r="A633" s="76">
        <v>0</v>
      </c>
      <c r="B633" s="87">
        <v>0</v>
      </c>
      <c r="C633" s="76"/>
      <c r="D633" s="78">
        <f>IF(C633=0,0,_xlfn.IFNA(IF( MATCH(C633,Rangliste!B:B,0)&gt;0,0,1),1))</f>
        <v>0</v>
      </c>
      <c r="E633" s="85" t="str">
        <f t="shared" si="2"/>
        <v/>
      </c>
      <c r="F633" s="85"/>
      <c r="G633" s="83"/>
      <c r="H633" s="86"/>
      <c r="I633" s="86"/>
      <c r="J633" s="86"/>
      <c r="K633" s="62"/>
      <c r="L633" s="86"/>
      <c r="M633" s="86"/>
      <c r="N633" s="86"/>
      <c r="O633" s="86"/>
      <c r="P633" s="86"/>
      <c r="Q633" s="86"/>
      <c r="R633" s="86"/>
      <c r="S633" s="86"/>
      <c r="T633" s="86"/>
      <c r="U633" s="86"/>
      <c r="V633" s="86"/>
      <c r="W633" s="86"/>
      <c r="X633" s="86"/>
      <c r="Y633" s="86"/>
      <c r="Z633" s="86"/>
      <c r="AA633" s="86"/>
    </row>
    <row r="634" spans="1:27" ht="14.25" customHeight="1" x14ac:dyDescent="0.35">
      <c r="A634" s="76">
        <v>0</v>
      </c>
      <c r="B634" s="87">
        <v>0</v>
      </c>
      <c r="C634" s="76"/>
      <c r="D634" s="78">
        <f>IF(C634=0,0,_xlfn.IFNA(IF( MATCH(C634,Rangliste!B:B,0)&gt;0,0,1),1))</f>
        <v>0</v>
      </c>
      <c r="E634" s="85" t="str">
        <f t="shared" si="2"/>
        <v/>
      </c>
      <c r="F634" s="85"/>
      <c r="G634" s="83"/>
      <c r="H634" s="86"/>
      <c r="I634" s="86"/>
      <c r="J634" s="86"/>
      <c r="K634" s="62"/>
      <c r="L634" s="86"/>
      <c r="M634" s="86"/>
      <c r="N634" s="86"/>
      <c r="O634" s="86"/>
      <c r="P634" s="86"/>
      <c r="Q634" s="86"/>
      <c r="R634" s="86"/>
      <c r="S634" s="86"/>
      <c r="T634" s="86"/>
      <c r="U634" s="86"/>
      <c r="V634" s="86"/>
      <c r="W634" s="86"/>
      <c r="X634" s="86"/>
      <c r="Y634" s="86"/>
      <c r="Z634" s="86"/>
      <c r="AA634" s="86"/>
    </row>
    <row r="635" spans="1:27" ht="14.25" customHeight="1" x14ac:dyDescent="0.35">
      <c r="A635" s="76">
        <v>0</v>
      </c>
      <c r="B635" s="87">
        <v>0</v>
      </c>
      <c r="C635" s="76"/>
      <c r="D635" s="78">
        <f>IF(C635=0,0,_xlfn.IFNA(IF( MATCH(C635,Rangliste!B:B,0)&gt;0,0,1),1))</f>
        <v>0</v>
      </c>
      <c r="E635" s="85" t="str">
        <f t="shared" si="2"/>
        <v/>
      </c>
      <c r="F635" s="85"/>
      <c r="G635" s="83"/>
      <c r="H635" s="86"/>
      <c r="I635" s="86"/>
      <c r="J635" s="86"/>
      <c r="K635" s="62"/>
      <c r="L635" s="86"/>
      <c r="M635" s="86"/>
      <c r="N635" s="86"/>
      <c r="O635" s="86"/>
      <c r="P635" s="86"/>
      <c r="Q635" s="86"/>
      <c r="R635" s="86"/>
      <c r="S635" s="86"/>
      <c r="T635" s="86"/>
      <c r="U635" s="86"/>
      <c r="V635" s="86"/>
      <c r="W635" s="86"/>
      <c r="X635" s="86"/>
      <c r="Y635" s="86"/>
      <c r="Z635" s="86"/>
      <c r="AA635" s="86"/>
    </row>
    <row r="636" spans="1:27" ht="14.25" customHeight="1" x14ac:dyDescent="0.35">
      <c r="A636" s="76">
        <v>0</v>
      </c>
      <c r="B636" s="87">
        <v>0</v>
      </c>
      <c r="C636" s="76"/>
      <c r="D636" s="78">
        <f>IF(C636=0,0,_xlfn.IFNA(IF( MATCH(C636,Rangliste!B:B,0)&gt;0,0,1),1))</f>
        <v>0</v>
      </c>
      <c r="E636" s="85" t="str">
        <f t="shared" si="2"/>
        <v/>
      </c>
      <c r="F636" s="85"/>
      <c r="G636" s="83"/>
      <c r="H636" s="86"/>
      <c r="I636" s="86"/>
      <c r="J636" s="86"/>
      <c r="K636" s="62"/>
      <c r="L636" s="86"/>
      <c r="M636" s="86"/>
      <c r="N636" s="86"/>
      <c r="O636" s="86"/>
      <c r="P636" s="86"/>
      <c r="Q636" s="86"/>
      <c r="R636" s="86"/>
      <c r="S636" s="86"/>
      <c r="T636" s="86"/>
      <c r="U636" s="86"/>
      <c r="V636" s="86"/>
      <c r="W636" s="86"/>
      <c r="X636" s="86"/>
      <c r="Y636" s="86"/>
      <c r="Z636" s="86"/>
      <c r="AA636" s="86"/>
    </row>
    <row r="637" spans="1:27" ht="14.25" customHeight="1" x14ac:dyDescent="0.35">
      <c r="A637" s="76">
        <v>0</v>
      </c>
      <c r="B637" s="87">
        <v>0</v>
      </c>
      <c r="C637" s="76"/>
      <c r="D637" s="78">
        <f>IF(C637=0,0,_xlfn.IFNA(IF( MATCH(C637,Rangliste!B:B,0)&gt;0,0,1),1))</f>
        <v>0</v>
      </c>
      <c r="E637" s="85" t="str">
        <f t="shared" si="2"/>
        <v/>
      </c>
      <c r="F637" s="85"/>
      <c r="G637" s="83"/>
      <c r="H637" s="86"/>
      <c r="I637" s="86"/>
      <c r="J637" s="86"/>
      <c r="K637" s="62"/>
      <c r="L637" s="86"/>
      <c r="M637" s="86"/>
      <c r="N637" s="86"/>
      <c r="O637" s="86"/>
      <c r="P637" s="86"/>
      <c r="Q637" s="86"/>
      <c r="R637" s="86"/>
      <c r="S637" s="86"/>
      <c r="T637" s="86"/>
      <c r="U637" s="86"/>
      <c r="V637" s="86"/>
      <c r="W637" s="86"/>
      <c r="X637" s="86"/>
      <c r="Y637" s="86"/>
      <c r="Z637" s="86"/>
      <c r="AA637" s="86"/>
    </row>
    <row r="638" spans="1:27" ht="14.25" customHeight="1" x14ac:dyDescent="0.35">
      <c r="A638" s="76">
        <v>0</v>
      </c>
      <c r="B638" s="87">
        <v>0</v>
      </c>
      <c r="C638" s="76"/>
      <c r="D638" s="78">
        <f>IF(C638=0,0,_xlfn.IFNA(IF( MATCH(C638,Rangliste!B:B,0)&gt;0,0,1),1))</f>
        <v>0</v>
      </c>
      <c r="E638" s="85" t="str">
        <f t="shared" si="2"/>
        <v/>
      </c>
      <c r="F638" s="85"/>
      <c r="G638" s="83"/>
      <c r="H638" s="86"/>
      <c r="I638" s="86"/>
      <c r="J638" s="86"/>
      <c r="K638" s="62"/>
      <c r="L638" s="86"/>
      <c r="M638" s="86"/>
      <c r="N638" s="86"/>
      <c r="O638" s="86"/>
      <c r="P638" s="86"/>
      <c r="Q638" s="86"/>
      <c r="R638" s="86"/>
      <c r="S638" s="86"/>
      <c r="T638" s="86"/>
      <c r="U638" s="86"/>
      <c r="V638" s="86"/>
      <c r="W638" s="86"/>
      <c r="X638" s="86"/>
      <c r="Y638" s="86"/>
      <c r="Z638" s="86"/>
      <c r="AA638" s="86"/>
    </row>
    <row r="639" spans="1:27" ht="14.25" customHeight="1" x14ac:dyDescent="0.35">
      <c r="A639" s="76">
        <v>0</v>
      </c>
      <c r="B639" s="87">
        <v>0</v>
      </c>
      <c r="C639" s="76"/>
      <c r="D639" s="78">
        <f>IF(C639=0,0,_xlfn.IFNA(IF( MATCH(C639,Rangliste!B:B,0)&gt;0,0,1),1))</f>
        <v>0</v>
      </c>
      <c r="E639" s="85" t="str">
        <f t="shared" si="2"/>
        <v/>
      </c>
      <c r="F639" s="85"/>
      <c r="G639" s="83"/>
      <c r="H639" s="86"/>
      <c r="I639" s="86"/>
      <c r="J639" s="86"/>
      <c r="K639" s="62"/>
      <c r="L639" s="86"/>
      <c r="M639" s="86"/>
      <c r="N639" s="86"/>
      <c r="O639" s="86"/>
      <c r="P639" s="86"/>
      <c r="Q639" s="86"/>
      <c r="R639" s="86"/>
      <c r="S639" s="86"/>
      <c r="T639" s="86"/>
      <c r="U639" s="86"/>
      <c r="V639" s="86"/>
      <c r="W639" s="86"/>
      <c r="X639" s="86"/>
      <c r="Y639" s="86"/>
      <c r="Z639" s="86"/>
      <c r="AA639" s="86"/>
    </row>
    <row r="640" spans="1:27" ht="14.25" customHeight="1" x14ac:dyDescent="0.35">
      <c r="A640" s="76">
        <v>0</v>
      </c>
      <c r="B640" s="87">
        <v>0</v>
      </c>
      <c r="C640" s="76"/>
      <c r="D640" s="78">
        <f>IF(C640=0,0,_xlfn.IFNA(IF( MATCH(C640,Rangliste!B:B,0)&gt;0,0,1),1))</f>
        <v>0</v>
      </c>
      <c r="E640" s="85" t="str">
        <f t="shared" si="2"/>
        <v/>
      </c>
      <c r="F640" s="85"/>
      <c r="G640" s="83"/>
      <c r="H640" s="86"/>
      <c r="I640" s="86"/>
      <c r="J640" s="86"/>
      <c r="K640" s="62"/>
      <c r="L640" s="86"/>
      <c r="M640" s="86"/>
      <c r="N640" s="86"/>
      <c r="O640" s="86"/>
      <c r="P640" s="86"/>
      <c r="Q640" s="86"/>
      <c r="R640" s="86"/>
      <c r="S640" s="86"/>
      <c r="T640" s="86"/>
      <c r="U640" s="86"/>
      <c r="V640" s="86"/>
      <c r="W640" s="86"/>
      <c r="X640" s="86"/>
      <c r="Y640" s="86"/>
      <c r="Z640" s="86"/>
      <c r="AA640" s="86"/>
    </row>
    <row r="641" spans="1:27" ht="14.25" customHeight="1" x14ac:dyDescent="0.35">
      <c r="A641" s="76">
        <v>0</v>
      </c>
      <c r="B641" s="87">
        <v>0</v>
      </c>
      <c r="C641" s="76"/>
      <c r="D641" s="78">
        <f>IF(C641=0,0,_xlfn.IFNA(IF( MATCH(C641,Rangliste!B:B,0)&gt;0,0,1),1))</f>
        <v>0</v>
      </c>
      <c r="E641" s="85" t="str">
        <f t="shared" si="2"/>
        <v/>
      </c>
      <c r="F641" s="85"/>
      <c r="G641" s="83"/>
      <c r="H641" s="86"/>
      <c r="I641" s="86"/>
      <c r="J641" s="86"/>
      <c r="K641" s="62"/>
      <c r="L641" s="86"/>
      <c r="M641" s="86"/>
      <c r="N641" s="86"/>
      <c r="O641" s="86"/>
      <c r="P641" s="86"/>
      <c r="Q641" s="86"/>
      <c r="R641" s="86"/>
      <c r="S641" s="86"/>
      <c r="T641" s="86"/>
      <c r="U641" s="86"/>
      <c r="V641" s="86"/>
      <c r="W641" s="86"/>
      <c r="X641" s="86"/>
      <c r="Y641" s="86"/>
      <c r="Z641" s="86"/>
      <c r="AA641" s="86"/>
    </row>
    <row r="642" spans="1:27" ht="14.25" customHeight="1" x14ac:dyDescent="0.35">
      <c r="A642" s="76">
        <v>0</v>
      </c>
      <c r="B642" s="87">
        <v>0</v>
      </c>
      <c r="C642" s="76"/>
      <c r="D642" s="78">
        <f>IF(C642=0,0,_xlfn.IFNA(IF( MATCH(C642,Rangliste!B:B,0)&gt;0,0,1),1))</f>
        <v>0</v>
      </c>
      <c r="E642" s="85" t="str">
        <f t="shared" si="2"/>
        <v/>
      </c>
      <c r="F642" s="85"/>
      <c r="G642" s="83"/>
      <c r="H642" s="86"/>
      <c r="I642" s="86"/>
      <c r="J642" s="86"/>
      <c r="K642" s="62"/>
      <c r="L642" s="86"/>
      <c r="M642" s="86"/>
      <c r="N642" s="86"/>
      <c r="O642" s="86"/>
      <c r="P642" s="86"/>
      <c r="Q642" s="86"/>
      <c r="R642" s="86"/>
      <c r="S642" s="86"/>
      <c r="T642" s="86"/>
      <c r="U642" s="86"/>
      <c r="V642" s="86"/>
      <c r="W642" s="86"/>
      <c r="X642" s="86"/>
      <c r="Y642" s="86"/>
      <c r="Z642" s="86"/>
      <c r="AA642" s="86"/>
    </row>
    <row r="643" spans="1:27" ht="14.25" customHeight="1" x14ac:dyDescent="0.35">
      <c r="A643" s="76">
        <v>0</v>
      </c>
      <c r="B643" s="87">
        <v>0</v>
      </c>
      <c r="C643" s="76"/>
      <c r="D643" s="78">
        <f>IF(C643=0,0,_xlfn.IFNA(IF( MATCH(C643,Rangliste!B:B,0)&gt;0,0,1),1))</f>
        <v>0</v>
      </c>
      <c r="E643" s="85" t="str">
        <f t="shared" si="2"/>
        <v/>
      </c>
      <c r="F643" s="85"/>
      <c r="G643" s="83"/>
      <c r="H643" s="86"/>
      <c r="I643" s="86"/>
      <c r="J643" s="86"/>
      <c r="K643" s="62"/>
      <c r="L643" s="86"/>
      <c r="M643" s="86"/>
      <c r="N643" s="86"/>
      <c r="O643" s="86"/>
      <c r="P643" s="86"/>
      <c r="Q643" s="86"/>
      <c r="R643" s="86"/>
      <c r="S643" s="86"/>
      <c r="T643" s="86"/>
      <c r="U643" s="86"/>
      <c r="V643" s="86"/>
      <c r="W643" s="86"/>
      <c r="X643" s="86"/>
      <c r="Y643" s="86"/>
      <c r="Z643" s="86"/>
      <c r="AA643" s="86"/>
    </row>
    <row r="644" spans="1:27" ht="14.25" customHeight="1" x14ac:dyDescent="0.35">
      <c r="A644" s="76" t="str">
        <f t="array" ref="A644:A659">'Regioturnier 1'!$R$3:$R$18</f>
        <v>Laura Schindler</v>
      </c>
      <c r="B644" s="84" t="str">
        <f t="array" ref="B644:B675">'NÖBV 2'!$B$3:$B$34</f>
        <v>Felix Österreicher</v>
      </c>
      <c r="C644" s="76"/>
      <c r="D644" s="78">
        <f>IF(C644=0,0,_xlfn.IFNA(IF( MATCH(C644,Rangliste!B:B,0)&gt;0,0,1),1))</f>
        <v>0</v>
      </c>
      <c r="E644" s="85" t="str">
        <f t="shared" si="2"/>
        <v/>
      </c>
      <c r="F644" s="85"/>
      <c r="G644" s="83"/>
      <c r="H644" s="86"/>
      <c r="I644" s="86"/>
      <c r="J644" s="86"/>
      <c r="K644" s="62"/>
      <c r="L644" s="86"/>
      <c r="M644" s="86"/>
      <c r="N644" s="86"/>
      <c r="O644" s="86"/>
      <c r="P644" s="86"/>
      <c r="Q644" s="86"/>
      <c r="R644" s="86"/>
      <c r="S644" s="86"/>
      <c r="T644" s="86"/>
      <c r="U644" s="86"/>
      <c r="V644" s="86"/>
      <c r="W644" s="86"/>
      <c r="X644" s="86"/>
      <c r="Y644" s="86"/>
      <c r="Z644" s="86"/>
      <c r="AA644" s="86"/>
    </row>
    <row r="645" spans="1:27" ht="14.25" customHeight="1" x14ac:dyDescent="0.35">
      <c r="A645" s="76" t="str">
        <v>Emilia Nagy</v>
      </c>
      <c r="B645" s="77" t="str">
        <v>Wenzel Tiapal</v>
      </c>
      <c r="C645" s="76"/>
      <c r="D645" s="78">
        <f>IF(C645=0,0,_xlfn.IFNA(IF( MATCH(C645,Rangliste!B:B,0)&gt;0,0,1),1))</f>
        <v>0</v>
      </c>
      <c r="E645" s="85" t="str">
        <f t="shared" si="2"/>
        <v/>
      </c>
      <c r="F645" s="85"/>
      <c r="G645" s="83"/>
      <c r="H645" s="86"/>
      <c r="I645" s="86"/>
      <c r="J645" s="86"/>
      <c r="K645" s="62"/>
      <c r="L645" s="86"/>
      <c r="M645" s="86"/>
      <c r="N645" s="86"/>
      <c r="O645" s="86"/>
      <c r="P645" s="86"/>
      <c r="Q645" s="86"/>
      <c r="R645" s="86"/>
      <c r="S645" s="86"/>
      <c r="T645" s="86"/>
      <c r="U645" s="86"/>
      <c r="V645" s="86"/>
      <c r="W645" s="86"/>
      <c r="X645" s="86"/>
      <c r="Y645" s="86"/>
      <c r="Z645" s="86"/>
      <c r="AA645" s="86"/>
    </row>
    <row r="646" spans="1:27" ht="14.25" customHeight="1" x14ac:dyDescent="0.35">
      <c r="A646" s="76" t="str">
        <v>Anja Reisinger</v>
      </c>
      <c r="B646" s="77" t="str">
        <v>Maximilian Grünwald</v>
      </c>
      <c r="C646" s="76"/>
      <c r="D646" s="78">
        <f>IF(C646=0,0,_xlfn.IFNA(IF( MATCH(C646,Rangliste!B:B,0)&gt;0,0,1),1))</f>
        <v>0</v>
      </c>
      <c r="E646" s="85" t="str">
        <f t="shared" si="2"/>
        <v/>
      </c>
      <c r="F646" s="85"/>
      <c r="G646" s="83"/>
      <c r="H646" s="86"/>
      <c r="I646" s="86"/>
      <c r="J646" s="86"/>
      <c r="K646" s="62"/>
      <c r="L646" s="86"/>
      <c r="M646" s="86"/>
      <c r="N646" s="86"/>
      <c r="O646" s="86"/>
      <c r="P646" s="86"/>
      <c r="Q646" s="86"/>
      <c r="R646" s="86"/>
      <c r="S646" s="86"/>
      <c r="T646" s="86"/>
      <c r="U646" s="86"/>
      <c r="V646" s="86"/>
      <c r="W646" s="86"/>
      <c r="X646" s="86"/>
      <c r="Y646" s="86"/>
      <c r="Z646" s="86"/>
      <c r="AA646" s="86"/>
    </row>
    <row r="647" spans="1:27" ht="14.25" customHeight="1" x14ac:dyDescent="0.35">
      <c r="A647" s="76" t="str">
        <v>Mina Ruenroeng</v>
      </c>
      <c r="B647" s="77" t="str">
        <v>Jannik Neulinger</v>
      </c>
      <c r="C647" s="76"/>
      <c r="D647" s="78">
        <f>IF(C647=0,0,_xlfn.IFNA(IF( MATCH(C647,Rangliste!B:B,0)&gt;0,0,1),1))</f>
        <v>0</v>
      </c>
      <c r="E647" s="85" t="str">
        <f t="shared" si="2"/>
        <v/>
      </c>
      <c r="F647" s="85"/>
      <c r="G647" s="83"/>
      <c r="H647" s="86"/>
      <c r="I647" s="86"/>
      <c r="J647" s="86"/>
      <c r="K647" s="62"/>
      <c r="L647" s="86"/>
      <c r="M647" s="86"/>
      <c r="N647" s="86"/>
      <c r="O647" s="86"/>
      <c r="P647" s="86"/>
      <c r="Q647" s="86"/>
      <c r="R647" s="86"/>
      <c r="S647" s="86"/>
      <c r="T647" s="86"/>
      <c r="U647" s="86"/>
      <c r="V647" s="86"/>
      <c r="W647" s="86"/>
      <c r="X647" s="86"/>
      <c r="Y647" s="86"/>
      <c r="Z647" s="86"/>
      <c r="AA647" s="86"/>
    </row>
    <row r="648" spans="1:27" ht="14.25" customHeight="1" x14ac:dyDescent="0.35">
      <c r="A648" s="76">
        <v>0</v>
      </c>
      <c r="B648" s="77" t="str">
        <v>Valentin Schefcik</v>
      </c>
      <c r="C648" s="76"/>
      <c r="D648" s="78">
        <f>IF(C648=0,0,_xlfn.IFNA(IF( MATCH(C648,Rangliste!B:B,0)&gt;0,0,1),1))</f>
        <v>0</v>
      </c>
      <c r="E648" s="85" t="str">
        <f t="shared" si="2"/>
        <v/>
      </c>
      <c r="F648" s="85"/>
      <c r="G648" s="83"/>
      <c r="H648" s="86"/>
      <c r="I648" s="86"/>
      <c r="J648" s="86"/>
      <c r="K648" s="62"/>
      <c r="L648" s="86"/>
      <c r="M648" s="86"/>
      <c r="N648" s="86"/>
      <c r="O648" s="86"/>
      <c r="P648" s="86"/>
      <c r="Q648" s="86"/>
      <c r="R648" s="86"/>
      <c r="S648" s="86"/>
      <c r="T648" s="86"/>
      <c r="U648" s="86"/>
      <c r="V648" s="86"/>
      <c r="W648" s="86"/>
      <c r="X648" s="86"/>
      <c r="Y648" s="86"/>
      <c r="Z648" s="86"/>
      <c r="AA648" s="86"/>
    </row>
    <row r="649" spans="1:27" ht="14.25" customHeight="1" x14ac:dyDescent="0.35">
      <c r="A649" s="76">
        <v>0</v>
      </c>
      <c r="B649" s="77" t="str">
        <v>Tobias Quiroga</v>
      </c>
      <c r="C649" s="76"/>
      <c r="D649" s="78">
        <f>IF(C649=0,0,_xlfn.IFNA(IF( MATCH(C649,Rangliste!B:B,0)&gt;0,0,1),1))</f>
        <v>0</v>
      </c>
      <c r="E649" s="85" t="str">
        <f t="shared" si="2"/>
        <v/>
      </c>
      <c r="F649" s="85"/>
      <c r="G649" s="83"/>
      <c r="H649" s="86"/>
      <c r="I649" s="86"/>
      <c r="J649" s="86"/>
      <c r="K649" s="62"/>
      <c r="L649" s="86"/>
      <c r="M649" s="86"/>
      <c r="N649" s="86"/>
      <c r="O649" s="86"/>
      <c r="P649" s="86"/>
      <c r="Q649" s="86"/>
      <c r="R649" s="86"/>
      <c r="S649" s="86"/>
      <c r="T649" s="86"/>
      <c r="U649" s="86"/>
      <c r="V649" s="86"/>
      <c r="W649" s="86"/>
      <c r="X649" s="86"/>
      <c r="Y649" s="86"/>
      <c r="Z649" s="86"/>
      <c r="AA649" s="86"/>
    </row>
    <row r="650" spans="1:27" ht="14.25" customHeight="1" x14ac:dyDescent="0.35">
      <c r="A650" s="76">
        <v>0</v>
      </c>
      <c r="B650" s="77">
        <v>0</v>
      </c>
      <c r="C650" s="76"/>
      <c r="D650" s="78">
        <f>IF(C650=0,0,_xlfn.IFNA(IF( MATCH(C650,Rangliste!B:B,0)&gt;0,0,1),1))</f>
        <v>0</v>
      </c>
      <c r="E650" s="85" t="str">
        <f t="shared" si="2"/>
        <v/>
      </c>
      <c r="F650" s="85"/>
      <c r="G650" s="83"/>
      <c r="H650" s="86"/>
      <c r="I650" s="86"/>
      <c r="J650" s="86"/>
      <c r="K650" s="62"/>
      <c r="L650" s="86"/>
      <c r="M650" s="86"/>
      <c r="N650" s="86"/>
      <c r="O650" s="86"/>
      <c r="P650" s="86"/>
      <c r="Q650" s="86"/>
      <c r="R650" s="86"/>
      <c r="S650" s="86"/>
      <c r="T650" s="86"/>
      <c r="U650" s="86"/>
      <c r="V650" s="86"/>
      <c r="W650" s="86"/>
      <c r="X650" s="86"/>
      <c r="Y650" s="86"/>
      <c r="Z650" s="86"/>
      <c r="AA650" s="86"/>
    </row>
    <row r="651" spans="1:27" ht="14.25" customHeight="1" x14ac:dyDescent="0.35">
      <c r="A651" s="76">
        <v>0</v>
      </c>
      <c r="B651" s="77">
        <v>0</v>
      </c>
      <c r="C651" s="76"/>
      <c r="D651" s="78">
        <f>IF(C651=0,0,_xlfn.IFNA(IF( MATCH(C651,Rangliste!B:B,0)&gt;0,0,1),1))</f>
        <v>0</v>
      </c>
      <c r="E651" s="85" t="str">
        <f t="shared" si="2"/>
        <v/>
      </c>
      <c r="F651" s="85"/>
      <c r="G651" s="83"/>
      <c r="H651" s="86"/>
      <c r="I651" s="86"/>
      <c r="J651" s="86"/>
      <c r="K651" s="62"/>
      <c r="L651" s="86"/>
      <c r="M651" s="86"/>
      <c r="N651" s="86"/>
      <c r="O651" s="86"/>
      <c r="P651" s="86"/>
      <c r="Q651" s="86"/>
      <c r="R651" s="86"/>
      <c r="S651" s="86"/>
      <c r="T651" s="86"/>
      <c r="U651" s="86"/>
      <c r="V651" s="86"/>
      <c r="W651" s="86"/>
      <c r="X651" s="86"/>
      <c r="Y651" s="86"/>
      <c r="Z651" s="86"/>
      <c r="AA651" s="86"/>
    </row>
    <row r="652" spans="1:27" ht="14.25" customHeight="1" x14ac:dyDescent="0.35">
      <c r="A652" s="76">
        <v>0</v>
      </c>
      <c r="B652" s="77">
        <v>0</v>
      </c>
      <c r="C652" s="76"/>
      <c r="D652" s="78">
        <f>IF(C652=0,0,_xlfn.IFNA(IF( MATCH(C652,Rangliste!B:B,0)&gt;0,0,1),1))</f>
        <v>0</v>
      </c>
      <c r="E652" s="85" t="str">
        <f t="shared" si="2"/>
        <v/>
      </c>
      <c r="F652" s="85"/>
      <c r="G652" s="83"/>
      <c r="H652" s="86"/>
      <c r="I652" s="86"/>
      <c r="J652" s="86"/>
      <c r="K652" s="62"/>
      <c r="L652" s="86"/>
      <c r="M652" s="86"/>
      <c r="N652" s="86"/>
      <c r="O652" s="86"/>
      <c r="P652" s="86"/>
      <c r="Q652" s="86"/>
      <c r="R652" s="86"/>
      <c r="S652" s="86"/>
      <c r="T652" s="86"/>
      <c r="U652" s="86"/>
      <c r="V652" s="86"/>
      <c r="W652" s="86"/>
      <c r="X652" s="86"/>
      <c r="Y652" s="86"/>
      <c r="Z652" s="86"/>
      <c r="AA652" s="86"/>
    </row>
    <row r="653" spans="1:27" ht="14.25" customHeight="1" x14ac:dyDescent="0.35">
      <c r="A653" s="76">
        <v>0</v>
      </c>
      <c r="B653" s="77">
        <v>0</v>
      </c>
      <c r="C653" s="76"/>
      <c r="D653" s="78">
        <f>IF(C653=0,0,_xlfn.IFNA(IF( MATCH(C653,Rangliste!B:B,0)&gt;0,0,1),1))</f>
        <v>0</v>
      </c>
      <c r="E653" s="85" t="str">
        <f t="shared" si="2"/>
        <v/>
      </c>
      <c r="F653" s="85"/>
      <c r="G653" s="83"/>
      <c r="H653" s="86"/>
      <c r="I653" s="86"/>
      <c r="J653" s="86"/>
      <c r="K653" s="62"/>
      <c r="L653" s="86"/>
      <c r="M653" s="86"/>
      <c r="N653" s="86"/>
      <c r="O653" s="86"/>
      <c r="P653" s="86"/>
      <c r="Q653" s="86"/>
      <c r="R653" s="86"/>
      <c r="S653" s="86"/>
      <c r="T653" s="86"/>
      <c r="U653" s="86"/>
      <c r="V653" s="86"/>
      <c r="W653" s="86"/>
      <c r="X653" s="86"/>
      <c r="Y653" s="86"/>
      <c r="Z653" s="86"/>
      <c r="AA653" s="86"/>
    </row>
    <row r="654" spans="1:27" ht="14.25" customHeight="1" x14ac:dyDescent="0.35">
      <c r="A654" s="76">
        <v>0</v>
      </c>
      <c r="B654" s="77">
        <v>0</v>
      </c>
      <c r="C654" s="76"/>
      <c r="D654" s="78">
        <f>IF(C654=0,0,_xlfn.IFNA(IF( MATCH(C654,Rangliste!B:B,0)&gt;0,0,1),1))</f>
        <v>0</v>
      </c>
      <c r="E654" s="85" t="str">
        <f t="shared" si="2"/>
        <v/>
      </c>
      <c r="F654" s="85"/>
      <c r="G654" s="83"/>
      <c r="H654" s="86"/>
      <c r="I654" s="86"/>
      <c r="J654" s="86"/>
      <c r="K654" s="62"/>
      <c r="L654" s="86"/>
      <c r="M654" s="86"/>
      <c r="N654" s="86"/>
      <c r="O654" s="86"/>
      <c r="P654" s="86"/>
      <c r="Q654" s="86"/>
      <c r="R654" s="86"/>
      <c r="S654" s="86"/>
      <c r="T654" s="86"/>
      <c r="U654" s="86"/>
      <c r="V654" s="86"/>
      <c r="W654" s="86"/>
      <c r="X654" s="86"/>
      <c r="Y654" s="86"/>
      <c r="Z654" s="86"/>
      <c r="AA654" s="86"/>
    </row>
    <row r="655" spans="1:27" ht="14.25" customHeight="1" x14ac:dyDescent="0.35">
      <c r="A655" s="76">
        <v>0</v>
      </c>
      <c r="B655" s="77">
        <v>0</v>
      </c>
      <c r="C655" s="76"/>
      <c r="D655" s="78">
        <f>IF(C655=0,0,_xlfn.IFNA(IF( MATCH(C655,Rangliste!B:B,0)&gt;0,0,1),1))</f>
        <v>0</v>
      </c>
      <c r="E655" s="85" t="str">
        <f t="shared" si="2"/>
        <v/>
      </c>
      <c r="F655" s="85"/>
      <c r="G655" s="83"/>
      <c r="H655" s="86"/>
      <c r="I655" s="86"/>
      <c r="J655" s="86"/>
      <c r="K655" s="62"/>
      <c r="L655" s="86"/>
      <c r="M655" s="86"/>
      <c r="N655" s="86"/>
      <c r="O655" s="86"/>
      <c r="P655" s="86"/>
      <c r="Q655" s="86"/>
      <c r="R655" s="86"/>
      <c r="S655" s="86"/>
      <c r="T655" s="86"/>
      <c r="U655" s="86"/>
      <c r="V655" s="86"/>
      <c r="W655" s="86"/>
      <c r="X655" s="86"/>
      <c r="Y655" s="86"/>
      <c r="Z655" s="86"/>
      <c r="AA655" s="86"/>
    </row>
    <row r="656" spans="1:27" ht="14.25" customHeight="1" x14ac:dyDescent="0.35">
      <c r="A656" s="76">
        <v>0</v>
      </c>
      <c r="B656" s="77">
        <v>0</v>
      </c>
      <c r="C656" s="76"/>
      <c r="D656" s="78">
        <f>IF(C656=0,0,_xlfn.IFNA(IF( MATCH(C656,Rangliste!B:B,0)&gt;0,0,1),1))</f>
        <v>0</v>
      </c>
      <c r="E656" s="85" t="str">
        <f t="shared" si="2"/>
        <v/>
      </c>
      <c r="F656" s="85"/>
      <c r="G656" s="83"/>
      <c r="H656" s="86"/>
      <c r="I656" s="86"/>
      <c r="J656" s="86"/>
      <c r="K656" s="62"/>
      <c r="L656" s="86"/>
      <c r="M656" s="86"/>
      <c r="N656" s="86"/>
      <c r="O656" s="86"/>
      <c r="P656" s="86"/>
      <c r="Q656" s="86"/>
      <c r="R656" s="86"/>
      <c r="S656" s="86"/>
      <c r="T656" s="86"/>
      <c r="U656" s="86"/>
      <c r="V656" s="86"/>
      <c r="W656" s="86"/>
      <c r="X656" s="86"/>
      <c r="Y656" s="86"/>
      <c r="Z656" s="86"/>
      <c r="AA656" s="86"/>
    </row>
    <row r="657" spans="1:27" ht="14.25" customHeight="1" x14ac:dyDescent="0.35">
      <c r="A657" s="76">
        <v>0</v>
      </c>
      <c r="B657" s="77">
        <v>0</v>
      </c>
      <c r="C657" s="76"/>
      <c r="D657" s="78">
        <f>IF(C657=0,0,_xlfn.IFNA(IF( MATCH(C657,Rangliste!B:B,0)&gt;0,0,1),1))</f>
        <v>0</v>
      </c>
      <c r="E657" s="85" t="str">
        <f t="shared" si="2"/>
        <v/>
      </c>
      <c r="F657" s="85"/>
      <c r="G657" s="83"/>
      <c r="H657" s="86"/>
      <c r="I657" s="86"/>
      <c r="J657" s="86"/>
      <c r="K657" s="62"/>
      <c r="L657" s="86"/>
      <c r="M657" s="86"/>
      <c r="N657" s="86"/>
      <c r="O657" s="86"/>
      <c r="P657" s="86"/>
      <c r="Q657" s="86"/>
      <c r="R657" s="86"/>
      <c r="S657" s="86"/>
      <c r="T657" s="86"/>
      <c r="U657" s="86"/>
      <c r="V657" s="86"/>
      <c r="W657" s="86"/>
      <c r="X657" s="86"/>
      <c r="Y657" s="86"/>
      <c r="Z657" s="86"/>
      <c r="AA657" s="86"/>
    </row>
    <row r="658" spans="1:27" ht="14.25" customHeight="1" x14ac:dyDescent="0.35">
      <c r="A658" s="76">
        <v>0</v>
      </c>
      <c r="B658" s="77">
        <v>0</v>
      </c>
      <c r="C658" s="76"/>
      <c r="D658" s="78">
        <f>IF(C658=0,0,_xlfn.IFNA(IF( MATCH(C658,Rangliste!B:B,0)&gt;0,0,1),1))</f>
        <v>0</v>
      </c>
      <c r="E658" s="85" t="str">
        <f t="shared" si="2"/>
        <v/>
      </c>
      <c r="F658" s="85"/>
      <c r="G658" s="83"/>
      <c r="H658" s="86"/>
      <c r="I658" s="86"/>
      <c r="J658" s="86"/>
      <c r="K658" s="62"/>
      <c r="L658" s="86"/>
      <c r="M658" s="86"/>
      <c r="N658" s="86"/>
      <c r="O658" s="86"/>
      <c r="P658" s="86"/>
      <c r="Q658" s="86"/>
      <c r="R658" s="86"/>
      <c r="S658" s="86"/>
      <c r="T658" s="86"/>
      <c r="U658" s="86"/>
      <c r="V658" s="86"/>
      <c r="W658" s="86"/>
      <c r="X658" s="86"/>
      <c r="Y658" s="86"/>
      <c r="Z658" s="86"/>
      <c r="AA658" s="86"/>
    </row>
    <row r="659" spans="1:27" ht="14.25" customHeight="1" x14ac:dyDescent="0.35">
      <c r="A659" s="76">
        <v>0</v>
      </c>
      <c r="B659" s="77">
        <v>0</v>
      </c>
      <c r="C659" s="76"/>
      <c r="D659" s="78">
        <f>IF(C659=0,0,_xlfn.IFNA(IF( MATCH(C659,Rangliste!B:B,0)&gt;0,0,1),1))</f>
        <v>0</v>
      </c>
      <c r="E659" s="85" t="str">
        <f t="shared" si="2"/>
        <v/>
      </c>
      <c r="F659" s="85"/>
      <c r="G659" s="83"/>
      <c r="H659" s="86"/>
      <c r="I659" s="86"/>
      <c r="J659" s="86"/>
      <c r="K659" s="62"/>
      <c r="L659" s="86"/>
      <c r="M659" s="86"/>
      <c r="N659" s="86"/>
      <c r="O659" s="86"/>
      <c r="P659" s="86"/>
      <c r="Q659" s="86"/>
      <c r="R659" s="86"/>
      <c r="S659" s="86"/>
      <c r="T659" s="86"/>
      <c r="U659" s="86"/>
      <c r="V659" s="86"/>
      <c r="W659" s="86"/>
      <c r="X659" s="86"/>
      <c r="Y659" s="86"/>
      <c r="Z659" s="86"/>
      <c r="AA659" s="86"/>
    </row>
    <row r="660" spans="1:27" ht="14.25" customHeight="1" x14ac:dyDescent="0.35">
      <c r="A660" s="76" t="str">
        <f t="array" ref="A660:A675">'Regioturnier 1'!$V$3:$V$18</f>
        <v>Johanna Floßmann</v>
      </c>
      <c r="B660" s="77">
        <v>0</v>
      </c>
      <c r="C660" s="76"/>
      <c r="D660" s="78">
        <f>IF(C660=0,0,_xlfn.IFNA(IF( MATCH(C660,Rangliste!B:B,0)&gt;0,0,1),1))</f>
        <v>0</v>
      </c>
      <c r="E660" s="85" t="str">
        <f t="shared" si="2"/>
        <v/>
      </c>
      <c r="F660" s="85"/>
      <c r="G660" s="83"/>
      <c r="H660" s="86"/>
      <c r="I660" s="86"/>
      <c r="J660" s="86"/>
      <c r="K660" s="62"/>
      <c r="L660" s="86"/>
      <c r="M660" s="86"/>
      <c r="N660" s="86"/>
      <c r="O660" s="86"/>
      <c r="P660" s="86"/>
      <c r="Q660" s="86"/>
      <c r="R660" s="86"/>
      <c r="S660" s="86"/>
      <c r="T660" s="86"/>
      <c r="U660" s="86"/>
      <c r="V660" s="86"/>
      <c r="W660" s="86"/>
      <c r="X660" s="86"/>
      <c r="Y660" s="86"/>
      <c r="Z660" s="86"/>
      <c r="AA660" s="86"/>
    </row>
    <row r="661" spans="1:27" ht="14.25" customHeight="1" x14ac:dyDescent="0.35">
      <c r="A661" s="76" t="str">
        <v>Lola Ahammer</v>
      </c>
      <c r="B661" s="77">
        <v>0</v>
      </c>
      <c r="C661" s="76"/>
      <c r="D661" s="78">
        <f>IF(C661=0,0,_xlfn.IFNA(IF( MATCH(C661,Rangliste!B:B,0)&gt;0,0,1),1))</f>
        <v>0</v>
      </c>
      <c r="E661" s="85" t="str">
        <f t="shared" si="2"/>
        <v/>
      </c>
      <c r="F661" s="85"/>
      <c r="G661" s="83"/>
      <c r="H661" s="86"/>
      <c r="I661" s="86"/>
      <c r="J661" s="86"/>
      <c r="K661" s="62"/>
      <c r="L661" s="86"/>
      <c r="M661" s="86"/>
      <c r="N661" s="86"/>
      <c r="O661" s="86"/>
      <c r="P661" s="86"/>
      <c r="Q661" s="86"/>
      <c r="R661" s="86"/>
      <c r="S661" s="86"/>
      <c r="T661" s="86"/>
      <c r="U661" s="86"/>
      <c r="V661" s="86"/>
      <c r="W661" s="86"/>
      <c r="X661" s="86"/>
      <c r="Y661" s="86"/>
      <c r="Z661" s="86"/>
      <c r="AA661" s="86"/>
    </row>
    <row r="662" spans="1:27" ht="14.25" customHeight="1" x14ac:dyDescent="0.35">
      <c r="A662" s="76" t="str">
        <v>Miriam Duchac-Oberndorfer</v>
      </c>
      <c r="B662" s="77">
        <v>0</v>
      </c>
      <c r="C662" s="76"/>
      <c r="D662" s="78">
        <f>IF(C662=0,0,_xlfn.IFNA(IF( MATCH(C662,Rangliste!B:B,0)&gt;0,0,1),1))</f>
        <v>0</v>
      </c>
      <c r="E662" s="85" t="str">
        <f t="shared" si="2"/>
        <v/>
      </c>
      <c r="F662" s="85"/>
      <c r="G662" s="83"/>
      <c r="H662" s="86"/>
      <c r="I662" s="86"/>
      <c r="J662" s="86"/>
      <c r="K662" s="62"/>
      <c r="L662" s="86"/>
      <c r="M662" s="86"/>
      <c r="N662" s="86"/>
      <c r="O662" s="86"/>
      <c r="P662" s="86"/>
      <c r="Q662" s="86"/>
      <c r="R662" s="86"/>
      <c r="S662" s="86"/>
      <c r="T662" s="86"/>
      <c r="U662" s="86"/>
      <c r="V662" s="86"/>
      <c r="W662" s="86"/>
      <c r="X662" s="86"/>
      <c r="Y662" s="86"/>
      <c r="Z662" s="86"/>
      <c r="AA662" s="86"/>
    </row>
    <row r="663" spans="1:27" ht="14.25" customHeight="1" x14ac:dyDescent="0.35">
      <c r="A663" s="76" t="str">
        <v>Sofia Neumann</v>
      </c>
      <c r="B663" s="77">
        <v>0</v>
      </c>
      <c r="C663" s="76"/>
      <c r="D663" s="78">
        <f>IF(C663=0,0,_xlfn.IFNA(IF( MATCH(C663,Rangliste!B:B,0)&gt;0,0,1),1))</f>
        <v>0</v>
      </c>
      <c r="E663" s="85" t="str">
        <f t="shared" si="2"/>
        <v/>
      </c>
      <c r="F663" s="85"/>
      <c r="G663" s="83"/>
      <c r="H663" s="86"/>
      <c r="I663" s="86"/>
      <c r="J663" s="86"/>
      <c r="K663" s="62"/>
      <c r="L663" s="86"/>
      <c r="M663" s="86"/>
      <c r="N663" s="86"/>
      <c r="O663" s="86"/>
      <c r="P663" s="86"/>
      <c r="Q663" s="86"/>
      <c r="R663" s="86"/>
      <c r="S663" s="86"/>
      <c r="T663" s="86"/>
      <c r="U663" s="86"/>
      <c r="V663" s="86"/>
      <c r="W663" s="86"/>
      <c r="X663" s="86"/>
      <c r="Y663" s="86"/>
      <c r="Z663" s="86"/>
      <c r="AA663" s="86"/>
    </row>
    <row r="664" spans="1:27" ht="14.25" customHeight="1" x14ac:dyDescent="0.35">
      <c r="A664" s="76" t="str">
        <v>Alisha Huang</v>
      </c>
      <c r="B664" s="77">
        <v>0</v>
      </c>
      <c r="C664" s="76"/>
      <c r="D664" s="78">
        <f>IF(C664=0,0,_xlfn.IFNA(IF( MATCH(C664,Rangliste!B:B,0)&gt;0,0,1),1))</f>
        <v>0</v>
      </c>
      <c r="E664" s="85" t="str">
        <f t="shared" si="2"/>
        <v/>
      </c>
      <c r="F664" s="85"/>
      <c r="G664" s="83"/>
      <c r="H664" s="86"/>
      <c r="I664" s="86"/>
      <c r="J664" s="86"/>
      <c r="K664" s="62"/>
      <c r="L664" s="86"/>
      <c r="M664" s="86"/>
      <c r="N664" s="86"/>
      <c r="O664" s="86"/>
      <c r="P664" s="86"/>
      <c r="Q664" s="86"/>
      <c r="R664" s="86"/>
      <c r="S664" s="86"/>
      <c r="T664" s="86"/>
      <c r="U664" s="86"/>
      <c r="V664" s="86"/>
      <c r="W664" s="86"/>
      <c r="X664" s="86"/>
      <c r="Y664" s="86"/>
      <c r="Z664" s="86"/>
      <c r="AA664" s="86"/>
    </row>
    <row r="665" spans="1:27" ht="14.25" customHeight="1" x14ac:dyDescent="0.35">
      <c r="A665" s="76" t="str">
        <v>Emma Schuster</v>
      </c>
      <c r="B665" s="77">
        <v>0</v>
      </c>
      <c r="C665" s="76"/>
      <c r="D665" s="78">
        <f>IF(C665=0,0,_xlfn.IFNA(IF( MATCH(C665,Rangliste!B:B,0)&gt;0,0,1),1))</f>
        <v>0</v>
      </c>
      <c r="E665" s="85" t="str">
        <f t="shared" si="2"/>
        <v/>
      </c>
      <c r="F665" s="85"/>
      <c r="G665" s="83"/>
      <c r="H665" s="86"/>
      <c r="I665" s="86"/>
      <c r="J665" s="86"/>
      <c r="K665" s="62"/>
      <c r="L665" s="86"/>
      <c r="M665" s="86"/>
      <c r="N665" s="86"/>
      <c r="O665" s="86"/>
      <c r="P665" s="86"/>
      <c r="Q665" s="86"/>
      <c r="R665" s="86"/>
      <c r="S665" s="86"/>
      <c r="T665" s="86"/>
      <c r="U665" s="86"/>
      <c r="V665" s="86"/>
      <c r="W665" s="86"/>
      <c r="X665" s="86"/>
      <c r="Y665" s="86"/>
      <c r="Z665" s="86"/>
      <c r="AA665" s="86"/>
    </row>
    <row r="666" spans="1:27" ht="14.25" customHeight="1" x14ac:dyDescent="0.35">
      <c r="A666" s="76" t="str">
        <v>Pearl Panthiye Gedara</v>
      </c>
      <c r="B666" s="77">
        <v>0</v>
      </c>
      <c r="C666" s="76"/>
      <c r="D666" s="78">
        <f>IF(C666=0,0,_xlfn.IFNA(IF( MATCH(C666,Rangliste!B:B,0)&gt;0,0,1),1))</f>
        <v>0</v>
      </c>
      <c r="E666" s="85" t="str">
        <f t="shared" si="2"/>
        <v/>
      </c>
      <c r="F666" s="85"/>
      <c r="G666" s="83"/>
      <c r="H666" s="86"/>
      <c r="I666" s="86"/>
      <c r="J666" s="86"/>
      <c r="K666" s="62"/>
      <c r="L666" s="86"/>
      <c r="M666" s="86"/>
      <c r="N666" s="86"/>
      <c r="O666" s="86"/>
      <c r="P666" s="86"/>
      <c r="Q666" s="86"/>
      <c r="R666" s="86"/>
      <c r="S666" s="86"/>
      <c r="T666" s="86"/>
      <c r="U666" s="86"/>
      <c r="V666" s="86"/>
      <c r="W666" s="86"/>
      <c r="X666" s="86"/>
      <c r="Y666" s="86"/>
      <c r="Z666" s="86"/>
      <c r="AA666" s="86"/>
    </row>
    <row r="667" spans="1:27" ht="14.25" customHeight="1" x14ac:dyDescent="0.35">
      <c r="A667" s="76" t="str">
        <v>Anesia Brar</v>
      </c>
      <c r="B667" s="77">
        <v>0</v>
      </c>
      <c r="C667" s="76"/>
      <c r="D667" s="78">
        <f>IF(C667=0,0,_xlfn.IFNA(IF( MATCH(C667,Rangliste!B:B,0)&gt;0,0,1),1))</f>
        <v>0</v>
      </c>
      <c r="E667" s="85" t="str">
        <f t="shared" si="2"/>
        <v/>
      </c>
      <c r="F667" s="85"/>
      <c r="G667" s="83"/>
      <c r="H667" s="86"/>
      <c r="I667" s="86"/>
      <c r="J667" s="86"/>
      <c r="K667" s="62"/>
      <c r="L667" s="86"/>
      <c r="M667" s="86"/>
      <c r="N667" s="86"/>
      <c r="O667" s="86"/>
      <c r="P667" s="86"/>
      <c r="Q667" s="86"/>
      <c r="R667" s="86"/>
      <c r="S667" s="86"/>
      <c r="T667" s="86"/>
      <c r="U667" s="86"/>
      <c r="V667" s="86"/>
      <c r="W667" s="86"/>
      <c r="X667" s="86"/>
      <c r="Y667" s="86"/>
      <c r="Z667" s="86"/>
      <c r="AA667" s="86"/>
    </row>
    <row r="668" spans="1:27" ht="14.25" customHeight="1" x14ac:dyDescent="0.35">
      <c r="A668" s="76">
        <v>0</v>
      </c>
      <c r="B668" s="77">
        <v>0</v>
      </c>
      <c r="C668" s="76"/>
      <c r="D668" s="78">
        <f>IF(C668=0,0,_xlfn.IFNA(IF( MATCH(C668,Rangliste!B:B,0)&gt;0,0,1),1))</f>
        <v>0</v>
      </c>
      <c r="E668" s="85" t="str">
        <f t="shared" si="2"/>
        <v/>
      </c>
      <c r="F668" s="85"/>
      <c r="G668" s="83"/>
      <c r="H668" s="86"/>
      <c r="I668" s="86"/>
      <c r="J668" s="86"/>
      <c r="K668" s="62"/>
      <c r="L668" s="86"/>
      <c r="M668" s="86"/>
      <c r="N668" s="86"/>
      <c r="O668" s="86"/>
      <c r="P668" s="86"/>
      <c r="Q668" s="86"/>
      <c r="R668" s="86"/>
      <c r="S668" s="86"/>
      <c r="T668" s="86"/>
      <c r="U668" s="86"/>
      <c r="V668" s="86"/>
      <c r="W668" s="86"/>
      <c r="X668" s="86"/>
      <c r="Y668" s="86"/>
      <c r="Z668" s="86"/>
      <c r="AA668" s="86"/>
    </row>
    <row r="669" spans="1:27" ht="14.25" customHeight="1" x14ac:dyDescent="0.35">
      <c r="A669" s="76">
        <v>0</v>
      </c>
      <c r="B669" s="77">
        <v>0</v>
      </c>
      <c r="C669" s="76"/>
      <c r="D669" s="78">
        <f>IF(C669=0,0,_xlfn.IFNA(IF( MATCH(C669,Rangliste!B:B,0)&gt;0,0,1),1))</f>
        <v>0</v>
      </c>
      <c r="E669" s="85" t="str">
        <f t="shared" si="2"/>
        <v/>
      </c>
      <c r="F669" s="85"/>
      <c r="G669" s="83"/>
      <c r="H669" s="86"/>
      <c r="I669" s="86"/>
      <c r="J669" s="86"/>
      <c r="K669" s="62"/>
      <c r="L669" s="86"/>
      <c r="M669" s="86"/>
      <c r="N669" s="86"/>
      <c r="O669" s="86"/>
      <c r="P669" s="86"/>
      <c r="Q669" s="86"/>
      <c r="R669" s="86"/>
      <c r="S669" s="86"/>
      <c r="T669" s="86"/>
      <c r="U669" s="86"/>
      <c r="V669" s="86"/>
      <c r="W669" s="86"/>
      <c r="X669" s="86"/>
      <c r="Y669" s="86"/>
      <c r="Z669" s="86"/>
      <c r="AA669" s="86"/>
    </row>
    <row r="670" spans="1:27" ht="14.25" customHeight="1" x14ac:dyDescent="0.35">
      <c r="A670" s="76">
        <v>0</v>
      </c>
      <c r="B670" s="77">
        <v>0</v>
      </c>
      <c r="C670" s="76"/>
      <c r="D670" s="78">
        <f>IF(C670=0,0,_xlfn.IFNA(IF( MATCH(C670,Rangliste!B:B,0)&gt;0,0,1),1))</f>
        <v>0</v>
      </c>
      <c r="E670" s="85" t="str">
        <f t="shared" si="2"/>
        <v/>
      </c>
      <c r="F670" s="85"/>
      <c r="G670" s="83"/>
      <c r="H670" s="86"/>
      <c r="I670" s="86"/>
      <c r="J670" s="86"/>
      <c r="K670" s="62"/>
      <c r="L670" s="86"/>
      <c r="M670" s="86"/>
      <c r="N670" s="86"/>
      <c r="O670" s="86"/>
      <c r="P670" s="86"/>
      <c r="Q670" s="86"/>
      <c r="R670" s="86"/>
      <c r="S670" s="86"/>
      <c r="T670" s="86"/>
      <c r="U670" s="86"/>
      <c r="V670" s="86"/>
      <c r="W670" s="86"/>
      <c r="X670" s="86"/>
      <c r="Y670" s="86"/>
      <c r="Z670" s="86"/>
      <c r="AA670" s="86"/>
    </row>
    <row r="671" spans="1:27" ht="14.25" customHeight="1" x14ac:dyDescent="0.35">
      <c r="A671" s="76">
        <v>0</v>
      </c>
      <c r="B671" s="77">
        <v>0</v>
      </c>
      <c r="C671" s="76"/>
      <c r="D671" s="78">
        <f>IF(C671=0,0,_xlfn.IFNA(IF( MATCH(C671,Rangliste!B:B,0)&gt;0,0,1),1))</f>
        <v>0</v>
      </c>
      <c r="E671" s="85" t="str">
        <f t="shared" si="2"/>
        <v/>
      </c>
      <c r="F671" s="85"/>
      <c r="G671" s="83"/>
      <c r="H671" s="86"/>
      <c r="I671" s="86"/>
      <c r="J671" s="86"/>
      <c r="K671" s="62"/>
      <c r="L671" s="86"/>
      <c r="M671" s="86"/>
      <c r="N671" s="86"/>
      <c r="O671" s="86"/>
      <c r="P671" s="86"/>
      <c r="Q671" s="86"/>
      <c r="R671" s="86"/>
      <c r="S671" s="86"/>
      <c r="T671" s="86"/>
      <c r="U671" s="86"/>
      <c r="V671" s="86"/>
      <c r="W671" s="86"/>
      <c r="X671" s="86"/>
      <c r="Y671" s="86"/>
      <c r="Z671" s="86"/>
      <c r="AA671" s="86"/>
    </row>
    <row r="672" spans="1:27" ht="14.25" customHeight="1" x14ac:dyDescent="0.35">
      <c r="A672" s="76">
        <v>0</v>
      </c>
      <c r="B672" s="77">
        <v>0</v>
      </c>
      <c r="C672" s="76"/>
      <c r="D672" s="78">
        <f>IF(C672=0,0,_xlfn.IFNA(IF( MATCH(C672,Rangliste!B:B,0)&gt;0,0,1),1))</f>
        <v>0</v>
      </c>
      <c r="E672" s="85" t="str">
        <f t="shared" si="2"/>
        <v/>
      </c>
      <c r="F672" s="85"/>
      <c r="G672" s="83"/>
      <c r="H672" s="86"/>
      <c r="I672" s="86"/>
      <c r="J672" s="86"/>
      <c r="K672" s="62"/>
      <c r="L672" s="86"/>
      <c r="M672" s="86"/>
      <c r="N672" s="86"/>
      <c r="O672" s="86"/>
      <c r="P672" s="86"/>
      <c r="Q672" s="86"/>
      <c r="R672" s="86"/>
      <c r="S672" s="86"/>
      <c r="T672" s="86"/>
      <c r="U672" s="86"/>
      <c r="V672" s="86"/>
      <c r="W672" s="86"/>
      <c r="X672" s="86"/>
      <c r="Y672" s="86"/>
      <c r="Z672" s="86"/>
      <c r="AA672" s="86"/>
    </row>
    <row r="673" spans="1:27" ht="14.25" customHeight="1" x14ac:dyDescent="0.35">
      <c r="A673" s="76">
        <v>0</v>
      </c>
      <c r="B673" s="77">
        <v>0</v>
      </c>
      <c r="C673" s="76"/>
      <c r="D673" s="78">
        <f>IF(C673=0,0,_xlfn.IFNA(IF( MATCH(C673,Rangliste!B:B,0)&gt;0,0,1),1))</f>
        <v>0</v>
      </c>
      <c r="E673" s="85" t="str">
        <f t="shared" si="2"/>
        <v/>
      </c>
      <c r="F673" s="85"/>
      <c r="G673" s="83"/>
      <c r="H673" s="86"/>
      <c r="I673" s="86"/>
      <c r="J673" s="86"/>
      <c r="K673" s="62"/>
      <c r="L673" s="86"/>
      <c r="M673" s="86"/>
      <c r="N673" s="86"/>
      <c r="O673" s="86"/>
      <c r="P673" s="86"/>
      <c r="Q673" s="86"/>
      <c r="R673" s="86"/>
      <c r="S673" s="86"/>
      <c r="T673" s="86"/>
      <c r="U673" s="86"/>
      <c r="V673" s="86"/>
      <c r="W673" s="86"/>
      <c r="X673" s="86"/>
      <c r="Y673" s="86"/>
      <c r="Z673" s="86"/>
      <c r="AA673" s="86"/>
    </row>
    <row r="674" spans="1:27" ht="14.25" customHeight="1" x14ac:dyDescent="0.35">
      <c r="A674" s="76">
        <v>0</v>
      </c>
      <c r="B674" s="77">
        <v>0</v>
      </c>
      <c r="C674" s="76"/>
      <c r="D674" s="78">
        <f>IF(C674=0,0,_xlfn.IFNA(IF( MATCH(C674,Rangliste!B:B,0)&gt;0,0,1),1))</f>
        <v>0</v>
      </c>
      <c r="E674" s="85" t="str">
        <f t="shared" si="2"/>
        <v/>
      </c>
      <c r="F674" s="85"/>
      <c r="G674" s="83"/>
      <c r="H674" s="86"/>
      <c r="I674" s="86"/>
      <c r="J674" s="86"/>
      <c r="K674" s="62"/>
      <c r="L674" s="86"/>
      <c r="M674" s="86"/>
      <c r="N674" s="86"/>
      <c r="O674" s="86"/>
      <c r="P674" s="86"/>
      <c r="Q674" s="86"/>
      <c r="R674" s="86"/>
      <c r="S674" s="86"/>
      <c r="T674" s="86"/>
      <c r="U674" s="86"/>
      <c r="V674" s="86"/>
      <c r="W674" s="86"/>
      <c r="X674" s="86"/>
      <c r="Y674" s="86"/>
      <c r="Z674" s="86"/>
      <c r="AA674" s="86"/>
    </row>
    <row r="675" spans="1:27" ht="14.25" customHeight="1" x14ac:dyDescent="0.35">
      <c r="A675" s="76">
        <v>0</v>
      </c>
      <c r="B675" s="77">
        <v>0</v>
      </c>
      <c r="C675" s="76"/>
      <c r="D675" s="78">
        <f>IF(C675=0,0,_xlfn.IFNA(IF( MATCH(C675,Rangliste!B:B,0)&gt;0,0,1),1))</f>
        <v>0</v>
      </c>
      <c r="E675" s="85" t="str">
        <f t="shared" si="2"/>
        <v/>
      </c>
      <c r="F675" s="85"/>
      <c r="G675" s="83"/>
      <c r="H675" s="86"/>
      <c r="I675" s="86"/>
      <c r="J675" s="86"/>
      <c r="K675" s="62"/>
      <c r="L675" s="86"/>
      <c r="M675" s="86"/>
      <c r="N675" s="86"/>
      <c r="O675" s="86"/>
      <c r="P675" s="86"/>
      <c r="Q675" s="86"/>
      <c r="R675" s="86"/>
      <c r="S675" s="86"/>
      <c r="T675" s="86"/>
      <c r="U675" s="86"/>
      <c r="V675" s="86"/>
      <c r="W675" s="86"/>
      <c r="X675" s="86"/>
      <c r="Y675" s="86"/>
      <c r="Z675" s="86"/>
      <c r="AA675" s="86"/>
    </row>
    <row r="676" spans="1:27" ht="14.25" customHeight="1" x14ac:dyDescent="0.35">
      <c r="A676" s="76">
        <f t="array" ref="A676:A691">'Regioturnier 1'!$Z$3:$Z$18</f>
        <v>0</v>
      </c>
      <c r="B676" s="77" t="str">
        <f t="array" ref="B676:B707">'NÖBV 2'!$F$3:$F$34</f>
        <v>Lukas Buschenreithner</v>
      </c>
      <c r="C676" s="76"/>
      <c r="D676" s="78">
        <f>IF(C676=0,0,_xlfn.IFNA(IF( MATCH(C676,Rangliste!B:B,0)&gt;0,0,1),1))</f>
        <v>0</v>
      </c>
      <c r="E676" s="85" t="str">
        <f t="shared" si="2"/>
        <v/>
      </c>
      <c r="F676" s="85"/>
      <c r="G676" s="83"/>
      <c r="H676" s="86"/>
      <c r="I676" s="86"/>
      <c r="J676" s="86"/>
      <c r="K676" s="62"/>
      <c r="L676" s="86"/>
      <c r="M676" s="86"/>
      <c r="N676" s="86"/>
      <c r="O676" s="86"/>
      <c r="P676" s="86"/>
      <c r="Q676" s="86"/>
      <c r="R676" s="86"/>
      <c r="S676" s="86"/>
      <c r="T676" s="86"/>
      <c r="U676" s="86"/>
      <c r="V676" s="86"/>
      <c r="W676" s="86"/>
      <c r="X676" s="86"/>
      <c r="Y676" s="86"/>
      <c r="Z676" s="86"/>
      <c r="AA676" s="86"/>
    </row>
    <row r="677" spans="1:27" ht="14.25" customHeight="1" x14ac:dyDescent="0.35">
      <c r="A677" s="76">
        <v>0</v>
      </c>
      <c r="B677" s="77" t="str">
        <v>Tobias Lindorfer</v>
      </c>
      <c r="C677" s="76"/>
      <c r="D677" s="78">
        <f>IF(C677=0,0,_xlfn.IFNA(IF( MATCH(C677,Rangliste!B:B,0)&gt;0,0,1),1))</f>
        <v>0</v>
      </c>
      <c r="E677" s="85" t="str">
        <f t="shared" si="2"/>
        <v/>
      </c>
      <c r="F677" s="85"/>
      <c r="G677" s="83"/>
      <c r="H677" s="86"/>
      <c r="I677" s="86"/>
      <c r="J677" s="86"/>
      <c r="K677" s="62"/>
      <c r="L677" s="86"/>
      <c r="M677" s="86"/>
      <c r="N677" s="86"/>
      <c r="O677" s="86"/>
      <c r="P677" s="86"/>
      <c r="Q677" s="86"/>
      <c r="R677" s="86"/>
      <c r="S677" s="86"/>
      <c r="T677" s="86"/>
      <c r="U677" s="86"/>
      <c r="V677" s="86"/>
      <c r="W677" s="86"/>
      <c r="X677" s="86"/>
      <c r="Y677" s="86"/>
      <c r="Z677" s="86"/>
      <c r="AA677" s="86"/>
    </row>
    <row r="678" spans="1:27" ht="14.25" customHeight="1" x14ac:dyDescent="0.35">
      <c r="A678" s="76">
        <v>0</v>
      </c>
      <c r="B678" s="77" t="str">
        <v>Johanna Floßmann</v>
      </c>
      <c r="C678" s="76"/>
      <c r="D678" s="78">
        <f>IF(C678=0,0,_xlfn.IFNA(IF( MATCH(C678,Rangliste!B:B,0)&gt;0,0,1),1))</f>
        <v>0</v>
      </c>
      <c r="E678" s="85" t="str">
        <f t="shared" si="2"/>
        <v/>
      </c>
      <c r="F678" s="85"/>
      <c r="G678" s="83"/>
      <c r="H678" s="86"/>
      <c r="I678" s="86"/>
      <c r="J678" s="86"/>
      <c r="K678" s="62"/>
      <c r="L678" s="86"/>
      <c r="M678" s="86"/>
      <c r="N678" s="86"/>
      <c r="O678" s="86"/>
      <c r="P678" s="86"/>
      <c r="Q678" s="86"/>
      <c r="R678" s="86"/>
      <c r="S678" s="86"/>
      <c r="T678" s="86"/>
      <c r="U678" s="86"/>
      <c r="V678" s="86"/>
      <c r="W678" s="86"/>
      <c r="X678" s="86"/>
      <c r="Y678" s="86"/>
      <c r="Z678" s="86"/>
      <c r="AA678" s="86"/>
    </row>
    <row r="679" spans="1:27" ht="14.25" customHeight="1" x14ac:dyDescent="0.35">
      <c r="A679" s="76">
        <v>0</v>
      </c>
      <c r="B679" s="77" t="str">
        <v>Daniel Reiter</v>
      </c>
      <c r="C679" s="76"/>
      <c r="D679" s="78">
        <f>IF(C679=0,0,_xlfn.IFNA(IF( MATCH(C679,Rangliste!B:B,0)&gt;0,0,1),1))</f>
        <v>0</v>
      </c>
      <c r="E679" s="85" t="str">
        <f t="shared" si="2"/>
        <v/>
      </c>
      <c r="F679" s="85"/>
      <c r="G679" s="83"/>
      <c r="H679" s="86"/>
      <c r="I679" s="86"/>
      <c r="J679" s="86"/>
      <c r="K679" s="62"/>
      <c r="L679" s="86"/>
      <c r="M679" s="86"/>
      <c r="N679" s="86"/>
      <c r="O679" s="86"/>
      <c r="P679" s="86"/>
      <c r="Q679" s="86"/>
      <c r="R679" s="86"/>
      <c r="S679" s="86"/>
      <c r="T679" s="86"/>
      <c r="U679" s="86"/>
      <c r="V679" s="86"/>
      <c r="W679" s="86"/>
      <c r="X679" s="86"/>
      <c r="Y679" s="86"/>
      <c r="Z679" s="86"/>
      <c r="AA679" s="86"/>
    </row>
    <row r="680" spans="1:27" ht="14.25" customHeight="1" x14ac:dyDescent="0.35">
      <c r="A680" s="76">
        <v>0</v>
      </c>
      <c r="B680" s="77" t="str">
        <v>Felix Rädle</v>
      </c>
      <c r="C680" s="76"/>
      <c r="D680" s="78">
        <f>IF(C680=0,0,_xlfn.IFNA(IF( MATCH(C680,Rangliste!B:B,0)&gt;0,0,1),1))</f>
        <v>0</v>
      </c>
      <c r="E680" s="85" t="str">
        <f t="shared" si="2"/>
        <v/>
      </c>
      <c r="F680" s="85"/>
      <c r="G680" s="83"/>
      <c r="H680" s="86"/>
      <c r="I680" s="86"/>
      <c r="J680" s="86"/>
      <c r="K680" s="62"/>
      <c r="L680" s="86"/>
      <c r="M680" s="86"/>
      <c r="N680" s="86"/>
      <c r="O680" s="86"/>
      <c r="P680" s="86"/>
      <c r="Q680" s="86"/>
      <c r="R680" s="86"/>
      <c r="S680" s="86"/>
      <c r="T680" s="86"/>
      <c r="U680" s="86"/>
      <c r="V680" s="86"/>
      <c r="W680" s="86"/>
      <c r="X680" s="86"/>
      <c r="Y680" s="86"/>
      <c r="Z680" s="86"/>
      <c r="AA680" s="86"/>
    </row>
    <row r="681" spans="1:27" ht="14.25" customHeight="1" x14ac:dyDescent="0.35">
      <c r="A681" s="76">
        <v>0</v>
      </c>
      <c r="B681" s="77" t="str">
        <v>Leon Wolansky</v>
      </c>
      <c r="C681" s="76"/>
      <c r="D681" s="78">
        <f>IF(C681=0,0,_xlfn.IFNA(IF( MATCH(C681,Rangliste!B:B,0)&gt;0,0,1),1))</f>
        <v>0</v>
      </c>
      <c r="E681" s="85" t="str">
        <f t="shared" si="2"/>
        <v/>
      </c>
      <c r="F681" s="85"/>
      <c r="G681" s="83"/>
      <c r="H681" s="86"/>
      <c r="I681" s="86"/>
      <c r="J681" s="86"/>
      <c r="K681" s="62"/>
      <c r="L681" s="86"/>
      <c r="M681" s="86"/>
      <c r="N681" s="86"/>
      <c r="O681" s="86"/>
      <c r="P681" s="86"/>
      <c r="Q681" s="86"/>
      <c r="R681" s="86"/>
      <c r="S681" s="86"/>
      <c r="T681" s="86"/>
      <c r="U681" s="86"/>
      <c r="V681" s="86"/>
      <c r="W681" s="86"/>
      <c r="X681" s="86"/>
      <c r="Y681" s="86"/>
      <c r="Z681" s="86"/>
      <c r="AA681" s="86"/>
    </row>
    <row r="682" spans="1:27" ht="14.25" customHeight="1" x14ac:dyDescent="0.35">
      <c r="A682" s="76">
        <v>0</v>
      </c>
      <c r="B682" s="77" t="str">
        <v>Kristof Süveges</v>
      </c>
      <c r="C682" s="76"/>
      <c r="D682" s="78">
        <f>IF(C682=0,0,_xlfn.IFNA(IF( MATCH(C682,Rangliste!B:B,0)&gt;0,0,1),1))</f>
        <v>0</v>
      </c>
      <c r="E682" s="85" t="str">
        <f t="shared" si="2"/>
        <v/>
      </c>
      <c r="F682" s="85"/>
      <c r="G682" s="83"/>
      <c r="H682" s="86"/>
      <c r="I682" s="86"/>
      <c r="J682" s="86"/>
      <c r="K682" s="62"/>
      <c r="L682" s="86"/>
      <c r="M682" s="86"/>
      <c r="N682" s="86"/>
      <c r="O682" s="86"/>
      <c r="P682" s="86"/>
      <c r="Q682" s="86"/>
      <c r="R682" s="86"/>
      <c r="S682" s="86"/>
      <c r="T682" s="86"/>
      <c r="U682" s="86"/>
      <c r="V682" s="86"/>
      <c r="W682" s="86"/>
      <c r="X682" s="86"/>
      <c r="Y682" s="86"/>
      <c r="Z682" s="86"/>
      <c r="AA682" s="86"/>
    </row>
    <row r="683" spans="1:27" ht="14.25" customHeight="1" x14ac:dyDescent="0.35">
      <c r="A683" s="76">
        <v>0</v>
      </c>
      <c r="B683" s="77" t="str">
        <v>Julian Taferl</v>
      </c>
      <c r="C683" s="76"/>
      <c r="D683" s="78">
        <f>IF(C683=0,0,_xlfn.IFNA(IF( MATCH(C683,Rangliste!B:B,0)&gt;0,0,1),1))</f>
        <v>0</v>
      </c>
      <c r="E683" s="85" t="str">
        <f t="shared" si="2"/>
        <v/>
      </c>
      <c r="F683" s="85"/>
      <c r="G683" s="83"/>
      <c r="H683" s="86"/>
      <c r="I683" s="86"/>
      <c r="J683" s="86"/>
      <c r="K683" s="62"/>
      <c r="L683" s="86"/>
      <c r="M683" s="86"/>
      <c r="N683" s="86"/>
      <c r="O683" s="86"/>
      <c r="P683" s="86"/>
      <c r="Q683" s="86"/>
      <c r="R683" s="86"/>
      <c r="S683" s="86"/>
      <c r="T683" s="86"/>
      <c r="U683" s="86"/>
      <c r="V683" s="86"/>
      <c r="W683" s="86"/>
      <c r="X683" s="86"/>
      <c r="Y683" s="86"/>
      <c r="Z683" s="86"/>
      <c r="AA683" s="86"/>
    </row>
    <row r="684" spans="1:27" ht="14.25" customHeight="1" x14ac:dyDescent="0.35">
      <c r="A684" s="76">
        <v>0</v>
      </c>
      <c r="B684" s="77" t="str">
        <v>Elias Bauer</v>
      </c>
      <c r="C684" s="76"/>
      <c r="D684" s="78">
        <f>IF(C684=0,0,_xlfn.IFNA(IF( MATCH(C684,Rangliste!B:B,0)&gt;0,0,1),1))</f>
        <v>0</v>
      </c>
      <c r="E684" s="85" t="str">
        <f t="shared" si="2"/>
        <v/>
      </c>
      <c r="F684" s="85"/>
      <c r="G684" s="83"/>
      <c r="H684" s="86"/>
      <c r="I684" s="86"/>
      <c r="J684" s="86"/>
      <c r="K684" s="62"/>
      <c r="L684" s="86"/>
      <c r="M684" s="86"/>
      <c r="N684" s="86"/>
      <c r="O684" s="86"/>
      <c r="P684" s="86"/>
      <c r="Q684" s="86"/>
      <c r="R684" s="86"/>
      <c r="S684" s="86"/>
      <c r="T684" s="86"/>
      <c r="U684" s="86"/>
      <c r="V684" s="86"/>
      <c r="W684" s="86"/>
      <c r="X684" s="86"/>
      <c r="Y684" s="86"/>
      <c r="Z684" s="86"/>
      <c r="AA684" s="86"/>
    </row>
    <row r="685" spans="1:27" ht="14.25" customHeight="1" x14ac:dyDescent="0.35">
      <c r="A685" s="76">
        <v>0</v>
      </c>
      <c r="B685" s="77" t="str">
        <v>Anna Gugler</v>
      </c>
      <c r="C685" s="76"/>
      <c r="D685" s="78">
        <f>IF(C685=0,0,_xlfn.IFNA(IF( MATCH(C685,Rangliste!B:B,0)&gt;0,0,1),1))</f>
        <v>0</v>
      </c>
      <c r="E685" s="85" t="str">
        <f t="shared" si="2"/>
        <v/>
      </c>
      <c r="F685" s="85"/>
      <c r="G685" s="83"/>
      <c r="H685" s="86"/>
      <c r="I685" s="86"/>
      <c r="J685" s="86"/>
      <c r="K685" s="62"/>
      <c r="L685" s="86"/>
      <c r="M685" s="86"/>
      <c r="N685" s="86"/>
      <c r="O685" s="86"/>
      <c r="P685" s="86"/>
      <c r="Q685" s="86"/>
      <c r="R685" s="86"/>
      <c r="S685" s="86"/>
      <c r="T685" s="86"/>
      <c r="U685" s="86"/>
      <c r="V685" s="86"/>
      <c r="W685" s="86"/>
      <c r="X685" s="86"/>
      <c r="Y685" s="86"/>
      <c r="Z685" s="86"/>
      <c r="AA685" s="86"/>
    </row>
    <row r="686" spans="1:27" ht="14.25" customHeight="1" x14ac:dyDescent="0.35">
      <c r="A686" s="76">
        <v>0</v>
      </c>
      <c r="B686" s="77" t="str">
        <v>Rafael Burian</v>
      </c>
      <c r="C686" s="76"/>
      <c r="D686" s="78">
        <f>IF(C686=0,0,_xlfn.IFNA(IF( MATCH(C686,Rangliste!B:B,0)&gt;0,0,1),1))</f>
        <v>0</v>
      </c>
      <c r="E686" s="85" t="str">
        <f t="shared" si="2"/>
        <v/>
      </c>
      <c r="F686" s="85"/>
      <c r="G686" s="83"/>
      <c r="H686" s="86"/>
      <c r="I686" s="86"/>
      <c r="J686" s="86"/>
      <c r="K686" s="62"/>
      <c r="L686" s="86"/>
      <c r="M686" s="86"/>
      <c r="N686" s="86"/>
      <c r="O686" s="86"/>
      <c r="P686" s="86"/>
      <c r="Q686" s="86"/>
      <c r="R686" s="86"/>
      <c r="S686" s="86"/>
      <c r="T686" s="86"/>
      <c r="U686" s="86"/>
      <c r="V686" s="86"/>
      <c r="W686" s="86"/>
      <c r="X686" s="86"/>
      <c r="Y686" s="86"/>
      <c r="Z686" s="86"/>
      <c r="AA686" s="86"/>
    </row>
    <row r="687" spans="1:27" ht="14.25" customHeight="1" x14ac:dyDescent="0.35">
      <c r="A687" s="76">
        <v>0</v>
      </c>
      <c r="B687" s="77" t="str">
        <v>Viktoria Klein</v>
      </c>
      <c r="C687" s="76"/>
      <c r="D687" s="78">
        <f>IF(C687=0,0,_xlfn.IFNA(IF( MATCH(C687,Rangliste!B:B,0)&gt;0,0,1),1))</f>
        <v>0</v>
      </c>
      <c r="E687" s="85" t="str">
        <f t="shared" si="2"/>
        <v/>
      </c>
      <c r="F687" s="85"/>
      <c r="G687" s="83"/>
      <c r="H687" s="86"/>
      <c r="I687" s="86"/>
      <c r="J687" s="86"/>
      <c r="K687" s="62"/>
      <c r="L687" s="86"/>
      <c r="M687" s="86"/>
      <c r="N687" s="86"/>
      <c r="O687" s="86"/>
      <c r="P687" s="86"/>
      <c r="Q687" s="86"/>
      <c r="R687" s="86"/>
      <c r="S687" s="86"/>
      <c r="T687" s="86"/>
      <c r="U687" s="86"/>
      <c r="V687" s="86"/>
      <c r="W687" s="86"/>
      <c r="X687" s="86"/>
      <c r="Y687" s="86"/>
      <c r="Z687" s="86"/>
      <c r="AA687" s="86"/>
    </row>
    <row r="688" spans="1:27" ht="14.25" customHeight="1" x14ac:dyDescent="0.35">
      <c r="A688" s="76">
        <v>0</v>
      </c>
      <c r="B688" s="77" t="str">
        <v>Dimitrij Wolgin</v>
      </c>
      <c r="C688" s="76"/>
      <c r="D688" s="78">
        <f>IF(C688=0,0,_xlfn.IFNA(IF( MATCH(C688,Rangliste!B:B,0)&gt;0,0,1),1))</f>
        <v>0</v>
      </c>
      <c r="E688" s="85" t="str">
        <f t="shared" si="2"/>
        <v/>
      </c>
      <c r="F688" s="85"/>
      <c r="G688" s="83"/>
      <c r="H688" s="86"/>
      <c r="I688" s="86"/>
      <c r="J688" s="86"/>
      <c r="K688" s="62"/>
      <c r="L688" s="86"/>
      <c r="M688" s="86"/>
      <c r="N688" s="86"/>
      <c r="O688" s="86"/>
      <c r="P688" s="86"/>
      <c r="Q688" s="86"/>
      <c r="R688" s="86"/>
      <c r="S688" s="86"/>
      <c r="T688" s="86"/>
      <c r="U688" s="86"/>
      <c r="V688" s="86"/>
      <c r="W688" s="86"/>
      <c r="X688" s="86"/>
      <c r="Y688" s="86"/>
      <c r="Z688" s="86"/>
      <c r="AA688" s="86"/>
    </row>
    <row r="689" spans="1:27" ht="14.25" customHeight="1" x14ac:dyDescent="0.35">
      <c r="A689" s="76">
        <v>0</v>
      </c>
      <c r="B689" s="77" t="str">
        <v>Viktor Aleksic</v>
      </c>
      <c r="C689" s="76"/>
      <c r="D689" s="78">
        <f>IF(C689=0,0,_xlfn.IFNA(IF( MATCH(C689,Rangliste!B:B,0)&gt;0,0,1),1))</f>
        <v>0</v>
      </c>
      <c r="E689" s="85" t="str">
        <f t="shared" si="2"/>
        <v/>
      </c>
      <c r="F689" s="85"/>
      <c r="G689" s="83"/>
      <c r="H689" s="86"/>
      <c r="I689" s="86"/>
      <c r="J689" s="86"/>
      <c r="K689" s="62"/>
      <c r="L689" s="86"/>
      <c r="M689" s="86"/>
      <c r="N689" s="86"/>
      <c r="O689" s="86"/>
      <c r="P689" s="86"/>
      <c r="Q689" s="86"/>
      <c r="R689" s="86"/>
      <c r="S689" s="86"/>
      <c r="T689" s="86"/>
      <c r="U689" s="86"/>
      <c r="V689" s="86"/>
      <c r="W689" s="86"/>
      <c r="X689" s="86"/>
      <c r="Y689" s="86"/>
      <c r="Z689" s="86"/>
      <c r="AA689" s="86"/>
    </row>
    <row r="690" spans="1:27" ht="14.25" customHeight="1" x14ac:dyDescent="0.35">
      <c r="A690" s="76">
        <v>0</v>
      </c>
      <c r="B690" s="77" t="str">
        <v>Marco Papp</v>
      </c>
      <c r="C690" s="76"/>
      <c r="D690" s="78">
        <f>IF(C690=0,0,_xlfn.IFNA(IF( MATCH(C690,Rangliste!B:B,0)&gt;0,0,1),1))</f>
        <v>0</v>
      </c>
      <c r="E690" s="85" t="str">
        <f t="shared" si="2"/>
        <v/>
      </c>
      <c r="F690" s="85"/>
      <c r="G690" s="83"/>
      <c r="H690" s="86"/>
      <c r="I690" s="86"/>
      <c r="J690" s="86"/>
      <c r="K690" s="62"/>
      <c r="L690" s="86"/>
      <c r="M690" s="86"/>
      <c r="N690" s="86"/>
      <c r="O690" s="86"/>
      <c r="P690" s="86"/>
      <c r="Q690" s="86"/>
      <c r="R690" s="86"/>
      <c r="S690" s="86"/>
      <c r="T690" s="86"/>
      <c r="U690" s="86"/>
      <c r="V690" s="86"/>
      <c r="W690" s="86"/>
      <c r="X690" s="86"/>
      <c r="Y690" s="86"/>
      <c r="Z690" s="86"/>
      <c r="AA690" s="86"/>
    </row>
    <row r="691" spans="1:27" ht="14.25" customHeight="1" x14ac:dyDescent="0.35">
      <c r="A691" s="76">
        <v>0</v>
      </c>
      <c r="B691" s="77">
        <v>0</v>
      </c>
      <c r="C691" s="76"/>
      <c r="D691" s="78">
        <f>IF(C691=0,0,_xlfn.IFNA(IF( MATCH(C691,Rangliste!B:B,0)&gt;0,0,1),1))</f>
        <v>0</v>
      </c>
      <c r="E691" s="85" t="str">
        <f t="shared" si="2"/>
        <v/>
      </c>
      <c r="F691" s="85"/>
      <c r="G691" s="83"/>
      <c r="H691" s="86"/>
      <c r="I691" s="86"/>
      <c r="J691" s="86"/>
      <c r="K691" s="62"/>
      <c r="L691" s="86"/>
      <c r="M691" s="86"/>
      <c r="N691" s="86"/>
      <c r="O691" s="86"/>
      <c r="P691" s="86"/>
      <c r="Q691" s="86"/>
      <c r="R691" s="86"/>
      <c r="S691" s="86"/>
      <c r="T691" s="86"/>
      <c r="U691" s="86"/>
      <c r="V691" s="86"/>
      <c r="W691" s="86"/>
      <c r="X691" s="86"/>
      <c r="Y691" s="86"/>
      <c r="Z691" s="86"/>
      <c r="AA691" s="86"/>
    </row>
    <row r="692" spans="1:27" ht="14.25" customHeight="1" x14ac:dyDescent="0.35">
      <c r="A692" s="76" t="str">
        <f t="array" ref="A692:A707">'Regioturnier 2'!$R$3:$R$18</f>
        <v>Nikol Odyntsova</v>
      </c>
      <c r="B692" s="77">
        <v>0</v>
      </c>
      <c r="C692" s="76"/>
      <c r="D692" s="78">
        <f>IF(C692=0,0,_xlfn.IFNA(IF( MATCH(C692,Rangliste!B:B,0)&gt;0,0,1),1))</f>
        <v>0</v>
      </c>
      <c r="E692" s="85" t="str">
        <f t="shared" si="2"/>
        <v/>
      </c>
      <c r="F692" s="85"/>
      <c r="G692" s="83"/>
      <c r="H692" s="86"/>
      <c r="I692" s="86"/>
      <c r="J692" s="86"/>
      <c r="K692" s="62"/>
      <c r="L692" s="86"/>
      <c r="M692" s="86"/>
      <c r="N692" s="86"/>
      <c r="O692" s="86"/>
      <c r="P692" s="86"/>
      <c r="Q692" s="86"/>
      <c r="R692" s="86"/>
      <c r="S692" s="86"/>
      <c r="T692" s="86"/>
      <c r="U692" s="86"/>
      <c r="V692" s="86"/>
      <c r="W692" s="86"/>
      <c r="X692" s="86"/>
      <c r="Y692" s="86"/>
      <c r="Z692" s="86"/>
      <c r="AA692" s="86"/>
    </row>
    <row r="693" spans="1:27" ht="14.25" customHeight="1" x14ac:dyDescent="0.35">
      <c r="A693" s="76" t="str">
        <v>Laura Schindler</v>
      </c>
      <c r="B693" s="77">
        <v>0</v>
      </c>
      <c r="C693" s="76"/>
      <c r="D693" s="78">
        <f>IF(C693=0,0,_xlfn.IFNA(IF( MATCH(C693,Rangliste!B:B,0)&gt;0,0,1),1))</f>
        <v>0</v>
      </c>
      <c r="E693" s="85" t="str">
        <f t="shared" si="2"/>
        <v/>
      </c>
      <c r="F693" s="85"/>
      <c r="G693" s="83"/>
      <c r="H693" s="86"/>
      <c r="I693" s="86"/>
      <c r="J693" s="86"/>
      <c r="K693" s="62"/>
      <c r="L693" s="86"/>
      <c r="M693" s="86"/>
      <c r="N693" s="86"/>
      <c r="O693" s="86"/>
      <c r="P693" s="86"/>
      <c r="Q693" s="86"/>
      <c r="R693" s="86"/>
      <c r="S693" s="86"/>
      <c r="T693" s="86"/>
      <c r="U693" s="86"/>
      <c r="V693" s="86"/>
      <c r="W693" s="86"/>
      <c r="X693" s="86"/>
      <c r="Y693" s="86"/>
      <c r="Z693" s="86"/>
      <c r="AA693" s="86"/>
    </row>
    <row r="694" spans="1:27" ht="14.25" customHeight="1" x14ac:dyDescent="0.35">
      <c r="A694" s="76" t="str">
        <v>Emilia Nagy</v>
      </c>
      <c r="B694" s="77">
        <v>0</v>
      </c>
      <c r="C694" s="76"/>
      <c r="D694" s="78">
        <f>IF(C694=0,0,_xlfn.IFNA(IF( MATCH(C694,Rangliste!B:B,0)&gt;0,0,1),1))</f>
        <v>0</v>
      </c>
      <c r="E694" s="85" t="str">
        <f t="shared" si="2"/>
        <v/>
      </c>
      <c r="F694" s="85"/>
      <c r="G694" s="83"/>
      <c r="H694" s="86"/>
      <c r="I694" s="86"/>
      <c r="J694" s="86"/>
      <c r="K694" s="62"/>
      <c r="L694" s="86"/>
      <c r="M694" s="86"/>
      <c r="N694" s="86"/>
      <c r="O694" s="86"/>
      <c r="P694" s="86"/>
      <c r="Q694" s="86"/>
      <c r="R694" s="86"/>
      <c r="S694" s="86"/>
      <c r="T694" s="86"/>
      <c r="U694" s="86"/>
      <c r="V694" s="86"/>
      <c r="W694" s="86"/>
      <c r="X694" s="86"/>
      <c r="Y694" s="86"/>
      <c r="Z694" s="86"/>
      <c r="AA694" s="86"/>
    </row>
    <row r="695" spans="1:27" ht="14.25" customHeight="1" x14ac:dyDescent="0.35">
      <c r="A695" s="76" t="str">
        <v>Johanna Floßmann</v>
      </c>
      <c r="B695" s="77">
        <v>0</v>
      </c>
      <c r="C695" s="76"/>
      <c r="D695" s="78">
        <f>IF(C695=0,0,_xlfn.IFNA(IF( MATCH(C695,Rangliste!B:B,0)&gt;0,0,1),1))</f>
        <v>0</v>
      </c>
      <c r="E695" s="85" t="str">
        <f t="shared" si="2"/>
        <v/>
      </c>
      <c r="F695" s="85"/>
      <c r="G695" s="83"/>
      <c r="H695" s="86"/>
      <c r="I695" s="86"/>
      <c r="J695" s="86"/>
      <c r="K695" s="62"/>
      <c r="L695" s="86"/>
      <c r="M695" s="86"/>
      <c r="N695" s="86"/>
      <c r="O695" s="86"/>
      <c r="P695" s="86"/>
      <c r="Q695" s="86"/>
      <c r="R695" s="86"/>
      <c r="S695" s="86"/>
      <c r="T695" s="86"/>
      <c r="U695" s="86"/>
      <c r="V695" s="86"/>
      <c r="W695" s="86"/>
      <c r="X695" s="86"/>
      <c r="Y695" s="86"/>
      <c r="Z695" s="86"/>
      <c r="AA695" s="86"/>
    </row>
    <row r="696" spans="1:27" ht="14.25" customHeight="1" x14ac:dyDescent="0.35">
      <c r="A696" s="76" t="str">
        <v>Lola Ahammer</v>
      </c>
      <c r="B696" s="77">
        <v>0</v>
      </c>
      <c r="C696" s="76"/>
      <c r="D696" s="78">
        <f>IF(C696=0,0,_xlfn.IFNA(IF( MATCH(C696,Rangliste!B:B,0)&gt;0,0,1),1))</f>
        <v>0</v>
      </c>
      <c r="E696" s="85" t="str">
        <f t="shared" si="2"/>
        <v/>
      </c>
      <c r="F696" s="85"/>
      <c r="G696" s="83"/>
      <c r="H696" s="86"/>
      <c r="I696" s="86"/>
      <c r="J696" s="86"/>
      <c r="K696" s="62"/>
      <c r="L696" s="86"/>
      <c r="M696" s="86"/>
      <c r="N696" s="86"/>
      <c r="O696" s="86"/>
      <c r="P696" s="86"/>
      <c r="Q696" s="86"/>
      <c r="R696" s="86"/>
      <c r="S696" s="86"/>
      <c r="T696" s="86"/>
      <c r="U696" s="86"/>
      <c r="V696" s="86"/>
      <c r="W696" s="86"/>
      <c r="X696" s="86"/>
      <c r="Y696" s="86"/>
      <c r="Z696" s="86"/>
      <c r="AA696" s="86"/>
    </row>
    <row r="697" spans="1:27" ht="14.25" customHeight="1" x14ac:dyDescent="0.35">
      <c r="A697" s="76">
        <v>0</v>
      </c>
      <c r="B697" s="77">
        <v>0</v>
      </c>
      <c r="C697" s="76"/>
      <c r="D697" s="78">
        <f>IF(C697=0,0,_xlfn.IFNA(IF( MATCH(C697,Rangliste!B:B,0)&gt;0,0,1),1))</f>
        <v>0</v>
      </c>
      <c r="E697" s="85" t="str">
        <f t="shared" si="2"/>
        <v/>
      </c>
      <c r="F697" s="85"/>
      <c r="G697" s="83"/>
      <c r="H697" s="86"/>
      <c r="I697" s="86"/>
      <c r="J697" s="86"/>
      <c r="K697" s="62"/>
      <c r="L697" s="86"/>
      <c r="M697" s="86"/>
      <c r="N697" s="86"/>
      <c r="O697" s="86"/>
      <c r="P697" s="86"/>
      <c r="Q697" s="86"/>
      <c r="R697" s="86"/>
      <c r="S697" s="86"/>
      <c r="T697" s="86"/>
      <c r="U697" s="86"/>
      <c r="V697" s="86"/>
      <c r="W697" s="86"/>
      <c r="X697" s="86"/>
      <c r="Y697" s="86"/>
      <c r="Z697" s="86"/>
      <c r="AA697" s="86"/>
    </row>
    <row r="698" spans="1:27" ht="14.25" customHeight="1" x14ac:dyDescent="0.35">
      <c r="A698" s="76">
        <v>0</v>
      </c>
      <c r="B698" s="77">
        <v>0</v>
      </c>
      <c r="C698" s="76"/>
      <c r="D698" s="78">
        <f>IF(C698=0,0,_xlfn.IFNA(IF( MATCH(C698,Rangliste!B:B,0)&gt;0,0,1),1))</f>
        <v>0</v>
      </c>
      <c r="E698" s="85" t="str">
        <f t="shared" si="2"/>
        <v/>
      </c>
      <c r="F698" s="85"/>
      <c r="G698" s="83"/>
      <c r="H698" s="86"/>
      <c r="I698" s="86"/>
      <c r="J698" s="86"/>
      <c r="K698" s="62"/>
      <c r="L698" s="86"/>
      <c r="M698" s="86"/>
      <c r="N698" s="86"/>
      <c r="O698" s="86"/>
      <c r="P698" s="86"/>
      <c r="Q698" s="86"/>
      <c r="R698" s="86"/>
      <c r="S698" s="86"/>
      <c r="T698" s="86"/>
      <c r="U698" s="86"/>
      <c r="V698" s="86"/>
      <c r="W698" s="86"/>
      <c r="X698" s="86"/>
      <c r="Y698" s="86"/>
      <c r="Z698" s="86"/>
      <c r="AA698" s="86"/>
    </row>
    <row r="699" spans="1:27" ht="14.25" customHeight="1" x14ac:dyDescent="0.35">
      <c r="A699" s="76">
        <v>0</v>
      </c>
      <c r="B699" s="77">
        <v>0</v>
      </c>
      <c r="C699" s="76"/>
      <c r="D699" s="78">
        <f>IF(C699=0,0,_xlfn.IFNA(IF( MATCH(C699,Rangliste!B:B,0)&gt;0,0,1),1))</f>
        <v>0</v>
      </c>
      <c r="E699" s="85" t="str">
        <f t="shared" si="2"/>
        <v/>
      </c>
      <c r="F699" s="85"/>
      <c r="G699" s="83"/>
      <c r="H699" s="86"/>
      <c r="I699" s="86"/>
      <c r="J699" s="86"/>
      <c r="K699" s="62"/>
      <c r="L699" s="86"/>
      <c r="M699" s="86"/>
      <c r="N699" s="86"/>
      <c r="O699" s="86"/>
      <c r="P699" s="86"/>
      <c r="Q699" s="86"/>
      <c r="R699" s="86"/>
      <c r="S699" s="86"/>
      <c r="T699" s="86"/>
      <c r="U699" s="86"/>
      <c r="V699" s="86"/>
      <c r="W699" s="86"/>
      <c r="X699" s="86"/>
      <c r="Y699" s="86"/>
      <c r="Z699" s="86"/>
      <c r="AA699" s="86"/>
    </row>
    <row r="700" spans="1:27" ht="14.25" customHeight="1" x14ac:dyDescent="0.35">
      <c r="A700" s="76">
        <v>0</v>
      </c>
      <c r="B700" s="77">
        <v>0</v>
      </c>
      <c r="C700" s="76"/>
      <c r="D700" s="78">
        <f>IF(C700=0,0,_xlfn.IFNA(IF( MATCH(C700,Rangliste!B:B,0)&gt;0,0,1),1))</f>
        <v>0</v>
      </c>
      <c r="E700" s="85" t="str">
        <f t="shared" si="2"/>
        <v/>
      </c>
      <c r="F700" s="85"/>
      <c r="G700" s="83"/>
      <c r="H700" s="86"/>
      <c r="I700" s="86"/>
      <c r="J700" s="86"/>
      <c r="K700" s="62"/>
      <c r="L700" s="86"/>
      <c r="M700" s="86"/>
      <c r="N700" s="86"/>
      <c r="O700" s="86"/>
      <c r="P700" s="86"/>
      <c r="Q700" s="86"/>
      <c r="R700" s="86"/>
      <c r="S700" s="86"/>
      <c r="T700" s="86"/>
      <c r="U700" s="86"/>
      <c r="V700" s="86"/>
      <c r="W700" s="86"/>
      <c r="X700" s="86"/>
      <c r="Y700" s="86"/>
      <c r="Z700" s="86"/>
      <c r="AA700" s="86"/>
    </row>
    <row r="701" spans="1:27" ht="14.25" customHeight="1" x14ac:dyDescent="0.35">
      <c r="A701" s="76">
        <v>0</v>
      </c>
      <c r="B701" s="87">
        <v>0</v>
      </c>
      <c r="C701" s="76"/>
      <c r="D701" s="78">
        <f>IF(C701=0,0,_xlfn.IFNA(IF( MATCH(C701,Rangliste!B:B,0)&gt;0,0,1),1))</f>
        <v>0</v>
      </c>
      <c r="E701" s="85" t="str">
        <f t="shared" si="2"/>
        <v/>
      </c>
      <c r="F701" s="85"/>
      <c r="G701" s="83"/>
      <c r="H701" s="86"/>
      <c r="I701" s="86"/>
      <c r="J701" s="86"/>
      <c r="K701" s="62"/>
      <c r="L701" s="86"/>
      <c r="M701" s="86"/>
      <c r="N701" s="86"/>
      <c r="O701" s="86"/>
      <c r="P701" s="86"/>
      <c r="Q701" s="86"/>
      <c r="R701" s="86"/>
      <c r="S701" s="86"/>
      <c r="T701" s="86"/>
      <c r="U701" s="86"/>
      <c r="V701" s="86"/>
      <c r="W701" s="86"/>
      <c r="X701" s="86"/>
      <c r="Y701" s="86"/>
      <c r="Z701" s="86"/>
      <c r="AA701" s="86"/>
    </row>
    <row r="702" spans="1:27" ht="14.25" customHeight="1" x14ac:dyDescent="0.35">
      <c r="A702" s="76">
        <v>0</v>
      </c>
      <c r="B702" s="87">
        <v>0</v>
      </c>
      <c r="C702" s="76"/>
      <c r="D702" s="78">
        <f>IF(C702=0,0,_xlfn.IFNA(IF( MATCH(C702,Rangliste!B:B,0)&gt;0,0,1),1))</f>
        <v>0</v>
      </c>
      <c r="E702" s="85" t="str">
        <f t="shared" si="2"/>
        <v/>
      </c>
      <c r="F702" s="85"/>
      <c r="G702" s="83"/>
      <c r="H702" s="86"/>
      <c r="I702" s="86"/>
      <c r="J702" s="86"/>
      <c r="K702" s="62"/>
      <c r="L702" s="86"/>
      <c r="M702" s="86"/>
      <c r="N702" s="86"/>
      <c r="O702" s="86"/>
      <c r="P702" s="86"/>
      <c r="Q702" s="86"/>
      <c r="R702" s="86"/>
      <c r="S702" s="86"/>
      <c r="T702" s="86"/>
      <c r="U702" s="86"/>
      <c r="V702" s="86"/>
      <c r="W702" s="86"/>
      <c r="X702" s="86"/>
      <c r="Y702" s="86"/>
      <c r="Z702" s="86"/>
      <c r="AA702" s="86"/>
    </row>
    <row r="703" spans="1:27" ht="14.25" customHeight="1" x14ac:dyDescent="0.35">
      <c r="A703" s="76">
        <v>0</v>
      </c>
      <c r="B703" s="87">
        <v>0</v>
      </c>
      <c r="C703" s="76"/>
      <c r="D703" s="78">
        <f>IF(C703=0,0,_xlfn.IFNA(IF( MATCH(C703,Rangliste!B:B,0)&gt;0,0,1),1))</f>
        <v>0</v>
      </c>
      <c r="E703" s="85" t="str">
        <f t="shared" si="2"/>
        <v/>
      </c>
      <c r="F703" s="85"/>
      <c r="G703" s="83"/>
      <c r="H703" s="86"/>
      <c r="I703" s="86"/>
      <c r="J703" s="86"/>
      <c r="K703" s="62"/>
      <c r="L703" s="86"/>
      <c r="M703" s="86"/>
      <c r="N703" s="86"/>
      <c r="O703" s="86"/>
      <c r="P703" s="86"/>
      <c r="Q703" s="86"/>
      <c r="R703" s="86"/>
      <c r="S703" s="86"/>
      <c r="T703" s="86"/>
      <c r="U703" s="86"/>
      <c r="V703" s="86"/>
      <c r="W703" s="86"/>
      <c r="X703" s="86"/>
      <c r="Y703" s="86"/>
      <c r="Z703" s="86"/>
      <c r="AA703" s="86"/>
    </row>
    <row r="704" spans="1:27" ht="14.25" customHeight="1" x14ac:dyDescent="0.35">
      <c r="A704" s="76">
        <v>0</v>
      </c>
      <c r="B704" s="87">
        <v>0</v>
      </c>
      <c r="C704" s="76"/>
      <c r="D704" s="78">
        <f>IF(C704=0,0,_xlfn.IFNA(IF( MATCH(C704,Rangliste!B:B,0)&gt;0,0,1),1))</f>
        <v>0</v>
      </c>
      <c r="E704" s="85" t="str">
        <f t="shared" si="2"/>
        <v/>
      </c>
      <c r="F704" s="85"/>
      <c r="G704" s="83"/>
      <c r="H704" s="86"/>
      <c r="I704" s="86"/>
      <c r="J704" s="86"/>
      <c r="K704" s="62"/>
      <c r="L704" s="86"/>
      <c r="M704" s="86"/>
      <c r="N704" s="86"/>
      <c r="O704" s="86"/>
      <c r="P704" s="86"/>
      <c r="Q704" s="86"/>
      <c r="R704" s="86"/>
      <c r="S704" s="86"/>
      <c r="T704" s="86"/>
      <c r="U704" s="86"/>
      <c r="V704" s="86"/>
      <c r="W704" s="86"/>
      <c r="X704" s="86"/>
      <c r="Y704" s="86"/>
      <c r="Z704" s="86"/>
      <c r="AA704" s="86"/>
    </row>
    <row r="705" spans="1:27" ht="14.25" customHeight="1" x14ac:dyDescent="0.35">
      <c r="A705" s="76">
        <v>0</v>
      </c>
      <c r="B705" s="87">
        <v>0</v>
      </c>
      <c r="C705" s="76"/>
      <c r="D705" s="78">
        <f>IF(C705=0,0,_xlfn.IFNA(IF( MATCH(C705,Rangliste!B:B,0)&gt;0,0,1),1))</f>
        <v>0</v>
      </c>
      <c r="E705" s="85" t="str">
        <f t="shared" si="2"/>
        <v/>
      </c>
      <c r="F705" s="85"/>
      <c r="G705" s="83"/>
      <c r="H705" s="86"/>
      <c r="I705" s="86"/>
      <c r="J705" s="86"/>
      <c r="K705" s="62"/>
      <c r="L705" s="86"/>
      <c r="M705" s="86"/>
      <c r="N705" s="86"/>
      <c r="O705" s="86"/>
      <c r="P705" s="86"/>
      <c r="Q705" s="86"/>
      <c r="R705" s="86"/>
      <c r="S705" s="86"/>
      <c r="T705" s="86"/>
      <c r="U705" s="86"/>
      <c r="V705" s="86"/>
      <c r="W705" s="86"/>
      <c r="X705" s="86"/>
      <c r="Y705" s="86"/>
      <c r="Z705" s="86"/>
      <c r="AA705" s="86"/>
    </row>
    <row r="706" spans="1:27" ht="14.25" customHeight="1" x14ac:dyDescent="0.35">
      <c r="A706" s="76">
        <v>0</v>
      </c>
      <c r="B706" s="87">
        <v>0</v>
      </c>
      <c r="C706" s="76"/>
      <c r="D706" s="78">
        <f>IF(C706=0,0,_xlfn.IFNA(IF( MATCH(C706,Rangliste!B:B,0)&gt;0,0,1),1))</f>
        <v>0</v>
      </c>
      <c r="E706" s="85" t="str">
        <f t="shared" si="2"/>
        <v/>
      </c>
      <c r="F706" s="85"/>
      <c r="G706" s="83"/>
      <c r="H706" s="86"/>
      <c r="I706" s="86"/>
      <c r="J706" s="86"/>
      <c r="K706" s="62"/>
      <c r="L706" s="86"/>
      <c r="M706" s="86"/>
      <c r="N706" s="86"/>
      <c r="O706" s="86"/>
      <c r="P706" s="86"/>
      <c r="Q706" s="86"/>
      <c r="R706" s="86"/>
      <c r="S706" s="86"/>
      <c r="T706" s="86"/>
      <c r="U706" s="86"/>
      <c r="V706" s="86"/>
      <c r="W706" s="86"/>
      <c r="X706" s="86"/>
      <c r="Y706" s="86"/>
      <c r="Z706" s="86"/>
      <c r="AA706" s="86"/>
    </row>
    <row r="707" spans="1:27" ht="14.25" customHeight="1" x14ac:dyDescent="0.35">
      <c r="A707" s="76">
        <v>0</v>
      </c>
      <c r="B707" s="87">
        <v>0</v>
      </c>
      <c r="C707" s="76"/>
      <c r="D707" s="78">
        <f>IF(C707=0,0,_xlfn.IFNA(IF( MATCH(C707,Rangliste!B:B,0)&gt;0,0,1),1))</f>
        <v>0</v>
      </c>
      <c r="E707" s="85" t="str">
        <f t="shared" si="2"/>
        <v/>
      </c>
      <c r="F707" s="85"/>
      <c r="G707" s="83"/>
      <c r="H707" s="86"/>
      <c r="I707" s="86"/>
      <c r="J707" s="86"/>
      <c r="K707" s="62"/>
      <c r="L707" s="86"/>
      <c r="M707" s="86"/>
      <c r="N707" s="86"/>
      <c r="O707" s="86"/>
      <c r="P707" s="86"/>
      <c r="Q707" s="86"/>
      <c r="R707" s="86"/>
      <c r="S707" s="86"/>
      <c r="T707" s="86"/>
      <c r="U707" s="86"/>
      <c r="V707" s="86"/>
      <c r="W707" s="86"/>
      <c r="X707" s="86"/>
      <c r="Y707" s="86"/>
      <c r="Z707" s="86"/>
      <c r="AA707" s="86"/>
    </row>
    <row r="708" spans="1:27" ht="14.25" customHeight="1" x14ac:dyDescent="0.35">
      <c r="A708" s="76" t="str">
        <f t="array" ref="A708:A723">'Regioturnier 2'!$V$3:$V$18</f>
        <v>Nora Walter</v>
      </c>
      <c r="B708" s="87" t="str">
        <f t="array" ref="B708:B739">'NÖBV 2'!$J$3:$J$34</f>
        <v>Julian Österreicher</v>
      </c>
      <c r="C708" s="76"/>
      <c r="D708" s="78">
        <f>IF(C708=0,0,_xlfn.IFNA(IF( MATCH(C708,Rangliste!B:B,0)&gt;0,0,1),1))</f>
        <v>0</v>
      </c>
      <c r="E708" s="85" t="str">
        <f t="shared" si="2"/>
        <v/>
      </c>
      <c r="F708" s="85"/>
      <c r="G708" s="83"/>
      <c r="H708" s="86"/>
      <c r="I708" s="86"/>
      <c r="J708" s="86"/>
      <c r="K708" s="62"/>
      <c r="L708" s="86"/>
      <c r="M708" s="86"/>
      <c r="N708" s="86"/>
      <c r="O708" s="86"/>
      <c r="P708" s="86"/>
      <c r="Q708" s="86"/>
      <c r="R708" s="86"/>
      <c r="S708" s="86"/>
      <c r="T708" s="86"/>
      <c r="U708" s="86"/>
      <c r="V708" s="86"/>
      <c r="W708" s="86"/>
      <c r="X708" s="86"/>
      <c r="Y708" s="86"/>
      <c r="Z708" s="86"/>
      <c r="AA708" s="86"/>
    </row>
    <row r="709" spans="1:27" ht="14.25" customHeight="1" x14ac:dyDescent="0.35">
      <c r="A709" s="76" t="str">
        <v>Sofia Neumann</v>
      </c>
      <c r="B709" s="87" t="str">
        <v>Leon Hausmann</v>
      </c>
      <c r="C709" s="76"/>
      <c r="D709" s="78">
        <f>IF(C709=0,0,_xlfn.IFNA(IF( MATCH(C709,Rangliste!B:B,0)&gt;0,0,1),1))</f>
        <v>0</v>
      </c>
      <c r="E709" s="85" t="str">
        <f t="shared" si="2"/>
        <v/>
      </c>
      <c r="F709" s="85"/>
      <c r="G709" s="83"/>
      <c r="H709" s="86"/>
      <c r="I709" s="86"/>
      <c r="J709" s="86"/>
      <c r="K709" s="62"/>
      <c r="L709" s="86"/>
      <c r="M709" s="86"/>
      <c r="N709" s="86"/>
      <c r="O709" s="86"/>
      <c r="P709" s="86"/>
      <c r="Q709" s="86"/>
      <c r="R709" s="86"/>
      <c r="S709" s="86"/>
      <c r="T709" s="86"/>
      <c r="U709" s="86"/>
      <c r="V709" s="86"/>
      <c r="W709" s="86"/>
      <c r="X709" s="86"/>
      <c r="Y709" s="86"/>
      <c r="Z709" s="86"/>
      <c r="AA709" s="86"/>
    </row>
    <row r="710" spans="1:27" ht="14.25" customHeight="1" x14ac:dyDescent="0.35">
      <c r="A710" s="76" t="str">
        <v>Mae Rädle</v>
      </c>
      <c r="B710" s="87" t="str">
        <v>Mátyás Palotai</v>
      </c>
      <c r="C710" s="76"/>
      <c r="D710" s="78">
        <f>IF(C710=0,0,_xlfn.IFNA(IF( MATCH(C710,Rangliste!B:B,0)&gt;0,0,1),1))</f>
        <v>0</v>
      </c>
      <c r="E710" s="85" t="str">
        <f t="shared" si="2"/>
        <v/>
      </c>
      <c r="F710" s="85"/>
      <c r="G710" s="83"/>
      <c r="H710" s="86"/>
      <c r="I710" s="86"/>
      <c r="J710" s="86"/>
      <c r="K710" s="62"/>
      <c r="L710" s="86"/>
      <c r="M710" s="86"/>
      <c r="N710" s="86"/>
      <c r="O710" s="86"/>
      <c r="P710" s="86"/>
      <c r="Q710" s="86"/>
      <c r="R710" s="86"/>
      <c r="S710" s="86"/>
      <c r="T710" s="86"/>
      <c r="U710" s="86"/>
      <c r="V710" s="86"/>
      <c r="W710" s="86"/>
      <c r="X710" s="86"/>
      <c r="Y710" s="86"/>
      <c r="Z710" s="86"/>
      <c r="AA710" s="86"/>
    </row>
    <row r="711" spans="1:27" ht="14.25" customHeight="1" x14ac:dyDescent="0.35">
      <c r="A711" s="76" t="str">
        <v>Alisha Huang</v>
      </c>
      <c r="B711" s="87" t="str">
        <v>Nora Walter</v>
      </c>
      <c r="C711" s="76"/>
      <c r="D711" s="78">
        <f>IF(C711=0,0,_xlfn.IFNA(IF( MATCH(C711,Rangliste!B:B,0)&gt;0,0,1),1))</f>
        <v>0</v>
      </c>
      <c r="E711" s="85" t="str">
        <f t="shared" si="2"/>
        <v/>
      </c>
      <c r="F711" s="85"/>
      <c r="G711" s="83"/>
      <c r="H711" s="86"/>
      <c r="I711" s="86"/>
      <c r="J711" s="86"/>
      <c r="K711" s="62"/>
      <c r="L711" s="86"/>
      <c r="M711" s="86"/>
      <c r="N711" s="86"/>
      <c r="O711" s="86"/>
      <c r="P711" s="86"/>
      <c r="Q711" s="86"/>
      <c r="R711" s="86"/>
      <c r="S711" s="86"/>
      <c r="T711" s="86"/>
      <c r="U711" s="86"/>
      <c r="V711" s="86"/>
      <c r="W711" s="86"/>
      <c r="X711" s="86"/>
      <c r="Y711" s="86"/>
      <c r="Z711" s="86"/>
      <c r="AA711" s="86"/>
    </row>
    <row r="712" spans="1:27" ht="14.25" customHeight="1" x14ac:dyDescent="0.35">
      <c r="A712" s="76" t="str">
        <v>Yunqi Yang</v>
      </c>
      <c r="B712" s="87" t="str">
        <v>Sophie Grünwald</v>
      </c>
      <c r="C712" s="76"/>
      <c r="D712" s="78">
        <f>IF(C712=0,0,_xlfn.IFNA(IF( MATCH(C712,Rangliste!B:B,0)&gt;0,0,1),1))</f>
        <v>0</v>
      </c>
      <c r="E712" s="85" t="str">
        <f t="shared" si="2"/>
        <v/>
      </c>
      <c r="F712" s="85"/>
      <c r="G712" s="83"/>
      <c r="H712" s="86"/>
      <c r="I712" s="86"/>
      <c r="J712" s="86"/>
      <c r="K712" s="62"/>
      <c r="L712" s="86"/>
      <c r="M712" s="86"/>
      <c r="N712" s="86"/>
      <c r="O712" s="86"/>
      <c r="P712" s="86"/>
      <c r="Q712" s="86"/>
      <c r="R712" s="86"/>
      <c r="S712" s="86"/>
      <c r="T712" s="86"/>
      <c r="U712" s="86"/>
      <c r="V712" s="86"/>
      <c r="W712" s="86"/>
      <c r="X712" s="86"/>
      <c r="Y712" s="86"/>
      <c r="Z712" s="86"/>
      <c r="AA712" s="86"/>
    </row>
    <row r="713" spans="1:27" ht="14.25" customHeight="1" x14ac:dyDescent="0.35">
      <c r="A713" s="76">
        <v>0</v>
      </c>
      <c r="B713" s="87" t="str">
        <v>Stella Marie Widder</v>
      </c>
      <c r="C713" s="76"/>
      <c r="D713" s="78">
        <f>IF(C713=0,0,_xlfn.IFNA(IF( MATCH(C713,Rangliste!B:B,0)&gt;0,0,1),1))</f>
        <v>0</v>
      </c>
      <c r="E713" s="85" t="str">
        <f t="shared" si="2"/>
        <v/>
      </c>
      <c r="F713" s="85"/>
      <c r="G713" s="83"/>
      <c r="H713" s="86"/>
      <c r="I713" s="86"/>
      <c r="J713" s="86"/>
      <c r="K713" s="62"/>
      <c r="L713" s="86"/>
      <c r="M713" s="86"/>
      <c r="N713" s="86"/>
      <c r="O713" s="86"/>
      <c r="P713" s="86"/>
      <c r="Q713" s="86"/>
      <c r="R713" s="86"/>
      <c r="S713" s="86"/>
      <c r="T713" s="86"/>
      <c r="U713" s="86"/>
      <c r="V713" s="86"/>
      <c r="W713" s="86"/>
      <c r="X713" s="86"/>
      <c r="Y713" s="86"/>
      <c r="Z713" s="86"/>
      <c r="AA713" s="86"/>
    </row>
    <row r="714" spans="1:27" ht="14.25" customHeight="1" x14ac:dyDescent="0.35">
      <c r="A714" s="76">
        <v>0</v>
      </c>
      <c r="B714" s="87" t="str">
        <v>Elma Duvnjak</v>
      </c>
      <c r="C714" s="76"/>
      <c r="D714" s="78">
        <f>IF(C714=0,0,_xlfn.IFNA(IF( MATCH(C714,Rangliste!B:B,0)&gt;0,0,1),1))</f>
        <v>0</v>
      </c>
      <c r="E714" s="85" t="str">
        <f t="shared" si="2"/>
        <v/>
      </c>
      <c r="F714" s="85"/>
      <c r="G714" s="83"/>
      <c r="H714" s="86"/>
      <c r="I714" s="86"/>
      <c r="J714" s="86"/>
      <c r="K714" s="62"/>
      <c r="L714" s="86"/>
      <c r="M714" s="86"/>
      <c r="N714" s="86"/>
      <c r="O714" s="86"/>
      <c r="P714" s="86"/>
      <c r="Q714" s="86"/>
      <c r="R714" s="86"/>
      <c r="S714" s="86"/>
      <c r="T714" s="86"/>
      <c r="U714" s="86"/>
      <c r="V714" s="86"/>
      <c r="W714" s="86"/>
      <c r="X714" s="86"/>
      <c r="Y714" s="86"/>
      <c r="Z714" s="86"/>
      <c r="AA714" s="86"/>
    </row>
    <row r="715" spans="1:27" ht="14.25" customHeight="1" x14ac:dyDescent="0.35">
      <c r="A715" s="76">
        <v>0</v>
      </c>
      <c r="B715" s="87" t="str">
        <v>Lorenz Grün</v>
      </c>
      <c r="C715" s="76"/>
      <c r="D715" s="78">
        <f>IF(C715=0,0,_xlfn.IFNA(IF( MATCH(C715,Rangliste!B:B,0)&gt;0,0,1),1))</f>
        <v>0</v>
      </c>
      <c r="E715" s="85" t="str">
        <f t="shared" si="2"/>
        <v/>
      </c>
      <c r="F715" s="85"/>
      <c r="G715" s="83"/>
      <c r="H715" s="86"/>
      <c r="I715" s="86"/>
      <c r="J715" s="86"/>
      <c r="K715" s="62"/>
      <c r="L715" s="86"/>
      <c r="M715" s="86"/>
      <c r="N715" s="86"/>
      <c r="O715" s="86"/>
      <c r="P715" s="86"/>
      <c r="Q715" s="86"/>
      <c r="R715" s="86"/>
      <c r="S715" s="86"/>
      <c r="T715" s="86"/>
      <c r="U715" s="86"/>
      <c r="V715" s="86"/>
      <c r="W715" s="86"/>
      <c r="X715" s="86"/>
      <c r="Y715" s="86"/>
      <c r="Z715" s="86"/>
      <c r="AA715" s="86"/>
    </row>
    <row r="716" spans="1:27" ht="14.25" customHeight="1" x14ac:dyDescent="0.35">
      <c r="A716" s="76">
        <v>0</v>
      </c>
      <c r="B716" s="87" t="str">
        <v>Dario Kasser</v>
      </c>
      <c r="C716" s="76"/>
      <c r="D716" s="78">
        <f>IF(C716=0,0,_xlfn.IFNA(IF( MATCH(C716,Rangliste!B:B,0)&gt;0,0,1),1))</f>
        <v>0</v>
      </c>
      <c r="E716" s="85" t="str">
        <f t="shared" si="2"/>
        <v/>
      </c>
      <c r="F716" s="85"/>
      <c r="G716" s="83"/>
      <c r="H716" s="86"/>
      <c r="I716" s="86"/>
      <c r="J716" s="86"/>
      <c r="K716" s="62"/>
      <c r="L716" s="86"/>
      <c r="M716" s="86"/>
      <c r="N716" s="86"/>
      <c r="O716" s="86"/>
      <c r="P716" s="86"/>
      <c r="Q716" s="86"/>
      <c r="R716" s="86"/>
      <c r="S716" s="86"/>
      <c r="T716" s="86"/>
      <c r="U716" s="86"/>
      <c r="V716" s="86"/>
      <c r="W716" s="86"/>
      <c r="X716" s="86"/>
      <c r="Y716" s="86"/>
      <c r="Z716" s="86"/>
      <c r="AA716" s="86"/>
    </row>
    <row r="717" spans="1:27" ht="14.25" customHeight="1" x14ac:dyDescent="0.35">
      <c r="A717" s="76">
        <v>0</v>
      </c>
      <c r="B717" s="87" t="str">
        <v>Paul Lindorfer</v>
      </c>
      <c r="C717" s="76"/>
      <c r="D717" s="78">
        <f>IF(C717=0,0,_xlfn.IFNA(IF( MATCH(C717,Rangliste!B:B,0)&gt;0,0,1),1))</f>
        <v>0</v>
      </c>
      <c r="E717" s="85" t="str">
        <f t="shared" si="2"/>
        <v/>
      </c>
      <c r="F717" s="85"/>
      <c r="G717" s="83"/>
      <c r="H717" s="86"/>
      <c r="I717" s="86"/>
      <c r="J717" s="86"/>
      <c r="K717" s="62"/>
      <c r="L717" s="86"/>
      <c r="M717" s="86"/>
      <c r="N717" s="86"/>
      <c r="O717" s="86"/>
      <c r="P717" s="86"/>
      <c r="Q717" s="86"/>
      <c r="R717" s="86"/>
      <c r="S717" s="86"/>
      <c r="T717" s="86"/>
      <c r="U717" s="86"/>
      <c r="V717" s="86"/>
      <c r="W717" s="86"/>
      <c r="X717" s="86"/>
      <c r="Y717" s="86"/>
      <c r="Z717" s="86"/>
      <c r="AA717" s="86"/>
    </row>
    <row r="718" spans="1:27" ht="14.25" customHeight="1" x14ac:dyDescent="0.35">
      <c r="A718" s="76">
        <v>0</v>
      </c>
      <c r="B718" s="87" t="str">
        <v>Hector Recalde</v>
      </c>
      <c r="C718" s="76"/>
      <c r="D718" s="78">
        <f>IF(C718=0,0,_xlfn.IFNA(IF( MATCH(C718,Rangliste!B:B,0)&gt;0,0,1),1))</f>
        <v>0</v>
      </c>
      <c r="E718" s="85" t="str">
        <f t="shared" si="2"/>
        <v/>
      </c>
      <c r="F718" s="85"/>
      <c r="G718" s="83"/>
      <c r="H718" s="86"/>
      <c r="I718" s="86"/>
      <c r="J718" s="86"/>
      <c r="K718" s="62"/>
      <c r="L718" s="86"/>
      <c r="M718" s="86"/>
      <c r="N718" s="86"/>
      <c r="O718" s="86"/>
      <c r="P718" s="86"/>
      <c r="Q718" s="86"/>
      <c r="R718" s="86"/>
      <c r="S718" s="86"/>
      <c r="T718" s="86"/>
      <c r="U718" s="86"/>
      <c r="V718" s="86"/>
      <c r="W718" s="86"/>
      <c r="X718" s="86"/>
      <c r="Y718" s="86"/>
      <c r="Z718" s="86"/>
      <c r="AA718" s="86"/>
    </row>
    <row r="719" spans="1:27" ht="14.25" customHeight="1" x14ac:dyDescent="0.35">
      <c r="A719" s="76">
        <v>0</v>
      </c>
      <c r="B719" s="87" t="str">
        <v>Emily Nistelberger</v>
      </c>
      <c r="C719" s="76"/>
      <c r="D719" s="78">
        <f>IF(C719=0,0,_xlfn.IFNA(IF( MATCH(C719,Rangliste!B:B,0)&gt;0,0,1),1))</f>
        <v>0</v>
      </c>
      <c r="E719" s="85" t="str">
        <f t="shared" si="2"/>
        <v/>
      </c>
      <c r="F719" s="85"/>
      <c r="G719" s="83"/>
      <c r="H719" s="86"/>
      <c r="I719" s="86"/>
      <c r="J719" s="86"/>
      <c r="K719" s="62"/>
      <c r="L719" s="86"/>
      <c r="M719" s="86"/>
      <c r="N719" s="86"/>
      <c r="O719" s="86"/>
      <c r="P719" s="86"/>
      <c r="Q719" s="86"/>
      <c r="R719" s="86"/>
      <c r="S719" s="86"/>
      <c r="T719" s="86"/>
      <c r="U719" s="86"/>
      <c r="V719" s="86"/>
      <c r="W719" s="86"/>
      <c r="X719" s="86"/>
      <c r="Y719" s="86"/>
      <c r="Z719" s="86"/>
      <c r="AA719" s="86"/>
    </row>
    <row r="720" spans="1:27" ht="14.25" customHeight="1" x14ac:dyDescent="0.35">
      <c r="A720" s="76">
        <v>0</v>
      </c>
      <c r="B720" s="87" t="str">
        <v>Emma Reiter</v>
      </c>
      <c r="C720" s="76"/>
      <c r="D720" s="78">
        <f>IF(C720=0,0,_xlfn.IFNA(IF( MATCH(C720,Rangliste!B:B,0)&gt;0,0,1),1))</f>
        <v>0</v>
      </c>
      <c r="E720" s="85" t="str">
        <f t="shared" si="2"/>
        <v/>
      </c>
      <c r="F720" s="85"/>
      <c r="G720" s="83"/>
      <c r="H720" s="86"/>
      <c r="I720" s="86"/>
      <c r="J720" s="86"/>
      <c r="K720" s="62"/>
      <c r="L720" s="86"/>
      <c r="M720" s="86"/>
      <c r="N720" s="86"/>
      <c r="O720" s="86"/>
      <c r="P720" s="86"/>
      <c r="Q720" s="86"/>
      <c r="R720" s="86"/>
      <c r="S720" s="86"/>
      <c r="T720" s="86"/>
      <c r="U720" s="86"/>
      <c r="V720" s="86"/>
      <c r="W720" s="86"/>
      <c r="X720" s="86"/>
      <c r="Y720" s="86"/>
      <c r="Z720" s="86"/>
      <c r="AA720" s="86"/>
    </row>
    <row r="721" spans="1:27" ht="14.25" customHeight="1" x14ac:dyDescent="0.35">
      <c r="A721" s="76">
        <v>0</v>
      </c>
      <c r="B721" s="87" t="str">
        <v>Simon Walter</v>
      </c>
      <c r="C721" s="76"/>
      <c r="D721" s="78">
        <f>IF(C721=0,0,_xlfn.IFNA(IF( MATCH(C721,Rangliste!B:B,0)&gt;0,0,1),1))</f>
        <v>0</v>
      </c>
      <c r="E721" s="85" t="str">
        <f t="shared" si="2"/>
        <v/>
      </c>
      <c r="F721" s="85"/>
      <c r="G721" s="83"/>
      <c r="H721" s="86"/>
      <c r="I721" s="86"/>
      <c r="J721" s="86"/>
      <c r="K721" s="62"/>
      <c r="L721" s="86"/>
      <c r="M721" s="86"/>
      <c r="N721" s="86"/>
      <c r="O721" s="86"/>
      <c r="P721" s="86"/>
      <c r="Q721" s="86"/>
      <c r="R721" s="86"/>
      <c r="S721" s="86"/>
      <c r="T721" s="86"/>
      <c r="U721" s="86"/>
      <c r="V721" s="86"/>
      <c r="W721" s="86"/>
      <c r="X721" s="86"/>
      <c r="Y721" s="86"/>
      <c r="Z721" s="86"/>
      <c r="AA721" s="86"/>
    </row>
    <row r="722" spans="1:27" ht="14.25" customHeight="1" x14ac:dyDescent="0.35">
      <c r="A722" s="76">
        <v>0</v>
      </c>
      <c r="B722" s="87" t="str">
        <v>Simon Elmer</v>
      </c>
      <c r="C722" s="76"/>
      <c r="D722" s="78">
        <f>IF(C722=0,0,_xlfn.IFNA(IF( MATCH(C722,Rangliste!B:B,0)&gt;0,0,1),1))</f>
        <v>0</v>
      </c>
      <c r="E722" s="85" t="str">
        <f t="shared" si="2"/>
        <v/>
      </c>
      <c r="F722" s="85"/>
      <c r="G722" s="83"/>
      <c r="H722" s="86"/>
      <c r="I722" s="86"/>
      <c r="J722" s="86"/>
      <c r="K722" s="62"/>
      <c r="L722" s="86"/>
      <c r="M722" s="86"/>
      <c r="N722" s="86"/>
      <c r="O722" s="86"/>
      <c r="P722" s="86"/>
      <c r="Q722" s="86"/>
      <c r="R722" s="86"/>
      <c r="S722" s="86"/>
      <c r="T722" s="86"/>
      <c r="U722" s="86"/>
      <c r="V722" s="86"/>
      <c r="W722" s="86"/>
      <c r="X722" s="86"/>
      <c r="Y722" s="86"/>
      <c r="Z722" s="86"/>
      <c r="AA722" s="86"/>
    </row>
    <row r="723" spans="1:27" ht="14.25" customHeight="1" x14ac:dyDescent="0.35">
      <c r="A723" s="76">
        <v>0</v>
      </c>
      <c r="B723" s="87" t="str">
        <v>Paul Floßmann</v>
      </c>
      <c r="C723" s="76"/>
      <c r="D723" s="78">
        <f>IF(C723=0,0,_xlfn.IFNA(IF( MATCH(C723,Rangliste!B:B,0)&gt;0,0,1),1))</f>
        <v>0</v>
      </c>
      <c r="E723" s="85" t="str">
        <f t="shared" si="2"/>
        <v/>
      </c>
      <c r="F723" s="85"/>
      <c r="G723" s="83"/>
      <c r="H723" s="86"/>
      <c r="I723" s="86"/>
      <c r="J723" s="86"/>
      <c r="K723" s="62"/>
      <c r="L723" s="86"/>
      <c r="M723" s="86"/>
      <c r="N723" s="86"/>
      <c r="O723" s="86"/>
      <c r="P723" s="86"/>
      <c r="Q723" s="86"/>
      <c r="R723" s="86"/>
      <c r="S723" s="86"/>
      <c r="T723" s="86"/>
      <c r="U723" s="86"/>
      <c r="V723" s="86"/>
      <c r="W723" s="86"/>
      <c r="X723" s="86"/>
      <c r="Y723" s="86"/>
      <c r="Z723" s="86"/>
      <c r="AA723" s="86"/>
    </row>
    <row r="724" spans="1:27" ht="14.25" customHeight="1" x14ac:dyDescent="0.35">
      <c r="A724" s="76">
        <f t="array" ref="A724:A739">'Regioturnier 2'!$Z$3:$Z$18</f>
        <v>0</v>
      </c>
      <c r="B724" s="87" t="str">
        <v>Mae Rädle</v>
      </c>
      <c r="C724" s="76"/>
      <c r="D724" s="78">
        <f>IF(C724=0,0,_xlfn.IFNA(IF( MATCH(C724,Rangliste!B:B,0)&gt;0,0,1),1))</f>
        <v>0</v>
      </c>
      <c r="E724" s="85" t="str">
        <f t="shared" si="2"/>
        <v/>
      </c>
      <c r="F724" s="85"/>
      <c r="G724" s="83"/>
      <c r="H724" s="86"/>
      <c r="I724" s="86"/>
      <c r="J724" s="86"/>
      <c r="K724" s="62"/>
      <c r="L724" s="86"/>
      <c r="M724" s="86"/>
      <c r="N724" s="86"/>
      <c r="O724" s="86"/>
      <c r="P724" s="86"/>
      <c r="Q724" s="86"/>
      <c r="R724" s="86"/>
      <c r="S724" s="86"/>
      <c r="T724" s="86"/>
      <c r="U724" s="86"/>
      <c r="V724" s="86"/>
      <c r="W724" s="86"/>
      <c r="X724" s="86"/>
      <c r="Y724" s="86"/>
      <c r="Z724" s="86"/>
      <c r="AA724" s="86"/>
    </row>
    <row r="725" spans="1:27" ht="14.25" customHeight="1" x14ac:dyDescent="0.35">
      <c r="A725" s="76">
        <v>0</v>
      </c>
      <c r="B725" s="87" t="str">
        <v>Finn Blieweis</v>
      </c>
      <c r="C725" s="76"/>
      <c r="D725" s="78">
        <f>IF(C725=0,0,_xlfn.IFNA(IF( MATCH(C725,Rangliste!B:B,0)&gt;0,0,1),1))</f>
        <v>0</v>
      </c>
      <c r="E725" s="85" t="str">
        <f t="shared" si="2"/>
        <v/>
      </c>
      <c r="F725" s="85"/>
      <c r="G725" s="83"/>
      <c r="H725" s="86"/>
      <c r="I725" s="86"/>
      <c r="J725" s="86"/>
      <c r="K725" s="62"/>
      <c r="L725" s="86"/>
      <c r="M725" s="86"/>
      <c r="N725" s="86"/>
      <c r="O725" s="86"/>
      <c r="P725" s="86"/>
      <c r="Q725" s="86"/>
      <c r="R725" s="86"/>
      <c r="S725" s="86"/>
      <c r="T725" s="86"/>
      <c r="U725" s="86"/>
      <c r="V725" s="86"/>
      <c r="W725" s="86"/>
      <c r="X725" s="86"/>
      <c r="Y725" s="86"/>
      <c r="Z725" s="86"/>
      <c r="AA725" s="86"/>
    </row>
    <row r="726" spans="1:27" ht="14.25" customHeight="1" x14ac:dyDescent="0.35">
      <c r="A726" s="76">
        <v>0</v>
      </c>
      <c r="B726" s="87" t="str">
        <v>Levente Joó</v>
      </c>
      <c r="C726" s="76"/>
      <c r="D726" s="78">
        <f>IF(C726=0,0,_xlfn.IFNA(IF( MATCH(C726,Rangliste!B:B,0)&gt;0,0,1),1))</f>
        <v>0</v>
      </c>
      <c r="E726" s="85" t="str">
        <f t="shared" si="2"/>
        <v/>
      </c>
      <c r="F726" s="85"/>
      <c r="G726" s="83"/>
      <c r="H726" s="86"/>
      <c r="I726" s="86"/>
      <c r="J726" s="86"/>
      <c r="K726" s="62"/>
      <c r="L726" s="86"/>
      <c r="M726" s="86"/>
      <c r="N726" s="86"/>
      <c r="O726" s="86"/>
      <c r="P726" s="86"/>
      <c r="Q726" s="86"/>
      <c r="R726" s="86"/>
      <c r="S726" s="86"/>
      <c r="T726" s="86"/>
      <c r="U726" s="86"/>
      <c r="V726" s="86"/>
      <c r="W726" s="86"/>
      <c r="X726" s="86"/>
      <c r="Y726" s="86"/>
      <c r="Z726" s="86"/>
      <c r="AA726" s="86"/>
    </row>
    <row r="727" spans="1:27" ht="14.25" customHeight="1" x14ac:dyDescent="0.35">
      <c r="A727" s="76">
        <v>0</v>
      </c>
      <c r="B727" s="87">
        <v>0</v>
      </c>
      <c r="C727" s="76"/>
      <c r="D727" s="78">
        <f>IF(C727=0,0,_xlfn.IFNA(IF( MATCH(C727,Rangliste!B:B,0)&gt;0,0,1),1))</f>
        <v>0</v>
      </c>
      <c r="E727" s="85" t="str">
        <f t="shared" si="2"/>
        <v/>
      </c>
      <c r="F727" s="85"/>
      <c r="G727" s="83"/>
      <c r="H727" s="86"/>
      <c r="I727" s="86"/>
      <c r="J727" s="86"/>
      <c r="K727" s="62"/>
      <c r="L727" s="86"/>
      <c r="M727" s="86"/>
      <c r="N727" s="86"/>
      <c r="O727" s="86"/>
      <c r="P727" s="86"/>
      <c r="Q727" s="86"/>
      <c r="R727" s="86"/>
      <c r="S727" s="86"/>
      <c r="T727" s="86"/>
      <c r="U727" s="86"/>
      <c r="V727" s="86"/>
      <c r="W727" s="86"/>
      <c r="X727" s="86"/>
      <c r="Y727" s="86"/>
      <c r="Z727" s="86"/>
      <c r="AA727" s="86"/>
    </row>
    <row r="728" spans="1:27" ht="14.25" customHeight="1" x14ac:dyDescent="0.35">
      <c r="A728" s="76">
        <v>0</v>
      </c>
      <c r="B728" s="87">
        <v>0</v>
      </c>
      <c r="C728" s="76"/>
      <c r="D728" s="78">
        <f>IF(C728=0,0,_xlfn.IFNA(IF( MATCH(C728,Rangliste!B:B,0)&gt;0,0,1),1))</f>
        <v>0</v>
      </c>
      <c r="E728" s="85" t="str">
        <f t="shared" si="2"/>
        <v/>
      </c>
      <c r="F728" s="85"/>
      <c r="G728" s="83"/>
      <c r="H728" s="86"/>
      <c r="I728" s="86"/>
      <c r="J728" s="86"/>
      <c r="K728" s="62"/>
      <c r="L728" s="86"/>
      <c r="M728" s="86"/>
      <c r="N728" s="86"/>
      <c r="O728" s="86"/>
      <c r="P728" s="86"/>
      <c r="Q728" s="86"/>
      <c r="R728" s="86"/>
      <c r="S728" s="86"/>
      <c r="T728" s="86"/>
      <c r="U728" s="86"/>
      <c r="V728" s="86"/>
      <c r="W728" s="86"/>
      <c r="X728" s="86"/>
      <c r="Y728" s="86"/>
      <c r="Z728" s="86"/>
      <c r="AA728" s="86"/>
    </row>
    <row r="729" spans="1:27" ht="14.25" customHeight="1" x14ac:dyDescent="0.35">
      <c r="A729" s="76">
        <v>0</v>
      </c>
      <c r="B729" s="87">
        <v>0</v>
      </c>
      <c r="C729" s="76"/>
      <c r="D729" s="78">
        <f>IF(C729=0,0,_xlfn.IFNA(IF( MATCH(C729,Rangliste!B:B,0)&gt;0,0,1),1))</f>
        <v>0</v>
      </c>
      <c r="E729" s="85" t="str">
        <f t="shared" si="2"/>
        <v/>
      </c>
      <c r="F729" s="85"/>
      <c r="G729" s="83"/>
      <c r="H729" s="86"/>
      <c r="I729" s="86"/>
      <c r="J729" s="86"/>
      <c r="K729" s="62"/>
      <c r="L729" s="86"/>
      <c r="M729" s="86"/>
      <c r="N729" s="86"/>
      <c r="O729" s="86"/>
      <c r="P729" s="86"/>
      <c r="Q729" s="86"/>
      <c r="R729" s="86"/>
      <c r="S729" s="86"/>
      <c r="T729" s="86"/>
      <c r="U729" s="86"/>
      <c r="V729" s="86"/>
      <c r="W729" s="86"/>
      <c r="X729" s="86"/>
      <c r="Y729" s="86"/>
      <c r="Z729" s="86"/>
      <c r="AA729" s="86"/>
    </row>
    <row r="730" spans="1:27" ht="14.25" customHeight="1" x14ac:dyDescent="0.35">
      <c r="A730" s="76">
        <v>0</v>
      </c>
      <c r="B730" s="87">
        <v>0</v>
      </c>
      <c r="C730" s="76"/>
      <c r="D730" s="78">
        <f>IF(C730=0,0,_xlfn.IFNA(IF( MATCH(C730,Rangliste!B:B,0)&gt;0,0,1),1))</f>
        <v>0</v>
      </c>
      <c r="E730" s="85" t="str">
        <f t="shared" si="2"/>
        <v/>
      </c>
      <c r="F730" s="85"/>
      <c r="G730" s="83"/>
      <c r="H730" s="86"/>
      <c r="I730" s="86"/>
      <c r="J730" s="86"/>
      <c r="K730" s="62"/>
      <c r="L730" s="86"/>
      <c r="M730" s="86"/>
      <c r="N730" s="86"/>
      <c r="O730" s="86"/>
      <c r="P730" s="86"/>
      <c r="Q730" s="86"/>
      <c r="R730" s="86"/>
      <c r="S730" s="86"/>
      <c r="T730" s="86"/>
      <c r="U730" s="86"/>
      <c r="V730" s="86"/>
      <c r="W730" s="86"/>
      <c r="X730" s="86"/>
      <c r="Y730" s="86"/>
      <c r="Z730" s="86"/>
      <c r="AA730" s="86"/>
    </row>
    <row r="731" spans="1:27" ht="14.25" customHeight="1" x14ac:dyDescent="0.35">
      <c r="A731" s="76">
        <v>0</v>
      </c>
      <c r="B731" s="87">
        <v>0</v>
      </c>
      <c r="C731" s="76"/>
      <c r="D731" s="78">
        <f>IF(C731=0,0,_xlfn.IFNA(IF( MATCH(C731,Rangliste!B:B,0)&gt;0,0,1),1))</f>
        <v>0</v>
      </c>
      <c r="E731" s="85" t="str">
        <f t="shared" si="2"/>
        <v/>
      </c>
      <c r="F731" s="85"/>
      <c r="G731" s="83"/>
      <c r="H731" s="86"/>
      <c r="I731" s="86"/>
      <c r="J731" s="86"/>
      <c r="K731" s="62"/>
      <c r="L731" s="86"/>
      <c r="M731" s="86"/>
      <c r="N731" s="86"/>
      <c r="O731" s="86"/>
      <c r="P731" s="86"/>
      <c r="Q731" s="86"/>
      <c r="R731" s="86"/>
      <c r="S731" s="86"/>
      <c r="T731" s="86"/>
      <c r="U731" s="86"/>
      <c r="V731" s="86"/>
      <c r="W731" s="86"/>
      <c r="X731" s="86"/>
      <c r="Y731" s="86"/>
      <c r="Z731" s="86"/>
      <c r="AA731" s="86"/>
    </row>
    <row r="732" spans="1:27" ht="14.25" customHeight="1" x14ac:dyDescent="0.35">
      <c r="A732" s="76">
        <v>0</v>
      </c>
      <c r="B732" s="87">
        <v>0</v>
      </c>
      <c r="C732" s="76"/>
      <c r="D732" s="78">
        <f>IF(C732=0,0,_xlfn.IFNA(IF( MATCH(C732,Rangliste!B:B,0)&gt;0,0,1),1))</f>
        <v>0</v>
      </c>
      <c r="E732" s="85" t="str">
        <f t="shared" si="2"/>
        <v/>
      </c>
      <c r="F732" s="85"/>
      <c r="G732" s="83"/>
      <c r="H732" s="86"/>
      <c r="I732" s="86"/>
      <c r="J732" s="86"/>
      <c r="K732" s="62"/>
      <c r="L732" s="86"/>
      <c r="M732" s="86"/>
      <c r="N732" s="86"/>
      <c r="O732" s="86"/>
      <c r="P732" s="86"/>
      <c r="Q732" s="86"/>
      <c r="R732" s="86"/>
      <c r="S732" s="86"/>
      <c r="T732" s="86"/>
      <c r="U732" s="86"/>
      <c r="V732" s="86"/>
      <c r="W732" s="86"/>
      <c r="X732" s="86"/>
      <c r="Y732" s="86"/>
      <c r="Z732" s="86"/>
      <c r="AA732" s="86"/>
    </row>
    <row r="733" spans="1:27" ht="14.25" customHeight="1" x14ac:dyDescent="0.35">
      <c r="A733" s="76">
        <v>0</v>
      </c>
      <c r="B733" s="87">
        <v>0</v>
      </c>
      <c r="C733" s="76"/>
      <c r="D733" s="78">
        <f>IF(C733=0,0,_xlfn.IFNA(IF( MATCH(C733,Rangliste!B:B,0)&gt;0,0,1),1))</f>
        <v>0</v>
      </c>
      <c r="E733" s="85" t="str">
        <f t="shared" si="2"/>
        <v/>
      </c>
      <c r="F733" s="85"/>
      <c r="G733" s="83"/>
      <c r="H733" s="86"/>
      <c r="I733" s="86"/>
      <c r="J733" s="86"/>
      <c r="K733" s="62"/>
      <c r="L733" s="86"/>
      <c r="M733" s="86"/>
      <c r="N733" s="86"/>
      <c r="O733" s="86"/>
      <c r="P733" s="86"/>
      <c r="Q733" s="86"/>
      <c r="R733" s="86"/>
      <c r="S733" s="86"/>
      <c r="T733" s="86"/>
      <c r="U733" s="86"/>
      <c r="V733" s="86"/>
      <c r="W733" s="86"/>
      <c r="X733" s="86"/>
      <c r="Y733" s="86"/>
      <c r="Z733" s="86"/>
      <c r="AA733" s="86"/>
    </row>
    <row r="734" spans="1:27" ht="14.25" customHeight="1" x14ac:dyDescent="0.35">
      <c r="A734" s="76">
        <v>0</v>
      </c>
      <c r="B734" s="87">
        <v>0</v>
      </c>
      <c r="C734" s="76"/>
      <c r="D734" s="78">
        <f>IF(C734=0,0,_xlfn.IFNA(IF( MATCH(C734,Rangliste!B:B,0)&gt;0,0,1),1))</f>
        <v>0</v>
      </c>
      <c r="E734" s="85" t="str">
        <f t="shared" si="2"/>
        <v/>
      </c>
      <c r="F734" s="85"/>
      <c r="G734" s="83"/>
      <c r="H734" s="86"/>
      <c r="I734" s="86"/>
      <c r="J734" s="86"/>
      <c r="K734" s="62"/>
      <c r="L734" s="86"/>
      <c r="M734" s="86"/>
      <c r="N734" s="86"/>
      <c r="O734" s="86"/>
      <c r="P734" s="86"/>
      <c r="Q734" s="86"/>
      <c r="R734" s="86"/>
      <c r="S734" s="86"/>
      <c r="T734" s="86"/>
      <c r="U734" s="86"/>
      <c r="V734" s="86"/>
      <c r="W734" s="86"/>
      <c r="X734" s="86"/>
      <c r="Y734" s="86"/>
      <c r="Z734" s="86"/>
      <c r="AA734" s="86"/>
    </row>
    <row r="735" spans="1:27" ht="14.25" customHeight="1" x14ac:dyDescent="0.35">
      <c r="A735" s="76">
        <v>0</v>
      </c>
      <c r="B735" s="87">
        <v>0</v>
      </c>
      <c r="C735" s="76"/>
      <c r="D735" s="78">
        <f>IF(C735=0,0,_xlfn.IFNA(IF( MATCH(C735,Rangliste!B:B,0)&gt;0,0,1),1))</f>
        <v>0</v>
      </c>
      <c r="E735" s="85" t="str">
        <f t="shared" si="2"/>
        <v/>
      </c>
      <c r="F735" s="85"/>
      <c r="G735" s="83"/>
      <c r="H735" s="86"/>
      <c r="I735" s="86"/>
      <c r="J735" s="86"/>
      <c r="K735" s="62"/>
      <c r="L735" s="86"/>
      <c r="M735" s="86"/>
      <c r="N735" s="86"/>
      <c r="O735" s="86"/>
      <c r="P735" s="86"/>
      <c r="Q735" s="86"/>
      <c r="R735" s="86"/>
      <c r="S735" s="86"/>
      <c r="T735" s="86"/>
      <c r="U735" s="86"/>
      <c r="V735" s="86"/>
      <c r="W735" s="86"/>
      <c r="X735" s="86"/>
      <c r="Y735" s="86"/>
      <c r="Z735" s="86"/>
      <c r="AA735" s="86"/>
    </row>
    <row r="736" spans="1:27" ht="14.25" customHeight="1" x14ac:dyDescent="0.35">
      <c r="A736" s="76">
        <v>0</v>
      </c>
      <c r="B736" s="87">
        <v>0</v>
      </c>
      <c r="C736" s="76"/>
      <c r="D736" s="78">
        <f>IF(C736=0,0,_xlfn.IFNA(IF( MATCH(C736,Rangliste!B:B,0)&gt;0,0,1),1))</f>
        <v>0</v>
      </c>
      <c r="E736" s="85" t="str">
        <f t="shared" si="2"/>
        <v/>
      </c>
      <c r="F736" s="85"/>
      <c r="G736" s="83"/>
      <c r="H736" s="86"/>
      <c r="I736" s="86"/>
      <c r="J736" s="86"/>
      <c r="K736" s="62"/>
      <c r="L736" s="86"/>
      <c r="M736" s="86"/>
      <c r="N736" s="86"/>
      <c r="O736" s="86"/>
      <c r="P736" s="86"/>
      <c r="Q736" s="86"/>
      <c r="R736" s="86"/>
      <c r="S736" s="86"/>
      <c r="T736" s="86"/>
      <c r="U736" s="86"/>
      <c r="V736" s="86"/>
      <c r="W736" s="86"/>
      <c r="X736" s="86"/>
      <c r="Y736" s="86"/>
      <c r="Z736" s="86"/>
      <c r="AA736" s="86"/>
    </row>
    <row r="737" spans="1:27" ht="14.25" customHeight="1" x14ac:dyDescent="0.35">
      <c r="A737" s="76">
        <v>0</v>
      </c>
      <c r="B737" s="87">
        <v>0</v>
      </c>
      <c r="C737" s="76"/>
      <c r="D737" s="78">
        <f>IF(C737=0,0,_xlfn.IFNA(IF( MATCH(C737,Rangliste!B:B,0)&gt;0,0,1),1))</f>
        <v>0</v>
      </c>
      <c r="E737" s="85" t="str">
        <f t="shared" si="2"/>
        <v/>
      </c>
      <c r="F737" s="85"/>
      <c r="G737" s="83"/>
      <c r="H737" s="86"/>
      <c r="I737" s="86"/>
      <c r="J737" s="86"/>
      <c r="K737" s="62"/>
      <c r="L737" s="86"/>
      <c r="M737" s="86"/>
      <c r="N737" s="86"/>
      <c r="O737" s="86"/>
      <c r="P737" s="86"/>
      <c r="Q737" s="86"/>
      <c r="R737" s="86"/>
      <c r="S737" s="86"/>
      <c r="T737" s="86"/>
      <c r="U737" s="86"/>
      <c r="V737" s="86"/>
      <c r="W737" s="86"/>
      <c r="X737" s="86"/>
      <c r="Y737" s="86"/>
      <c r="Z737" s="86"/>
      <c r="AA737" s="86"/>
    </row>
    <row r="738" spans="1:27" ht="14.25" customHeight="1" x14ac:dyDescent="0.35">
      <c r="A738" s="76">
        <v>0</v>
      </c>
      <c r="B738" s="87">
        <v>0</v>
      </c>
      <c r="C738" s="76"/>
      <c r="D738" s="78">
        <f>IF(C738=0,0,_xlfn.IFNA(IF( MATCH(C738,Rangliste!B:B,0)&gt;0,0,1),1))</f>
        <v>0</v>
      </c>
      <c r="E738" s="85" t="str">
        <f t="shared" si="2"/>
        <v/>
      </c>
      <c r="F738" s="85"/>
      <c r="G738" s="83"/>
      <c r="H738" s="86"/>
      <c r="I738" s="86"/>
      <c r="J738" s="86"/>
      <c r="K738" s="62"/>
      <c r="L738" s="86"/>
      <c r="M738" s="86"/>
      <c r="N738" s="86"/>
      <c r="O738" s="86"/>
      <c r="P738" s="86"/>
      <c r="Q738" s="86"/>
      <c r="R738" s="86"/>
      <c r="S738" s="86"/>
      <c r="T738" s="86"/>
      <c r="U738" s="86"/>
      <c r="V738" s="86"/>
      <c r="W738" s="86"/>
      <c r="X738" s="86"/>
      <c r="Y738" s="86"/>
      <c r="Z738" s="86"/>
      <c r="AA738" s="86"/>
    </row>
    <row r="739" spans="1:27" ht="14.25" customHeight="1" x14ac:dyDescent="0.35">
      <c r="A739" s="76">
        <v>0</v>
      </c>
      <c r="B739" s="87">
        <v>0</v>
      </c>
      <c r="C739" s="76"/>
      <c r="D739" s="78">
        <f>IF(C739=0,0,_xlfn.IFNA(IF( MATCH(C739,Rangliste!B:B,0)&gt;0,0,1),1))</f>
        <v>0</v>
      </c>
      <c r="E739" s="85" t="str">
        <f t="shared" si="2"/>
        <v/>
      </c>
      <c r="F739" s="85"/>
      <c r="G739" s="83"/>
      <c r="H739" s="86"/>
      <c r="I739" s="86"/>
      <c r="J739" s="86"/>
      <c r="K739" s="62"/>
      <c r="L739" s="86"/>
      <c r="M739" s="86"/>
      <c r="N739" s="86"/>
      <c r="O739" s="86"/>
      <c r="P739" s="86"/>
      <c r="Q739" s="86"/>
      <c r="R739" s="86"/>
      <c r="S739" s="86"/>
      <c r="T739" s="86"/>
      <c r="U739" s="86"/>
      <c r="V739" s="86"/>
      <c r="W739" s="86"/>
      <c r="X739" s="86"/>
      <c r="Y739" s="86"/>
      <c r="Z739" s="86"/>
      <c r="AA739" s="86"/>
    </row>
    <row r="740" spans="1:27" ht="14.25" customHeight="1" x14ac:dyDescent="0.35">
      <c r="A740" s="76">
        <f t="array" ref="A740:A755">'Regioturnier 3'!$R$3:$R$18</f>
        <v>0</v>
      </c>
      <c r="B740" s="87">
        <f t="array" ref="B740:B771">'NÖBV 2'!$N$3:$N$34</f>
        <v>0</v>
      </c>
      <c r="C740" s="76"/>
      <c r="D740" s="78">
        <f>IF(C740=0,0,_xlfn.IFNA(IF( MATCH(C740,Rangliste!B:B,0)&gt;0,0,1),1))</f>
        <v>0</v>
      </c>
      <c r="E740" s="85" t="str">
        <f t="shared" si="2"/>
        <v/>
      </c>
      <c r="F740" s="85"/>
      <c r="G740" s="83"/>
      <c r="H740" s="86"/>
      <c r="I740" s="86"/>
      <c r="J740" s="86"/>
      <c r="K740" s="62"/>
      <c r="L740" s="86"/>
      <c r="M740" s="86"/>
      <c r="N740" s="86"/>
      <c r="O740" s="86"/>
      <c r="P740" s="86"/>
      <c r="Q740" s="86"/>
      <c r="R740" s="86"/>
      <c r="S740" s="86"/>
      <c r="T740" s="86"/>
      <c r="U740" s="86"/>
      <c r="V740" s="86"/>
      <c r="W740" s="86"/>
      <c r="X740" s="86"/>
      <c r="Y740" s="86"/>
      <c r="Z740" s="86"/>
      <c r="AA740" s="86"/>
    </row>
    <row r="741" spans="1:27" ht="14.25" customHeight="1" x14ac:dyDescent="0.35">
      <c r="A741" s="76">
        <v>0</v>
      </c>
      <c r="B741" s="87">
        <v>0</v>
      </c>
      <c r="C741" s="76"/>
      <c r="D741" s="78">
        <f>IF(C741=0,0,_xlfn.IFNA(IF( MATCH(C741,Rangliste!B:B,0)&gt;0,0,1),1))</f>
        <v>0</v>
      </c>
      <c r="E741" s="85" t="str">
        <f t="shared" si="2"/>
        <v/>
      </c>
      <c r="F741" s="85"/>
      <c r="G741" s="83"/>
      <c r="H741" s="86"/>
      <c r="I741" s="86"/>
      <c r="J741" s="86"/>
      <c r="K741" s="62"/>
      <c r="L741" s="86"/>
      <c r="M741" s="86"/>
      <c r="N741" s="86"/>
      <c r="O741" s="86"/>
      <c r="P741" s="86"/>
      <c r="Q741" s="86"/>
      <c r="R741" s="86"/>
      <c r="S741" s="86"/>
      <c r="T741" s="86"/>
      <c r="U741" s="86"/>
      <c r="V741" s="86"/>
      <c r="W741" s="86"/>
      <c r="X741" s="86"/>
      <c r="Y741" s="86"/>
      <c r="Z741" s="86"/>
      <c r="AA741" s="86"/>
    </row>
    <row r="742" spans="1:27" ht="14.25" customHeight="1" x14ac:dyDescent="0.35">
      <c r="A742" s="76">
        <v>0</v>
      </c>
      <c r="B742" s="87">
        <v>0</v>
      </c>
      <c r="C742" s="76"/>
      <c r="D742" s="78">
        <f>IF(C742=0,0,_xlfn.IFNA(IF( MATCH(C742,Rangliste!B:B,0)&gt;0,0,1),1))</f>
        <v>0</v>
      </c>
      <c r="E742" s="85" t="str">
        <f t="shared" si="2"/>
        <v/>
      </c>
      <c r="F742" s="85"/>
      <c r="G742" s="83"/>
      <c r="H742" s="86"/>
      <c r="I742" s="86"/>
      <c r="J742" s="86"/>
      <c r="K742" s="62"/>
      <c r="L742" s="86"/>
      <c r="M742" s="86"/>
      <c r="N742" s="86"/>
      <c r="O742" s="86"/>
      <c r="P742" s="86"/>
      <c r="Q742" s="86"/>
      <c r="R742" s="86"/>
      <c r="S742" s="86"/>
      <c r="T742" s="86"/>
      <c r="U742" s="86"/>
      <c r="V742" s="86"/>
      <c r="W742" s="86"/>
      <c r="X742" s="86"/>
      <c r="Y742" s="86"/>
      <c r="Z742" s="86"/>
      <c r="AA742" s="86"/>
    </row>
    <row r="743" spans="1:27" ht="14.25" customHeight="1" x14ac:dyDescent="0.35">
      <c r="A743" s="76">
        <v>0</v>
      </c>
      <c r="B743" s="87">
        <v>0</v>
      </c>
      <c r="C743" s="76"/>
      <c r="D743" s="78">
        <f>IF(C743=0,0,_xlfn.IFNA(IF( MATCH(C743,Rangliste!B:B,0)&gt;0,0,1),1))</f>
        <v>0</v>
      </c>
      <c r="E743" s="85" t="str">
        <f t="shared" si="2"/>
        <v/>
      </c>
      <c r="F743" s="85"/>
      <c r="G743" s="83"/>
      <c r="H743" s="86"/>
      <c r="I743" s="86"/>
      <c r="J743" s="86"/>
      <c r="K743" s="62"/>
      <c r="L743" s="86"/>
      <c r="M743" s="86"/>
      <c r="N743" s="86"/>
      <c r="O743" s="86"/>
      <c r="P743" s="86"/>
      <c r="Q743" s="86"/>
      <c r="R743" s="86"/>
      <c r="S743" s="86"/>
      <c r="T743" s="86"/>
      <c r="U743" s="86"/>
      <c r="V743" s="86"/>
      <c r="W743" s="86"/>
      <c r="X743" s="86"/>
      <c r="Y743" s="86"/>
      <c r="Z743" s="86"/>
      <c r="AA743" s="86"/>
    </row>
    <row r="744" spans="1:27" ht="14.25" customHeight="1" x14ac:dyDescent="0.35">
      <c r="A744" s="76">
        <v>0</v>
      </c>
      <c r="B744" s="87">
        <v>0</v>
      </c>
      <c r="C744" s="76"/>
      <c r="D744" s="78">
        <f>IF(C744=0,0,_xlfn.IFNA(IF( MATCH(C744,Rangliste!B:B,0)&gt;0,0,1),1))</f>
        <v>0</v>
      </c>
      <c r="E744" s="85" t="str">
        <f t="shared" si="2"/>
        <v/>
      </c>
      <c r="F744" s="85"/>
      <c r="G744" s="83"/>
      <c r="H744" s="86"/>
      <c r="I744" s="86"/>
      <c r="J744" s="86"/>
      <c r="K744" s="62"/>
      <c r="L744" s="86"/>
      <c r="M744" s="86"/>
      <c r="N744" s="86"/>
      <c r="O744" s="86"/>
      <c r="P744" s="86"/>
      <c r="Q744" s="86"/>
      <c r="R744" s="86"/>
      <c r="S744" s="86"/>
      <c r="T744" s="86"/>
      <c r="U744" s="86"/>
      <c r="V744" s="86"/>
      <c r="W744" s="86"/>
      <c r="X744" s="86"/>
      <c r="Y744" s="86"/>
      <c r="Z744" s="86"/>
      <c r="AA744" s="86"/>
    </row>
    <row r="745" spans="1:27" ht="14.25" customHeight="1" x14ac:dyDescent="0.35">
      <c r="A745" s="76">
        <v>0</v>
      </c>
      <c r="B745" s="87">
        <v>0</v>
      </c>
      <c r="C745" s="76"/>
      <c r="D745" s="78">
        <f>IF(C745=0,0,_xlfn.IFNA(IF( MATCH(C745,Rangliste!B:B,0)&gt;0,0,1),1))</f>
        <v>0</v>
      </c>
      <c r="E745" s="85" t="str">
        <f t="shared" si="2"/>
        <v/>
      </c>
      <c r="F745" s="85"/>
      <c r="G745" s="83"/>
      <c r="H745" s="86"/>
      <c r="I745" s="86"/>
      <c r="J745" s="86"/>
      <c r="K745" s="62"/>
      <c r="L745" s="86"/>
      <c r="M745" s="86"/>
      <c r="N745" s="86"/>
      <c r="O745" s="86"/>
      <c r="P745" s="86"/>
      <c r="Q745" s="86"/>
      <c r="R745" s="86"/>
      <c r="S745" s="86"/>
      <c r="T745" s="86"/>
      <c r="U745" s="86"/>
      <c r="V745" s="86"/>
      <c r="W745" s="86"/>
      <c r="X745" s="86"/>
      <c r="Y745" s="86"/>
      <c r="Z745" s="86"/>
      <c r="AA745" s="86"/>
    </row>
    <row r="746" spans="1:27" ht="14.25" customHeight="1" x14ac:dyDescent="0.35">
      <c r="A746" s="76">
        <v>0</v>
      </c>
      <c r="B746" s="87">
        <v>0</v>
      </c>
      <c r="C746" s="76"/>
      <c r="D746" s="78">
        <f>IF(C746=0,0,_xlfn.IFNA(IF( MATCH(C746,Rangliste!B:B,0)&gt;0,0,1),1))</f>
        <v>0</v>
      </c>
      <c r="E746" s="85" t="str">
        <f t="shared" si="2"/>
        <v/>
      </c>
      <c r="F746" s="85"/>
      <c r="G746" s="83"/>
      <c r="H746" s="86"/>
      <c r="I746" s="86"/>
      <c r="J746" s="86"/>
      <c r="K746" s="62"/>
      <c r="L746" s="86"/>
      <c r="M746" s="86"/>
      <c r="N746" s="86"/>
      <c r="O746" s="86"/>
      <c r="P746" s="86"/>
      <c r="Q746" s="86"/>
      <c r="R746" s="86"/>
      <c r="S746" s="86"/>
      <c r="T746" s="86"/>
      <c r="U746" s="86"/>
      <c r="V746" s="86"/>
      <c r="W746" s="86"/>
      <c r="X746" s="86"/>
      <c r="Y746" s="86"/>
      <c r="Z746" s="86"/>
      <c r="AA746" s="86"/>
    </row>
    <row r="747" spans="1:27" ht="14.25" customHeight="1" x14ac:dyDescent="0.35">
      <c r="A747" s="76">
        <v>0</v>
      </c>
      <c r="B747" s="87">
        <v>0</v>
      </c>
      <c r="C747" s="76"/>
      <c r="D747" s="78">
        <f>IF(C747=0,0,_xlfn.IFNA(IF( MATCH(C747,Rangliste!B:B,0)&gt;0,0,1),1))</f>
        <v>0</v>
      </c>
      <c r="E747" s="85" t="str">
        <f t="shared" si="2"/>
        <v/>
      </c>
      <c r="F747" s="85"/>
      <c r="G747" s="83"/>
      <c r="H747" s="86"/>
      <c r="I747" s="86"/>
      <c r="J747" s="86"/>
      <c r="K747" s="62"/>
      <c r="L747" s="86"/>
      <c r="M747" s="86"/>
      <c r="N747" s="86"/>
      <c r="O747" s="86"/>
      <c r="P747" s="86"/>
      <c r="Q747" s="86"/>
      <c r="R747" s="86"/>
      <c r="S747" s="86"/>
      <c r="T747" s="86"/>
      <c r="U747" s="86"/>
      <c r="V747" s="86"/>
      <c r="W747" s="86"/>
      <c r="X747" s="86"/>
      <c r="Y747" s="86"/>
      <c r="Z747" s="86"/>
      <c r="AA747" s="86"/>
    </row>
    <row r="748" spans="1:27" ht="14.25" customHeight="1" x14ac:dyDescent="0.35">
      <c r="A748" s="76">
        <v>0</v>
      </c>
      <c r="B748" s="87">
        <v>0</v>
      </c>
      <c r="C748" s="76"/>
      <c r="D748" s="78">
        <f>IF(C748=0,0,_xlfn.IFNA(IF( MATCH(C748,Rangliste!B:B,0)&gt;0,0,1),1))</f>
        <v>0</v>
      </c>
      <c r="E748" s="85" t="str">
        <f t="shared" si="2"/>
        <v/>
      </c>
      <c r="F748" s="85"/>
      <c r="G748" s="83"/>
      <c r="H748" s="86"/>
      <c r="I748" s="86"/>
      <c r="J748" s="86"/>
      <c r="K748" s="62"/>
      <c r="L748" s="86"/>
      <c r="M748" s="86"/>
      <c r="N748" s="86"/>
      <c r="O748" s="86"/>
      <c r="P748" s="86"/>
      <c r="Q748" s="86"/>
      <c r="R748" s="86"/>
      <c r="S748" s="86"/>
      <c r="T748" s="86"/>
      <c r="U748" s="86"/>
      <c r="V748" s="86"/>
      <c r="W748" s="86"/>
      <c r="X748" s="86"/>
      <c r="Y748" s="86"/>
      <c r="Z748" s="86"/>
      <c r="AA748" s="86"/>
    </row>
    <row r="749" spans="1:27" ht="14.25" customHeight="1" x14ac:dyDescent="0.35">
      <c r="A749" s="76">
        <v>0</v>
      </c>
      <c r="B749" s="87">
        <v>0</v>
      </c>
      <c r="C749" s="76"/>
      <c r="D749" s="78">
        <f>IF(C749=0,0,_xlfn.IFNA(IF( MATCH(C749,Rangliste!B:B,0)&gt;0,0,1),1))</f>
        <v>0</v>
      </c>
      <c r="E749" s="85" t="str">
        <f t="shared" si="2"/>
        <v/>
      </c>
      <c r="F749" s="85"/>
      <c r="G749" s="83"/>
      <c r="H749" s="86"/>
      <c r="I749" s="86"/>
      <c r="J749" s="86"/>
      <c r="K749" s="62"/>
      <c r="L749" s="86"/>
      <c r="M749" s="86"/>
      <c r="N749" s="86"/>
      <c r="O749" s="86"/>
      <c r="P749" s="86"/>
      <c r="Q749" s="86"/>
      <c r="R749" s="86"/>
      <c r="S749" s="86"/>
      <c r="T749" s="86"/>
      <c r="U749" s="86"/>
      <c r="V749" s="86"/>
      <c r="W749" s="86"/>
      <c r="X749" s="86"/>
      <c r="Y749" s="86"/>
      <c r="Z749" s="86"/>
      <c r="AA749" s="86"/>
    </row>
    <row r="750" spans="1:27" ht="14.25" customHeight="1" x14ac:dyDescent="0.35">
      <c r="A750" s="76">
        <v>0</v>
      </c>
      <c r="B750" s="87">
        <v>0</v>
      </c>
      <c r="C750" s="76"/>
      <c r="D750" s="78">
        <f>IF(C750=0,0,_xlfn.IFNA(IF( MATCH(C750,Rangliste!B:B,0)&gt;0,0,1),1))</f>
        <v>0</v>
      </c>
      <c r="E750" s="85" t="str">
        <f t="shared" si="2"/>
        <v/>
      </c>
      <c r="F750" s="85"/>
      <c r="G750" s="83"/>
      <c r="H750" s="86"/>
      <c r="I750" s="86"/>
      <c r="J750" s="86"/>
      <c r="K750" s="62"/>
      <c r="L750" s="86"/>
      <c r="M750" s="86"/>
      <c r="N750" s="86"/>
      <c r="O750" s="86"/>
      <c r="P750" s="86"/>
      <c r="Q750" s="86"/>
      <c r="R750" s="86"/>
      <c r="S750" s="86"/>
      <c r="T750" s="86"/>
      <c r="U750" s="86"/>
      <c r="V750" s="86"/>
      <c r="W750" s="86"/>
      <c r="X750" s="86"/>
      <c r="Y750" s="86"/>
      <c r="Z750" s="86"/>
      <c r="AA750" s="86"/>
    </row>
    <row r="751" spans="1:27" ht="14.25" customHeight="1" x14ac:dyDescent="0.35">
      <c r="A751" s="76">
        <v>0</v>
      </c>
      <c r="B751" s="87">
        <v>0</v>
      </c>
      <c r="C751" s="76"/>
      <c r="D751" s="78">
        <f>IF(C751=0,0,_xlfn.IFNA(IF( MATCH(C751,Rangliste!B:B,0)&gt;0,0,1),1))</f>
        <v>0</v>
      </c>
      <c r="E751" s="85" t="str">
        <f t="shared" si="2"/>
        <v/>
      </c>
      <c r="F751" s="85"/>
      <c r="G751" s="83"/>
      <c r="H751" s="86"/>
      <c r="I751" s="86"/>
      <c r="J751" s="86"/>
      <c r="K751" s="62"/>
      <c r="L751" s="86"/>
      <c r="M751" s="86"/>
      <c r="N751" s="86"/>
      <c r="O751" s="86"/>
      <c r="P751" s="86"/>
      <c r="Q751" s="86"/>
      <c r="R751" s="86"/>
      <c r="S751" s="86"/>
      <c r="T751" s="86"/>
      <c r="U751" s="86"/>
      <c r="V751" s="86"/>
      <c r="W751" s="86"/>
      <c r="X751" s="86"/>
      <c r="Y751" s="86"/>
      <c r="Z751" s="86"/>
      <c r="AA751" s="86"/>
    </row>
    <row r="752" spans="1:27" ht="14.25" customHeight="1" x14ac:dyDescent="0.35">
      <c r="A752" s="76">
        <v>0</v>
      </c>
      <c r="B752" s="87">
        <v>0</v>
      </c>
      <c r="C752" s="76"/>
      <c r="D752" s="78">
        <f>IF(C752=0,0,_xlfn.IFNA(IF( MATCH(C752,Rangliste!B:B,0)&gt;0,0,1),1))</f>
        <v>0</v>
      </c>
      <c r="E752" s="85" t="str">
        <f t="shared" si="2"/>
        <v/>
      </c>
      <c r="F752" s="85"/>
      <c r="G752" s="83"/>
      <c r="H752" s="86"/>
      <c r="I752" s="86"/>
      <c r="J752" s="86"/>
      <c r="K752" s="62"/>
      <c r="L752" s="86"/>
      <c r="M752" s="86"/>
      <c r="N752" s="86"/>
      <c r="O752" s="86"/>
      <c r="P752" s="86"/>
      <c r="Q752" s="86"/>
      <c r="R752" s="86"/>
      <c r="S752" s="86"/>
      <c r="T752" s="86"/>
      <c r="U752" s="86"/>
      <c r="V752" s="86"/>
      <c r="W752" s="86"/>
      <c r="X752" s="86"/>
      <c r="Y752" s="86"/>
      <c r="Z752" s="86"/>
      <c r="AA752" s="86"/>
    </row>
    <row r="753" spans="1:27" ht="14.25" customHeight="1" x14ac:dyDescent="0.35">
      <c r="A753" s="76">
        <v>0</v>
      </c>
      <c r="B753" s="87">
        <v>0</v>
      </c>
      <c r="C753" s="76"/>
      <c r="D753" s="78">
        <f>IF(C753=0,0,_xlfn.IFNA(IF( MATCH(C753,Rangliste!B:B,0)&gt;0,0,1),1))</f>
        <v>0</v>
      </c>
      <c r="E753" s="85" t="str">
        <f t="shared" si="2"/>
        <v/>
      </c>
      <c r="F753" s="85"/>
      <c r="G753" s="83"/>
      <c r="H753" s="86"/>
      <c r="I753" s="86"/>
      <c r="J753" s="86"/>
      <c r="K753" s="62"/>
      <c r="L753" s="86"/>
      <c r="M753" s="86"/>
      <c r="N753" s="86"/>
      <c r="O753" s="86"/>
      <c r="P753" s="86"/>
      <c r="Q753" s="86"/>
      <c r="R753" s="86"/>
      <c r="S753" s="86"/>
      <c r="T753" s="86"/>
      <c r="U753" s="86"/>
      <c r="V753" s="86"/>
      <c r="W753" s="86"/>
      <c r="X753" s="86"/>
      <c r="Y753" s="86"/>
      <c r="Z753" s="86"/>
      <c r="AA753" s="86"/>
    </row>
    <row r="754" spans="1:27" ht="14.25" customHeight="1" x14ac:dyDescent="0.35">
      <c r="A754" s="76">
        <v>0</v>
      </c>
      <c r="B754" s="87">
        <v>0</v>
      </c>
      <c r="C754" s="76"/>
      <c r="D754" s="78">
        <f>IF(C754=0,0,_xlfn.IFNA(IF( MATCH(C754,Rangliste!B:B,0)&gt;0,0,1),1))</f>
        <v>0</v>
      </c>
      <c r="E754" s="85" t="str">
        <f t="shared" si="2"/>
        <v/>
      </c>
      <c r="F754" s="85"/>
      <c r="G754" s="83"/>
      <c r="H754" s="86"/>
      <c r="I754" s="86"/>
      <c r="J754" s="86"/>
      <c r="K754" s="62"/>
      <c r="L754" s="86"/>
      <c r="M754" s="86"/>
      <c r="N754" s="86"/>
      <c r="O754" s="86"/>
      <c r="P754" s="86"/>
      <c r="Q754" s="86"/>
      <c r="R754" s="86"/>
      <c r="S754" s="86"/>
      <c r="T754" s="86"/>
      <c r="U754" s="86"/>
      <c r="V754" s="86"/>
      <c r="W754" s="86"/>
      <c r="X754" s="86"/>
      <c r="Y754" s="86"/>
      <c r="Z754" s="86"/>
      <c r="AA754" s="86"/>
    </row>
    <row r="755" spans="1:27" ht="14.25" customHeight="1" x14ac:dyDescent="0.35">
      <c r="A755" s="76">
        <v>0</v>
      </c>
      <c r="B755" s="87">
        <v>0</v>
      </c>
      <c r="C755" s="76"/>
      <c r="D755" s="78">
        <f>IF(C755=0,0,_xlfn.IFNA(IF( MATCH(C755,Rangliste!B:B,0)&gt;0,0,1),1))</f>
        <v>0</v>
      </c>
      <c r="E755" s="85" t="str">
        <f t="shared" si="2"/>
        <v/>
      </c>
      <c r="F755" s="85"/>
      <c r="G755" s="83"/>
      <c r="H755" s="86"/>
      <c r="I755" s="86"/>
      <c r="J755" s="86"/>
      <c r="K755" s="62"/>
      <c r="L755" s="86"/>
      <c r="M755" s="86"/>
      <c r="N755" s="86"/>
      <c r="O755" s="86"/>
      <c r="P755" s="86"/>
      <c r="Q755" s="86"/>
      <c r="R755" s="86"/>
      <c r="S755" s="86"/>
      <c r="T755" s="86"/>
      <c r="U755" s="86"/>
      <c r="V755" s="86"/>
      <c r="W755" s="86"/>
      <c r="X755" s="86"/>
      <c r="Y755" s="86"/>
      <c r="Z755" s="86"/>
      <c r="AA755" s="86"/>
    </row>
    <row r="756" spans="1:27" ht="14.25" customHeight="1" x14ac:dyDescent="0.35">
      <c r="A756" s="76">
        <f t="array" ref="A756:A771">'Regioturnier 3'!$V$3:$V$18</f>
        <v>0</v>
      </c>
      <c r="B756" s="87">
        <v>0</v>
      </c>
      <c r="C756" s="76"/>
      <c r="D756" s="78">
        <f>IF(C756=0,0,_xlfn.IFNA(IF( MATCH(C756,Rangliste!B:B,0)&gt;0,0,1),1))</f>
        <v>0</v>
      </c>
      <c r="E756" s="85" t="str">
        <f t="shared" si="2"/>
        <v/>
      </c>
      <c r="F756" s="85"/>
      <c r="G756" s="83"/>
      <c r="H756" s="86"/>
      <c r="I756" s="86"/>
      <c r="J756" s="86"/>
      <c r="K756" s="62"/>
      <c r="L756" s="86"/>
      <c r="M756" s="86"/>
      <c r="N756" s="86"/>
      <c r="O756" s="86"/>
      <c r="P756" s="86"/>
      <c r="Q756" s="86"/>
      <c r="R756" s="86"/>
      <c r="S756" s="86"/>
      <c r="T756" s="86"/>
      <c r="U756" s="86"/>
      <c r="V756" s="86"/>
      <c r="W756" s="86"/>
      <c r="X756" s="86"/>
      <c r="Y756" s="86"/>
      <c r="Z756" s="86"/>
      <c r="AA756" s="86"/>
    </row>
    <row r="757" spans="1:27" ht="14.25" customHeight="1" x14ac:dyDescent="0.35">
      <c r="A757" s="76">
        <v>0</v>
      </c>
      <c r="B757" s="87">
        <v>0</v>
      </c>
      <c r="C757" s="76"/>
      <c r="D757" s="78">
        <f>IF(C757=0,0,_xlfn.IFNA(IF( MATCH(C757,Rangliste!B:B,0)&gt;0,0,1),1))</f>
        <v>0</v>
      </c>
      <c r="E757" s="85" t="str">
        <f t="shared" si="2"/>
        <v/>
      </c>
      <c r="F757" s="85"/>
      <c r="G757" s="83"/>
      <c r="H757" s="86"/>
      <c r="I757" s="86"/>
      <c r="J757" s="86"/>
      <c r="K757" s="62"/>
      <c r="L757" s="86"/>
      <c r="M757" s="86"/>
      <c r="N757" s="86"/>
      <c r="O757" s="86"/>
      <c r="P757" s="86"/>
      <c r="Q757" s="86"/>
      <c r="R757" s="86"/>
      <c r="S757" s="86"/>
      <c r="T757" s="86"/>
      <c r="U757" s="86"/>
      <c r="V757" s="86"/>
      <c r="W757" s="86"/>
      <c r="X757" s="86"/>
      <c r="Y757" s="86"/>
      <c r="Z757" s="86"/>
      <c r="AA757" s="86"/>
    </row>
    <row r="758" spans="1:27" ht="14.25" customHeight="1" x14ac:dyDescent="0.35">
      <c r="A758" s="76">
        <v>0</v>
      </c>
      <c r="B758" s="87">
        <v>0</v>
      </c>
      <c r="C758" s="76"/>
      <c r="D758" s="78">
        <f>IF(C758=0,0,_xlfn.IFNA(IF( MATCH(C758,Rangliste!B:B,0)&gt;0,0,1),1))</f>
        <v>0</v>
      </c>
      <c r="E758" s="85" t="str">
        <f t="shared" si="2"/>
        <v/>
      </c>
      <c r="F758" s="85"/>
      <c r="G758" s="83"/>
      <c r="H758" s="86"/>
      <c r="I758" s="86"/>
      <c r="J758" s="86"/>
      <c r="K758" s="62"/>
      <c r="L758" s="86"/>
      <c r="M758" s="86"/>
      <c r="N758" s="86"/>
      <c r="O758" s="86"/>
      <c r="P758" s="86"/>
      <c r="Q758" s="86"/>
      <c r="R758" s="86"/>
      <c r="S758" s="86"/>
      <c r="T758" s="86"/>
      <c r="U758" s="86"/>
      <c r="V758" s="86"/>
      <c r="W758" s="86"/>
      <c r="X758" s="86"/>
      <c r="Y758" s="86"/>
      <c r="Z758" s="86"/>
      <c r="AA758" s="86"/>
    </row>
    <row r="759" spans="1:27" ht="14.25" customHeight="1" x14ac:dyDescent="0.35">
      <c r="A759" s="76">
        <v>0</v>
      </c>
      <c r="B759" s="87">
        <v>0</v>
      </c>
      <c r="C759" s="76"/>
      <c r="D759" s="85"/>
      <c r="E759" s="85"/>
      <c r="F759" s="85"/>
      <c r="G759" s="83"/>
      <c r="H759" s="86"/>
      <c r="I759" s="86"/>
      <c r="J759" s="86"/>
      <c r="K759" s="62"/>
      <c r="L759" s="86"/>
      <c r="M759" s="86"/>
      <c r="N759" s="86"/>
      <c r="O759" s="86"/>
      <c r="P759" s="86"/>
      <c r="Q759" s="86"/>
      <c r="R759" s="86"/>
      <c r="S759" s="86"/>
      <c r="T759" s="86"/>
      <c r="U759" s="86"/>
      <c r="V759" s="86"/>
      <c r="W759" s="86"/>
      <c r="X759" s="86"/>
      <c r="Y759" s="86"/>
      <c r="Z759" s="86"/>
      <c r="AA759" s="86"/>
    </row>
    <row r="760" spans="1:27" ht="14.25" customHeight="1" x14ac:dyDescent="0.35">
      <c r="A760" s="76">
        <v>0</v>
      </c>
      <c r="B760" s="87">
        <v>0</v>
      </c>
      <c r="C760" s="76"/>
      <c r="D760" s="85"/>
      <c r="E760" s="85"/>
      <c r="F760" s="85"/>
      <c r="G760" s="83"/>
      <c r="H760" s="86"/>
      <c r="I760" s="86"/>
      <c r="J760" s="86"/>
      <c r="K760" s="62"/>
      <c r="L760" s="86"/>
      <c r="M760" s="86"/>
      <c r="N760" s="86"/>
      <c r="O760" s="86"/>
      <c r="P760" s="86"/>
      <c r="Q760" s="86"/>
      <c r="R760" s="86"/>
      <c r="S760" s="86"/>
      <c r="T760" s="86"/>
      <c r="U760" s="86"/>
      <c r="V760" s="86"/>
      <c r="W760" s="86"/>
      <c r="X760" s="86"/>
      <c r="Y760" s="86"/>
      <c r="Z760" s="86"/>
      <c r="AA760" s="86"/>
    </row>
    <row r="761" spans="1:27" ht="14.25" customHeight="1" x14ac:dyDescent="0.35">
      <c r="A761" s="76">
        <v>0</v>
      </c>
      <c r="B761" s="87">
        <v>0</v>
      </c>
      <c r="C761" s="76"/>
      <c r="D761" s="85"/>
      <c r="E761" s="85"/>
      <c r="F761" s="85"/>
      <c r="G761" s="83"/>
      <c r="H761" s="86"/>
      <c r="I761" s="86"/>
      <c r="J761" s="86"/>
      <c r="K761" s="62"/>
      <c r="L761" s="86"/>
      <c r="M761" s="86"/>
      <c r="N761" s="86"/>
      <c r="O761" s="86"/>
      <c r="P761" s="86"/>
      <c r="Q761" s="86"/>
      <c r="R761" s="86"/>
      <c r="S761" s="86"/>
      <c r="T761" s="86"/>
      <c r="U761" s="86"/>
      <c r="V761" s="86"/>
      <c r="W761" s="86"/>
      <c r="X761" s="86"/>
      <c r="Y761" s="86"/>
      <c r="Z761" s="86"/>
      <c r="AA761" s="86"/>
    </row>
    <row r="762" spans="1:27" ht="14.25" customHeight="1" x14ac:dyDescent="0.35">
      <c r="A762" s="76">
        <v>0</v>
      </c>
      <c r="B762" s="87">
        <v>0</v>
      </c>
      <c r="C762" s="76"/>
      <c r="D762" s="85"/>
      <c r="E762" s="85"/>
      <c r="F762" s="85"/>
      <c r="G762" s="83"/>
      <c r="H762" s="86"/>
      <c r="I762" s="86"/>
      <c r="J762" s="86"/>
      <c r="K762" s="62"/>
      <c r="L762" s="86"/>
      <c r="M762" s="86"/>
      <c r="N762" s="86"/>
      <c r="O762" s="86"/>
      <c r="P762" s="86"/>
      <c r="Q762" s="86"/>
      <c r="R762" s="86"/>
      <c r="S762" s="86"/>
      <c r="T762" s="86"/>
      <c r="U762" s="86"/>
      <c r="V762" s="86"/>
      <c r="W762" s="86"/>
      <c r="X762" s="86"/>
      <c r="Y762" s="86"/>
      <c r="Z762" s="86"/>
      <c r="AA762" s="86"/>
    </row>
    <row r="763" spans="1:27" ht="14.25" customHeight="1" x14ac:dyDescent="0.35">
      <c r="A763" s="76">
        <v>0</v>
      </c>
      <c r="B763" s="87">
        <v>0</v>
      </c>
      <c r="C763" s="76"/>
      <c r="D763" s="85"/>
      <c r="E763" s="85"/>
      <c r="F763" s="85"/>
      <c r="G763" s="83"/>
      <c r="H763" s="86"/>
      <c r="I763" s="86"/>
      <c r="J763" s="86"/>
      <c r="K763" s="62"/>
      <c r="L763" s="86"/>
      <c r="M763" s="86"/>
      <c r="N763" s="86"/>
      <c r="O763" s="86"/>
      <c r="P763" s="86"/>
      <c r="Q763" s="86"/>
      <c r="R763" s="86"/>
      <c r="S763" s="86"/>
      <c r="T763" s="86"/>
      <c r="U763" s="86"/>
      <c r="V763" s="86"/>
      <c r="W763" s="86"/>
      <c r="X763" s="86"/>
      <c r="Y763" s="86"/>
      <c r="Z763" s="86"/>
      <c r="AA763" s="86"/>
    </row>
    <row r="764" spans="1:27" ht="14.25" customHeight="1" x14ac:dyDescent="0.35">
      <c r="A764" s="76">
        <v>0</v>
      </c>
      <c r="B764" s="87">
        <v>0</v>
      </c>
      <c r="C764" s="76"/>
      <c r="D764" s="85"/>
      <c r="E764" s="85"/>
      <c r="F764" s="85"/>
      <c r="G764" s="83"/>
      <c r="H764" s="86"/>
      <c r="I764" s="86"/>
      <c r="J764" s="86"/>
      <c r="K764" s="62"/>
      <c r="L764" s="86"/>
      <c r="M764" s="86"/>
      <c r="N764" s="86"/>
      <c r="O764" s="86"/>
      <c r="P764" s="86"/>
      <c r="Q764" s="86"/>
      <c r="R764" s="86"/>
      <c r="S764" s="86"/>
      <c r="T764" s="86"/>
      <c r="U764" s="86"/>
      <c r="V764" s="86"/>
      <c r="W764" s="86"/>
      <c r="X764" s="86"/>
      <c r="Y764" s="86"/>
      <c r="Z764" s="86"/>
      <c r="AA764" s="86"/>
    </row>
    <row r="765" spans="1:27" ht="14.25" customHeight="1" x14ac:dyDescent="0.35">
      <c r="A765" s="76">
        <v>0</v>
      </c>
      <c r="B765" s="87">
        <v>0</v>
      </c>
      <c r="C765" s="76"/>
      <c r="D765" s="85"/>
      <c r="E765" s="85"/>
      <c r="F765" s="85"/>
      <c r="G765" s="83"/>
      <c r="H765" s="86"/>
      <c r="I765" s="86"/>
      <c r="J765" s="86"/>
      <c r="K765" s="62"/>
      <c r="L765" s="86"/>
      <c r="M765" s="86"/>
      <c r="N765" s="86"/>
      <c r="O765" s="86"/>
      <c r="P765" s="86"/>
      <c r="Q765" s="86"/>
      <c r="R765" s="86"/>
      <c r="S765" s="86"/>
      <c r="T765" s="86"/>
      <c r="U765" s="86"/>
      <c r="V765" s="86"/>
      <c r="W765" s="86"/>
      <c r="X765" s="86"/>
      <c r="Y765" s="86"/>
      <c r="Z765" s="86"/>
      <c r="AA765" s="86"/>
    </row>
    <row r="766" spans="1:27" ht="14.25" customHeight="1" x14ac:dyDescent="0.35">
      <c r="A766" s="76">
        <v>0</v>
      </c>
      <c r="B766" s="87">
        <v>0</v>
      </c>
      <c r="C766" s="76"/>
      <c r="D766" s="85"/>
      <c r="E766" s="85"/>
      <c r="F766" s="85"/>
      <c r="G766" s="83"/>
      <c r="H766" s="86"/>
      <c r="I766" s="86"/>
      <c r="J766" s="86"/>
      <c r="K766" s="62"/>
      <c r="L766" s="86"/>
      <c r="M766" s="86"/>
      <c r="N766" s="86"/>
      <c r="O766" s="86"/>
      <c r="P766" s="86"/>
      <c r="Q766" s="86"/>
      <c r="R766" s="86"/>
      <c r="S766" s="86"/>
      <c r="T766" s="86"/>
      <c r="U766" s="86"/>
      <c r="V766" s="86"/>
      <c r="W766" s="86"/>
      <c r="X766" s="86"/>
      <c r="Y766" s="86"/>
      <c r="Z766" s="86"/>
      <c r="AA766" s="86"/>
    </row>
    <row r="767" spans="1:27" ht="14.25" customHeight="1" x14ac:dyDescent="0.35">
      <c r="A767" s="76">
        <v>0</v>
      </c>
      <c r="B767" s="87">
        <v>0</v>
      </c>
      <c r="C767" s="76"/>
      <c r="D767" s="85"/>
      <c r="E767" s="85"/>
      <c r="F767" s="85"/>
      <c r="G767" s="83"/>
      <c r="H767" s="86"/>
      <c r="I767" s="86"/>
      <c r="J767" s="86"/>
      <c r="K767" s="62"/>
      <c r="L767" s="86"/>
      <c r="M767" s="86"/>
      <c r="N767" s="86"/>
      <c r="O767" s="86"/>
      <c r="P767" s="86"/>
      <c r="Q767" s="86"/>
      <c r="R767" s="86"/>
      <c r="S767" s="86"/>
      <c r="T767" s="86"/>
      <c r="U767" s="86"/>
      <c r="V767" s="86"/>
      <c r="W767" s="86"/>
      <c r="X767" s="86"/>
      <c r="Y767" s="86"/>
      <c r="Z767" s="86"/>
      <c r="AA767" s="86"/>
    </row>
    <row r="768" spans="1:27" ht="14.25" customHeight="1" x14ac:dyDescent="0.35">
      <c r="A768" s="76">
        <v>0</v>
      </c>
      <c r="B768" s="87">
        <v>0</v>
      </c>
      <c r="C768" s="76"/>
      <c r="D768" s="85"/>
      <c r="E768" s="85"/>
      <c r="F768" s="85"/>
      <c r="G768" s="83"/>
      <c r="H768" s="86"/>
      <c r="I768" s="86"/>
      <c r="J768" s="86"/>
      <c r="K768" s="62"/>
      <c r="L768" s="86"/>
      <c r="M768" s="86"/>
      <c r="N768" s="86"/>
      <c r="O768" s="86"/>
      <c r="P768" s="86"/>
      <c r="Q768" s="86"/>
      <c r="R768" s="86"/>
      <c r="S768" s="86"/>
      <c r="T768" s="86"/>
      <c r="U768" s="86"/>
      <c r="V768" s="86"/>
      <c r="W768" s="86"/>
      <c r="X768" s="86"/>
      <c r="Y768" s="86"/>
      <c r="Z768" s="86"/>
      <c r="AA768" s="86"/>
    </row>
    <row r="769" spans="1:27" ht="14.25" customHeight="1" x14ac:dyDescent="0.35">
      <c r="A769" s="76">
        <v>0</v>
      </c>
      <c r="B769" s="87">
        <v>0</v>
      </c>
      <c r="C769" s="76"/>
      <c r="D769" s="85"/>
      <c r="E769" s="85"/>
      <c r="F769" s="85"/>
      <c r="G769" s="83"/>
      <c r="H769" s="86"/>
      <c r="I769" s="86"/>
      <c r="J769" s="86"/>
      <c r="K769" s="62"/>
      <c r="L769" s="86"/>
      <c r="M769" s="86"/>
      <c r="N769" s="86"/>
      <c r="O769" s="86"/>
      <c r="P769" s="86"/>
      <c r="Q769" s="86"/>
      <c r="R769" s="86"/>
      <c r="S769" s="86"/>
      <c r="T769" s="86"/>
      <c r="U769" s="86"/>
      <c r="V769" s="86"/>
      <c r="W769" s="86"/>
      <c r="X769" s="86"/>
      <c r="Y769" s="86"/>
      <c r="Z769" s="86"/>
      <c r="AA769" s="86"/>
    </row>
    <row r="770" spans="1:27" ht="14.25" customHeight="1" x14ac:dyDescent="0.35">
      <c r="A770" s="76">
        <v>0</v>
      </c>
      <c r="B770" s="87">
        <v>0</v>
      </c>
      <c r="C770" s="76"/>
      <c r="D770" s="85"/>
      <c r="E770" s="85"/>
      <c r="F770" s="85"/>
      <c r="G770" s="83"/>
      <c r="H770" s="86"/>
      <c r="I770" s="86"/>
      <c r="J770" s="86"/>
      <c r="K770" s="62"/>
      <c r="L770" s="86"/>
      <c r="M770" s="86"/>
      <c r="N770" s="86"/>
      <c r="O770" s="86"/>
      <c r="P770" s="86"/>
      <c r="Q770" s="86"/>
      <c r="R770" s="86"/>
      <c r="S770" s="86"/>
      <c r="T770" s="86"/>
      <c r="U770" s="86"/>
      <c r="V770" s="86"/>
      <c r="W770" s="86"/>
      <c r="X770" s="86"/>
      <c r="Y770" s="86"/>
      <c r="Z770" s="86"/>
      <c r="AA770" s="86"/>
    </row>
    <row r="771" spans="1:27" ht="14.25" customHeight="1" x14ac:dyDescent="0.35">
      <c r="A771" s="76">
        <v>0</v>
      </c>
      <c r="B771" s="87">
        <v>0</v>
      </c>
      <c r="C771" s="76"/>
      <c r="D771" s="85"/>
      <c r="E771" s="85"/>
      <c r="F771" s="85"/>
      <c r="G771" s="83"/>
      <c r="H771" s="86"/>
      <c r="I771" s="86"/>
      <c r="J771" s="86"/>
      <c r="K771" s="62"/>
      <c r="L771" s="86"/>
      <c r="M771" s="86"/>
      <c r="N771" s="86"/>
      <c r="O771" s="86"/>
      <c r="P771" s="86"/>
      <c r="Q771" s="86"/>
      <c r="R771" s="86"/>
      <c r="S771" s="86"/>
      <c r="T771" s="86"/>
      <c r="U771" s="86"/>
      <c r="V771" s="86"/>
      <c r="W771" s="86"/>
      <c r="X771" s="86"/>
      <c r="Y771" s="86"/>
      <c r="Z771" s="86"/>
      <c r="AA771" s="86"/>
    </row>
    <row r="772" spans="1:27" ht="14.25" customHeight="1" x14ac:dyDescent="0.35">
      <c r="A772" s="76">
        <f t="array" ref="A772:A787">'Regioturnier 3'!$Z$3:$Z$18</f>
        <v>0</v>
      </c>
      <c r="B772" s="84" t="str">
        <f t="array" ref="B772:B803">'NÖBV 3'!$B$3:$B$34</f>
        <v>Valentin Schefcik</v>
      </c>
      <c r="C772" s="76"/>
      <c r="D772" s="85"/>
      <c r="E772" s="85"/>
      <c r="F772" s="85"/>
      <c r="G772" s="83"/>
      <c r="H772" s="86"/>
      <c r="I772" s="86"/>
      <c r="J772" s="86"/>
      <c r="K772" s="62"/>
      <c r="L772" s="86"/>
      <c r="M772" s="86"/>
      <c r="N772" s="86"/>
      <c r="O772" s="86"/>
      <c r="P772" s="86"/>
      <c r="Q772" s="86"/>
      <c r="R772" s="86"/>
      <c r="S772" s="86"/>
      <c r="T772" s="86"/>
      <c r="U772" s="86"/>
      <c r="V772" s="86"/>
      <c r="W772" s="86"/>
      <c r="X772" s="86"/>
      <c r="Y772" s="86"/>
      <c r="Z772" s="86"/>
      <c r="AA772" s="86"/>
    </row>
    <row r="773" spans="1:27" ht="14.25" customHeight="1" x14ac:dyDescent="0.35">
      <c r="A773" s="76">
        <v>0</v>
      </c>
      <c r="B773" s="77" t="str">
        <v>Elias Reisinger</v>
      </c>
      <c r="C773" s="76"/>
      <c r="D773" s="85"/>
      <c r="E773" s="85"/>
      <c r="F773" s="85"/>
      <c r="G773" s="83"/>
      <c r="H773" s="86"/>
      <c r="I773" s="86"/>
      <c r="J773" s="86"/>
      <c r="K773" s="62"/>
      <c r="L773" s="86"/>
      <c r="M773" s="86"/>
      <c r="N773" s="86"/>
      <c r="O773" s="86"/>
      <c r="P773" s="86"/>
      <c r="Q773" s="86"/>
      <c r="R773" s="86"/>
      <c r="S773" s="86"/>
      <c r="T773" s="86"/>
      <c r="U773" s="86"/>
      <c r="V773" s="86"/>
      <c r="W773" s="86"/>
      <c r="X773" s="86"/>
      <c r="Y773" s="86"/>
      <c r="Z773" s="86"/>
      <c r="AA773" s="86"/>
    </row>
    <row r="774" spans="1:27" ht="14.25" customHeight="1" x14ac:dyDescent="0.35">
      <c r="A774" s="76">
        <v>0</v>
      </c>
      <c r="B774" s="77" t="str">
        <v>Terrence Chen</v>
      </c>
      <c r="C774" s="76"/>
      <c r="D774" s="85"/>
      <c r="E774" s="85"/>
      <c r="F774" s="85"/>
      <c r="G774" s="83"/>
      <c r="H774" s="86"/>
      <c r="I774" s="86"/>
      <c r="J774" s="86"/>
      <c r="K774" s="62"/>
      <c r="L774" s="86"/>
      <c r="M774" s="86"/>
      <c r="N774" s="86"/>
      <c r="O774" s="86"/>
      <c r="P774" s="86"/>
      <c r="Q774" s="86"/>
      <c r="R774" s="86"/>
      <c r="S774" s="86"/>
      <c r="T774" s="86"/>
      <c r="U774" s="86"/>
      <c r="V774" s="86"/>
      <c r="W774" s="86"/>
      <c r="X774" s="86"/>
      <c r="Y774" s="86"/>
      <c r="Z774" s="86"/>
      <c r="AA774" s="86"/>
    </row>
    <row r="775" spans="1:27" ht="14.25" customHeight="1" x14ac:dyDescent="0.35">
      <c r="A775" s="76">
        <v>0</v>
      </c>
      <c r="B775" s="77" t="str">
        <v>Joachim Zeilerbauer</v>
      </c>
      <c r="C775" s="76"/>
      <c r="D775" s="85"/>
      <c r="E775" s="85"/>
      <c r="F775" s="85"/>
      <c r="G775" s="83"/>
      <c r="H775" s="86"/>
      <c r="I775" s="86"/>
      <c r="J775" s="86"/>
      <c r="K775" s="62"/>
      <c r="L775" s="86"/>
      <c r="M775" s="86"/>
      <c r="N775" s="86"/>
      <c r="O775" s="86"/>
      <c r="P775" s="86"/>
      <c r="Q775" s="86"/>
      <c r="R775" s="86"/>
      <c r="S775" s="86"/>
      <c r="T775" s="86"/>
      <c r="U775" s="86"/>
      <c r="V775" s="86"/>
      <c r="W775" s="86"/>
      <c r="X775" s="86"/>
      <c r="Y775" s="86"/>
      <c r="Z775" s="86"/>
      <c r="AA775" s="86"/>
    </row>
    <row r="776" spans="1:27" ht="14.25" customHeight="1" x14ac:dyDescent="0.35">
      <c r="A776" s="76">
        <v>0</v>
      </c>
      <c r="B776" s="77">
        <v>0</v>
      </c>
      <c r="C776" s="76"/>
      <c r="D776" s="85"/>
      <c r="E776" s="85"/>
      <c r="F776" s="85"/>
      <c r="G776" s="83"/>
      <c r="H776" s="86"/>
      <c r="I776" s="86"/>
      <c r="J776" s="86"/>
      <c r="K776" s="62"/>
      <c r="L776" s="86"/>
      <c r="M776" s="86"/>
      <c r="N776" s="86"/>
      <c r="O776" s="86"/>
      <c r="P776" s="86"/>
      <c r="Q776" s="86"/>
      <c r="R776" s="86"/>
      <c r="S776" s="86"/>
      <c r="T776" s="86"/>
      <c r="U776" s="86"/>
      <c r="V776" s="86"/>
      <c r="W776" s="86"/>
      <c r="X776" s="86"/>
      <c r="Y776" s="86"/>
      <c r="Z776" s="86"/>
      <c r="AA776" s="86"/>
    </row>
    <row r="777" spans="1:27" ht="14.25" customHeight="1" x14ac:dyDescent="0.35">
      <c r="A777" s="76">
        <v>0</v>
      </c>
      <c r="B777" s="77">
        <v>0</v>
      </c>
      <c r="C777" s="76"/>
      <c r="D777" s="85"/>
      <c r="E777" s="85"/>
      <c r="F777" s="85"/>
      <c r="G777" s="83"/>
      <c r="H777" s="86"/>
      <c r="I777" s="86"/>
      <c r="J777" s="86"/>
      <c r="K777" s="62"/>
      <c r="L777" s="86"/>
      <c r="M777" s="86"/>
      <c r="N777" s="86"/>
      <c r="O777" s="86"/>
      <c r="P777" s="86"/>
      <c r="Q777" s="86"/>
      <c r="R777" s="86"/>
      <c r="S777" s="86"/>
      <c r="T777" s="86"/>
      <c r="U777" s="86"/>
      <c r="V777" s="86"/>
      <c r="W777" s="86"/>
      <c r="X777" s="86"/>
      <c r="Y777" s="86"/>
      <c r="Z777" s="86"/>
      <c r="AA777" s="86"/>
    </row>
    <row r="778" spans="1:27" ht="14.25" customHeight="1" x14ac:dyDescent="0.35">
      <c r="A778" s="76">
        <v>0</v>
      </c>
      <c r="B778" s="77">
        <v>0</v>
      </c>
      <c r="C778" s="76"/>
      <c r="D778" s="85"/>
      <c r="E778" s="85"/>
      <c r="F778" s="85"/>
      <c r="G778" s="83"/>
      <c r="H778" s="86"/>
      <c r="I778" s="86"/>
      <c r="J778" s="86"/>
      <c r="K778" s="62"/>
      <c r="L778" s="86"/>
      <c r="M778" s="86"/>
      <c r="N778" s="86"/>
      <c r="O778" s="86"/>
      <c r="P778" s="86"/>
      <c r="Q778" s="86"/>
      <c r="R778" s="86"/>
      <c r="S778" s="86"/>
      <c r="T778" s="86"/>
      <c r="U778" s="86"/>
      <c r="V778" s="86"/>
      <c r="W778" s="86"/>
      <c r="X778" s="86"/>
      <c r="Y778" s="86"/>
      <c r="Z778" s="86"/>
      <c r="AA778" s="86"/>
    </row>
    <row r="779" spans="1:27" ht="14.25" customHeight="1" x14ac:dyDescent="0.35">
      <c r="A779" s="76">
        <v>0</v>
      </c>
      <c r="B779" s="77">
        <v>0</v>
      </c>
      <c r="C779" s="76"/>
      <c r="D779" s="85"/>
      <c r="E779" s="85"/>
      <c r="F779" s="85"/>
      <c r="G779" s="83"/>
      <c r="H779" s="86"/>
      <c r="I779" s="86"/>
      <c r="J779" s="86"/>
      <c r="K779" s="62"/>
      <c r="L779" s="86"/>
      <c r="M779" s="86"/>
      <c r="N779" s="86"/>
      <c r="O779" s="86"/>
      <c r="P779" s="86"/>
      <c r="Q779" s="86"/>
      <c r="R779" s="86"/>
      <c r="S779" s="86"/>
      <c r="T779" s="86"/>
      <c r="U779" s="86"/>
      <c r="V779" s="86"/>
      <c r="W779" s="86"/>
      <c r="X779" s="86"/>
      <c r="Y779" s="86"/>
      <c r="Z779" s="86"/>
      <c r="AA779" s="86"/>
    </row>
    <row r="780" spans="1:27" ht="14.25" customHeight="1" x14ac:dyDescent="0.35">
      <c r="A780" s="76">
        <v>0</v>
      </c>
      <c r="B780" s="77">
        <v>0</v>
      </c>
      <c r="C780" s="76"/>
      <c r="D780" s="85"/>
      <c r="E780" s="85"/>
      <c r="F780" s="85"/>
      <c r="G780" s="83"/>
      <c r="H780" s="86"/>
      <c r="I780" s="86"/>
      <c r="J780" s="86"/>
      <c r="K780" s="62"/>
      <c r="L780" s="86"/>
      <c r="M780" s="86"/>
      <c r="N780" s="86"/>
      <c r="O780" s="86"/>
      <c r="P780" s="86"/>
      <c r="Q780" s="86"/>
      <c r="R780" s="86"/>
      <c r="S780" s="86"/>
      <c r="T780" s="86"/>
      <c r="U780" s="86"/>
      <c r="V780" s="86"/>
      <c r="W780" s="86"/>
      <c r="X780" s="86"/>
      <c r="Y780" s="86"/>
      <c r="Z780" s="86"/>
      <c r="AA780" s="86"/>
    </row>
    <row r="781" spans="1:27" ht="14.25" customHeight="1" x14ac:dyDescent="0.35">
      <c r="A781" s="76">
        <v>0</v>
      </c>
      <c r="B781" s="77">
        <v>0</v>
      </c>
      <c r="C781" s="76"/>
      <c r="D781" s="85"/>
      <c r="E781" s="85"/>
      <c r="F781" s="85"/>
      <c r="G781" s="83"/>
      <c r="H781" s="86"/>
      <c r="I781" s="86"/>
      <c r="J781" s="86"/>
      <c r="K781" s="62"/>
      <c r="L781" s="86"/>
      <c r="M781" s="86"/>
      <c r="N781" s="86"/>
      <c r="O781" s="86"/>
      <c r="P781" s="86"/>
      <c r="Q781" s="86"/>
      <c r="R781" s="86"/>
      <c r="S781" s="86"/>
      <c r="T781" s="86"/>
      <c r="U781" s="86"/>
      <c r="V781" s="86"/>
      <c r="W781" s="86"/>
      <c r="X781" s="86"/>
      <c r="Y781" s="86"/>
      <c r="Z781" s="86"/>
      <c r="AA781" s="86"/>
    </row>
    <row r="782" spans="1:27" ht="14.25" customHeight="1" x14ac:dyDescent="0.35">
      <c r="A782" s="76">
        <v>0</v>
      </c>
      <c r="B782" s="77">
        <v>0</v>
      </c>
      <c r="C782" s="76"/>
      <c r="D782" s="85"/>
      <c r="E782" s="85"/>
      <c r="F782" s="85"/>
      <c r="G782" s="83"/>
      <c r="H782" s="86"/>
      <c r="I782" s="86"/>
      <c r="J782" s="86"/>
      <c r="K782" s="62"/>
      <c r="L782" s="86"/>
      <c r="M782" s="86"/>
      <c r="N782" s="86"/>
      <c r="O782" s="86"/>
      <c r="P782" s="86"/>
      <c r="Q782" s="86"/>
      <c r="R782" s="86"/>
      <c r="S782" s="86"/>
      <c r="T782" s="86"/>
      <c r="U782" s="86"/>
      <c r="V782" s="86"/>
      <c r="W782" s="86"/>
      <c r="X782" s="86"/>
      <c r="Y782" s="86"/>
      <c r="Z782" s="86"/>
      <c r="AA782" s="86"/>
    </row>
    <row r="783" spans="1:27" ht="14.25" customHeight="1" x14ac:dyDescent="0.35">
      <c r="A783" s="76">
        <v>0</v>
      </c>
      <c r="B783" s="77">
        <v>0</v>
      </c>
      <c r="C783" s="76"/>
      <c r="D783" s="85"/>
      <c r="E783" s="85"/>
      <c r="F783" s="85"/>
      <c r="G783" s="83"/>
      <c r="H783" s="86"/>
      <c r="I783" s="86"/>
      <c r="J783" s="86"/>
      <c r="K783" s="62"/>
      <c r="L783" s="86"/>
      <c r="M783" s="86"/>
      <c r="N783" s="86"/>
      <c r="O783" s="86"/>
      <c r="P783" s="86"/>
      <c r="Q783" s="86"/>
      <c r="R783" s="86"/>
      <c r="S783" s="86"/>
      <c r="T783" s="86"/>
      <c r="U783" s="86"/>
      <c r="V783" s="86"/>
      <c r="W783" s="86"/>
      <c r="X783" s="86"/>
      <c r="Y783" s="86"/>
      <c r="Z783" s="86"/>
      <c r="AA783" s="86"/>
    </row>
    <row r="784" spans="1:27" ht="14.25" customHeight="1" x14ac:dyDescent="0.35">
      <c r="A784" s="76">
        <v>0</v>
      </c>
      <c r="B784" s="77">
        <v>0</v>
      </c>
      <c r="C784" s="76"/>
      <c r="D784" s="85"/>
      <c r="E784" s="85"/>
      <c r="F784" s="85"/>
      <c r="G784" s="83"/>
      <c r="H784" s="86"/>
      <c r="I784" s="86"/>
      <c r="J784" s="86"/>
      <c r="K784" s="62"/>
      <c r="L784" s="86"/>
      <c r="M784" s="86"/>
      <c r="N784" s="86"/>
      <c r="O784" s="86"/>
      <c r="P784" s="86"/>
      <c r="Q784" s="86"/>
      <c r="R784" s="86"/>
      <c r="S784" s="86"/>
      <c r="T784" s="86"/>
      <c r="U784" s="86"/>
      <c r="V784" s="86"/>
      <c r="W784" s="86"/>
      <c r="X784" s="86"/>
      <c r="Y784" s="86"/>
      <c r="Z784" s="86"/>
      <c r="AA784" s="86"/>
    </row>
    <row r="785" spans="1:27" ht="14.25" customHeight="1" x14ac:dyDescent="0.35">
      <c r="A785" s="76">
        <v>0</v>
      </c>
      <c r="B785" s="77">
        <v>0</v>
      </c>
      <c r="C785" s="76"/>
      <c r="D785" s="85"/>
      <c r="E785" s="85"/>
      <c r="F785" s="85"/>
      <c r="G785" s="83"/>
      <c r="H785" s="86"/>
      <c r="I785" s="86"/>
      <c r="J785" s="86"/>
      <c r="K785" s="62"/>
      <c r="L785" s="86"/>
      <c r="M785" s="86"/>
      <c r="N785" s="86"/>
      <c r="O785" s="86"/>
      <c r="P785" s="86"/>
      <c r="Q785" s="86"/>
      <c r="R785" s="86"/>
      <c r="S785" s="86"/>
      <c r="T785" s="86"/>
      <c r="U785" s="86"/>
      <c r="V785" s="86"/>
      <c r="W785" s="86"/>
      <c r="X785" s="86"/>
      <c r="Y785" s="86"/>
      <c r="Z785" s="86"/>
      <c r="AA785" s="86"/>
    </row>
    <row r="786" spans="1:27" ht="14.25" customHeight="1" x14ac:dyDescent="0.35">
      <c r="A786" s="76">
        <v>0</v>
      </c>
      <c r="B786" s="77">
        <v>0</v>
      </c>
      <c r="C786" s="76"/>
      <c r="D786" s="85"/>
      <c r="E786" s="85"/>
      <c r="F786" s="85"/>
      <c r="G786" s="83"/>
      <c r="H786" s="86"/>
      <c r="I786" s="86"/>
      <c r="J786" s="86"/>
      <c r="K786" s="62"/>
      <c r="L786" s="86"/>
      <c r="M786" s="86"/>
      <c r="N786" s="86"/>
      <c r="O786" s="86"/>
      <c r="P786" s="86"/>
      <c r="Q786" s="86"/>
      <c r="R786" s="86"/>
      <c r="S786" s="86"/>
      <c r="T786" s="86"/>
      <c r="U786" s="86"/>
      <c r="V786" s="86"/>
      <c r="W786" s="86"/>
      <c r="X786" s="86"/>
      <c r="Y786" s="86"/>
      <c r="Z786" s="86"/>
      <c r="AA786" s="86"/>
    </row>
    <row r="787" spans="1:27" ht="14.25" customHeight="1" x14ac:dyDescent="0.35">
      <c r="A787" s="76">
        <v>0</v>
      </c>
      <c r="B787" s="77">
        <v>0</v>
      </c>
      <c r="C787" s="76"/>
      <c r="D787" s="85"/>
      <c r="E787" s="85"/>
      <c r="F787" s="85"/>
      <c r="G787" s="83"/>
      <c r="H787" s="86"/>
      <c r="I787" s="86"/>
      <c r="J787" s="86"/>
      <c r="K787" s="62"/>
      <c r="L787" s="86"/>
      <c r="M787" s="86"/>
      <c r="N787" s="86"/>
      <c r="O787" s="86"/>
      <c r="P787" s="86"/>
      <c r="Q787" s="86"/>
      <c r="R787" s="86"/>
      <c r="S787" s="86"/>
      <c r="T787" s="86"/>
      <c r="U787" s="86"/>
      <c r="V787" s="86"/>
      <c r="W787" s="86"/>
      <c r="X787" s="86"/>
      <c r="Y787" s="86"/>
      <c r="Z787" s="86"/>
      <c r="AA787" s="86"/>
    </row>
    <row r="788" spans="1:27" ht="14.25" customHeight="1" x14ac:dyDescent="0.35">
      <c r="A788" s="76"/>
      <c r="B788" s="77">
        <v>0</v>
      </c>
      <c r="C788" s="76"/>
      <c r="D788" s="85"/>
      <c r="E788" s="85"/>
      <c r="F788" s="85"/>
      <c r="G788" s="83"/>
      <c r="H788" s="86"/>
      <c r="I788" s="86"/>
      <c r="J788" s="86"/>
      <c r="K788" s="62"/>
      <c r="L788" s="86"/>
      <c r="M788" s="86"/>
      <c r="N788" s="86"/>
      <c r="O788" s="86"/>
      <c r="P788" s="86"/>
      <c r="Q788" s="86"/>
      <c r="R788" s="86"/>
      <c r="S788" s="86"/>
      <c r="T788" s="86"/>
      <c r="U788" s="86"/>
      <c r="V788" s="86"/>
      <c r="W788" s="86"/>
      <c r="X788" s="86"/>
      <c r="Y788" s="86"/>
      <c r="Z788" s="86"/>
      <c r="AA788" s="86"/>
    </row>
    <row r="789" spans="1:27" ht="14.25" customHeight="1" x14ac:dyDescent="0.35">
      <c r="A789" s="76"/>
      <c r="B789" s="77">
        <v>0</v>
      </c>
      <c r="C789" s="76"/>
      <c r="D789" s="85"/>
      <c r="E789" s="85"/>
      <c r="F789" s="85"/>
      <c r="G789" s="83"/>
      <c r="H789" s="86"/>
      <c r="I789" s="86"/>
      <c r="J789" s="86"/>
      <c r="K789" s="62"/>
      <c r="L789" s="86"/>
      <c r="M789" s="86"/>
      <c r="N789" s="86"/>
      <c r="O789" s="86"/>
      <c r="P789" s="86"/>
      <c r="Q789" s="86"/>
      <c r="R789" s="86"/>
      <c r="S789" s="86"/>
      <c r="T789" s="86"/>
      <c r="U789" s="86"/>
      <c r="V789" s="86"/>
      <c r="W789" s="86"/>
      <c r="X789" s="86"/>
      <c r="Y789" s="86"/>
      <c r="Z789" s="86"/>
      <c r="AA789" s="86"/>
    </row>
    <row r="790" spans="1:27" ht="14.25" customHeight="1" x14ac:dyDescent="0.35">
      <c r="A790" s="76"/>
      <c r="B790" s="77">
        <v>0</v>
      </c>
      <c r="C790" s="76"/>
      <c r="D790" s="85"/>
      <c r="E790" s="85"/>
      <c r="F790" s="85"/>
      <c r="G790" s="83"/>
      <c r="H790" s="86"/>
      <c r="I790" s="86"/>
      <c r="J790" s="86"/>
      <c r="K790" s="62"/>
      <c r="L790" s="86"/>
      <c r="M790" s="86"/>
      <c r="N790" s="86"/>
      <c r="O790" s="86"/>
      <c r="P790" s="86"/>
      <c r="Q790" s="86"/>
      <c r="R790" s="86"/>
      <c r="S790" s="86"/>
      <c r="T790" s="86"/>
      <c r="U790" s="86"/>
      <c r="V790" s="86"/>
      <c r="W790" s="86"/>
      <c r="X790" s="86"/>
      <c r="Y790" s="86"/>
      <c r="Z790" s="86"/>
      <c r="AA790" s="86"/>
    </row>
    <row r="791" spans="1:27" ht="14.25" customHeight="1" x14ac:dyDescent="0.35">
      <c r="A791" s="76"/>
      <c r="B791" s="77">
        <v>0</v>
      </c>
      <c r="C791" s="76"/>
      <c r="D791" s="85"/>
      <c r="E791" s="85"/>
      <c r="F791" s="85"/>
      <c r="G791" s="83"/>
      <c r="H791" s="86"/>
      <c r="I791" s="86"/>
      <c r="J791" s="86"/>
      <c r="K791" s="62"/>
      <c r="L791" s="86"/>
      <c r="M791" s="86"/>
      <c r="N791" s="86"/>
      <c r="O791" s="86"/>
      <c r="P791" s="86"/>
      <c r="Q791" s="86"/>
      <c r="R791" s="86"/>
      <c r="S791" s="86"/>
      <c r="T791" s="86"/>
      <c r="U791" s="86"/>
      <c r="V791" s="86"/>
      <c r="W791" s="86"/>
      <c r="X791" s="86"/>
      <c r="Y791" s="86"/>
      <c r="Z791" s="86"/>
      <c r="AA791" s="86"/>
    </row>
    <row r="792" spans="1:27" ht="14.25" customHeight="1" x14ac:dyDescent="0.35">
      <c r="A792" s="76"/>
      <c r="B792" s="77">
        <v>0</v>
      </c>
      <c r="C792" s="76"/>
      <c r="D792" s="85"/>
      <c r="E792" s="85"/>
      <c r="F792" s="85"/>
      <c r="G792" s="83"/>
      <c r="H792" s="86"/>
      <c r="I792" s="86"/>
      <c r="J792" s="86"/>
      <c r="K792" s="62"/>
      <c r="L792" s="86"/>
      <c r="M792" s="86"/>
      <c r="N792" s="86"/>
      <c r="O792" s="86"/>
      <c r="P792" s="86"/>
      <c r="Q792" s="86"/>
      <c r="R792" s="86"/>
      <c r="S792" s="86"/>
      <c r="T792" s="86"/>
      <c r="U792" s="86"/>
      <c r="V792" s="86"/>
      <c r="W792" s="86"/>
      <c r="X792" s="86"/>
      <c r="Y792" s="86"/>
      <c r="Z792" s="86"/>
      <c r="AA792" s="86"/>
    </row>
    <row r="793" spans="1:27" ht="14.25" customHeight="1" x14ac:dyDescent="0.35">
      <c r="A793" s="76"/>
      <c r="B793" s="77">
        <v>0</v>
      </c>
      <c r="C793" s="76"/>
      <c r="D793" s="85"/>
      <c r="E793" s="85"/>
      <c r="F793" s="85"/>
      <c r="G793" s="83"/>
      <c r="H793" s="86"/>
      <c r="I793" s="86"/>
      <c r="J793" s="86"/>
      <c r="K793" s="62"/>
      <c r="L793" s="86"/>
      <c r="M793" s="86"/>
      <c r="N793" s="86"/>
      <c r="O793" s="86"/>
      <c r="P793" s="86"/>
      <c r="Q793" s="86"/>
      <c r="R793" s="86"/>
      <c r="S793" s="86"/>
      <c r="T793" s="86"/>
      <c r="U793" s="86"/>
      <c r="V793" s="86"/>
      <c r="W793" s="86"/>
      <c r="X793" s="86"/>
      <c r="Y793" s="86"/>
      <c r="Z793" s="86"/>
      <c r="AA793" s="86"/>
    </row>
    <row r="794" spans="1:27" ht="14.25" customHeight="1" x14ac:dyDescent="0.35">
      <c r="A794" s="76"/>
      <c r="B794" s="77">
        <v>0</v>
      </c>
      <c r="C794" s="76"/>
      <c r="D794" s="85"/>
      <c r="E794" s="85"/>
      <c r="F794" s="85"/>
      <c r="G794" s="83"/>
      <c r="H794" s="86"/>
      <c r="I794" s="86"/>
      <c r="J794" s="86"/>
      <c r="K794" s="62"/>
      <c r="L794" s="86"/>
      <c r="M794" s="86"/>
      <c r="N794" s="86"/>
      <c r="O794" s="86"/>
      <c r="P794" s="86"/>
      <c r="Q794" s="86"/>
      <c r="R794" s="86"/>
      <c r="S794" s="86"/>
      <c r="T794" s="86"/>
      <c r="U794" s="86"/>
      <c r="V794" s="86"/>
      <c r="W794" s="86"/>
      <c r="X794" s="86"/>
      <c r="Y794" s="86"/>
      <c r="Z794" s="86"/>
      <c r="AA794" s="86"/>
    </row>
    <row r="795" spans="1:27" ht="14.25" customHeight="1" x14ac:dyDescent="0.35">
      <c r="A795" s="76"/>
      <c r="B795" s="77">
        <v>0</v>
      </c>
      <c r="C795" s="76"/>
      <c r="D795" s="85"/>
      <c r="E795" s="85"/>
      <c r="F795" s="85"/>
      <c r="G795" s="83"/>
      <c r="H795" s="86"/>
      <c r="I795" s="86"/>
      <c r="J795" s="86"/>
      <c r="K795" s="62"/>
      <c r="L795" s="86"/>
      <c r="M795" s="86"/>
      <c r="N795" s="86"/>
      <c r="O795" s="86"/>
      <c r="P795" s="86"/>
      <c r="Q795" s="86"/>
      <c r="R795" s="86"/>
      <c r="S795" s="86"/>
      <c r="T795" s="86"/>
      <c r="U795" s="86"/>
      <c r="V795" s="86"/>
      <c r="W795" s="86"/>
      <c r="X795" s="86"/>
      <c r="Y795" s="86"/>
      <c r="Z795" s="86"/>
      <c r="AA795" s="86"/>
    </row>
    <row r="796" spans="1:27" ht="14.25" customHeight="1" x14ac:dyDescent="0.35">
      <c r="A796" s="76"/>
      <c r="B796" s="77">
        <v>0</v>
      </c>
      <c r="C796" s="76"/>
      <c r="D796" s="85"/>
      <c r="E796" s="85"/>
      <c r="F796" s="85"/>
      <c r="G796" s="83"/>
      <c r="H796" s="86"/>
      <c r="I796" s="86"/>
      <c r="J796" s="86"/>
      <c r="K796" s="62"/>
      <c r="L796" s="86"/>
      <c r="M796" s="86"/>
      <c r="N796" s="86"/>
      <c r="O796" s="86"/>
      <c r="P796" s="86"/>
      <c r="Q796" s="86"/>
      <c r="R796" s="86"/>
      <c r="S796" s="86"/>
      <c r="T796" s="86"/>
      <c r="U796" s="86"/>
      <c r="V796" s="86"/>
      <c r="W796" s="86"/>
      <c r="X796" s="86"/>
      <c r="Y796" s="86"/>
      <c r="Z796" s="86"/>
      <c r="AA796" s="86"/>
    </row>
    <row r="797" spans="1:27" ht="14.25" customHeight="1" x14ac:dyDescent="0.35">
      <c r="A797" s="76"/>
      <c r="B797" s="77">
        <v>0</v>
      </c>
      <c r="C797" s="76"/>
      <c r="D797" s="85"/>
      <c r="E797" s="85"/>
      <c r="F797" s="85"/>
      <c r="G797" s="83"/>
      <c r="H797" s="86"/>
      <c r="I797" s="86"/>
      <c r="J797" s="86"/>
      <c r="K797" s="62"/>
      <c r="L797" s="86"/>
      <c r="M797" s="86"/>
      <c r="N797" s="86"/>
      <c r="O797" s="86"/>
      <c r="P797" s="86"/>
      <c r="Q797" s="86"/>
      <c r="R797" s="86"/>
      <c r="S797" s="86"/>
      <c r="T797" s="86"/>
      <c r="U797" s="86"/>
      <c r="V797" s="86"/>
      <c r="W797" s="86"/>
      <c r="X797" s="86"/>
      <c r="Y797" s="86"/>
      <c r="Z797" s="86"/>
      <c r="AA797" s="86"/>
    </row>
    <row r="798" spans="1:27" ht="14.25" customHeight="1" x14ac:dyDescent="0.35">
      <c r="A798" s="76"/>
      <c r="B798" s="77">
        <v>0</v>
      </c>
      <c r="C798" s="76"/>
      <c r="D798" s="85"/>
      <c r="E798" s="85"/>
      <c r="F798" s="85"/>
      <c r="G798" s="83"/>
      <c r="H798" s="86"/>
      <c r="I798" s="86"/>
      <c r="J798" s="86"/>
      <c r="K798" s="62"/>
      <c r="L798" s="86"/>
      <c r="M798" s="86"/>
      <c r="N798" s="86"/>
      <c r="O798" s="86"/>
      <c r="P798" s="86"/>
      <c r="Q798" s="86"/>
      <c r="R798" s="86"/>
      <c r="S798" s="86"/>
      <c r="T798" s="86"/>
      <c r="U798" s="86"/>
      <c r="V798" s="86"/>
      <c r="W798" s="86"/>
      <c r="X798" s="86"/>
      <c r="Y798" s="86"/>
      <c r="Z798" s="86"/>
      <c r="AA798" s="86"/>
    </row>
    <row r="799" spans="1:27" ht="14.25" customHeight="1" x14ac:dyDescent="0.35">
      <c r="A799" s="76"/>
      <c r="B799" s="77">
        <v>0</v>
      </c>
      <c r="C799" s="76"/>
      <c r="D799" s="85"/>
      <c r="E799" s="85"/>
      <c r="F799" s="85"/>
      <c r="G799" s="83"/>
      <c r="H799" s="86"/>
      <c r="I799" s="86"/>
      <c r="J799" s="86"/>
      <c r="K799" s="62"/>
      <c r="L799" s="86"/>
      <c r="M799" s="86"/>
      <c r="N799" s="86"/>
      <c r="O799" s="86"/>
      <c r="P799" s="86"/>
      <c r="Q799" s="86"/>
      <c r="R799" s="86"/>
      <c r="S799" s="86"/>
      <c r="T799" s="86"/>
      <c r="U799" s="86"/>
      <c r="V799" s="86"/>
      <c r="W799" s="86"/>
      <c r="X799" s="86"/>
      <c r="Y799" s="86"/>
      <c r="Z799" s="86"/>
      <c r="AA799" s="86"/>
    </row>
    <row r="800" spans="1:27" ht="14.25" customHeight="1" x14ac:dyDescent="0.35">
      <c r="A800" s="76"/>
      <c r="B800" s="77">
        <v>0</v>
      </c>
      <c r="C800" s="76"/>
      <c r="D800" s="85"/>
      <c r="E800" s="85"/>
      <c r="F800" s="85"/>
      <c r="G800" s="83"/>
      <c r="H800" s="86"/>
      <c r="I800" s="86"/>
      <c r="J800" s="86"/>
      <c r="K800" s="62"/>
      <c r="L800" s="86"/>
      <c r="M800" s="86"/>
      <c r="N800" s="86"/>
      <c r="O800" s="86"/>
      <c r="P800" s="86"/>
      <c r="Q800" s="86"/>
      <c r="R800" s="86"/>
      <c r="S800" s="86"/>
      <c r="T800" s="86"/>
      <c r="U800" s="86"/>
      <c r="V800" s="86"/>
      <c r="W800" s="86"/>
      <c r="X800" s="86"/>
      <c r="Y800" s="86"/>
      <c r="Z800" s="86"/>
      <c r="AA800" s="86"/>
    </row>
    <row r="801" spans="1:27" ht="14.25" customHeight="1" x14ac:dyDescent="0.35">
      <c r="A801" s="76"/>
      <c r="B801" s="77">
        <v>0</v>
      </c>
      <c r="C801" s="76"/>
      <c r="D801" s="85"/>
      <c r="E801" s="85"/>
      <c r="F801" s="85"/>
      <c r="G801" s="83"/>
      <c r="H801" s="86"/>
      <c r="I801" s="86"/>
      <c r="J801" s="86"/>
      <c r="K801" s="62"/>
      <c r="L801" s="86"/>
      <c r="M801" s="86"/>
      <c r="N801" s="86"/>
      <c r="O801" s="86"/>
      <c r="P801" s="86"/>
      <c r="Q801" s="86"/>
      <c r="R801" s="86"/>
      <c r="S801" s="86"/>
      <c r="T801" s="86"/>
      <c r="U801" s="86"/>
      <c r="V801" s="86"/>
      <c r="W801" s="86"/>
      <c r="X801" s="86"/>
      <c r="Y801" s="86"/>
      <c r="Z801" s="86"/>
      <c r="AA801" s="86"/>
    </row>
    <row r="802" spans="1:27" ht="14.25" customHeight="1" x14ac:dyDescent="0.35">
      <c r="A802" s="76"/>
      <c r="B802" s="77">
        <v>0</v>
      </c>
      <c r="C802" s="76"/>
      <c r="D802" s="85"/>
      <c r="E802" s="85"/>
      <c r="F802" s="85"/>
      <c r="G802" s="83"/>
      <c r="H802" s="86"/>
      <c r="I802" s="86"/>
      <c r="J802" s="86"/>
      <c r="K802" s="62"/>
      <c r="L802" s="86"/>
      <c r="M802" s="86"/>
      <c r="N802" s="86"/>
      <c r="O802" s="86"/>
      <c r="P802" s="86"/>
      <c r="Q802" s="86"/>
      <c r="R802" s="86"/>
      <c r="S802" s="86"/>
      <c r="T802" s="86"/>
      <c r="U802" s="86"/>
      <c r="V802" s="86"/>
      <c r="W802" s="86"/>
      <c r="X802" s="86"/>
      <c r="Y802" s="86"/>
      <c r="Z802" s="86"/>
      <c r="AA802" s="86"/>
    </row>
    <row r="803" spans="1:27" ht="14.25" customHeight="1" x14ac:dyDescent="0.35">
      <c r="A803" s="76"/>
      <c r="B803" s="77">
        <v>0</v>
      </c>
      <c r="C803" s="76"/>
      <c r="D803" s="85"/>
      <c r="E803" s="85"/>
      <c r="F803" s="85"/>
      <c r="G803" s="83"/>
      <c r="H803" s="86"/>
      <c r="I803" s="86"/>
      <c r="J803" s="86"/>
      <c r="K803" s="62"/>
      <c r="L803" s="86"/>
      <c r="M803" s="86"/>
      <c r="N803" s="86"/>
      <c r="O803" s="86"/>
      <c r="P803" s="86"/>
      <c r="Q803" s="86"/>
      <c r="R803" s="86"/>
      <c r="S803" s="86"/>
      <c r="T803" s="86"/>
      <c r="U803" s="86"/>
      <c r="V803" s="86"/>
      <c r="W803" s="86"/>
      <c r="X803" s="86"/>
      <c r="Y803" s="86"/>
      <c r="Z803" s="86"/>
      <c r="AA803" s="86"/>
    </row>
    <row r="804" spans="1:27" ht="14.25" customHeight="1" x14ac:dyDescent="0.35">
      <c r="A804" s="76"/>
      <c r="B804" s="77" t="str">
        <f t="array" ref="B804:B835">'NÖBV 3'!$F$3:$F$34</f>
        <v>Anja Reisinger</v>
      </c>
      <c r="C804" s="76"/>
      <c r="D804" s="85"/>
      <c r="E804" s="85"/>
      <c r="F804" s="85"/>
      <c r="G804" s="83"/>
      <c r="H804" s="86"/>
      <c r="I804" s="86"/>
      <c r="J804" s="86"/>
      <c r="K804" s="62"/>
      <c r="L804" s="86"/>
      <c r="M804" s="86"/>
      <c r="N804" s="86"/>
      <c r="O804" s="86"/>
      <c r="P804" s="86"/>
      <c r="Q804" s="86"/>
      <c r="R804" s="86"/>
      <c r="S804" s="86"/>
      <c r="T804" s="86"/>
      <c r="U804" s="86"/>
      <c r="V804" s="86"/>
      <c r="W804" s="86"/>
      <c r="X804" s="86"/>
      <c r="Y804" s="86"/>
      <c r="Z804" s="86"/>
      <c r="AA804" s="86"/>
    </row>
    <row r="805" spans="1:27" ht="14.25" customHeight="1" x14ac:dyDescent="0.35">
      <c r="A805" s="76"/>
      <c r="B805" s="77" t="str">
        <v>Johanna Floßmann</v>
      </c>
      <c r="C805" s="76"/>
      <c r="D805" s="85"/>
      <c r="E805" s="85"/>
      <c r="F805" s="85"/>
      <c r="G805" s="83"/>
      <c r="H805" s="86"/>
      <c r="I805" s="86"/>
      <c r="J805" s="86"/>
      <c r="K805" s="62"/>
      <c r="L805" s="86"/>
      <c r="M805" s="86"/>
      <c r="N805" s="86"/>
      <c r="O805" s="86"/>
      <c r="P805" s="86"/>
      <c r="Q805" s="86"/>
      <c r="R805" s="86"/>
      <c r="S805" s="86"/>
      <c r="T805" s="86"/>
      <c r="U805" s="86"/>
      <c r="V805" s="86"/>
      <c r="W805" s="86"/>
      <c r="X805" s="86"/>
      <c r="Y805" s="86"/>
      <c r="Z805" s="86"/>
      <c r="AA805" s="86"/>
    </row>
    <row r="806" spans="1:27" ht="14.25" customHeight="1" x14ac:dyDescent="0.35">
      <c r="A806" s="76"/>
      <c r="B806" s="77" t="str">
        <v>Rafael Burian</v>
      </c>
      <c r="C806" s="76"/>
      <c r="D806" s="85"/>
      <c r="E806" s="85"/>
      <c r="F806" s="85"/>
      <c r="G806" s="83"/>
      <c r="H806" s="86"/>
      <c r="I806" s="86"/>
      <c r="J806" s="86"/>
      <c r="K806" s="62"/>
      <c r="L806" s="86"/>
      <c r="M806" s="86"/>
      <c r="N806" s="86"/>
      <c r="O806" s="86"/>
      <c r="P806" s="86"/>
      <c r="Q806" s="86"/>
      <c r="R806" s="86"/>
      <c r="S806" s="86"/>
      <c r="T806" s="86"/>
      <c r="U806" s="86"/>
      <c r="V806" s="86"/>
      <c r="W806" s="86"/>
      <c r="X806" s="86"/>
      <c r="Y806" s="86"/>
      <c r="Z806" s="86"/>
      <c r="AA806" s="86"/>
    </row>
    <row r="807" spans="1:27" ht="14.25" customHeight="1" x14ac:dyDescent="0.35">
      <c r="A807" s="76"/>
      <c r="B807" s="77" t="str">
        <v>Dimitrij Wolgin</v>
      </c>
      <c r="C807" s="76"/>
      <c r="D807" s="85"/>
      <c r="E807" s="85"/>
      <c r="F807" s="85"/>
      <c r="G807" s="83"/>
      <c r="H807" s="86"/>
      <c r="I807" s="86"/>
      <c r="J807" s="86"/>
      <c r="K807" s="62"/>
      <c r="L807" s="86"/>
      <c r="M807" s="86"/>
      <c r="N807" s="86"/>
      <c r="O807" s="86"/>
      <c r="P807" s="86"/>
      <c r="Q807" s="86"/>
      <c r="R807" s="86"/>
      <c r="S807" s="86"/>
      <c r="T807" s="86"/>
      <c r="U807" s="86"/>
      <c r="V807" s="86"/>
      <c r="W807" s="86"/>
      <c r="X807" s="86"/>
      <c r="Y807" s="86"/>
      <c r="Z807" s="86"/>
      <c r="AA807" s="86"/>
    </row>
    <row r="808" spans="1:27" ht="14.25" customHeight="1" x14ac:dyDescent="0.35">
      <c r="A808" s="76"/>
      <c r="B808" s="77" t="str">
        <v>Sofia Neumann</v>
      </c>
      <c r="C808" s="76"/>
      <c r="D808" s="85"/>
      <c r="E808" s="85"/>
      <c r="F808" s="85"/>
      <c r="G808" s="83"/>
      <c r="H808" s="86"/>
      <c r="I808" s="86"/>
      <c r="J808" s="86"/>
      <c r="K808" s="62"/>
      <c r="L808" s="86"/>
      <c r="M808" s="86"/>
      <c r="N808" s="86"/>
      <c r="O808" s="86"/>
      <c r="P808" s="86"/>
      <c r="Q808" s="86"/>
      <c r="R808" s="86"/>
      <c r="S808" s="86"/>
      <c r="T808" s="86"/>
      <c r="U808" s="86"/>
      <c r="V808" s="86"/>
      <c r="W808" s="86"/>
      <c r="X808" s="86"/>
      <c r="Y808" s="86"/>
      <c r="Z808" s="86"/>
      <c r="AA808" s="86"/>
    </row>
    <row r="809" spans="1:27" ht="14.25" customHeight="1" x14ac:dyDescent="0.35">
      <c r="A809" s="76"/>
      <c r="B809" s="77" t="str">
        <v>Marco Papp</v>
      </c>
      <c r="C809" s="76"/>
      <c r="D809" s="85"/>
      <c r="E809" s="85"/>
      <c r="F809" s="85"/>
      <c r="G809" s="83"/>
      <c r="H809" s="86"/>
      <c r="I809" s="86"/>
      <c r="J809" s="86"/>
      <c r="K809" s="62"/>
      <c r="L809" s="86"/>
      <c r="M809" s="86"/>
      <c r="N809" s="86"/>
      <c r="O809" s="86"/>
      <c r="P809" s="86"/>
      <c r="Q809" s="86"/>
      <c r="R809" s="86"/>
      <c r="S809" s="86"/>
      <c r="T809" s="86"/>
      <c r="U809" s="86"/>
      <c r="V809" s="86"/>
      <c r="W809" s="86"/>
      <c r="X809" s="86"/>
      <c r="Y809" s="86"/>
      <c r="Z809" s="86"/>
      <c r="AA809" s="86"/>
    </row>
    <row r="810" spans="1:27" ht="14.25" customHeight="1" x14ac:dyDescent="0.35">
      <c r="A810" s="76"/>
      <c r="B810" s="77">
        <v>0</v>
      </c>
      <c r="C810" s="76"/>
      <c r="D810" s="85"/>
      <c r="E810" s="85"/>
      <c r="F810" s="85"/>
      <c r="G810" s="83"/>
      <c r="H810" s="86"/>
      <c r="I810" s="86"/>
      <c r="J810" s="86"/>
      <c r="K810" s="62"/>
      <c r="L810" s="86"/>
      <c r="M810" s="86"/>
      <c r="N810" s="86"/>
      <c r="O810" s="86"/>
      <c r="P810" s="86"/>
      <c r="Q810" s="86"/>
      <c r="R810" s="86"/>
      <c r="S810" s="86"/>
      <c r="T810" s="86"/>
      <c r="U810" s="86"/>
      <c r="V810" s="86"/>
      <c r="W810" s="86"/>
      <c r="X810" s="86"/>
      <c r="Y810" s="86"/>
      <c r="Z810" s="86"/>
      <c r="AA810" s="86"/>
    </row>
    <row r="811" spans="1:27" ht="14.25" customHeight="1" x14ac:dyDescent="0.35">
      <c r="A811" s="76"/>
      <c r="B811" s="77">
        <v>0</v>
      </c>
      <c r="C811" s="76"/>
      <c r="D811" s="85"/>
      <c r="E811" s="85"/>
      <c r="F811" s="85"/>
      <c r="G811" s="83"/>
      <c r="H811" s="86"/>
      <c r="I811" s="86"/>
      <c r="J811" s="86"/>
      <c r="K811" s="62"/>
      <c r="L811" s="86"/>
      <c r="M811" s="86"/>
      <c r="N811" s="86"/>
      <c r="O811" s="86"/>
      <c r="P811" s="86"/>
      <c r="Q811" s="86"/>
      <c r="R811" s="86"/>
      <c r="S811" s="86"/>
      <c r="T811" s="86"/>
      <c r="U811" s="86"/>
      <c r="V811" s="86"/>
      <c r="W811" s="86"/>
      <c r="X811" s="86"/>
      <c r="Y811" s="86"/>
      <c r="Z811" s="86"/>
      <c r="AA811" s="86"/>
    </row>
    <row r="812" spans="1:27" ht="14.25" customHeight="1" x14ac:dyDescent="0.35">
      <c r="A812" s="76"/>
      <c r="B812" s="77">
        <v>0</v>
      </c>
      <c r="C812" s="76"/>
      <c r="D812" s="85"/>
      <c r="E812" s="85"/>
      <c r="F812" s="85"/>
      <c r="G812" s="83"/>
      <c r="H812" s="86"/>
      <c r="I812" s="86"/>
      <c r="J812" s="86"/>
      <c r="K812" s="62"/>
      <c r="L812" s="86"/>
      <c r="M812" s="86"/>
      <c r="N812" s="86"/>
      <c r="O812" s="86"/>
      <c r="P812" s="86"/>
      <c r="Q812" s="86"/>
      <c r="R812" s="86"/>
      <c r="S812" s="86"/>
      <c r="T812" s="86"/>
      <c r="U812" s="86"/>
      <c r="V812" s="86"/>
      <c r="W812" s="86"/>
      <c r="X812" s="86"/>
      <c r="Y812" s="86"/>
      <c r="Z812" s="86"/>
      <c r="AA812" s="86"/>
    </row>
    <row r="813" spans="1:27" ht="14.25" customHeight="1" x14ac:dyDescent="0.35">
      <c r="A813" s="76"/>
      <c r="B813" s="77">
        <v>0</v>
      </c>
      <c r="C813" s="76"/>
      <c r="D813" s="85"/>
      <c r="E813" s="85"/>
      <c r="F813" s="85"/>
      <c r="G813" s="83"/>
      <c r="H813" s="86"/>
      <c r="I813" s="86"/>
      <c r="J813" s="86"/>
      <c r="K813" s="62"/>
      <c r="L813" s="86"/>
      <c r="M813" s="86"/>
      <c r="N813" s="86"/>
      <c r="O813" s="86"/>
      <c r="P813" s="86"/>
      <c r="Q813" s="86"/>
      <c r="R813" s="86"/>
      <c r="S813" s="86"/>
      <c r="T813" s="86"/>
      <c r="U813" s="86"/>
      <c r="V813" s="86"/>
      <c r="W813" s="86"/>
      <c r="X813" s="86"/>
      <c r="Y813" s="86"/>
      <c r="Z813" s="86"/>
      <c r="AA813" s="86"/>
    </row>
    <row r="814" spans="1:27" ht="14.25" customHeight="1" x14ac:dyDescent="0.35">
      <c r="A814" s="76"/>
      <c r="B814" s="77">
        <v>0</v>
      </c>
      <c r="C814" s="76"/>
      <c r="D814" s="85"/>
      <c r="E814" s="85"/>
      <c r="F814" s="85"/>
      <c r="G814" s="83"/>
      <c r="H814" s="86"/>
      <c r="I814" s="86"/>
      <c r="J814" s="86"/>
      <c r="K814" s="62"/>
      <c r="L814" s="86"/>
      <c r="M814" s="86"/>
      <c r="N814" s="86"/>
      <c r="O814" s="86"/>
      <c r="P814" s="86"/>
      <c r="Q814" s="86"/>
      <c r="R814" s="86"/>
      <c r="S814" s="86"/>
      <c r="T814" s="86"/>
      <c r="U814" s="86"/>
      <c r="V814" s="86"/>
      <c r="W814" s="86"/>
      <c r="X814" s="86"/>
      <c r="Y814" s="86"/>
      <c r="Z814" s="86"/>
      <c r="AA814" s="86"/>
    </row>
    <row r="815" spans="1:27" ht="14.25" customHeight="1" x14ac:dyDescent="0.35">
      <c r="A815" s="76"/>
      <c r="B815" s="77">
        <v>0</v>
      </c>
      <c r="C815" s="76"/>
      <c r="D815" s="85"/>
      <c r="E815" s="85"/>
      <c r="F815" s="85"/>
      <c r="G815" s="83"/>
      <c r="H815" s="86"/>
      <c r="I815" s="86"/>
      <c r="J815" s="86"/>
      <c r="K815" s="62"/>
      <c r="L815" s="86"/>
      <c r="M815" s="86"/>
      <c r="N815" s="86"/>
      <c r="O815" s="86"/>
      <c r="P815" s="86"/>
      <c r="Q815" s="86"/>
      <c r="R815" s="86"/>
      <c r="S815" s="86"/>
      <c r="T815" s="86"/>
      <c r="U815" s="86"/>
      <c r="V815" s="86"/>
      <c r="W815" s="86"/>
      <c r="X815" s="86"/>
      <c r="Y815" s="86"/>
      <c r="Z815" s="86"/>
      <c r="AA815" s="86"/>
    </row>
    <row r="816" spans="1:27" ht="14.25" customHeight="1" x14ac:dyDescent="0.35">
      <c r="A816" s="76"/>
      <c r="B816" s="77">
        <v>0</v>
      </c>
      <c r="C816" s="76"/>
      <c r="D816" s="85"/>
      <c r="E816" s="85"/>
      <c r="F816" s="85"/>
      <c r="G816" s="83"/>
      <c r="H816" s="86"/>
      <c r="I816" s="86"/>
      <c r="J816" s="86"/>
      <c r="K816" s="62"/>
      <c r="L816" s="86"/>
      <c r="M816" s="86"/>
      <c r="N816" s="86"/>
      <c r="O816" s="86"/>
      <c r="P816" s="86"/>
      <c r="Q816" s="86"/>
      <c r="R816" s="86"/>
      <c r="S816" s="86"/>
      <c r="T816" s="86"/>
      <c r="U816" s="86"/>
      <c r="V816" s="86"/>
      <c r="W816" s="86"/>
      <c r="X816" s="86"/>
      <c r="Y816" s="86"/>
      <c r="Z816" s="86"/>
      <c r="AA816" s="86"/>
    </row>
    <row r="817" spans="1:27" ht="14.25" customHeight="1" x14ac:dyDescent="0.35">
      <c r="A817" s="76"/>
      <c r="B817" s="77">
        <v>0</v>
      </c>
      <c r="C817" s="76"/>
      <c r="D817" s="85"/>
      <c r="E817" s="85"/>
      <c r="F817" s="85"/>
      <c r="G817" s="83"/>
      <c r="H817" s="86"/>
      <c r="I817" s="86"/>
      <c r="J817" s="86"/>
      <c r="K817" s="62"/>
      <c r="L817" s="86"/>
      <c r="M817" s="86"/>
      <c r="N817" s="86"/>
      <c r="O817" s="86"/>
      <c r="P817" s="86"/>
      <c r="Q817" s="86"/>
      <c r="R817" s="86"/>
      <c r="S817" s="86"/>
      <c r="T817" s="86"/>
      <c r="U817" s="86"/>
      <c r="V817" s="86"/>
      <c r="W817" s="86"/>
      <c r="X817" s="86"/>
      <c r="Y817" s="86"/>
      <c r="Z817" s="86"/>
      <c r="AA817" s="86"/>
    </row>
    <row r="818" spans="1:27" ht="14.25" customHeight="1" x14ac:dyDescent="0.35">
      <c r="A818" s="76"/>
      <c r="B818" s="77">
        <v>0</v>
      </c>
      <c r="C818" s="76"/>
      <c r="D818" s="85"/>
      <c r="E818" s="85"/>
      <c r="F818" s="85"/>
      <c r="G818" s="83"/>
      <c r="H818" s="86"/>
      <c r="I818" s="86"/>
      <c r="J818" s="86"/>
      <c r="K818" s="62"/>
      <c r="L818" s="86"/>
      <c r="M818" s="86"/>
      <c r="N818" s="86"/>
      <c r="O818" s="86"/>
      <c r="P818" s="86"/>
      <c r="Q818" s="86"/>
      <c r="R818" s="86"/>
      <c r="S818" s="86"/>
      <c r="T818" s="86"/>
      <c r="U818" s="86"/>
      <c r="V818" s="86"/>
      <c r="W818" s="86"/>
      <c r="X818" s="86"/>
      <c r="Y818" s="86"/>
      <c r="Z818" s="86"/>
      <c r="AA818" s="86"/>
    </row>
    <row r="819" spans="1:27" ht="14.25" customHeight="1" x14ac:dyDescent="0.35">
      <c r="A819" s="76"/>
      <c r="B819" s="77">
        <v>0</v>
      </c>
      <c r="C819" s="76"/>
      <c r="D819" s="85"/>
      <c r="E819" s="85"/>
      <c r="F819" s="85"/>
      <c r="G819" s="83"/>
      <c r="H819" s="86"/>
      <c r="I819" s="86"/>
      <c r="J819" s="86"/>
      <c r="K819" s="62"/>
      <c r="L819" s="86"/>
      <c r="M819" s="86"/>
      <c r="N819" s="86"/>
      <c r="O819" s="86"/>
      <c r="P819" s="86"/>
      <c r="Q819" s="86"/>
      <c r="R819" s="86"/>
      <c r="S819" s="86"/>
      <c r="T819" s="86"/>
      <c r="U819" s="86"/>
      <c r="V819" s="86"/>
      <c r="W819" s="86"/>
      <c r="X819" s="86"/>
      <c r="Y819" s="86"/>
      <c r="Z819" s="86"/>
      <c r="AA819" s="86"/>
    </row>
    <row r="820" spans="1:27" ht="14.25" customHeight="1" x14ac:dyDescent="0.35">
      <c r="A820" s="76"/>
      <c r="B820" s="77">
        <v>0</v>
      </c>
      <c r="C820" s="76"/>
      <c r="D820" s="85"/>
      <c r="E820" s="85"/>
      <c r="F820" s="85"/>
      <c r="G820" s="83"/>
      <c r="H820" s="86"/>
      <c r="I820" s="86"/>
      <c r="J820" s="86"/>
      <c r="K820" s="62"/>
      <c r="L820" s="86"/>
      <c r="M820" s="86"/>
      <c r="N820" s="86"/>
      <c r="O820" s="86"/>
      <c r="P820" s="86"/>
      <c r="Q820" s="86"/>
      <c r="R820" s="86"/>
      <c r="S820" s="86"/>
      <c r="T820" s="86"/>
      <c r="U820" s="86"/>
      <c r="V820" s="86"/>
      <c r="W820" s="86"/>
      <c r="X820" s="86"/>
      <c r="Y820" s="86"/>
      <c r="Z820" s="86"/>
      <c r="AA820" s="86"/>
    </row>
    <row r="821" spans="1:27" ht="14.25" customHeight="1" x14ac:dyDescent="0.35">
      <c r="A821" s="76"/>
      <c r="B821" s="77">
        <v>0</v>
      </c>
      <c r="C821" s="76"/>
      <c r="D821" s="85"/>
      <c r="E821" s="85"/>
      <c r="F821" s="85"/>
      <c r="G821" s="83"/>
      <c r="H821" s="86"/>
      <c r="I821" s="86"/>
      <c r="J821" s="86"/>
      <c r="K821" s="62"/>
      <c r="L821" s="86"/>
      <c r="M821" s="86"/>
      <c r="N821" s="86"/>
      <c r="O821" s="86"/>
      <c r="P821" s="86"/>
      <c r="Q821" s="86"/>
      <c r="R821" s="86"/>
      <c r="S821" s="86"/>
      <c r="T821" s="86"/>
      <c r="U821" s="86"/>
      <c r="V821" s="86"/>
      <c r="W821" s="86"/>
      <c r="X821" s="86"/>
      <c r="Y821" s="86"/>
      <c r="Z821" s="86"/>
      <c r="AA821" s="86"/>
    </row>
    <row r="822" spans="1:27" ht="14.25" customHeight="1" x14ac:dyDescent="0.35">
      <c r="A822" s="76"/>
      <c r="B822" s="77">
        <v>0</v>
      </c>
      <c r="C822" s="76"/>
      <c r="D822" s="85"/>
      <c r="E822" s="85"/>
      <c r="F822" s="85"/>
      <c r="G822" s="83"/>
      <c r="H822" s="86"/>
      <c r="I822" s="86"/>
      <c r="J822" s="86"/>
      <c r="K822" s="62"/>
      <c r="L822" s="86"/>
      <c r="M822" s="86"/>
      <c r="N822" s="86"/>
      <c r="O822" s="86"/>
      <c r="P822" s="86"/>
      <c r="Q822" s="86"/>
      <c r="R822" s="86"/>
      <c r="S822" s="86"/>
      <c r="T822" s="86"/>
      <c r="U822" s="86"/>
      <c r="V822" s="86"/>
      <c r="W822" s="86"/>
      <c r="X822" s="86"/>
      <c r="Y822" s="86"/>
      <c r="Z822" s="86"/>
      <c r="AA822" s="86"/>
    </row>
    <row r="823" spans="1:27" ht="14.25" customHeight="1" x14ac:dyDescent="0.35">
      <c r="A823" s="76"/>
      <c r="B823" s="77">
        <v>0</v>
      </c>
      <c r="C823" s="76"/>
      <c r="D823" s="85"/>
      <c r="E823" s="85"/>
      <c r="F823" s="85"/>
      <c r="G823" s="83"/>
      <c r="H823" s="86"/>
      <c r="I823" s="86"/>
      <c r="J823" s="86"/>
      <c r="K823" s="62"/>
      <c r="L823" s="86"/>
      <c r="M823" s="86"/>
      <c r="N823" s="86"/>
      <c r="O823" s="86"/>
      <c r="P823" s="86"/>
      <c r="Q823" s="86"/>
      <c r="R823" s="86"/>
      <c r="S823" s="86"/>
      <c r="T823" s="86"/>
      <c r="U823" s="86"/>
      <c r="V823" s="86"/>
      <c r="W823" s="86"/>
      <c r="X823" s="86"/>
      <c r="Y823" s="86"/>
      <c r="Z823" s="86"/>
      <c r="AA823" s="86"/>
    </row>
    <row r="824" spans="1:27" ht="14.25" customHeight="1" x14ac:dyDescent="0.35">
      <c r="A824" s="76"/>
      <c r="B824" s="77">
        <v>0</v>
      </c>
      <c r="C824" s="76"/>
      <c r="D824" s="85"/>
      <c r="E824" s="85"/>
      <c r="F824" s="85"/>
      <c r="G824" s="83"/>
      <c r="H824" s="86"/>
      <c r="I824" s="86"/>
      <c r="J824" s="86"/>
      <c r="K824" s="62"/>
      <c r="L824" s="86"/>
      <c r="M824" s="86"/>
      <c r="N824" s="86"/>
      <c r="O824" s="86"/>
      <c r="P824" s="86"/>
      <c r="Q824" s="86"/>
      <c r="R824" s="86"/>
      <c r="S824" s="86"/>
      <c r="T824" s="86"/>
      <c r="U824" s="86"/>
      <c r="V824" s="86"/>
      <c r="W824" s="86"/>
      <c r="X824" s="86"/>
      <c r="Y824" s="86"/>
      <c r="Z824" s="86"/>
      <c r="AA824" s="86"/>
    </row>
    <row r="825" spans="1:27" ht="14.25" customHeight="1" x14ac:dyDescent="0.35">
      <c r="A825" s="76"/>
      <c r="B825" s="77">
        <v>0</v>
      </c>
      <c r="C825" s="76"/>
      <c r="D825" s="85"/>
      <c r="E825" s="85"/>
      <c r="F825" s="85"/>
      <c r="G825" s="83"/>
      <c r="H825" s="86"/>
      <c r="I825" s="86"/>
      <c r="J825" s="86"/>
      <c r="K825" s="62"/>
      <c r="L825" s="86"/>
      <c r="M825" s="86"/>
      <c r="N825" s="86"/>
      <c r="O825" s="86"/>
      <c r="P825" s="86"/>
      <c r="Q825" s="86"/>
      <c r="R825" s="86"/>
      <c r="S825" s="86"/>
      <c r="T825" s="86"/>
      <c r="U825" s="86"/>
      <c r="V825" s="86"/>
      <c r="W825" s="86"/>
      <c r="X825" s="86"/>
      <c r="Y825" s="86"/>
      <c r="Z825" s="86"/>
      <c r="AA825" s="86"/>
    </row>
    <row r="826" spans="1:27" ht="14.25" customHeight="1" x14ac:dyDescent="0.35">
      <c r="A826" s="76"/>
      <c r="B826" s="77">
        <v>0</v>
      </c>
      <c r="C826" s="76"/>
      <c r="D826" s="85"/>
      <c r="E826" s="85"/>
      <c r="F826" s="85"/>
      <c r="G826" s="83"/>
      <c r="H826" s="86"/>
      <c r="I826" s="86"/>
      <c r="J826" s="86"/>
      <c r="K826" s="62"/>
      <c r="L826" s="86"/>
      <c r="M826" s="86"/>
      <c r="N826" s="86"/>
      <c r="O826" s="86"/>
      <c r="P826" s="86"/>
      <c r="Q826" s="86"/>
      <c r="R826" s="86"/>
      <c r="S826" s="86"/>
      <c r="T826" s="86"/>
      <c r="U826" s="86"/>
      <c r="V826" s="86"/>
      <c r="W826" s="86"/>
      <c r="X826" s="86"/>
      <c r="Y826" s="86"/>
      <c r="Z826" s="86"/>
      <c r="AA826" s="86"/>
    </row>
    <row r="827" spans="1:27" ht="14.25" customHeight="1" x14ac:dyDescent="0.35">
      <c r="A827" s="76"/>
      <c r="B827" s="77">
        <v>0</v>
      </c>
      <c r="C827" s="76"/>
      <c r="D827" s="85"/>
      <c r="E827" s="85"/>
      <c r="F827" s="85"/>
      <c r="G827" s="83"/>
      <c r="H827" s="86"/>
      <c r="I827" s="86"/>
      <c r="J827" s="86"/>
      <c r="K827" s="62"/>
      <c r="L827" s="86"/>
      <c r="M827" s="86"/>
      <c r="N827" s="86"/>
      <c r="O827" s="86"/>
      <c r="P827" s="86"/>
      <c r="Q827" s="86"/>
      <c r="R827" s="86"/>
      <c r="S827" s="86"/>
      <c r="T827" s="86"/>
      <c r="U827" s="86"/>
      <c r="V827" s="86"/>
      <c r="W827" s="86"/>
      <c r="X827" s="86"/>
      <c r="Y827" s="86"/>
      <c r="Z827" s="86"/>
      <c r="AA827" s="86"/>
    </row>
    <row r="828" spans="1:27" ht="14.25" customHeight="1" x14ac:dyDescent="0.35">
      <c r="A828" s="76"/>
      <c r="B828" s="77">
        <v>0</v>
      </c>
      <c r="C828" s="76"/>
      <c r="D828" s="85"/>
      <c r="E828" s="85"/>
      <c r="F828" s="85"/>
      <c r="G828" s="83"/>
      <c r="H828" s="86"/>
      <c r="I828" s="86"/>
      <c r="J828" s="86"/>
      <c r="K828" s="62"/>
      <c r="L828" s="86"/>
      <c r="M828" s="86"/>
      <c r="N828" s="86"/>
      <c r="O828" s="86"/>
      <c r="P828" s="86"/>
      <c r="Q828" s="86"/>
      <c r="R828" s="86"/>
      <c r="S828" s="86"/>
      <c r="T828" s="86"/>
      <c r="U828" s="86"/>
      <c r="V828" s="86"/>
      <c r="W828" s="86"/>
      <c r="X828" s="86"/>
      <c r="Y828" s="86"/>
      <c r="Z828" s="86"/>
      <c r="AA828" s="86"/>
    </row>
    <row r="829" spans="1:27" ht="14.25" customHeight="1" x14ac:dyDescent="0.35">
      <c r="A829" s="76"/>
      <c r="B829" s="87">
        <v>0</v>
      </c>
      <c r="C829" s="76"/>
      <c r="D829" s="85"/>
      <c r="E829" s="85"/>
      <c r="F829" s="85"/>
      <c r="G829" s="83"/>
      <c r="H829" s="86"/>
      <c r="I829" s="86"/>
      <c r="J829" s="86"/>
      <c r="K829" s="62"/>
      <c r="L829" s="86"/>
      <c r="M829" s="86"/>
      <c r="N829" s="86"/>
      <c r="O829" s="86"/>
      <c r="P829" s="86"/>
      <c r="Q829" s="86"/>
      <c r="R829" s="86"/>
      <c r="S829" s="86"/>
      <c r="T829" s="86"/>
      <c r="U829" s="86"/>
      <c r="V829" s="86"/>
      <c r="W829" s="86"/>
      <c r="X829" s="86"/>
      <c r="Y829" s="86"/>
      <c r="Z829" s="86"/>
      <c r="AA829" s="86"/>
    </row>
    <row r="830" spans="1:27" ht="14.25" customHeight="1" x14ac:dyDescent="0.35">
      <c r="A830" s="76"/>
      <c r="B830" s="87">
        <v>0</v>
      </c>
      <c r="C830" s="76"/>
      <c r="D830" s="85"/>
      <c r="E830" s="85"/>
      <c r="F830" s="85"/>
      <c r="G830" s="83"/>
      <c r="H830" s="86"/>
      <c r="I830" s="86"/>
      <c r="J830" s="86"/>
      <c r="K830" s="62"/>
      <c r="L830" s="86"/>
      <c r="M830" s="86"/>
      <c r="N830" s="86"/>
      <c r="O830" s="86"/>
      <c r="P830" s="86"/>
      <c r="Q830" s="86"/>
      <c r="R830" s="86"/>
      <c r="S830" s="86"/>
      <c r="T830" s="86"/>
      <c r="U830" s="86"/>
      <c r="V830" s="86"/>
      <c r="W830" s="86"/>
      <c r="X830" s="86"/>
      <c r="Y830" s="86"/>
      <c r="Z830" s="86"/>
      <c r="AA830" s="86"/>
    </row>
    <row r="831" spans="1:27" ht="14.25" customHeight="1" x14ac:dyDescent="0.35">
      <c r="A831" s="76"/>
      <c r="B831" s="87">
        <v>0</v>
      </c>
      <c r="C831" s="76"/>
      <c r="D831" s="85"/>
      <c r="E831" s="85"/>
      <c r="F831" s="85"/>
      <c r="G831" s="83"/>
      <c r="H831" s="86"/>
      <c r="I831" s="86"/>
      <c r="J831" s="86"/>
      <c r="K831" s="62"/>
      <c r="L831" s="86"/>
      <c r="M831" s="86"/>
      <c r="N831" s="86"/>
      <c r="O831" s="86"/>
      <c r="P831" s="86"/>
      <c r="Q831" s="86"/>
      <c r="R831" s="86"/>
      <c r="S831" s="86"/>
      <c r="T831" s="86"/>
      <c r="U831" s="86"/>
      <c r="V831" s="86"/>
      <c r="W831" s="86"/>
      <c r="X831" s="86"/>
      <c r="Y831" s="86"/>
      <c r="Z831" s="86"/>
      <c r="AA831" s="86"/>
    </row>
    <row r="832" spans="1:27" ht="14.25" customHeight="1" x14ac:dyDescent="0.35">
      <c r="A832" s="76"/>
      <c r="B832" s="87">
        <v>0</v>
      </c>
      <c r="C832" s="76"/>
      <c r="D832" s="85"/>
      <c r="E832" s="85"/>
      <c r="F832" s="85"/>
      <c r="G832" s="83"/>
      <c r="H832" s="86"/>
      <c r="I832" s="86"/>
      <c r="J832" s="86"/>
      <c r="K832" s="62"/>
      <c r="L832" s="86"/>
      <c r="M832" s="86"/>
      <c r="N832" s="86"/>
      <c r="O832" s="86"/>
      <c r="P832" s="86"/>
      <c r="Q832" s="86"/>
      <c r="R832" s="86"/>
      <c r="S832" s="86"/>
      <c r="T832" s="86"/>
      <c r="U832" s="86"/>
      <c r="V832" s="86"/>
      <c r="W832" s="86"/>
      <c r="X832" s="86"/>
      <c r="Y832" s="86"/>
      <c r="Z832" s="86"/>
      <c r="AA832" s="86"/>
    </row>
    <row r="833" spans="1:27" ht="14.25" customHeight="1" x14ac:dyDescent="0.35">
      <c r="A833" s="76"/>
      <c r="B833" s="87">
        <v>0</v>
      </c>
      <c r="C833" s="76"/>
      <c r="D833" s="85"/>
      <c r="E833" s="85"/>
      <c r="F833" s="85"/>
      <c r="G833" s="83"/>
      <c r="H833" s="86"/>
      <c r="I833" s="86"/>
      <c r="J833" s="86"/>
      <c r="K833" s="62"/>
      <c r="L833" s="86"/>
      <c r="M833" s="86"/>
      <c r="N833" s="86"/>
      <c r="O833" s="86"/>
      <c r="P833" s="86"/>
      <c r="Q833" s="86"/>
      <c r="R833" s="86"/>
      <c r="S833" s="86"/>
      <c r="T833" s="86"/>
      <c r="U833" s="86"/>
      <c r="V833" s="86"/>
      <c r="W833" s="86"/>
      <c r="X833" s="86"/>
      <c r="Y833" s="86"/>
      <c r="Z833" s="86"/>
      <c r="AA833" s="86"/>
    </row>
    <row r="834" spans="1:27" ht="14.25" customHeight="1" x14ac:dyDescent="0.35">
      <c r="A834" s="76"/>
      <c r="B834" s="87">
        <v>0</v>
      </c>
      <c r="C834" s="76"/>
      <c r="D834" s="85"/>
      <c r="E834" s="85"/>
      <c r="F834" s="85"/>
      <c r="G834" s="83"/>
      <c r="H834" s="86"/>
      <c r="I834" s="86"/>
      <c r="J834" s="86"/>
      <c r="K834" s="62"/>
      <c r="L834" s="86"/>
      <c r="M834" s="86"/>
      <c r="N834" s="86"/>
      <c r="O834" s="86"/>
      <c r="P834" s="86"/>
      <c r="Q834" s="86"/>
      <c r="R834" s="86"/>
      <c r="S834" s="86"/>
      <c r="T834" s="86"/>
      <c r="U834" s="86"/>
      <c r="V834" s="86"/>
      <c r="W834" s="86"/>
      <c r="X834" s="86"/>
      <c r="Y834" s="86"/>
      <c r="Z834" s="86"/>
      <c r="AA834" s="86"/>
    </row>
    <row r="835" spans="1:27" ht="14.25" customHeight="1" x14ac:dyDescent="0.35">
      <c r="A835" s="76"/>
      <c r="B835" s="87">
        <v>0</v>
      </c>
      <c r="C835" s="76"/>
      <c r="D835" s="85"/>
      <c r="E835" s="85"/>
      <c r="F835" s="85"/>
      <c r="G835" s="83"/>
      <c r="H835" s="86"/>
      <c r="I835" s="86"/>
      <c r="J835" s="86"/>
      <c r="K835" s="62"/>
      <c r="L835" s="86"/>
      <c r="M835" s="86"/>
      <c r="N835" s="86"/>
      <c r="O835" s="86"/>
      <c r="P835" s="86"/>
      <c r="Q835" s="86"/>
      <c r="R835" s="86"/>
      <c r="S835" s="86"/>
      <c r="T835" s="86"/>
      <c r="U835" s="86"/>
      <c r="V835" s="86"/>
      <c r="W835" s="86"/>
      <c r="X835" s="86"/>
      <c r="Y835" s="86"/>
      <c r="Z835" s="86"/>
      <c r="AA835" s="86"/>
    </row>
    <row r="836" spans="1:27" ht="14.25" customHeight="1" x14ac:dyDescent="0.35">
      <c r="A836" s="76"/>
      <c r="B836" s="87" t="str">
        <f t="array" ref="B836:B867">'NÖBV 3'!$J$3:$J$34</f>
        <v>Wolfgang Scheifinger</v>
      </c>
      <c r="C836" s="76"/>
      <c r="D836" s="85"/>
      <c r="E836" s="85"/>
      <c r="F836" s="85"/>
      <c r="G836" s="83"/>
      <c r="H836" s="86"/>
      <c r="I836" s="86"/>
      <c r="J836" s="86"/>
      <c r="K836" s="62"/>
      <c r="L836" s="86"/>
      <c r="M836" s="86"/>
      <c r="N836" s="86"/>
      <c r="O836" s="86"/>
      <c r="P836" s="86"/>
      <c r="Q836" s="86"/>
      <c r="R836" s="86"/>
      <c r="S836" s="86"/>
      <c r="T836" s="86"/>
      <c r="U836" s="86"/>
      <c r="V836" s="86"/>
      <c r="W836" s="86"/>
      <c r="X836" s="86"/>
      <c r="Y836" s="86"/>
      <c r="Z836" s="86"/>
      <c r="AA836" s="86"/>
    </row>
    <row r="837" spans="1:27" ht="14.25" customHeight="1" x14ac:dyDescent="0.35">
      <c r="A837" s="76"/>
      <c r="B837" s="87" t="str">
        <v>Lara Burian</v>
      </c>
      <c r="C837" s="76"/>
      <c r="D837" s="85"/>
      <c r="E837" s="85"/>
      <c r="F837" s="85"/>
      <c r="G837" s="83"/>
      <c r="H837" s="86"/>
      <c r="I837" s="86"/>
      <c r="J837" s="86"/>
      <c r="K837" s="62"/>
      <c r="L837" s="86"/>
      <c r="M837" s="86"/>
      <c r="N837" s="86"/>
      <c r="O837" s="86"/>
      <c r="P837" s="86"/>
      <c r="Q837" s="86"/>
      <c r="R837" s="86"/>
      <c r="S837" s="86"/>
      <c r="T837" s="86"/>
      <c r="U837" s="86"/>
      <c r="V837" s="86"/>
      <c r="W837" s="86"/>
      <c r="X837" s="86"/>
      <c r="Y837" s="86"/>
      <c r="Z837" s="86"/>
      <c r="AA837" s="86"/>
    </row>
    <row r="838" spans="1:27" ht="14.25" customHeight="1" x14ac:dyDescent="0.35">
      <c r="A838" s="76"/>
      <c r="B838" s="87" t="str">
        <v>Julian Taferl</v>
      </c>
      <c r="C838" s="76"/>
      <c r="D838" s="85"/>
      <c r="E838" s="85"/>
      <c r="F838" s="85"/>
      <c r="G838" s="83"/>
      <c r="H838" s="86"/>
      <c r="I838" s="86"/>
      <c r="J838" s="86"/>
      <c r="K838" s="62"/>
      <c r="L838" s="86"/>
      <c r="M838" s="86"/>
      <c r="N838" s="86"/>
      <c r="O838" s="86"/>
      <c r="P838" s="86"/>
      <c r="Q838" s="86"/>
      <c r="R838" s="86"/>
      <c r="S838" s="86"/>
      <c r="T838" s="86"/>
      <c r="U838" s="86"/>
      <c r="V838" s="86"/>
      <c r="W838" s="86"/>
      <c r="X838" s="86"/>
      <c r="Y838" s="86"/>
      <c r="Z838" s="86"/>
      <c r="AA838" s="86"/>
    </row>
    <row r="839" spans="1:27" ht="14.25" customHeight="1" x14ac:dyDescent="0.35">
      <c r="A839" s="76"/>
      <c r="B839" s="87" t="str">
        <v>Nora Walter</v>
      </c>
      <c r="C839" s="76"/>
      <c r="D839" s="85"/>
      <c r="E839" s="85"/>
      <c r="F839" s="85"/>
      <c r="G839" s="83"/>
      <c r="H839" s="86"/>
      <c r="I839" s="86"/>
      <c r="J839" s="86"/>
      <c r="K839" s="62"/>
      <c r="L839" s="86"/>
      <c r="M839" s="86"/>
      <c r="N839" s="86"/>
      <c r="O839" s="86"/>
      <c r="P839" s="86"/>
      <c r="Q839" s="86"/>
      <c r="R839" s="86"/>
      <c r="S839" s="86"/>
      <c r="T839" s="86"/>
      <c r="U839" s="86"/>
      <c r="V839" s="86"/>
      <c r="W839" s="86"/>
      <c r="X839" s="86"/>
      <c r="Y839" s="86"/>
      <c r="Z839" s="86"/>
      <c r="AA839" s="86"/>
    </row>
    <row r="840" spans="1:27" ht="14.25" customHeight="1" x14ac:dyDescent="0.35">
      <c r="A840" s="76"/>
      <c r="B840" s="87" t="str">
        <v>Leon Hausmann</v>
      </c>
      <c r="C840" s="76"/>
      <c r="D840" s="85"/>
      <c r="E840" s="85"/>
      <c r="F840" s="85"/>
      <c r="G840" s="83"/>
      <c r="H840" s="86"/>
      <c r="I840" s="86"/>
      <c r="J840" s="86"/>
      <c r="K840" s="62"/>
      <c r="L840" s="86"/>
      <c r="M840" s="86"/>
      <c r="N840" s="86"/>
      <c r="O840" s="86"/>
      <c r="P840" s="86"/>
      <c r="Q840" s="86"/>
      <c r="R840" s="86"/>
      <c r="S840" s="86"/>
      <c r="T840" s="86"/>
      <c r="U840" s="86"/>
      <c r="V840" s="86"/>
      <c r="W840" s="86"/>
      <c r="X840" s="86"/>
      <c r="Y840" s="86"/>
      <c r="Z840" s="86"/>
      <c r="AA840" s="86"/>
    </row>
    <row r="841" spans="1:27" ht="14.25" customHeight="1" x14ac:dyDescent="0.35">
      <c r="A841" s="76"/>
      <c r="B841" s="87" t="str">
        <v>Felix Lamplmaier</v>
      </c>
      <c r="C841" s="76"/>
      <c r="D841" s="85"/>
      <c r="E841" s="85"/>
      <c r="F841" s="85"/>
      <c r="G841" s="83"/>
      <c r="H841" s="86"/>
      <c r="I841" s="86"/>
      <c r="J841" s="86"/>
      <c r="K841" s="62"/>
      <c r="L841" s="86"/>
      <c r="M841" s="86"/>
      <c r="N841" s="86"/>
      <c r="O841" s="86"/>
      <c r="P841" s="86"/>
      <c r="Q841" s="86"/>
      <c r="R841" s="86"/>
      <c r="S841" s="86"/>
      <c r="T841" s="86"/>
      <c r="U841" s="86"/>
      <c r="V841" s="86"/>
      <c r="W841" s="86"/>
      <c r="X841" s="86"/>
      <c r="Y841" s="86"/>
      <c r="Z841" s="86"/>
      <c r="AA841" s="86"/>
    </row>
    <row r="842" spans="1:27" ht="14.25" customHeight="1" x14ac:dyDescent="0.35">
      <c r="A842" s="76"/>
      <c r="B842" s="87" t="str">
        <v>Ilian Reisinger</v>
      </c>
      <c r="C842" s="76"/>
      <c r="D842" s="85"/>
      <c r="E842" s="85"/>
      <c r="F842" s="85"/>
      <c r="G842" s="83"/>
      <c r="H842" s="86"/>
      <c r="I842" s="86"/>
      <c r="J842" s="86"/>
      <c r="K842" s="62"/>
      <c r="L842" s="86"/>
      <c r="M842" s="86"/>
      <c r="N842" s="86"/>
      <c r="O842" s="86"/>
      <c r="P842" s="86"/>
      <c r="Q842" s="86"/>
      <c r="R842" s="86"/>
      <c r="S842" s="86"/>
      <c r="T842" s="86"/>
      <c r="U842" s="86"/>
      <c r="V842" s="86"/>
      <c r="W842" s="86"/>
      <c r="X842" s="86"/>
      <c r="Y842" s="86"/>
      <c r="Z842" s="86"/>
      <c r="AA842" s="86"/>
    </row>
    <row r="843" spans="1:27" ht="14.25" customHeight="1" x14ac:dyDescent="0.35">
      <c r="A843" s="76"/>
      <c r="B843" s="87" t="str">
        <v>Josua Zeilerbauer</v>
      </c>
      <c r="C843" s="76"/>
      <c r="D843" s="85"/>
      <c r="E843" s="85"/>
      <c r="F843" s="85"/>
      <c r="G843" s="83"/>
      <c r="H843" s="86"/>
      <c r="I843" s="86"/>
      <c r="J843" s="86"/>
      <c r="K843" s="62"/>
      <c r="L843" s="86"/>
      <c r="M843" s="86"/>
      <c r="N843" s="86"/>
      <c r="O843" s="86"/>
      <c r="P843" s="86"/>
      <c r="Q843" s="86"/>
      <c r="R843" s="86"/>
      <c r="S843" s="86"/>
      <c r="T843" s="86"/>
      <c r="U843" s="86"/>
      <c r="V843" s="86"/>
      <c r="W843" s="86"/>
      <c r="X843" s="86"/>
      <c r="Y843" s="86"/>
      <c r="Z843" s="86"/>
      <c r="AA843" s="86"/>
    </row>
    <row r="844" spans="1:27" ht="14.25" customHeight="1" x14ac:dyDescent="0.35">
      <c r="A844" s="76"/>
      <c r="B844" s="87" t="str">
        <v>Hector Recalde</v>
      </c>
      <c r="C844" s="76"/>
      <c r="D844" s="85"/>
      <c r="E844" s="85"/>
      <c r="F844" s="85"/>
      <c r="G844" s="83"/>
      <c r="H844" s="86"/>
      <c r="I844" s="86"/>
      <c r="J844" s="86"/>
      <c r="K844" s="62"/>
      <c r="L844" s="86"/>
      <c r="M844" s="86"/>
      <c r="N844" s="86"/>
      <c r="O844" s="86"/>
      <c r="P844" s="86"/>
      <c r="Q844" s="86"/>
      <c r="R844" s="86"/>
      <c r="S844" s="86"/>
      <c r="T844" s="86"/>
      <c r="U844" s="86"/>
      <c r="V844" s="86"/>
      <c r="W844" s="86"/>
      <c r="X844" s="86"/>
      <c r="Y844" s="86"/>
      <c r="Z844" s="86"/>
      <c r="AA844" s="86"/>
    </row>
    <row r="845" spans="1:27" ht="14.25" customHeight="1" x14ac:dyDescent="0.35">
      <c r="A845" s="76"/>
      <c r="B845" s="87" t="str">
        <v>Dario Kasser</v>
      </c>
      <c r="C845" s="76"/>
      <c r="D845" s="85"/>
      <c r="E845" s="85"/>
      <c r="F845" s="85"/>
      <c r="G845" s="83"/>
      <c r="H845" s="86"/>
      <c r="I845" s="86"/>
      <c r="J845" s="86"/>
      <c r="K845" s="62"/>
      <c r="L845" s="86"/>
      <c r="M845" s="86"/>
      <c r="N845" s="86"/>
      <c r="O845" s="86"/>
      <c r="P845" s="86"/>
      <c r="Q845" s="86"/>
      <c r="R845" s="86"/>
      <c r="S845" s="86"/>
      <c r="T845" s="86"/>
      <c r="U845" s="86"/>
      <c r="V845" s="86"/>
      <c r="W845" s="86"/>
      <c r="X845" s="86"/>
      <c r="Y845" s="86"/>
      <c r="Z845" s="86"/>
      <c r="AA845" s="86"/>
    </row>
    <row r="846" spans="1:27" ht="14.25" customHeight="1" x14ac:dyDescent="0.35">
      <c r="A846" s="76"/>
      <c r="B846" s="87" t="str">
        <v>Moritz Feher</v>
      </c>
      <c r="C846" s="76"/>
      <c r="D846" s="85"/>
      <c r="E846" s="85"/>
      <c r="F846" s="85"/>
      <c r="G846" s="83"/>
      <c r="H846" s="86"/>
      <c r="I846" s="86"/>
      <c r="J846" s="86"/>
      <c r="K846" s="62"/>
      <c r="L846" s="86"/>
      <c r="M846" s="86"/>
      <c r="N846" s="86"/>
      <c r="O846" s="86"/>
      <c r="P846" s="86"/>
      <c r="Q846" s="86"/>
      <c r="R846" s="86"/>
      <c r="S846" s="86"/>
      <c r="T846" s="86"/>
      <c r="U846" s="86"/>
      <c r="V846" s="86"/>
      <c r="W846" s="86"/>
      <c r="X846" s="86"/>
      <c r="Y846" s="86"/>
      <c r="Z846" s="86"/>
      <c r="AA846" s="86"/>
    </row>
    <row r="847" spans="1:27" ht="14.25" customHeight="1" x14ac:dyDescent="0.35">
      <c r="A847" s="76"/>
      <c r="B847" s="87">
        <v>0</v>
      </c>
      <c r="C847" s="76"/>
      <c r="D847" s="85"/>
      <c r="E847" s="85"/>
      <c r="F847" s="85"/>
      <c r="G847" s="83"/>
      <c r="H847" s="86"/>
      <c r="I847" s="86"/>
      <c r="J847" s="86"/>
      <c r="K847" s="62"/>
      <c r="L847" s="86"/>
      <c r="M847" s="86"/>
      <c r="N847" s="86"/>
      <c r="O847" s="86"/>
      <c r="P847" s="86"/>
      <c r="Q847" s="86"/>
      <c r="R847" s="86"/>
      <c r="S847" s="86"/>
      <c r="T847" s="86"/>
      <c r="U847" s="86"/>
      <c r="V847" s="86"/>
      <c r="W847" s="86"/>
      <c r="X847" s="86"/>
      <c r="Y847" s="86"/>
      <c r="Z847" s="86"/>
      <c r="AA847" s="86"/>
    </row>
    <row r="848" spans="1:27" ht="14.25" customHeight="1" x14ac:dyDescent="0.35">
      <c r="A848" s="76"/>
      <c r="B848" s="87">
        <v>0</v>
      </c>
      <c r="C848" s="76"/>
      <c r="D848" s="85"/>
      <c r="E848" s="85"/>
      <c r="F848" s="85"/>
      <c r="G848" s="83"/>
      <c r="H848" s="86"/>
      <c r="I848" s="86"/>
      <c r="J848" s="86"/>
      <c r="K848" s="62"/>
      <c r="L848" s="86"/>
      <c r="M848" s="86"/>
      <c r="N848" s="86"/>
      <c r="O848" s="86"/>
      <c r="P848" s="86"/>
      <c r="Q848" s="86"/>
      <c r="R848" s="86"/>
      <c r="S848" s="86"/>
      <c r="T848" s="86"/>
      <c r="U848" s="86"/>
      <c r="V848" s="86"/>
      <c r="W848" s="86"/>
      <c r="X848" s="86"/>
      <c r="Y848" s="86"/>
      <c r="Z848" s="86"/>
      <c r="AA848" s="86"/>
    </row>
    <row r="849" spans="1:27" ht="14.25" customHeight="1" x14ac:dyDescent="0.35">
      <c r="A849" s="76"/>
      <c r="B849" s="87">
        <v>0</v>
      </c>
      <c r="C849" s="76"/>
      <c r="D849" s="85"/>
      <c r="E849" s="85"/>
      <c r="F849" s="85"/>
      <c r="G849" s="83"/>
      <c r="H849" s="86"/>
      <c r="I849" s="86"/>
      <c r="J849" s="86"/>
      <c r="K849" s="62"/>
      <c r="L849" s="86"/>
      <c r="M849" s="86"/>
      <c r="N849" s="86"/>
      <c r="O849" s="86"/>
      <c r="P849" s="86"/>
      <c r="Q849" s="86"/>
      <c r="R849" s="86"/>
      <c r="S849" s="86"/>
      <c r="T849" s="86"/>
      <c r="U849" s="86"/>
      <c r="V849" s="86"/>
      <c r="W849" s="86"/>
      <c r="X849" s="86"/>
      <c r="Y849" s="86"/>
      <c r="Z849" s="86"/>
      <c r="AA849" s="86"/>
    </row>
    <row r="850" spans="1:27" ht="14.25" customHeight="1" x14ac:dyDescent="0.35">
      <c r="A850" s="76"/>
      <c r="B850" s="87">
        <v>0</v>
      </c>
      <c r="C850" s="76"/>
      <c r="D850" s="85"/>
      <c r="E850" s="85"/>
      <c r="F850" s="85"/>
      <c r="G850" s="83"/>
      <c r="H850" s="86"/>
      <c r="I850" s="86"/>
      <c r="J850" s="86"/>
      <c r="K850" s="62"/>
      <c r="L850" s="86"/>
      <c r="M850" s="86"/>
      <c r="N850" s="86"/>
      <c r="O850" s="86"/>
      <c r="P850" s="86"/>
      <c r="Q850" s="86"/>
      <c r="R850" s="86"/>
      <c r="S850" s="86"/>
      <c r="T850" s="86"/>
      <c r="U850" s="86"/>
      <c r="V850" s="86"/>
      <c r="W850" s="86"/>
      <c r="X850" s="86"/>
      <c r="Y850" s="86"/>
      <c r="Z850" s="86"/>
      <c r="AA850" s="86"/>
    </row>
    <row r="851" spans="1:27" ht="14.25" customHeight="1" x14ac:dyDescent="0.35">
      <c r="A851" s="76"/>
      <c r="B851" s="87">
        <v>0</v>
      </c>
      <c r="C851" s="76"/>
      <c r="D851" s="85"/>
      <c r="E851" s="85"/>
      <c r="F851" s="85"/>
      <c r="G851" s="83"/>
      <c r="H851" s="86"/>
      <c r="I851" s="86"/>
      <c r="J851" s="86"/>
      <c r="K851" s="62"/>
      <c r="L851" s="86"/>
      <c r="M851" s="86"/>
      <c r="N851" s="86"/>
      <c r="O851" s="86"/>
      <c r="P851" s="86"/>
      <c r="Q851" s="86"/>
      <c r="R851" s="86"/>
      <c r="S851" s="86"/>
      <c r="T851" s="86"/>
      <c r="U851" s="86"/>
      <c r="V851" s="86"/>
      <c r="W851" s="86"/>
      <c r="X851" s="86"/>
      <c r="Y851" s="86"/>
      <c r="Z851" s="86"/>
      <c r="AA851" s="86"/>
    </row>
    <row r="852" spans="1:27" ht="14.25" customHeight="1" x14ac:dyDescent="0.35">
      <c r="A852" s="76"/>
      <c r="B852" s="87">
        <v>0</v>
      </c>
      <c r="C852" s="76"/>
      <c r="D852" s="85"/>
      <c r="E852" s="85"/>
      <c r="F852" s="85"/>
      <c r="G852" s="83"/>
      <c r="H852" s="86"/>
      <c r="I852" s="86"/>
      <c r="J852" s="86"/>
      <c r="K852" s="62"/>
      <c r="L852" s="86"/>
      <c r="M852" s="86"/>
      <c r="N852" s="86"/>
      <c r="O852" s="86"/>
      <c r="P852" s="86"/>
      <c r="Q852" s="86"/>
      <c r="R852" s="86"/>
      <c r="S852" s="86"/>
      <c r="T852" s="86"/>
      <c r="U852" s="86"/>
      <c r="V852" s="86"/>
      <c r="W852" s="86"/>
      <c r="X852" s="86"/>
      <c r="Y852" s="86"/>
      <c r="Z852" s="86"/>
      <c r="AA852" s="86"/>
    </row>
    <row r="853" spans="1:27" ht="14.25" customHeight="1" x14ac:dyDescent="0.35">
      <c r="A853" s="76"/>
      <c r="B853" s="87">
        <v>0</v>
      </c>
      <c r="C853" s="76"/>
      <c r="D853" s="85"/>
      <c r="E853" s="85"/>
      <c r="F853" s="85"/>
      <c r="G853" s="83"/>
      <c r="H853" s="86"/>
      <c r="I853" s="86"/>
      <c r="J853" s="86"/>
      <c r="K853" s="62"/>
      <c r="L853" s="86"/>
      <c r="M853" s="86"/>
      <c r="N853" s="86"/>
      <c r="O853" s="86"/>
      <c r="P853" s="86"/>
      <c r="Q853" s="86"/>
      <c r="R853" s="86"/>
      <c r="S853" s="86"/>
      <c r="T853" s="86"/>
      <c r="U853" s="86"/>
      <c r="V853" s="86"/>
      <c r="W853" s="86"/>
      <c r="X853" s="86"/>
      <c r="Y853" s="86"/>
      <c r="Z853" s="86"/>
      <c r="AA853" s="86"/>
    </row>
    <row r="854" spans="1:27" ht="14.25" customHeight="1" x14ac:dyDescent="0.35">
      <c r="A854" s="76"/>
      <c r="B854" s="87">
        <v>0</v>
      </c>
      <c r="C854" s="76"/>
      <c r="D854" s="85"/>
      <c r="E854" s="85"/>
      <c r="F854" s="85"/>
      <c r="G854" s="83"/>
      <c r="H854" s="86"/>
      <c r="I854" s="86"/>
      <c r="J854" s="86"/>
      <c r="K854" s="62"/>
      <c r="L854" s="86"/>
      <c r="M854" s="86"/>
      <c r="N854" s="86"/>
      <c r="O854" s="86"/>
      <c r="P854" s="86"/>
      <c r="Q854" s="86"/>
      <c r="R854" s="86"/>
      <c r="S854" s="86"/>
      <c r="T854" s="86"/>
      <c r="U854" s="86"/>
      <c r="V854" s="86"/>
      <c r="W854" s="86"/>
      <c r="X854" s="86"/>
      <c r="Y854" s="86"/>
      <c r="Z854" s="86"/>
      <c r="AA854" s="86"/>
    </row>
    <row r="855" spans="1:27" ht="14.25" customHeight="1" x14ac:dyDescent="0.35">
      <c r="A855" s="76"/>
      <c r="B855" s="87">
        <v>0</v>
      </c>
      <c r="C855" s="76"/>
      <c r="D855" s="85"/>
      <c r="E855" s="85"/>
      <c r="F855" s="85"/>
      <c r="G855" s="83"/>
      <c r="H855" s="86"/>
      <c r="I855" s="86"/>
      <c r="J855" s="86"/>
      <c r="K855" s="62"/>
      <c r="L855" s="86"/>
      <c r="M855" s="86"/>
      <c r="N855" s="86"/>
      <c r="O855" s="86"/>
      <c r="P855" s="86"/>
      <c r="Q855" s="86"/>
      <c r="R855" s="86"/>
      <c r="S855" s="86"/>
      <c r="T855" s="86"/>
      <c r="U855" s="86"/>
      <c r="V855" s="86"/>
      <c r="W855" s="86"/>
      <c r="X855" s="86"/>
      <c r="Y855" s="86"/>
      <c r="Z855" s="86"/>
      <c r="AA855" s="86"/>
    </row>
    <row r="856" spans="1:27" ht="14.25" customHeight="1" x14ac:dyDescent="0.35">
      <c r="A856" s="76"/>
      <c r="B856" s="87">
        <v>0</v>
      </c>
      <c r="C856" s="76"/>
      <c r="D856" s="85"/>
      <c r="E856" s="85"/>
      <c r="F856" s="85"/>
      <c r="G856" s="83"/>
      <c r="H856" s="86"/>
      <c r="I856" s="86"/>
      <c r="J856" s="86"/>
      <c r="K856" s="62"/>
      <c r="L856" s="86"/>
      <c r="M856" s="86"/>
      <c r="N856" s="86"/>
      <c r="O856" s="86"/>
      <c r="P856" s="86"/>
      <c r="Q856" s="86"/>
      <c r="R856" s="86"/>
      <c r="S856" s="86"/>
      <c r="T856" s="86"/>
      <c r="U856" s="86"/>
      <c r="V856" s="86"/>
      <c r="W856" s="86"/>
      <c r="X856" s="86"/>
      <c r="Y856" s="86"/>
      <c r="Z856" s="86"/>
      <c r="AA856" s="86"/>
    </row>
    <row r="857" spans="1:27" ht="14.25" customHeight="1" x14ac:dyDescent="0.35">
      <c r="A857" s="76"/>
      <c r="B857" s="87">
        <v>0</v>
      </c>
      <c r="C857" s="76"/>
      <c r="D857" s="85"/>
      <c r="E857" s="85"/>
      <c r="F857" s="85"/>
      <c r="G857" s="83"/>
      <c r="H857" s="86"/>
      <c r="I857" s="86"/>
      <c r="J857" s="86"/>
      <c r="K857" s="62"/>
      <c r="L857" s="86"/>
      <c r="M857" s="86"/>
      <c r="N857" s="86"/>
      <c r="O857" s="86"/>
      <c r="P857" s="86"/>
      <c r="Q857" s="86"/>
      <c r="R857" s="86"/>
      <c r="S857" s="86"/>
      <c r="T857" s="86"/>
      <c r="U857" s="86"/>
      <c r="V857" s="86"/>
      <c r="W857" s="86"/>
      <c r="X857" s="86"/>
      <c r="Y857" s="86"/>
      <c r="Z857" s="86"/>
      <c r="AA857" s="86"/>
    </row>
    <row r="858" spans="1:27" ht="14.25" customHeight="1" x14ac:dyDescent="0.35">
      <c r="A858" s="76"/>
      <c r="B858" s="87">
        <v>0</v>
      </c>
      <c r="C858" s="76"/>
      <c r="D858" s="85"/>
      <c r="E858" s="85"/>
      <c r="F858" s="85"/>
      <c r="G858" s="83"/>
      <c r="H858" s="86"/>
      <c r="I858" s="86"/>
      <c r="J858" s="86"/>
      <c r="K858" s="62"/>
      <c r="L858" s="86"/>
      <c r="M858" s="86"/>
      <c r="N858" s="86"/>
      <c r="O858" s="86"/>
      <c r="P858" s="86"/>
      <c r="Q858" s="86"/>
      <c r="R858" s="86"/>
      <c r="S858" s="86"/>
      <c r="T858" s="86"/>
      <c r="U858" s="86"/>
      <c r="V858" s="86"/>
      <c r="W858" s="86"/>
      <c r="X858" s="86"/>
      <c r="Y858" s="86"/>
      <c r="Z858" s="86"/>
      <c r="AA858" s="86"/>
    </row>
    <row r="859" spans="1:27" ht="14.25" customHeight="1" x14ac:dyDescent="0.35">
      <c r="A859" s="76"/>
      <c r="B859" s="87">
        <v>0</v>
      </c>
      <c r="C859" s="76"/>
      <c r="D859" s="85"/>
      <c r="E859" s="85"/>
      <c r="F859" s="85"/>
      <c r="G859" s="83"/>
      <c r="H859" s="86"/>
      <c r="I859" s="86"/>
      <c r="J859" s="86"/>
      <c r="K859" s="62"/>
      <c r="L859" s="86"/>
      <c r="M859" s="86"/>
      <c r="N859" s="86"/>
      <c r="O859" s="86"/>
      <c r="P859" s="86"/>
      <c r="Q859" s="86"/>
      <c r="R859" s="86"/>
      <c r="S859" s="86"/>
      <c r="T859" s="86"/>
      <c r="U859" s="86"/>
      <c r="V859" s="86"/>
      <c r="W859" s="86"/>
      <c r="X859" s="86"/>
      <c r="Y859" s="86"/>
      <c r="Z859" s="86"/>
      <c r="AA859" s="86"/>
    </row>
    <row r="860" spans="1:27" ht="14.25" customHeight="1" x14ac:dyDescent="0.35">
      <c r="A860" s="76"/>
      <c r="B860" s="87">
        <v>0</v>
      </c>
      <c r="C860" s="76"/>
      <c r="D860" s="85"/>
      <c r="E860" s="85"/>
      <c r="F860" s="85"/>
      <c r="G860" s="83"/>
      <c r="H860" s="86"/>
      <c r="I860" s="86"/>
      <c r="J860" s="86"/>
      <c r="K860" s="62"/>
      <c r="L860" s="86"/>
      <c r="M860" s="86"/>
      <c r="N860" s="86"/>
      <c r="O860" s="86"/>
      <c r="P860" s="86"/>
      <c r="Q860" s="86"/>
      <c r="R860" s="86"/>
      <c r="S860" s="86"/>
      <c r="T860" s="86"/>
      <c r="U860" s="86"/>
      <c r="V860" s="86"/>
      <c r="W860" s="86"/>
      <c r="X860" s="86"/>
      <c r="Y860" s="86"/>
      <c r="Z860" s="86"/>
      <c r="AA860" s="86"/>
    </row>
    <row r="861" spans="1:27" ht="14.25" customHeight="1" x14ac:dyDescent="0.35">
      <c r="A861" s="76"/>
      <c r="B861" s="87">
        <v>0</v>
      </c>
      <c r="C861" s="76"/>
      <c r="D861" s="85"/>
      <c r="E861" s="85"/>
      <c r="F861" s="85"/>
      <c r="G861" s="83"/>
      <c r="H861" s="86"/>
      <c r="I861" s="86"/>
      <c r="J861" s="86"/>
      <c r="K861" s="62"/>
      <c r="L861" s="86"/>
      <c r="M861" s="86"/>
      <c r="N861" s="86"/>
      <c r="O861" s="86"/>
      <c r="P861" s="86"/>
      <c r="Q861" s="86"/>
      <c r="R861" s="86"/>
      <c r="S861" s="86"/>
      <c r="T861" s="86"/>
      <c r="U861" s="86"/>
      <c r="V861" s="86"/>
      <c r="W861" s="86"/>
      <c r="X861" s="86"/>
      <c r="Y861" s="86"/>
      <c r="Z861" s="86"/>
      <c r="AA861" s="86"/>
    </row>
    <row r="862" spans="1:27" ht="14.25" customHeight="1" x14ac:dyDescent="0.35">
      <c r="A862" s="76"/>
      <c r="B862" s="87">
        <v>0</v>
      </c>
      <c r="C862" s="76"/>
      <c r="D862" s="85"/>
      <c r="E862" s="85"/>
      <c r="F862" s="85"/>
      <c r="G862" s="83"/>
      <c r="H862" s="86"/>
      <c r="I862" s="86"/>
      <c r="J862" s="86"/>
      <c r="K862" s="62"/>
      <c r="L862" s="86"/>
      <c r="M862" s="86"/>
      <c r="N862" s="86"/>
      <c r="O862" s="86"/>
      <c r="P862" s="86"/>
      <c r="Q862" s="86"/>
      <c r="R862" s="86"/>
      <c r="S862" s="86"/>
      <c r="T862" s="86"/>
      <c r="U862" s="86"/>
      <c r="V862" s="86"/>
      <c r="W862" s="86"/>
      <c r="X862" s="86"/>
      <c r="Y862" s="86"/>
      <c r="Z862" s="86"/>
      <c r="AA862" s="86"/>
    </row>
    <row r="863" spans="1:27" ht="14.25" customHeight="1" x14ac:dyDescent="0.35">
      <c r="A863" s="76"/>
      <c r="B863" s="87">
        <v>0</v>
      </c>
      <c r="C863" s="76"/>
      <c r="D863" s="85"/>
      <c r="E863" s="85"/>
      <c r="F863" s="85"/>
      <c r="G863" s="83"/>
      <c r="H863" s="86"/>
      <c r="I863" s="86"/>
      <c r="J863" s="86"/>
      <c r="K863" s="62"/>
      <c r="L863" s="86"/>
      <c r="M863" s="86"/>
      <c r="N863" s="86"/>
      <c r="O863" s="86"/>
      <c r="P863" s="86"/>
      <c r="Q863" s="86"/>
      <c r="R863" s="86"/>
      <c r="S863" s="86"/>
      <c r="T863" s="86"/>
      <c r="U863" s="86"/>
      <c r="V863" s="86"/>
      <c r="W863" s="86"/>
      <c r="X863" s="86"/>
      <c r="Y863" s="86"/>
      <c r="Z863" s="86"/>
      <c r="AA863" s="86"/>
    </row>
    <row r="864" spans="1:27" ht="14.25" customHeight="1" x14ac:dyDescent="0.35">
      <c r="A864" s="76"/>
      <c r="B864" s="87">
        <v>0</v>
      </c>
      <c r="C864" s="76"/>
      <c r="D864" s="85"/>
      <c r="E864" s="85"/>
      <c r="F864" s="85"/>
      <c r="G864" s="83"/>
      <c r="H864" s="86"/>
      <c r="I864" s="86"/>
      <c r="J864" s="86"/>
      <c r="K864" s="62"/>
      <c r="L864" s="86"/>
      <c r="M864" s="86"/>
      <c r="N864" s="86"/>
      <c r="O864" s="86"/>
      <c r="P864" s="86"/>
      <c r="Q864" s="86"/>
      <c r="R864" s="86"/>
      <c r="S864" s="86"/>
      <c r="T864" s="86"/>
      <c r="U864" s="86"/>
      <c r="V864" s="86"/>
      <c r="W864" s="86"/>
      <c r="X864" s="86"/>
      <c r="Y864" s="86"/>
      <c r="Z864" s="86"/>
      <c r="AA864" s="86"/>
    </row>
    <row r="865" spans="1:27" ht="14.25" customHeight="1" x14ac:dyDescent="0.35">
      <c r="A865" s="76"/>
      <c r="B865" s="87">
        <v>0</v>
      </c>
      <c r="C865" s="76"/>
      <c r="D865" s="85"/>
      <c r="E865" s="85"/>
      <c r="F865" s="85"/>
      <c r="G865" s="83"/>
      <c r="H865" s="86"/>
      <c r="I865" s="86"/>
      <c r="J865" s="86"/>
      <c r="K865" s="62"/>
      <c r="L865" s="86"/>
      <c r="M865" s="86"/>
      <c r="N865" s="86"/>
      <c r="O865" s="86"/>
      <c r="P865" s="86"/>
      <c r="Q865" s="86"/>
      <c r="R865" s="86"/>
      <c r="S865" s="86"/>
      <c r="T865" s="86"/>
      <c r="U865" s="86"/>
      <c r="V865" s="86"/>
      <c r="W865" s="86"/>
      <c r="X865" s="86"/>
      <c r="Y865" s="86"/>
      <c r="Z865" s="86"/>
      <c r="AA865" s="86"/>
    </row>
    <row r="866" spans="1:27" ht="14.25" customHeight="1" x14ac:dyDescent="0.35">
      <c r="A866" s="76"/>
      <c r="B866" s="87">
        <v>0</v>
      </c>
      <c r="C866" s="76"/>
      <c r="D866" s="85"/>
      <c r="E866" s="85"/>
      <c r="F866" s="85"/>
      <c r="G866" s="83"/>
      <c r="H866" s="86"/>
      <c r="I866" s="86"/>
      <c r="J866" s="86"/>
      <c r="K866" s="62"/>
      <c r="L866" s="86"/>
      <c r="M866" s="86"/>
      <c r="N866" s="86"/>
      <c r="O866" s="86"/>
      <c r="P866" s="86"/>
      <c r="Q866" s="86"/>
      <c r="R866" s="86"/>
      <c r="S866" s="86"/>
      <c r="T866" s="86"/>
      <c r="U866" s="86"/>
      <c r="V866" s="86"/>
      <c r="W866" s="86"/>
      <c r="X866" s="86"/>
      <c r="Y866" s="86"/>
      <c r="Z866" s="86"/>
      <c r="AA866" s="86"/>
    </row>
    <row r="867" spans="1:27" ht="14.25" customHeight="1" x14ac:dyDescent="0.35">
      <c r="A867" s="76"/>
      <c r="B867" s="87">
        <v>0</v>
      </c>
      <c r="C867" s="76"/>
      <c r="D867" s="85"/>
      <c r="E867" s="85"/>
      <c r="F867" s="85"/>
      <c r="G867" s="83"/>
      <c r="H867" s="86"/>
      <c r="I867" s="86"/>
      <c r="J867" s="86"/>
      <c r="K867" s="62"/>
      <c r="L867" s="86"/>
      <c r="M867" s="86"/>
      <c r="N867" s="86"/>
      <c r="O867" s="86"/>
      <c r="P867" s="86"/>
      <c r="Q867" s="86"/>
      <c r="R867" s="86"/>
      <c r="S867" s="86"/>
      <c r="T867" s="86"/>
      <c r="U867" s="86"/>
      <c r="V867" s="86"/>
      <c r="W867" s="86"/>
      <c r="X867" s="86"/>
      <c r="Y867" s="86"/>
      <c r="Z867" s="86"/>
      <c r="AA867" s="86"/>
    </row>
    <row r="868" spans="1:27" ht="14.25" customHeight="1" x14ac:dyDescent="0.35">
      <c r="A868" s="76"/>
      <c r="B868" s="87" t="str">
        <f t="array" ref="B868:B899">'NÖBV 3'!$N$3:$N$34</f>
        <v>Liam Hammer</v>
      </c>
      <c r="C868" s="76"/>
      <c r="D868" s="85"/>
      <c r="E868" s="85"/>
      <c r="F868" s="85"/>
      <c r="G868" s="83"/>
      <c r="H868" s="86"/>
      <c r="I868" s="86"/>
      <c r="J868" s="86"/>
      <c r="K868" s="62"/>
      <c r="L868" s="86"/>
      <c r="M868" s="86"/>
      <c r="N868" s="86"/>
      <c r="O868" s="86"/>
      <c r="P868" s="86"/>
      <c r="Q868" s="86"/>
      <c r="R868" s="86"/>
      <c r="S868" s="86"/>
      <c r="T868" s="86"/>
      <c r="U868" s="86"/>
      <c r="V868" s="86"/>
      <c r="W868" s="86"/>
      <c r="X868" s="86"/>
      <c r="Y868" s="86"/>
      <c r="Z868" s="86"/>
      <c r="AA868" s="86"/>
    </row>
    <row r="869" spans="1:27" ht="14.25" customHeight="1" x14ac:dyDescent="0.35">
      <c r="A869" s="76"/>
      <c r="B869" s="87" t="str">
        <v>Jakob Müllner</v>
      </c>
      <c r="C869" s="76"/>
      <c r="D869" s="85"/>
      <c r="E869" s="85"/>
      <c r="F869" s="85"/>
      <c r="G869" s="83"/>
      <c r="H869" s="86"/>
      <c r="I869" s="86"/>
      <c r="J869" s="86"/>
      <c r="K869" s="62"/>
      <c r="L869" s="86"/>
      <c r="M869" s="86"/>
      <c r="N869" s="86"/>
      <c r="O869" s="86"/>
      <c r="P869" s="86"/>
      <c r="Q869" s="86"/>
      <c r="R869" s="86"/>
      <c r="S869" s="86"/>
      <c r="T869" s="86"/>
      <c r="U869" s="86"/>
      <c r="V869" s="86"/>
      <c r="W869" s="86"/>
      <c r="X869" s="86"/>
      <c r="Y869" s="86"/>
      <c r="Z869" s="86"/>
      <c r="AA869" s="86"/>
    </row>
    <row r="870" spans="1:27" ht="14.25" customHeight="1" x14ac:dyDescent="0.35">
      <c r="A870" s="76"/>
      <c r="B870" s="87" t="str">
        <v>Lola Petraschek</v>
      </c>
      <c r="C870" s="76"/>
      <c r="D870" s="85"/>
      <c r="E870" s="85"/>
      <c r="F870" s="85"/>
      <c r="G870" s="83"/>
      <c r="H870" s="86"/>
      <c r="I870" s="86"/>
      <c r="J870" s="86"/>
      <c r="K870" s="62"/>
      <c r="L870" s="86"/>
      <c r="M870" s="86"/>
      <c r="N870" s="86"/>
      <c r="O870" s="86"/>
      <c r="P870" s="86"/>
      <c r="Q870" s="86"/>
      <c r="R870" s="86"/>
      <c r="S870" s="86"/>
      <c r="T870" s="86"/>
      <c r="U870" s="86"/>
      <c r="V870" s="86"/>
      <c r="W870" s="86"/>
      <c r="X870" s="86"/>
      <c r="Y870" s="86"/>
      <c r="Z870" s="86"/>
      <c r="AA870" s="86"/>
    </row>
    <row r="871" spans="1:27" ht="14.25" customHeight="1" x14ac:dyDescent="0.35">
      <c r="A871" s="76"/>
      <c r="B871" s="87" t="str">
        <v>Alexander Wolgin</v>
      </c>
      <c r="C871" s="76"/>
      <c r="D871" s="85"/>
      <c r="E871" s="85"/>
      <c r="F871" s="85"/>
      <c r="G871" s="83"/>
      <c r="H871" s="86"/>
      <c r="I871" s="86"/>
      <c r="J871" s="86"/>
      <c r="K871" s="62"/>
      <c r="L871" s="86"/>
      <c r="M871" s="86"/>
      <c r="N871" s="86"/>
      <c r="O871" s="86"/>
      <c r="P871" s="86"/>
      <c r="Q871" s="86"/>
      <c r="R871" s="86"/>
      <c r="S871" s="86"/>
      <c r="T871" s="86"/>
      <c r="U871" s="86"/>
      <c r="V871" s="86"/>
      <c r="W871" s="86"/>
      <c r="X871" s="86"/>
      <c r="Y871" s="86"/>
      <c r="Z871" s="86"/>
      <c r="AA871" s="86"/>
    </row>
    <row r="872" spans="1:27" ht="14.25" customHeight="1" x14ac:dyDescent="0.35">
      <c r="A872" s="76"/>
      <c r="B872" s="87">
        <v>0</v>
      </c>
      <c r="C872" s="76"/>
      <c r="D872" s="85"/>
      <c r="E872" s="85"/>
      <c r="F872" s="85"/>
      <c r="G872" s="83"/>
      <c r="H872" s="86"/>
      <c r="I872" s="86"/>
      <c r="J872" s="86"/>
      <c r="K872" s="62"/>
      <c r="L872" s="86"/>
      <c r="M872" s="86"/>
      <c r="N872" s="86"/>
      <c r="O872" s="86"/>
      <c r="P872" s="86"/>
      <c r="Q872" s="86"/>
      <c r="R872" s="86"/>
      <c r="S872" s="86"/>
      <c r="T872" s="86"/>
      <c r="U872" s="86"/>
      <c r="V872" s="86"/>
      <c r="W872" s="86"/>
      <c r="X872" s="86"/>
      <c r="Y872" s="86"/>
      <c r="Z872" s="86"/>
      <c r="AA872" s="86"/>
    </row>
    <row r="873" spans="1:27" ht="14.25" customHeight="1" x14ac:dyDescent="0.35">
      <c r="A873" s="76"/>
      <c r="B873" s="87">
        <v>0</v>
      </c>
      <c r="C873" s="76"/>
      <c r="D873" s="85"/>
      <c r="E873" s="85"/>
      <c r="F873" s="85"/>
      <c r="G873" s="83"/>
      <c r="H873" s="86"/>
      <c r="I873" s="86"/>
      <c r="J873" s="86"/>
      <c r="K873" s="62"/>
      <c r="L873" s="86"/>
      <c r="M873" s="86"/>
      <c r="N873" s="86"/>
      <c r="O873" s="86"/>
      <c r="P873" s="86"/>
      <c r="Q873" s="86"/>
      <c r="R873" s="86"/>
      <c r="S873" s="86"/>
      <c r="T873" s="86"/>
      <c r="U873" s="86"/>
      <c r="V873" s="86"/>
      <c r="W873" s="86"/>
      <c r="X873" s="86"/>
      <c r="Y873" s="86"/>
      <c r="Z873" s="86"/>
      <c r="AA873" s="86"/>
    </row>
    <row r="874" spans="1:27" ht="14.25" customHeight="1" x14ac:dyDescent="0.35">
      <c r="A874" s="76"/>
      <c r="B874" s="87">
        <v>0</v>
      </c>
      <c r="C874" s="76"/>
      <c r="D874" s="85"/>
      <c r="E874" s="85"/>
      <c r="F874" s="85"/>
      <c r="G874" s="83"/>
      <c r="H874" s="86"/>
      <c r="I874" s="86"/>
      <c r="J874" s="86"/>
      <c r="K874" s="62"/>
      <c r="L874" s="86"/>
      <c r="M874" s="86"/>
      <c r="N874" s="86"/>
      <c r="O874" s="86"/>
      <c r="P874" s="86"/>
      <c r="Q874" s="86"/>
      <c r="R874" s="86"/>
      <c r="S874" s="86"/>
      <c r="T874" s="86"/>
      <c r="U874" s="86"/>
      <c r="V874" s="86"/>
      <c r="W874" s="86"/>
      <c r="X874" s="86"/>
      <c r="Y874" s="86"/>
      <c r="Z874" s="86"/>
      <c r="AA874" s="86"/>
    </row>
    <row r="875" spans="1:27" ht="14.25" customHeight="1" x14ac:dyDescent="0.35">
      <c r="A875" s="76"/>
      <c r="B875" s="87">
        <v>0</v>
      </c>
      <c r="C875" s="76"/>
      <c r="D875" s="85"/>
      <c r="E875" s="85"/>
      <c r="F875" s="85"/>
      <c r="G875" s="83"/>
      <c r="H875" s="86"/>
      <c r="I875" s="86"/>
      <c r="J875" s="86"/>
      <c r="K875" s="62"/>
      <c r="L875" s="86"/>
      <c r="M875" s="86"/>
      <c r="N875" s="86"/>
      <c r="O875" s="86"/>
      <c r="P875" s="86"/>
      <c r="Q875" s="86"/>
      <c r="R875" s="86"/>
      <c r="S875" s="86"/>
      <c r="T875" s="86"/>
      <c r="U875" s="86"/>
      <c r="V875" s="86"/>
      <c r="W875" s="86"/>
      <c r="X875" s="86"/>
      <c r="Y875" s="86"/>
      <c r="Z875" s="86"/>
      <c r="AA875" s="86"/>
    </row>
    <row r="876" spans="1:27" ht="14.25" customHeight="1" x14ac:dyDescent="0.35">
      <c r="A876" s="76"/>
      <c r="B876" s="87">
        <v>0</v>
      </c>
      <c r="C876" s="76"/>
      <c r="D876" s="85"/>
      <c r="E876" s="85"/>
      <c r="F876" s="85"/>
      <c r="G876" s="83"/>
      <c r="H876" s="86"/>
      <c r="I876" s="86"/>
      <c r="J876" s="86"/>
      <c r="K876" s="62"/>
      <c r="L876" s="86"/>
      <c r="M876" s="86"/>
      <c r="N876" s="86"/>
      <c r="O876" s="86"/>
      <c r="P876" s="86"/>
      <c r="Q876" s="86"/>
      <c r="R876" s="86"/>
      <c r="S876" s="86"/>
      <c r="T876" s="86"/>
      <c r="U876" s="86"/>
      <c r="V876" s="86"/>
      <c r="W876" s="86"/>
      <c r="X876" s="86"/>
      <c r="Y876" s="86"/>
      <c r="Z876" s="86"/>
      <c r="AA876" s="86"/>
    </row>
    <row r="877" spans="1:27" ht="14.25" customHeight="1" x14ac:dyDescent="0.35">
      <c r="A877" s="76"/>
      <c r="B877" s="87">
        <v>0</v>
      </c>
      <c r="C877" s="76"/>
      <c r="D877" s="85"/>
      <c r="E877" s="85"/>
      <c r="F877" s="85"/>
      <c r="G877" s="83"/>
      <c r="H877" s="86"/>
      <c r="I877" s="86"/>
      <c r="J877" s="86"/>
      <c r="K877" s="62"/>
      <c r="L877" s="86"/>
      <c r="M877" s="86"/>
      <c r="N877" s="86"/>
      <c r="O877" s="86"/>
      <c r="P877" s="86"/>
      <c r="Q877" s="86"/>
      <c r="R877" s="86"/>
      <c r="S877" s="86"/>
      <c r="T877" s="86"/>
      <c r="U877" s="86"/>
      <c r="V877" s="86"/>
      <c r="W877" s="86"/>
      <c r="X877" s="86"/>
      <c r="Y877" s="86"/>
      <c r="Z877" s="86"/>
      <c r="AA877" s="86"/>
    </row>
    <row r="878" spans="1:27" ht="14.25" customHeight="1" x14ac:dyDescent="0.35">
      <c r="A878" s="76"/>
      <c r="B878" s="87">
        <v>0</v>
      </c>
      <c r="C878" s="76"/>
      <c r="D878" s="85"/>
      <c r="E878" s="85"/>
      <c r="F878" s="85"/>
      <c r="G878" s="83"/>
      <c r="H878" s="86"/>
      <c r="I878" s="86"/>
      <c r="J878" s="86"/>
      <c r="K878" s="62"/>
      <c r="L878" s="86"/>
      <c r="M878" s="86"/>
      <c r="N878" s="86"/>
      <c r="O878" s="86"/>
      <c r="P878" s="86"/>
      <c r="Q878" s="86"/>
      <c r="R878" s="86"/>
      <c r="S878" s="86"/>
      <c r="T878" s="86"/>
      <c r="U878" s="86"/>
      <c r="V878" s="86"/>
      <c r="W878" s="86"/>
      <c r="X878" s="86"/>
      <c r="Y878" s="86"/>
      <c r="Z878" s="86"/>
      <c r="AA878" s="86"/>
    </row>
    <row r="879" spans="1:27" ht="14.25" customHeight="1" x14ac:dyDescent="0.35">
      <c r="A879" s="76"/>
      <c r="B879" s="87">
        <v>0</v>
      </c>
      <c r="C879" s="76"/>
      <c r="D879" s="85"/>
      <c r="E879" s="85"/>
      <c r="F879" s="85"/>
      <c r="G879" s="83"/>
      <c r="H879" s="86"/>
      <c r="I879" s="86"/>
      <c r="J879" s="86"/>
      <c r="K879" s="62"/>
      <c r="L879" s="86"/>
      <c r="M879" s="86"/>
      <c r="N879" s="86"/>
      <c r="O879" s="86"/>
      <c r="P879" s="86"/>
      <c r="Q879" s="86"/>
      <c r="R879" s="86"/>
      <c r="S879" s="86"/>
      <c r="T879" s="86"/>
      <c r="U879" s="86"/>
      <c r="V879" s="86"/>
      <c r="W879" s="86"/>
      <c r="X879" s="86"/>
      <c r="Y879" s="86"/>
      <c r="Z879" s="86"/>
      <c r="AA879" s="86"/>
    </row>
    <row r="880" spans="1:27" ht="14.25" customHeight="1" x14ac:dyDescent="0.35">
      <c r="A880" s="76"/>
      <c r="B880" s="87">
        <v>0</v>
      </c>
      <c r="C880" s="76"/>
      <c r="D880" s="85"/>
      <c r="E880" s="85"/>
      <c r="F880" s="85"/>
      <c r="G880" s="83"/>
      <c r="H880" s="86"/>
      <c r="I880" s="86"/>
      <c r="J880" s="86"/>
      <c r="K880" s="62"/>
      <c r="L880" s="86"/>
      <c r="M880" s="86"/>
      <c r="N880" s="86"/>
      <c r="O880" s="86"/>
      <c r="P880" s="86"/>
      <c r="Q880" s="86"/>
      <c r="R880" s="86"/>
      <c r="S880" s="86"/>
      <c r="T880" s="86"/>
      <c r="U880" s="86"/>
      <c r="V880" s="86"/>
      <c r="W880" s="86"/>
      <c r="X880" s="86"/>
      <c r="Y880" s="86"/>
      <c r="Z880" s="86"/>
      <c r="AA880" s="86"/>
    </row>
    <row r="881" spans="1:27" ht="14.25" customHeight="1" x14ac:dyDescent="0.35">
      <c r="A881" s="76"/>
      <c r="B881" s="87">
        <v>0</v>
      </c>
      <c r="C881" s="76"/>
      <c r="D881" s="85"/>
      <c r="E881" s="85"/>
      <c r="F881" s="85"/>
      <c r="G881" s="83"/>
      <c r="H881" s="86"/>
      <c r="I881" s="86"/>
      <c r="J881" s="86"/>
      <c r="K881" s="62"/>
      <c r="L881" s="86"/>
      <c r="M881" s="86"/>
      <c r="N881" s="86"/>
      <c r="O881" s="86"/>
      <c r="P881" s="86"/>
      <c r="Q881" s="86"/>
      <c r="R881" s="86"/>
      <c r="S881" s="86"/>
      <c r="T881" s="86"/>
      <c r="U881" s="86"/>
      <c r="V881" s="86"/>
      <c r="W881" s="86"/>
      <c r="X881" s="86"/>
      <c r="Y881" s="86"/>
      <c r="Z881" s="86"/>
      <c r="AA881" s="86"/>
    </row>
    <row r="882" spans="1:27" ht="14.25" customHeight="1" x14ac:dyDescent="0.35">
      <c r="A882" s="76"/>
      <c r="B882" s="87">
        <v>0</v>
      </c>
      <c r="C882" s="76"/>
      <c r="D882" s="85"/>
      <c r="E882" s="85"/>
      <c r="F882" s="85"/>
      <c r="G882" s="83"/>
      <c r="H882" s="86"/>
      <c r="I882" s="86"/>
      <c r="J882" s="86"/>
      <c r="K882" s="62"/>
      <c r="L882" s="86"/>
      <c r="M882" s="86"/>
      <c r="N882" s="86"/>
      <c r="O882" s="86"/>
      <c r="P882" s="86"/>
      <c r="Q882" s="86"/>
      <c r="R882" s="86"/>
      <c r="S882" s="86"/>
      <c r="T882" s="86"/>
      <c r="U882" s="86"/>
      <c r="V882" s="86"/>
      <c r="W882" s="86"/>
      <c r="X882" s="86"/>
      <c r="Y882" s="86"/>
      <c r="Z882" s="86"/>
      <c r="AA882" s="86"/>
    </row>
    <row r="883" spans="1:27" ht="14.25" customHeight="1" x14ac:dyDescent="0.35">
      <c r="A883" s="76"/>
      <c r="B883" s="87">
        <v>0</v>
      </c>
      <c r="C883" s="76"/>
      <c r="D883" s="85"/>
      <c r="E883" s="85"/>
      <c r="F883" s="85"/>
      <c r="G883" s="83"/>
      <c r="H883" s="86"/>
      <c r="I883" s="86"/>
      <c r="J883" s="86"/>
      <c r="K883" s="62"/>
      <c r="L883" s="86"/>
      <c r="M883" s="86"/>
      <c r="N883" s="86"/>
      <c r="O883" s="86"/>
      <c r="P883" s="86"/>
      <c r="Q883" s="86"/>
      <c r="R883" s="86"/>
      <c r="S883" s="86"/>
      <c r="T883" s="86"/>
      <c r="U883" s="86"/>
      <c r="V883" s="86"/>
      <c r="W883" s="86"/>
      <c r="X883" s="86"/>
      <c r="Y883" s="86"/>
      <c r="Z883" s="86"/>
      <c r="AA883" s="86"/>
    </row>
    <row r="884" spans="1:27" ht="14.25" customHeight="1" x14ac:dyDescent="0.35">
      <c r="A884" s="76"/>
      <c r="B884" s="87">
        <v>0</v>
      </c>
      <c r="C884" s="76"/>
      <c r="D884" s="85"/>
      <c r="E884" s="85"/>
      <c r="F884" s="85"/>
      <c r="G884" s="83"/>
      <c r="H884" s="86"/>
      <c r="I884" s="86"/>
      <c r="J884" s="86"/>
      <c r="K884" s="62"/>
      <c r="L884" s="86"/>
      <c r="M884" s="86"/>
      <c r="N884" s="86"/>
      <c r="O884" s="86"/>
      <c r="P884" s="86"/>
      <c r="Q884" s="86"/>
      <c r="R884" s="86"/>
      <c r="S884" s="86"/>
      <c r="T884" s="86"/>
      <c r="U884" s="86"/>
      <c r="V884" s="86"/>
      <c r="W884" s="86"/>
      <c r="X884" s="86"/>
      <c r="Y884" s="86"/>
      <c r="Z884" s="86"/>
      <c r="AA884" s="86"/>
    </row>
    <row r="885" spans="1:27" ht="14.25" customHeight="1" x14ac:dyDescent="0.35">
      <c r="A885" s="76"/>
      <c r="B885" s="87">
        <v>0</v>
      </c>
      <c r="C885" s="76"/>
      <c r="D885" s="85"/>
      <c r="E885" s="85"/>
      <c r="F885" s="85"/>
      <c r="G885" s="83"/>
      <c r="H885" s="86"/>
      <c r="I885" s="86"/>
      <c r="J885" s="86"/>
      <c r="K885" s="62"/>
      <c r="L885" s="86"/>
      <c r="M885" s="86"/>
      <c r="N885" s="86"/>
      <c r="O885" s="86"/>
      <c r="P885" s="86"/>
      <c r="Q885" s="86"/>
      <c r="R885" s="86"/>
      <c r="S885" s="86"/>
      <c r="T885" s="86"/>
      <c r="U885" s="86"/>
      <c r="V885" s="86"/>
      <c r="W885" s="86"/>
      <c r="X885" s="86"/>
      <c r="Y885" s="86"/>
      <c r="Z885" s="86"/>
      <c r="AA885" s="86"/>
    </row>
    <row r="886" spans="1:27" ht="14.25" customHeight="1" x14ac:dyDescent="0.35">
      <c r="A886" s="76"/>
      <c r="B886" s="87">
        <v>0</v>
      </c>
      <c r="C886" s="76"/>
      <c r="D886" s="85"/>
      <c r="E886" s="85"/>
      <c r="F886" s="85"/>
      <c r="G886" s="83"/>
      <c r="H886" s="86"/>
      <c r="I886" s="86"/>
      <c r="J886" s="86"/>
      <c r="K886" s="62"/>
      <c r="L886" s="86"/>
      <c r="M886" s="86"/>
      <c r="N886" s="86"/>
      <c r="O886" s="86"/>
      <c r="P886" s="86"/>
      <c r="Q886" s="86"/>
      <c r="R886" s="86"/>
      <c r="S886" s="86"/>
      <c r="T886" s="86"/>
      <c r="U886" s="86"/>
      <c r="V886" s="86"/>
      <c r="W886" s="86"/>
      <c r="X886" s="86"/>
      <c r="Y886" s="86"/>
      <c r="Z886" s="86"/>
      <c r="AA886" s="86"/>
    </row>
    <row r="887" spans="1:27" ht="14.25" customHeight="1" x14ac:dyDescent="0.35">
      <c r="A887" s="76"/>
      <c r="B887" s="87">
        <v>0</v>
      </c>
      <c r="C887" s="76"/>
      <c r="D887" s="85"/>
      <c r="E887" s="85"/>
      <c r="F887" s="85"/>
      <c r="G887" s="83"/>
      <c r="H887" s="86"/>
      <c r="I887" s="86"/>
      <c r="J887" s="86"/>
      <c r="K887" s="62"/>
      <c r="L887" s="86"/>
      <c r="M887" s="86"/>
      <c r="N887" s="86"/>
      <c r="O887" s="86"/>
      <c r="P887" s="86"/>
      <c r="Q887" s="86"/>
      <c r="R887" s="86"/>
      <c r="S887" s="86"/>
      <c r="T887" s="86"/>
      <c r="U887" s="86"/>
      <c r="V887" s="86"/>
      <c r="W887" s="86"/>
      <c r="X887" s="86"/>
      <c r="Y887" s="86"/>
      <c r="Z887" s="86"/>
      <c r="AA887" s="86"/>
    </row>
    <row r="888" spans="1:27" ht="14.25" customHeight="1" x14ac:dyDescent="0.35">
      <c r="A888" s="76"/>
      <c r="B888" s="87">
        <v>0</v>
      </c>
      <c r="C888" s="76"/>
      <c r="D888" s="85"/>
      <c r="E888" s="85"/>
      <c r="F888" s="85"/>
      <c r="G888" s="83"/>
      <c r="H888" s="86"/>
      <c r="I888" s="86"/>
      <c r="J888" s="86"/>
      <c r="K888" s="62"/>
      <c r="L888" s="86"/>
      <c r="M888" s="86"/>
      <c r="N888" s="86"/>
      <c r="O888" s="86"/>
      <c r="P888" s="86"/>
      <c r="Q888" s="86"/>
      <c r="R888" s="86"/>
      <c r="S888" s="86"/>
      <c r="T888" s="86"/>
      <c r="U888" s="86"/>
      <c r="V888" s="86"/>
      <c r="W888" s="86"/>
      <c r="X888" s="86"/>
      <c r="Y888" s="86"/>
      <c r="Z888" s="86"/>
      <c r="AA888" s="86"/>
    </row>
    <row r="889" spans="1:27" ht="14.25" customHeight="1" x14ac:dyDescent="0.35">
      <c r="A889" s="76"/>
      <c r="B889" s="87">
        <v>0</v>
      </c>
      <c r="C889" s="76"/>
      <c r="D889" s="85"/>
      <c r="E889" s="85"/>
      <c r="F889" s="85"/>
      <c r="G889" s="83"/>
      <c r="H889" s="86"/>
      <c r="I889" s="86"/>
      <c r="J889" s="86"/>
      <c r="K889" s="62"/>
      <c r="L889" s="86"/>
      <c r="M889" s="86"/>
      <c r="N889" s="86"/>
      <c r="O889" s="86"/>
      <c r="P889" s="86"/>
      <c r="Q889" s="86"/>
      <c r="R889" s="86"/>
      <c r="S889" s="86"/>
      <c r="T889" s="86"/>
      <c r="U889" s="86"/>
      <c r="V889" s="86"/>
      <c r="W889" s="86"/>
      <c r="X889" s="86"/>
      <c r="Y889" s="86"/>
      <c r="Z889" s="86"/>
      <c r="AA889" s="86"/>
    </row>
    <row r="890" spans="1:27" ht="14.25" customHeight="1" x14ac:dyDescent="0.35">
      <c r="A890" s="76"/>
      <c r="B890" s="87">
        <v>0</v>
      </c>
      <c r="C890" s="76"/>
      <c r="D890" s="85"/>
      <c r="E890" s="85"/>
      <c r="F890" s="85"/>
      <c r="G890" s="83"/>
      <c r="H890" s="86"/>
      <c r="I890" s="86"/>
      <c r="J890" s="86"/>
      <c r="K890" s="62"/>
      <c r="L890" s="86"/>
      <c r="M890" s="86"/>
      <c r="N890" s="86"/>
      <c r="O890" s="86"/>
      <c r="P890" s="86"/>
      <c r="Q890" s="86"/>
      <c r="R890" s="86"/>
      <c r="S890" s="86"/>
      <c r="T890" s="86"/>
      <c r="U890" s="86"/>
      <c r="V890" s="86"/>
      <c r="W890" s="86"/>
      <c r="X890" s="86"/>
      <c r="Y890" s="86"/>
      <c r="Z890" s="86"/>
      <c r="AA890" s="86"/>
    </row>
    <row r="891" spans="1:27" ht="14.25" customHeight="1" x14ac:dyDescent="0.35">
      <c r="A891" s="76"/>
      <c r="B891" s="87">
        <v>0</v>
      </c>
      <c r="C891" s="76"/>
      <c r="D891" s="85"/>
      <c r="E891" s="85"/>
      <c r="F891" s="85"/>
      <c r="G891" s="83"/>
      <c r="H891" s="86"/>
      <c r="I891" s="86"/>
      <c r="J891" s="86"/>
      <c r="K891" s="62"/>
      <c r="L891" s="86"/>
      <c r="M891" s="86"/>
      <c r="N891" s="86"/>
      <c r="O891" s="86"/>
      <c r="P891" s="86"/>
      <c r="Q891" s="86"/>
      <c r="R891" s="86"/>
      <c r="S891" s="86"/>
      <c r="T891" s="86"/>
      <c r="U891" s="86"/>
      <c r="V891" s="86"/>
      <c r="W891" s="86"/>
      <c r="X891" s="86"/>
      <c r="Y891" s="86"/>
      <c r="Z891" s="86"/>
      <c r="AA891" s="86"/>
    </row>
    <row r="892" spans="1:27" ht="14.25" customHeight="1" x14ac:dyDescent="0.35">
      <c r="A892" s="76"/>
      <c r="B892" s="87">
        <v>0</v>
      </c>
      <c r="C892" s="76"/>
      <c r="D892" s="85"/>
      <c r="E892" s="85"/>
      <c r="F892" s="85"/>
      <c r="G892" s="83"/>
      <c r="H892" s="86"/>
      <c r="I892" s="86"/>
      <c r="J892" s="86"/>
      <c r="K892" s="62"/>
      <c r="L892" s="86"/>
      <c r="M892" s="86"/>
      <c r="N892" s="86"/>
      <c r="O892" s="86"/>
      <c r="P892" s="86"/>
      <c r="Q892" s="86"/>
      <c r="R892" s="86"/>
      <c r="S892" s="86"/>
      <c r="T892" s="86"/>
      <c r="U892" s="86"/>
      <c r="V892" s="86"/>
      <c r="W892" s="86"/>
      <c r="X892" s="86"/>
      <c r="Y892" s="86"/>
      <c r="Z892" s="86"/>
      <c r="AA892" s="86"/>
    </row>
    <row r="893" spans="1:27" ht="14.25" customHeight="1" x14ac:dyDescent="0.35">
      <c r="A893" s="76"/>
      <c r="B893" s="87">
        <v>0</v>
      </c>
      <c r="C893" s="76"/>
      <c r="D893" s="85"/>
      <c r="E893" s="85"/>
      <c r="F893" s="85"/>
      <c r="G893" s="83"/>
      <c r="H893" s="86"/>
      <c r="I893" s="86"/>
      <c r="J893" s="86"/>
      <c r="K893" s="62"/>
      <c r="L893" s="86"/>
      <c r="M893" s="86"/>
      <c r="N893" s="86"/>
      <c r="O893" s="86"/>
      <c r="P893" s="86"/>
      <c r="Q893" s="86"/>
      <c r="R893" s="86"/>
      <c r="S893" s="86"/>
      <c r="T893" s="86"/>
      <c r="U893" s="86"/>
      <c r="V893" s="86"/>
      <c r="W893" s="86"/>
      <c r="X893" s="86"/>
      <c r="Y893" s="86"/>
      <c r="Z893" s="86"/>
      <c r="AA893" s="86"/>
    </row>
    <row r="894" spans="1:27" ht="14.25" customHeight="1" x14ac:dyDescent="0.35">
      <c r="A894" s="76"/>
      <c r="B894" s="87">
        <v>0</v>
      </c>
      <c r="C894" s="76"/>
      <c r="D894" s="85"/>
      <c r="E894" s="85"/>
      <c r="F894" s="85"/>
      <c r="G894" s="83"/>
      <c r="H894" s="86"/>
      <c r="I894" s="86"/>
      <c r="J894" s="86"/>
      <c r="K894" s="62"/>
      <c r="L894" s="86"/>
      <c r="M894" s="86"/>
      <c r="N894" s="86"/>
      <c r="O894" s="86"/>
      <c r="P894" s="86"/>
      <c r="Q894" s="86"/>
      <c r="R894" s="86"/>
      <c r="S894" s="86"/>
      <c r="T894" s="86"/>
      <c r="U894" s="86"/>
      <c r="V894" s="86"/>
      <c r="W894" s="86"/>
      <c r="X894" s="86"/>
      <c r="Y894" s="86"/>
      <c r="Z894" s="86"/>
      <c r="AA894" s="86"/>
    </row>
    <row r="895" spans="1:27" ht="14.25" customHeight="1" x14ac:dyDescent="0.35">
      <c r="A895" s="76"/>
      <c r="B895" s="87">
        <v>0</v>
      </c>
      <c r="C895" s="76"/>
      <c r="D895" s="85"/>
      <c r="E895" s="85"/>
      <c r="F895" s="85"/>
      <c r="G895" s="83"/>
      <c r="H895" s="86"/>
      <c r="I895" s="86"/>
      <c r="J895" s="86"/>
      <c r="K895" s="62"/>
      <c r="L895" s="86"/>
      <c r="M895" s="86"/>
      <c r="N895" s="86"/>
      <c r="O895" s="86"/>
      <c r="P895" s="86"/>
      <c r="Q895" s="86"/>
      <c r="R895" s="86"/>
      <c r="S895" s="86"/>
      <c r="T895" s="86"/>
      <c r="U895" s="86"/>
      <c r="V895" s="86"/>
      <c r="W895" s="86"/>
      <c r="X895" s="86"/>
      <c r="Y895" s="86"/>
      <c r="Z895" s="86"/>
      <c r="AA895" s="86"/>
    </row>
    <row r="896" spans="1:27" ht="14.25" customHeight="1" x14ac:dyDescent="0.35">
      <c r="A896" s="76"/>
      <c r="B896" s="87">
        <v>0</v>
      </c>
      <c r="C896" s="76"/>
      <c r="D896" s="85"/>
      <c r="E896" s="85"/>
      <c r="F896" s="85"/>
      <c r="G896" s="83"/>
      <c r="H896" s="86"/>
      <c r="I896" s="86"/>
      <c r="J896" s="86"/>
      <c r="K896" s="62"/>
      <c r="L896" s="86"/>
      <c r="M896" s="86"/>
      <c r="N896" s="86"/>
      <c r="O896" s="86"/>
      <c r="P896" s="86"/>
      <c r="Q896" s="86"/>
      <c r="R896" s="86"/>
      <c r="S896" s="86"/>
      <c r="T896" s="86"/>
      <c r="U896" s="86"/>
      <c r="V896" s="86"/>
      <c r="W896" s="86"/>
      <c r="X896" s="86"/>
      <c r="Y896" s="86"/>
      <c r="Z896" s="86"/>
      <c r="AA896" s="86"/>
    </row>
    <row r="897" spans="1:27" ht="14.25" customHeight="1" x14ac:dyDescent="0.35">
      <c r="A897" s="76"/>
      <c r="B897" s="87">
        <v>0</v>
      </c>
      <c r="C897" s="76"/>
      <c r="D897" s="85"/>
      <c r="E897" s="85"/>
      <c r="F897" s="85"/>
      <c r="G897" s="83"/>
      <c r="H897" s="86"/>
      <c r="I897" s="86"/>
      <c r="J897" s="86"/>
      <c r="K897" s="62"/>
      <c r="L897" s="86"/>
      <c r="M897" s="86"/>
      <c r="N897" s="86"/>
      <c r="O897" s="86"/>
      <c r="P897" s="86"/>
      <c r="Q897" s="86"/>
      <c r="R897" s="86"/>
      <c r="S897" s="86"/>
      <c r="T897" s="86"/>
      <c r="U897" s="86"/>
      <c r="V897" s="86"/>
      <c r="W897" s="86"/>
      <c r="X897" s="86"/>
      <c r="Y897" s="86"/>
      <c r="Z897" s="86"/>
      <c r="AA897" s="86"/>
    </row>
    <row r="898" spans="1:27" ht="14.25" customHeight="1" x14ac:dyDescent="0.35">
      <c r="A898" s="76"/>
      <c r="B898" s="87">
        <v>0</v>
      </c>
      <c r="C898" s="76"/>
      <c r="D898" s="85"/>
      <c r="E898" s="85"/>
      <c r="F898" s="85"/>
      <c r="G898" s="83"/>
      <c r="H898" s="86"/>
      <c r="I898" s="86"/>
      <c r="J898" s="86"/>
      <c r="K898" s="62"/>
      <c r="L898" s="86"/>
      <c r="M898" s="86"/>
      <c r="N898" s="86"/>
      <c r="O898" s="86"/>
      <c r="P898" s="86"/>
      <c r="Q898" s="86"/>
      <c r="R898" s="86"/>
      <c r="S898" s="86"/>
      <c r="T898" s="86"/>
      <c r="U898" s="86"/>
      <c r="V898" s="86"/>
      <c r="W898" s="86"/>
      <c r="X898" s="86"/>
      <c r="Y898" s="86"/>
      <c r="Z898" s="86"/>
      <c r="AA898" s="86"/>
    </row>
    <row r="899" spans="1:27" ht="14.25" customHeight="1" x14ac:dyDescent="0.35">
      <c r="A899" s="76"/>
      <c r="B899" s="87">
        <v>0</v>
      </c>
      <c r="C899" s="76"/>
      <c r="D899" s="85"/>
      <c r="E899" s="85"/>
      <c r="F899" s="85"/>
      <c r="G899" s="83"/>
      <c r="H899" s="86"/>
      <c r="I899" s="86"/>
      <c r="J899" s="86"/>
      <c r="K899" s="62"/>
      <c r="L899" s="86"/>
      <c r="M899" s="86"/>
      <c r="N899" s="86"/>
      <c r="O899" s="86"/>
      <c r="P899" s="86"/>
      <c r="Q899" s="86"/>
      <c r="R899" s="86"/>
      <c r="S899" s="86"/>
      <c r="T899" s="86"/>
      <c r="U899" s="86"/>
      <c r="V899" s="86"/>
      <c r="W899" s="86"/>
      <c r="X899" s="86"/>
      <c r="Y899" s="86"/>
      <c r="Z899" s="86"/>
      <c r="AA899" s="86"/>
    </row>
    <row r="900" spans="1:27" ht="14.25" customHeight="1" x14ac:dyDescent="0.35">
      <c r="A900" s="76"/>
      <c r="B900" s="84" t="str">
        <f t="array" ref="B900:B931">'Regioturnier 1'!$B$3:$B$34</f>
        <v>Ziqi Li</v>
      </c>
      <c r="C900" s="76"/>
      <c r="D900" s="85"/>
      <c r="E900" s="85"/>
      <c r="F900" s="85"/>
      <c r="G900" s="83"/>
      <c r="H900" s="86"/>
      <c r="I900" s="86"/>
      <c r="J900" s="86"/>
      <c r="K900" s="62"/>
      <c r="L900" s="86"/>
      <c r="M900" s="86"/>
      <c r="N900" s="86"/>
      <c r="O900" s="86"/>
      <c r="P900" s="86"/>
      <c r="Q900" s="86"/>
      <c r="R900" s="86"/>
      <c r="S900" s="86"/>
      <c r="T900" s="86"/>
      <c r="U900" s="86"/>
      <c r="V900" s="86"/>
      <c r="W900" s="86"/>
      <c r="X900" s="86"/>
      <c r="Y900" s="86"/>
      <c r="Z900" s="86"/>
      <c r="AA900" s="86"/>
    </row>
    <row r="901" spans="1:27" ht="14.25" customHeight="1" x14ac:dyDescent="0.35">
      <c r="A901" s="76"/>
      <c r="B901" s="77" t="str">
        <v>Zhenhui Tang</v>
      </c>
      <c r="C901" s="76"/>
      <c r="D901" s="85"/>
      <c r="E901" s="85"/>
      <c r="F901" s="85"/>
      <c r="G901" s="83"/>
      <c r="H901" s="86"/>
      <c r="I901" s="86"/>
      <c r="J901" s="86"/>
      <c r="K901" s="62"/>
      <c r="L901" s="86"/>
      <c r="M901" s="86"/>
      <c r="N901" s="86"/>
      <c r="O901" s="86"/>
      <c r="P901" s="86"/>
      <c r="Q901" s="86"/>
      <c r="R901" s="86"/>
      <c r="S901" s="86"/>
      <c r="T901" s="86"/>
      <c r="U901" s="86"/>
      <c r="V901" s="86"/>
      <c r="W901" s="86"/>
      <c r="X901" s="86"/>
      <c r="Y901" s="86"/>
      <c r="Z901" s="86"/>
      <c r="AA901" s="86"/>
    </row>
    <row r="902" spans="1:27" ht="14.25" customHeight="1" x14ac:dyDescent="0.35">
      <c r="A902" s="76"/>
      <c r="B902" s="77" t="str">
        <v>Valentin Grebien</v>
      </c>
      <c r="C902" s="76"/>
      <c r="D902" s="85"/>
      <c r="E902" s="85"/>
      <c r="F902" s="85"/>
      <c r="G902" s="83"/>
      <c r="H902" s="86"/>
      <c r="I902" s="86"/>
      <c r="J902" s="86"/>
      <c r="K902" s="62"/>
      <c r="L902" s="86"/>
      <c r="M902" s="86"/>
      <c r="N902" s="86"/>
      <c r="O902" s="86"/>
      <c r="P902" s="86"/>
      <c r="Q902" s="86"/>
      <c r="R902" s="86"/>
      <c r="S902" s="86"/>
      <c r="T902" s="86"/>
      <c r="U902" s="86"/>
      <c r="V902" s="86"/>
      <c r="W902" s="86"/>
      <c r="X902" s="86"/>
      <c r="Y902" s="86"/>
      <c r="Z902" s="86"/>
      <c r="AA902" s="86"/>
    </row>
    <row r="903" spans="1:27" ht="14.25" customHeight="1" x14ac:dyDescent="0.35">
      <c r="A903" s="76"/>
      <c r="B903" s="77" t="str">
        <v>Leon Lu</v>
      </c>
      <c r="C903" s="76"/>
      <c r="D903" s="85"/>
      <c r="E903" s="85"/>
      <c r="F903" s="85"/>
      <c r="G903" s="83"/>
      <c r="H903" s="86"/>
      <c r="I903" s="86"/>
      <c r="J903" s="86"/>
      <c r="K903" s="62"/>
      <c r="L903" s="86"/>
      <c r="M903" s="86"/>
      <c r="N903" s="86"/>
      <c r="O903" s="86"/>
      <c r="P903" s="86"/>
      <c r="Q903" s="86"/>
      <c r="R903" s="86"/>
      <c r="S903" s="86"/>
      <c r="T903" s="86"/>
      <c r="U903" s="86"/>
      <c r="V903" s="86"/>
      <c r="W903" s="86"/>
      <c r="X903" s="86"/>
      <c r="Y903" s="86"/>
      <c r="Z903" s="86"/>
      <c r="AA903" s="86"/>
    </row>
    <row r="904" spans="1:27" ht="14.25" customHeight="1" x14ac:dyDescent="0.35">
      <c r="A904" s="76"/>
      <c r="B904" s="77" t="str">
        <v>Xinjie Chen</v>
      </c>
      <c r="C904" s="76"/>
      <c r="D904" s="85"/>
      <c r="E904" s="85"/>
      <c r="F904" s="85"/>
      <c r="G904" s="83"/>
      <c r="H904" s="86"/>
      <c r="I904" s="86"/>
      <c r="J904" s="86"/>
      <c r="K904" s="62"/>
      <c r="L904" s="86"/>
      <c r="M904" s="86"/>
      <c r="N904" s="86"/>
      <c r="O904" s="86"/>
      <c r="P904" s="86"/>
      <c r="Q904" s="86"/>
      <c r="R904" s="86"/>
      <c r="S904" s="86"/>
      <c r="T904" s="86"/>
      <c r="U904" s="86"/>
      <c r="V904" s="86"/>
      <c r="W904" s="86"/>
      <c r="X904" s="86"/>
      <c r="Y904" s="86"/>
      <c r="Z904" s="86"/>
      <c r="AA904" s="86"/>
    </row>
    <row r="905" spans="1:27" ht="14.25" customHeight="1" x14ac:dyDescent="0.35">
      <c r="A905" s="76"/>
      <c r="B905" s="77" t="str">
        <v>Sebastian Dollinger</v>
      </c>
      <c r="C905" s="76"/>
      <c r="D905" s="85"/>
      <c r="E905" s="85"/>
      <c r="F905" s="85"/>
      <c r="G905" s="83"/>
      <c r="H905" s="86"/>
      <c r="I905" s="86"/>
      <c r="J905" s="86"/>
      <c r="K905" s="62"/>
      <c r="L905" s="86"/>
      <c r="M905" s="86"/>
      <c r="N905" s="86"/>
      <c r="O905" s="86"/>
      <c r="P905" s="86"/>
      <c r="Q905" s="86"/>
      <c r="R905" s="86"/>
      <c r="S905" s="86"/>
      <c r="T905" s="86"/>
      <c r="U905" s="86"/>
      <c r="V905" s="86"/>
      <c r="W905" s="86"/>
      <c r="X905" s="86"/>
      <c r="Y905" s="86"/>
      <c r="Z905" s="86"/>
      <c r="AA905" s="86"/>
    </row>
    <row r="906" spans="1:27" ht="14.25" customHeight="1" x14ac:dyDescent="0.35">
      <c r="A906" s="76"/>
      <c r="B906" s="77" t="str">
        <v>Mustafa Hussaini</v>
      </c>
      <c r="C906" s="76"/>
      <c r="D906" s="85"/>
      <c r="E906" s="85"/>
      <c r="F906" s="85"/>
      <c r="G906" s="83"/>
      <c r="H906" s="86"/>
      <c r="I906" s="86"/>
      <c r="J906" s="86"/>
      <c r="K906" s="62"/>
      <c r="L906" s="86"/>
      <c r="M906" s="86"/>
      <c r="N906" s="86"/>
      <c r="O906" s="86"/>
      <c r="P906" s="86"/>
      <c r="Q906" s="86"/>
      <c r="R906" s="86"/>
      <c r="S906" s="86"/>
      <c r="T906" s="86"/>
      <c r="U906" s="86"/>
      <c r="V906" s="86"/>
      <c r="W906" s="86"/>
      <c r="X906" s="86"/>
      <c r="Y906" s="86"/>
      <c r="Z906" s="86"/>
      <c r="AA906" s="86"/>
    </row>
    <row r="907" spans="1:27" ht="14.25" customHeight="1" x14ac:dyDescent="0.35">
      <c r="A907" s="76"/>
      <c r="B907" s="77" t="str">
        <v>Wenzel Tiapal</v>
      </c>
      <c r="C907" s="76"/>
      <c r="D907" s="85"/>
      <c r="E907" s="85"/>
      <c r="F907" s="85"/>
      <c r="G907" s="83"/>
      <c r="H907" s="86"/>
      <c r="I907" s="86"/>
      <c r="J907" s="86"/>
      <c r="K907" s="62"/>
      <c r="L907" s="86"/>
      <c r="M907" s="86"/>
      <c r="N907" s="86"/>
      <c r="O907" s="86"/>
      <c r="P907" s="86"/>
      <c r="Q907" s="86"/>
      <c r="R907" s="86"/>
      <c r="S907" s="86"/>
      <c r="T907" s="86"/>
      <c r="U907" s="86"/>
      <c r="V907" s="86"/>
      <c r="W907" s="86"/>
      <c r="X907" s="86"/>
      <c r="Y907" s="86"/>
      <c r="Z907" s="86"/>
      <c r="AA907" s="86"/>
    </row>
    <row r="908" spans="1:27" ht="14.25" customHeight="1" x14ac:dyDescent="0.35">
      <c r="A908" s="76"/>
      <c r="B908" s="77" t="str">
        <v>Elias Reisinger</v>
      </c>
      <c r="C908" s="76"/>
      <c r="D908" s="85"/>
      <c r="E908" s="85"/>
      <c r="F908" s="85"/>
      <c r="G908" s="83"/>
      <c r="H908" s="86"/>
      <c r="I908" s="86"/>
      <c r="J908" s="86"/>
      <c r="K908" s="62"/>
      <c r="L908" s="86"/>
      <c r="M908" s="86"/>
      <c r="N908" s="86"/>
      <c r="O908" s="86"/>
      <c r="P908" s="86"/>
      <c r="Q908" s="86"/>
      <c r="R908" s="86"/>
      <c r="S908" s="86"/>
      <c r="T908" s="86"/>
      <c r="U908" s="86"/>
      <c r="V908" s="86"/>
      <c r="W908" s="86"/>
      <c r="X908" s="86"/>
      <c r="Y908" s="86"/>
      <c r="Z908" s="86"/>
      <c r="AA908" s="86"/>
    </row>
    <row r="909" spans="1:27" ht="14.25" customHeight="1" x14ac:dyDescent="0.35">
      <c r="A909" s="76"/>
      <c r="B909" s="77" t="str">
        <v>Valentin Schefcik</v>
      </c>
      <c r="C909" s="76"/>
      <c r="D909" s="85"/>
      <c r="E909" s="85"/>
      <c r="F909" s="85"/>
      <c r="G909" s="83"/>
      <c r="H909" s="86"/>
      <c r="I909" s="86"/>
      <c r="J909" s="86"/>
      <c r="K909" s="62"/>
      <c r="L909" s="86"/>
      <c r="M909" s="86"/>
      <c r="N909" s="86"/>
      <c r="O909" s="86"/>
      <c r="P909" s="86"/>
      <c r="Q909" s="86"/>
      <c r="R909" s="86"/>
      <c r="S909" s="86"/>
      <c r="T909" s="86"/>
      <c r="U909" s="86"/>
      <c r="V909" s="86"/>
      <c r="W909" s="86"/>
      <c r="X909" s="86"/>
      <c r="Y909" s="86"/>
      <c r="Z909" s="86"/>
      <c r="AA909" s="86"/>
    </row>
    <row r="910" spans="1:27" ht="14.25" customHeight="1" x14ac:dyDescent="0.35">
      <c r="A910" s="76"/>
      <c r="B910" s="77" t="str">
        <v>Samuel Nemeskal</v>
      </c>
      <c r="C910" s="76"/>
      <c r="D910" s="85"/>
      <c r="E910" s="85"/>
      <c r="F910" s="85"/>
      <c r="G910" s="83"/>
      <c r="H910" s="86"/>
      <c r="I910" s="86"/>
      <c r="J910" s="86"/>
      <c r="K910" s="62"/>
      <c r="L910" s="86"/>
      <c r="M910" s="86"/>
      <c r="N910" s="86"/>
      <c r="O910" s="86"/>
      <c r="P910" s="86"/>
      <c r="Q910" s="86"/>
      <c r="R910" s="86"/>
      <c r="S910" s="86"/>
      <c r="T910" s="86"/>
      <c r="U910" s="86"/>
      <c r="V910" s="86"/>
      <c r="W910" s="86"/>
      <c r="X910" s="86"/>
      <c r="Y910" s="86"/>
      <c r="Z910" s="86"/>
      <c r="AA910" s="86"/>
    </row>
    <row r="911" spans="1:27" ht="14.25" customHeight="1" x14ac:dyDescent="0.35">
      <c r="A911" s="76"/>
      <c r="B911" s="77" t="str">
        <v>Alexander Huang</v>
      </c>
      <c r="C911" s="76"/>
      <c r="D911" s="85"/>
      <c r="E911" s="85"/>
      <c r="F911" s="85"/>
      <c r="G911" s="83"/>
      <c r="H911" s="86"/>
      <c r="I911" s="86"/>
      <c r="J911" s="86"/>
      <c r="K911" s="62"/>
      <c r="L911" s="86"/>
      <c r="M911" s="86"/>
      <c r="N911" s="86"/>
      <c r="O911" s="86"/>
      <c r="P911" s="86"/>
      <c r="Q911" s="86"/>
      <c r="R911" s="86"/>
      <c r="S911" s="86"/>
      <c r="T911" s="86"/>
      <c r="U911" s="86"/>
      <c r="V911" s="86"/>
      <c r="W911" s="86"/>
      <c r="X911" s="86"/>
      <c r="Y911" s="86"/>
      <c r="Z911" s="86"/>
      <c r="AA911" s="86"/>
    </row>
    <row r="912" spans="1:27" ht="14.25" customHeight="1" x14ac:dyDescent="0.35">
      <c r="A912" s="76"/>
      <c r="B912" s="77" t="str">
        <v>Aron Massl</v>
      </c>
      <c r="C912" s="76"/>
      <c r="D912" s="85"/>
      <c r="E912" s="85"/>
      <c r="F912" s="85"/>
      <c r="G912" s="83"/>
      <c r="H912" s="86"/>
      <c r="I912" s="86"/>
      <c r="J912" s="86"/>
      <c r="K912" s="62"/>
      <c r="L912" s="86"/>
      <c r="M912" s="86"/>
      <c r="N912" s="86"/>
      <c r="O912" s="86"/>
      <c r="P912" s="86"/>
      <c r="Q912" s="86"/>
      <c r="R912" s="86"/>
      <c r="S912" s="86"/>
      <c r="T912" s="86"/>
      <c r="U912" s="86"/>
      <c r="V912" s="86"/>
      <c r="W912" s="86"/>
      <c r="X912" s="86"/>
      <c r="Y912" s="86"/>
      <c r="Z912" s="86"/>
      <c r="AA912" s="86"/>
    </row>
    <row r="913" spans="1:27" ht="14.25" customHeight="1" x14ac:dyDescent="0.35">
      <c r="A913" s="76"/>
      <c r="B913" s="77">
        <v>0</v>
      </c>
      <c r="C913" s="76"/>
      <c r="D913" s="85"/>
      <c r="E913" s="85"/>
      <c r="F913" s="85"/>
      <c r="G913" s="83"/>
      <c r="H913" s="86"/>
      <c r="I913" s="86"/>
      <c r="J913" s="86"/>
      <c r="K913" s="62"/>
      <c r="L913" s="86"/>
      <c r="M913" s="86"/>
      <c r="N913" s="86"/>
      <c r="O913" s="86"/>
      <c r="P913" s="86"/>
      <c r="Q913" s="86"/>
      <c r="R913" s="86"/>
      <c r="S913" s="86"/>
      <c r="T913" s="86"/>
      <c r="U913" s="86"/>
      <c r="V913" s="86"/>
      <c r="W913" s="86"/>
      <c r="X913" s="86"/>
      <c r="Y913" s="86"/>
      <c r="Z913" s="86"/>
      <c r="AA913" s="86"/>
    </row>
    <row r="914" spans="1:27" ht="14.25" customHeight="1" x14ac:dyDescent="0.35">
      <c r="A914" s="76"/>
      <c r="B914" s="77">
        <v>0</v>
      </c>
      <c r="C914" s="76"/>
      <c r="D914" s="85"/>
      <c r="E914" s="85"/>
      <c r="F914" s="85"/>
      <c r="G914" s="83"/>
      <c r="H914" s="86"/>
      <c r="I914" s="86"/>
      <c r="J914" s="86"/>
      <c r="K914" s="62"/>
      <c r="L914" s="86"/>
      <c r="M914" s="86"/>
      <c r="N914" s="86"/>
      <c r="O914" s="86"/>
      <c r="P914" s="86"/>
      <c r="Q914" s="86"/>
      <c r="R914" s="86"/>
      <c r="S914" s="86"/>
      <c r="T914" s="86"/>
      <c r="U914" s="86"/>
      <c r="V914" s="86"/>
      <c r="W914" s="86"/>
      <c r="X914" s="86"/>
      <c r="Y914" s="86"/>
      <c r="Z914" s="86"/>
      <c r="AA914" s="86"/>
    </row>
    <row r="915" spans="1:27" ht="14.25" customHeight="1" x14ac:dyDescent="0.35">
      <c r="A915" s="76"/>
      <c r="B915" s="77">
        <v>0</v>
      </c>
      <c r="C915" s="76"/>
      <c r="D915" s="85"/>
      <c r="E915" s="85"/>
      <c r="F915" s="85"/>
      <c r="G915" s="83"/>
      <c r="H915" s="86"/>
      <c r="I915" s="86"/>
      <c r="J915" s="86"/>
      <c r="K915" s="62"/>
      <c r="L915" s="86"/>
      <c r="M915" s="86"/>
      <c r="N915" s="86"/>
      <c r="O915" s="86"/>
      <c r="P915" s="86"/>
      <c r="Q915" s="86"/>
      <c r="R915" s="86"/>
      <c r="S915" s="86"/>
      <c r="T915" s="86"/>
      <c r="U915" s="86"/>
      <c r="V915" s="86"/>
      <c r="W915" s="86"/>
      <c r="X915" s="86"/>
      <c r="Y915" s="86"/>
      <c r="Z915" s="86"/>
      <c r="AA915" s="86"/>
    </row>
    <row r="916" spans="1:27" ht="14.25" customHeight="1" x14ac:dyDescent="0.35">
      <c r="A916" s="76"/>
      <c r="B916" s="77">
        <v>0</v>
      </c>
      <c r="C916" s="76"/>
      <c r="D916" s="85"/>
      <c r="E916" s="85"/>
      <c r="F916" s="85"/>
      <c r="G916" s="83"/>
      <c r="H916" s="86"/>
      <c r="I916" s="86"/>
      <c r="J916" s="86"/>
      <c r="K916" s="62"/>
      <c r="L916" s="86"/>
      <c r="M916" s="86"/>
      <c r="N916" s="86"/>
      <c r="O916" s="86"/>
      <c r="P916" s="86"/>
      <c r="Q916" s="86"/>
      <c r="R916" s="86"/>
      <c r="S916" s="86"/>
      <c r="T916" s="86"/>
      <c r="U916" s="86"/>
      <c r="V916" s="86"/>
      <c r="W916" s="86"/>
      <c r="X916" s="86"/>
      <c r="Y916" s="86"/>
      <c r="Z916" s="86"/>
      <c r="AA916" s="86"/>
    </row>
    <row r="917" spans="1:27" ht="14.25" customHeight="1" x14ac:dyDescent="0.35">
      <c r="A917" s="76"/>
      <c r="B917" s="77">
        <v>0</v>
      </c>
      <c r="C917" s="76"/>
      <c r="D917" s="85"/>
      <c r="E917" s="85"/>
      <c r="F917" s="85"/>
      <c r="G917" s="83"/>
      <c r="H917" s="86"/>
      <c r="I917" s="86"/>
      <c r="J917" s="86"/>
      <c r="K917" s="62"/>
      <c r="L917" s="86"/>
      <c r="M917" s="86"/>
      <c r="N917" s="86"/>
      <c r="O917" s="86"/>
      <c r="P917" s="86"/>
      <c r="Q917" s="86"/>
      <c r="R917" s="86"/>
      <c r="S917" s="86"/>
      <c r="T917" s="86"/>
      <c r="U917" s="86"/>
      <c r="V917" s="86"/>
      <c r="W917" s="86"/>
      <c r="X917" s="86"/>
      <c r="Y917" s="86"/>
      <c r="Z917" s="86"/>
      <c r="AA917" s="86"/>
    </row>
    <row r="918" spans="1:27" ht="14.25" customHeight="1" x14ac:dyDescent="0.35">
      <c r="A918" s="76"/>
      <c r="B918" s="77">
        <v>0</v>
      </c>
      <c r="C918" s="76"/>
      <c r="D918" s="85"/>
      <c r="E918" s="85"/>
      <c r="F918" s="85"/>
      <c r="G918" s="83"/>
      <c r="H918" s="86"/>
      <c r="I918" s="86"/>
      <c r="J918" s="86"/>
      <c r="K918" s="62"/>
      <c r="L918" s="86"/>
      <c r="M918" s="86"/>
      <c r="N918" s="86"/>
      <c r="O918" s="86"/>
      <c r="P918" s="86"/>
      <c r="Q918" s="86"/>
      <c r="R918" s="86"/>
      <c r="S918" s="86"/>
      <c r="T918" s="86"/>
      <c r="U918" s="86"/>
      <c r="V918" s="86"/>
      <c r="W918" s="86"/>
      <c r="X918" s="86"/>
      <c r="Y918" s="86"/>
      <c r="Z918" s="86"/>
      <c r="AA918" s="86"/>
    </row>
    <row r="919" spans="1:27" ht="14.25" customHeight="1" x14ac:dyDescent="0.35">
      <c r="A919" s="76"/>
      <c r="B919" s="77">
        <v>0</v>
      </c>
      <c r="C919" s="76"/>
      <c r="D919" s="85"/>
      <c r="E919" s="85"/>
      <c r="F919" s="85"/>
      <c r="G919" s="83"/>
      <c r="H919" s="86"/>
      <c r="I919" s="86"/>
      <c r="J919" s="86"/>
      <c r="K919" s="62"/>
      <c r="L919" s="86"/>
      <c r="M919" s="86"/>
      <c r="N919" s="86"/>
      <c r="O919" s="86"/>
      <c r="P919" s="86"/>
      <c r="Q919" s="86"/>
      <c r="R919" s="86"/>
      <c r="S919" s="86"/>
      <c r="T919" s="86"/>
      <c r="U919" s="86"/>
      <c r="V919" s="86"/>
      <c r="W919" s="86"/>
      <c r="X919" s="86"/>
      <c r="Y919" s="86"/>
      <c r="Z919" s="86"/>
      <c r="AA919" s="86"/>
    </row>
    <row r="920" spans="1:27" ht="14.25" customHeight="1" x14ac:dyDescent="0.35">
      <c r="A920" s="76"/>
      <c r="B920" s="77">
        <v>0</v>
      </c>
      <c r="C920" s="76"/>
      <c r="D920" s="85"/>
      <c r="E920" s="85"/>
      <c r="F920" s="85"/>
      <c r="G920" s="83"/>
      <c r="H920" s="86"/>
      <c r="I920" s="86"/>
      <c r="J920" s="86"/>
      <c r="K920" s="62"/>
      <c r="L920" s="86"/>
      <c r="M920" s="86"/>
      <c r="N920" s="86"/>
      <c r="O920" s="86"/>
      <c r="P920" s="86"/>
      <c r="Q920" s="86"/>
      <c r="R920" s="86"/>
      <c r="S920" s="86"/>
      <c r="T920" s="86"/>
      <c r="U920" s="86"/>
      <c r="V920" s="86"/>
      <c r="W920" s="86"/>
      <c r="X920" s="86"/>
      <c r="Y920" s="86"/>
      <c r="Z920" s="86"/>
      <c r="AA920" s="86"/>
    </row>
    <row r="921" spans="1:27" ht="14.25" customHeight="1" x14ac:dyDescent="0.35">
      <c r="A921" s="76"/>
      <c r="B921" s="77">
        <v>0</v>
      </c>
      <c r="C921" s="76"/>
      <c r="D921" s="85"/>
      <c r="E921" s="85"/>
      <c r="F921" s="85"/>
      <c r="G921" s="83"/>
      <c r="H921" s="86"/>
      <c r="I921" s="86"/>
      <c r="J921" s="86"/>
      <c r="K921" s="62"/>
      <c r="L921" s="86"/>
      <c r="M921" s="86"/>
      <c r="N921" s="86"/>
      <c r="O921" s="86"/>
      <c r="P921" s="86"/>
      <c r="Q921" s="86"/>
      <c r="R921" s="86"/>
      <c r="S921" s="86"/>
      <c r="T921" s="86"/>
      <c r="U921" s="86"/>
      <c r="V921" s="86"/>
      <c r="W921" s="86"/>
      <c r="X921" s="86"/>
      <c r="Y921" s="86"/>
      <c r="Z921" s="86"/>
      <c r="AA921" s="86"/>
    </row>
    <row r="922" spans="1:27" ht="14.25" customHeight="1" x14ac:dyDescent="0.35">
      <c r="A922" s="76"/>
      <c r="B922" s="77">
        <v>0</v>
      </c>
      <c r="C922" s="76"/>
      <c r="D922" s="85"/>
      <c r="E922" s="85"/>
      <c r="F922" s="85"/>
      <c r="G922" s="83"/>
      <c r="H922" s="86"/>
      <c r="I922" s="86"/>
      <c r="J922" s="86"/>
      <c r="K922" s="62"/>
      <c r="L922" s="86"/>
      <c r="M922" s="86"/>
      <c r="N922" s="86"/>
      <c r="O922" s="86"/>
      <c r="P922" s="86"/>
      <c r="Q922" s="86"/>
      <c r="R922" s="86"/>
      <c r="S922" s="86"/>
      <c r="T922" s="86"/>
      <c r="U922" s="86"/>
      <c r="V922" s="86"/>
      <c r="W922" s="86"/>
      <c r="X922" s="86"/>
      <c r="Y922" s="86"/>
      <c r="Z922" s="86"/>
      <c r="AA922" s="86"/>
    </row>
    <row r="923" spans="1:27" ht="14.25" customHeight="1" x14ac:dyDescent="0.35">
      <c r="A923" s="76"/>
      <c r="B923" s="77">
        <v>0</v>
      </c>
      <c r="C923" s="76"/>
      <c r="D923" s="85"/>
      <c r="E923" s="85"/>
      <c r="F923" s="85"/>
      <c r="G923" s="83"/>
      <c r="H923" s="86"/>
      <c r="I923" s="86"/>
      <c r="J923" s="86"/>
      <c r="K923" s="62"/>
      <c r="L923" s="86"/>
      <c r="M923" s="86"/>
      <c r="N923" s="86"/>
      <c r="O923" s="86"/>
      <c r="P923" s="86"/>
      <c r="Q923" s="86"/>
      <c r="R923" s="86"/>
      <c r="S923" s="86"/>
      <c r="T923" s="86"/>
      <c r="U923" s="86"/>
      <c r="V923" s="86"/>
      <c r="W923" s="86"/>
      <c r="X923" s="86"/>
      <c r="Y923" s="86"/>
      <c r="Z923" s="86"/>
      <c r="AA923" s="86"/>
    </row>
    <row r="924" spans="1:27" ht="14.25" customHeight="1" x14ac:dyDescent="0.35">
      <c r="A924" s="76"/>
      <c r="B924" s="77">
        <v>0</v>
      </c>
      <c r="C924" s="76"/>
      <c r="D924" s="85"/>
      <c r="E924" s="85"/>
      <c r="F924" s="85"/>
      <c r="G924" s="83"/>
      <c r="H924" s="86"/>
      <c r="I924" s="86"/>
      <c r="J924" s="86"/>
      <c r="K924" s="62"/>
      <c r="L924" s="86"/>
      <c r="M924" s="86"/>
      <c r="N924" s="86"/>
      <c r="O924" s="86"/>
      <c r="P924" s="86"/>
      <c r="Q924" s="86"/>
      <c r="R924" s="86"/>
      <c r="S924" s="86"/>
      <c r="T924" s="86"/>
      <c r="U924" s="86"/>
      <c r="V924" s="86"/>
      <c r="W924" s="86"/>
      <c r="X924" s="86"/>
      <c r="Y924" s="86"/>
      <c r="Z924" s="86"/>
      <c r="AA924" s="86"/>
    </row>
    <row r="925" spans="1:27" ht="14.25" customHeight="1" x14ac:dyDescent="0.35">
      <c r="A925" s="76"/>
      <c r="B925" s="77">
        <v>0</v>
      </c>
      <c r="C925" s="76"/>
      <c r="D925" s="85"/>
      <c r="E925" s="85"/>
      <c r="F925" s="85"/>
      <c r="G925" s="83"/>
      <c r="H925" s="86"/>
      <c r="I925" s="86"/>
      <c r="J925" s="86"/>
      <c r="K925" s="62"/>
      <c r="L925" s="86"/>
      <c r="M925" s="86"/>
      <c r="N925" s="86"/>
      <c r="O925" s="86"/>
      <c r="P925" s="86"/>
      <c r="Q925" s="86"/>
      <c r="R925" s="86"/>
      <c r="S925" s="86"/>
      <c r="T925" s="86"/>
      <c r="U925" s="86"/>
      <c r="V925" s="86"/>
      <c r="W925" s="86"/>
      <c r="X925" s="86"/>
      <c r="Y925" s="86"/>
      <c r="Z925" s="86"/>
      <c r="AA925" s="86"/>
    </row>
    <row r="926" spans="1:27" ht="14.25" customHeight="1" x14ac:dyDescent="0.35">
      <c r="A926" s="76"/>
      <c r="B926" s="77">
        <v>0</v>
      </c>
      <c r="C926" s="76"/>
      <c r="D926" s="85"/>
      <c r="E926" s="85"/>
      <c r="F926" s="85"/>
      <c r="G926" s="83"/>
      <c r="H926" s="86"/>
      <c r="I926" s="86"/>
      <c r="J926" s="86"/>
      <c r="K926" s="62"/>
      <c r="L926" s="86"/>
      <c r="M926" s="86"/>
      <c r="N926" s="86"/>
      <c r="O926" s="86"/>
      <c r="P926" s="86"/>
      <c r="Q926" s="86"/>
      <c r="R926" s="86"/>
      <c r="S926" s="86"/>
      <c r="T926" s="86"/>
      <c r="U926" s="86"/>
      <c r="V926" s="86"/>
      <c r="W926" s="86"/>
      <c r="X926" s="86"/>
      <c r="Y926" s="86"/>
      <c r="Z926" s="86"/>
      <c r="AA926" s="86"/>
    </row>
    <row r="927" spans="1:27" ht="14.25" customHeight="1" x14ac:dyDescent="0.35">
      <c r="A927" s="76"/>
      <c r="B927" s="77">
        <v>0</v>
      </c>
      <c r="C927" s="76"/>
      <c r="D927" s="85"/>
      <c r="E927" s="85"/>
      <c r="F927" s="85"/>
      <c r="G927" s="83"/>
      <c r="H927" s="86"/>
      <c r="I927" s="86"/>
      <c r="J927" s="86"/>
      <c r="K927" s="62"/>
      <c r="L927" s="86"/>
      <c r="M927" s="86"/>
      <c r="N927" s="86"/>
      <c r="O927" s="86"/>
      <c r="P927" s="86"/>
      <c r="Q927" s="86"/>
      <c r="R927" s="86"/>
      <c r="S927" s="86"/>
      <c r="T927" s="86"/>
      <c r="U927" s="86"/>
      <c r="V927" s="86"/>
      <c r="W927" s="86"/>
      <c r="X927" s="86"/>
      <c r="Y927" s="86"/>
      <c r="Z927" s="86"/>
      <c r="AA927" s="86"/>
    </row>
    <row r="928" spans="1:27" ht="14.25" customHeight="1" x14ac:dyDescent="0.35">
      <c r="A928" s="76"/>
      <c r="B928" s="77">
        <v>0</v>
      </c>
      <c r="C928" s="76"/>
      <c r="D928" s="85"/>
      <c r="E928" s="85"/>
      <c r="F928" s="85"/>
      <c r="G928" s="83"/>
      <c r="H928" s="86"/>
      <c r="I928" s="86"/>
      <c r="J928" s="86"/>
      <c r="K928" s="62"/>
      <c r="L928" s="86"/>
      <c r="M928" s="86"/>
      <c r="N928" s="86"/>
      <c r="O928" s="86"/>
      <c r="P928" s="86"/>
      <c r="Q928" s="86"/>
      <c r="R928" s="86"/>
      <c r="S928" s="86"/>
      <c r="T928" s="86"/>
      <c r="U928" s="86"/>
      <c r="V928" s="86"/>
      <c r="W928" s="86"/>
      <c r="X928" s="86"/>
      <c r="Y928" s="86"/>
      <c r="Z928" s="86"/>
      <c r="AA928" s="86"/>
    </row>
    <row r="929" spans="1:27" ht="14.25" customHeight="1" x14ac:dyDescent="0.35">
      <c r="A929" s="76"/>
      <c r="B929" s="77">
        <v>0</v>
      </c>
      <c r="C929" s="76"/>
      <c r="D929" s="85"/>
      <c r="E929" s="85"/>
      <c r="F929" s="85"/>
      <c r="G929" s="83"/>
      <c r="H929" s="86"/>
      <c r="I929" s="86"/>
      <c r="J929" s="86"/>
      <c r="K929" s="62"/>
      <c r="L929" s="86"/>
      <c r="M929" s="86"/>
      <c r="N929" s="86"/>
      <c r="O929" s="86"/>
      <c r="P929" s="86"/>
      <c r="Q929" s="86"/>
      <c r="R929" s="86"/>
      <c r="S929" s="86"/>
      <c r="T929" s="86"/>
      <c r="U929" s="86"/>
      <c r="V929" s="86"/>
      <c r="W929" s="86"/>
      <c r="X929" s="86"/>
      <c r="Y929" s="86"/>
      <c r="Z929" s="86"/>
      <c r="AA929" s="86"/>
    </row>
    <row r="930" spans="1:27" ht="14.25" customHeight="1" x14ac:dyDescent="0.35">
      <c r="A930" s="76"/>
      <c r="B930" s="77">
        <v>0</v>
      </c>
      <c r="C930" s="76"/>
      <c r="D930" s="85"/>
      <c r="E930" s="85"/>
      <c r="F930" s="85"/>
      <c r="G930" s="83"/>
      <c r="H930" s="86"/>
      <c r="I930" s="86"/>
      <c r="J930" s="86"/>
      <c r="K930" s="62"/>
      <c r="L930" s="86"/>
      <c r="M930" s="86"/>
      <c r="N930" s="86"/>
      <c r="O930" s="86"/>
      <c r="P930" s="86"/>
      <c r="Q930" s="86"/>
      <c r="R930" s="86"/>
      <c r="S930" s="86"/>
      <c r="T930" s="86"/>
      <c r="U930" s="86"/>
      <c r="V930" s="86"/>
      <c r="W930" s="86"/>
      <c r="X930" s="86"/>
      <c r="Y930" s="86"/>
      <c r="Z930" s="86"/>
      <c r="AA930" s="86"/>
    </row>
    <row r="931" spans="1:27" ht="14.25" customHeight="1" x14ac:dyDescent="0.35">
      <c r="A931" s="76"/>
      <c r="B931" s="77">
        <v>0</v>
      </c>
      <c r="C931" s="76"/>
      <c r="D931" s="85"/>
      <c r="E931" s="85"/>
      <c r="F931" s="85"/>
      <c r="G931" s="83"/>
      <c r="H931" s="86"/>
      <c r="I931" s="86"/>
      <c r="J931" s="86"/>
      <c r="K931" s="62"/>
      <c r="L931" s="86"/>
      <c r="M931" s="86"/>
      <c r="N931" s="86"/>
      <c r="O931" s="86"/>
      <c r="P931" s="86"/>
      <c r="Q931" s="86"/>
      <c r="R931" s="86"/>
      <c r="S931" s="86"/>
      <c r="T931" s="86"/>
      <c r="U931" s="86"/>
      <c r="V931" s="86"/>
      <c r="W931" s="86"/>
      <c r="X931" s="86"/>
      <c r="Y931" s="86"/>
      <c r="Z931" s="86"/>
      <c r="AA931" s="86"/>
    </row>
    <row r="932" spans="1:27" ht="14.25" customHeight="1" x14ac:dyDescent="0.35">
      <c r="A932" s="76"/>
      <c r="B932" s="77" t="str">
        <f t="array" ref="B932:B963">'Regioturnier 1'!$F$3:$F$34</f>
        <v>Philipp Grebien</v>
      </c>
      <c r="C932" s="76"/>
      <c r="D932" s="85"/>
      <c r="E932" s="85"/>
      <c r="F932" s="85"/>
      <c r="G932" s="83"/>
      <c r="H932" s="86"/>
      <c r="I932" s="86"/>
      <c r="J932" s="86"/>
      <c r="K932" s="62"/>
      <c r="L932" s="86"/>
      <c r="M932" s="86"/>
      <c r="N932" s="86"/>
      <c r="O932" s="86"/>
      <c r="P932" s="86"/>
      <c r="Q932" s="86"/>
      <c r="R932" s="86"/>
      <c r="S932" s="86"/>
      <c r="T932" s="86"/>
      <c r="U932" s="86"/>
      <c r="V932" s="86"/>
      <c r="W932" s="86"/>
      <c r="X932" s="86"/>
      <c r="Y932" s="86"/>
      <c r="Z932" s="86"/>
      <c r="AA932" s="86"/>
    </row>
    <row r="933" spans="1:27" ht="14.25" customHeight="1" x14ac:dyDescent="0.35">
      <c r="A933" s="76"/>
      <c r="B933" s="77" t="str">
        <v>Robin Schwaiger</v>
      </c>
      <c r="C933" s="76"/>
      <c r="D933" s="85"/>
      <c r="E933" s="85"/>
      <c r="F933" s="85"/>
      <c r="G933" s="83"/>
      <c r="H933" s="86"/>
      <c r="I933" s="86"/>
      <c r="J933" s="86"/>
      <c r="K933" s="62"/>
      <c r="L933" s="86"/>
      <c r="M933" s="86"/>
      <c r="N933" s="86"/>
      <c r="O933" s="86"/>
      <c r="P933" s="86"/>
      <c r="Q933" s="86"/>
      <c r="R933" s="86"/>
      <c r="S933" s="86"/>
      <c r="T933" s="86"/>
      <c r="U933" s="86"/>
      <c r="V933" s="86"/>
      <c r="W933" s="86"/>
      <c r="X933" s="86"/>
      <c r="Y933" s="86"/>
      <c r="Z933" s="86"/>
      <c r="AA933" s="86"/>
    </row>
    <row r="934" spans="1:27" ht="14.25" customHeight="1" x14ac:dyDescent="0.35">
      <c r="A934" s="76"/>
      <c r="B934" s="77" t="str">
        <v>Rafael Markus Gálos</v>
      </c>
      <c r="C934" s="76"/>
      <c r="D934" s="85"/>
      <c r="E934" s="85"/>
      <c r="F934" s="85"/>
      <c r="G934" s="83"/>
      <c r="H934" s="86"/>
      <c r="I934" s="86"/>
      <c r="J934" s="86"/>
      <c r="K934" s="62"/>
      <c r="L934" s="86"/>
      <c r="M934" s="86"/>
      <c r="N934" s="86"/>
      <c r="O934" s="86"/>
      <c r="P934" s="86"/>
      <c r="Q934" s="86"/>
      <c r="R934" s="86"/>
      <c r="S934" s="86"/>
      <c r="T934" s="86"/>
      <c r="U934" s="86"/>
      <c r="V934" s="86"/>
      <c r="W934" s="86"/>
      <c r="X934" s="86"/>
      <c r="Y934" s="86"/>
      <c r="Z934" s="86"/>
      <c r="AA934" s="86"/>
    </row>
    <row r="935" spans="1:27" ht="14.25" customHeight="1" x14ac:dyDescent="0.35">
      <c r="A935" s="76"/>
      <c r="B935" s="77" t="str">
        <v>Alexander Zadera</v>
      </c>
      <c r="C935" s="76"/>
      <c r="D935" s="85"/>
      <c r="E935" s="85"/>
      <c r="F935" s="85"/>
      <c r="G935" s="83"/>
      <c r="H935" s="86"/>
      <c r="I935" s="86"/>
      <c r="J935" s="86"/>
      <c r="K935" s="62"/>
      <c r="L935" s="86"/>
      <c r="M935" s="86"/>
      <c r="N935" s="86"/>
      <c r="O935" s="86"/>
      <c r="P935" s="86"/>
      <c r="Q935" s="86"/>
      <c r="R935" s="86"/>
      <c r="S935" s="86"/>
      <c r="T935" s="86"/>
      <c r="U935" s="86"/>
      <c r="V935" s="86"/>
      <c r="W935" s="86"/>
      <c r="X935" s="86"/>
      <c r="Y935" s="86"/>
      <c r="Z935" s="86"/>
      <c r="AA935" s="86"/>
    </row>
    <row r="936" spans="1:27" ht="14.25" customHeight="1" x14ac:dyDescent="0.35">
      <c r="A936" s="76"/>
      <c r="B936" s="77" t="str">
        <v>Boen Yan</v>
      </c>
      <c r="C936" s="76"/>
      <c r="D936" s="85"/>
      <c r="E936" s="85"/>
      <c r="F936" s="85"/>
      <c r="G936" s="83"/>
      <c r="H936" s="86"/>
      <c r="I936" s="86"/>
      <c r="J936" s="86"/>
      <c r="K936" s="62"/>
      <c r="L936" s="86"/>
      <c r="M936" s="86"/>
      <c r="N936" s="86"/>
      <c r="O936" s="86"/>
      <c r="P936" s="86"/>
      <c r="Q936" s="86"/>
      <c r="R936" s="86"/>
      <c r="S936" s="86"/>
      <c r="T936" s="86"/>
      <c r="U936" s="86"/>
      <c r="V936" s="86"/>
      <c r="W936" s="86"/>
      <c r="X936" s="86"/>
      <c r="Y936" s="86"/>
      <c r="Z936" s="86"/>
      <c r="AA936" s="86"/>
    </row>
    <row r="937" spans="1:27" ht="14.25" customHeight="1" x14ac:dyDescent="0.35">
      <c r="A937" s="76"/>
      <c r="B937" s="77" t="str">
        <v>Felix Sztatecsny</v>
      </c>
      <c r="C937" s="76"/>
      <c r="D937" s="85"/>
      <c r="E937" s="85"/>
      <c r="F937" s="85"/>
      <c r="G937" s="83"/>
      <c r="H937" s="86"/>
      <c r="I937" s="86"/>
      <c r="J937" s="86"/>
      <c r="K937" s="62"/>
      <c r="L937" s="86"/>
      <c r="M937" s="86"/>
      <c r="N937" s="86"/>
      <c r="O937" s="86"/>
      <c r="P937" s="86"/>
      <c r="Q937" s="86"/>
      <c r="R937" s="86"/>
      <c r="S937" s="86"/>
      <c r="T937" s="86"/>
      <c r="U937" s="86"/>
      <c r="V937" s="86"/>
      <c r="W937" s="86"/>
      <c r="X937" s="86"/>
      <c r="Y937" s="86"/>
      <c r="Z937" s="86"/>
      <c r="AA937" s="86"/>
    </row>
    <row r="938" spans="1:27" ht="14.25" customHeight="1" x14ac:dyDescent="0.35">
      <c r="A938" s="76"/>
      <c r="B938" s="77" t="str">
        <v>Tim Loy</v>
      </c>
      <c r="C938" s="76"/>
      <c r="D938" s="85"/>
      <c r="E938" s="85"/>
      <c r="F938" s="85"/>
      <c r="G938" s="83"/>
      <c r="H938" s="86"/>
      <c r="I938" s="86"/>
      <c r="J938" s="86"/>
      <c r="K938" s="62"/>
      <c r="L938" s="86"/>
      <c r="M938" s="86"/>
      <c r="N938" s="86"/>
      <c r="O938" s="86"/>
      <c r="P938" s="86"/>
      <c r="Q938" s="86"/>
      <c r="R938" s="86"/>
      <c r="S938" s="86"/>
      <c r="T938" s="86"/>
      <c r="U938" s="86"/>
      <c r="V938" s="86"/>
      <c r="W938" s="86"/>
      <c r="X938" s="86"/>
      <c r="Y938" s="86"/>
      <c r="Z938" s="86"/>
      <c r="AA938" s="86"/>
    </row>
    <row r="939" spans="1:27" ht="14.25" customHeight="1" x14ac:dyDescent="0.35">
      <c r="A939" s="76"/>
      <c r="B939" s="77" t="str">
        <v>Emil Fathulla</v>
      </c>
      <c r="C939" s="76"/>
      <c r="D939" s="85"/>
      <c r="E939" s="85"/>
      <c r="F939" s="85"/>
      <c r="G939" s="83"/>
      <c r="H939" s="86"/>
      <c r="I939" s="86"/>
      <c r="J939" s="86"/>
      <c r="K939" s="62"/>
      <c r="L939" s="86"/>
      <c r="M939" s="86"/>
      <c r="N939" s="86"/>
      <c r="O939" s="86"/>
      <c r="P939" s="86"/>
      <c r="Q939" s="86"/>
      <c r="R939" s="86"/>
      <c r="S939" s="86"/>
      <c r="T939" s="86"/>
      <c r="U939" s="86"/>
      <c r="V939" s="86"/>
      <c r="W939" s="86"/>
      <c r="X939" s="86"/>
      <c r="Y939" s="86"/>
      <c r="Z939" s="86"/>
      <c r="AA939" s="86"/>
    </row>
    <row r="940" spans="1:27" ht="14.25" customHeight="1" x14ac:dyDescent="0.35">
      <c r="A940" s="76"/>
      <c r="B940" s="77" t="str">
        <v>Leonhard Keiler</v>
      </c>
      <c r="C940" s="76"/>
      <c r="D940" s="85"/>
      <c r="E940" s="85"/>
      <c r="F940" s="85"/>
      <c r="G940" s="83"/>
      <c r="H940" s="86"/>
      <c r="I940" s="86"/>
      <c r="J940" s="86"/>
      <c r="K940" s="62"/>
      <c r="L940" s="86"/>
      <c r="M940" s="86"/>
      <c r="N940" s="86"/>
      <c r="O940" s="86"/>
      <c r="P940" s="86"/>
      <c r="Q940" s="86"/>
      <c r="R940" s="86"/>
      <c r="S940" s="86"/>
      <c r="T940" s="86"/>
      <c r="U940" s="86"/>
      <c r="V940" s="86"/>
      <c r="W940" s="86"/>
      <c r="X940" s="86"/>
      <c r="Y940" s="86"/>
      <c r="Z940" s="86"/>
      <c r="AA940" s="86"/>
    </row>
    <row r="941" spans="1:27" ht="14.25" customHeight="1" x14ac:dyDescent="0.35">
      <c r="A941" s="76"/>
      <c r="B941" s="77" t="str">
        <v>Tim Jeitler</v>
      </c>
      <c r="C941" s="76"/>
      <c r="D941" s="85"/>
      <c r="E941" s="85"/>
      <c r="F941" s="85"/>
      <c r="G941" s="83"/>
      <c r="H941" s="86"/>
      <c r="I941" s="86"/>
      <c r="J941" s="86"/>
      <c r="K941" s="62"/>
      <c r="L941" s="86"/>
      <c r="M941" s="86"/>
      <c r="N941" s="86"/>
      <c r="O941" s="86"/>
      <c r="P941" s="86"/>
      <c r="Q941" s="86"/>
      <c r="R941" s="86"/>
      <c r="S941" s="86"/>
      <c r="T941" s="86"/>
      <c r="U941" s="86"/>
      <c r="V941" s="86"/>
      <c r="W941" s="86"/>
      <c r="X941" s="86"/>
      <c r="Y941" s="86"/>
      <c r="Z941" s="86"/>
      <c r="AA941" s="86"/>
    </row>
    <row r="942" spans="1:27" ht="14.25" customHeight="1" x14ac:dyDescent="0.35">
      <c r="A942" s="76"/>
      <c r="B942" s="77" t="str">
        <v>Ilian Reisinger</v>
      </c>
      <c r="C942" s="76"/>
      <c r="D942" s="85"/>
      <c r="E942" s="85"/>
      <c r="F942" s="85"/>
      <c r="G942" s="83"/>
      <c r="H942" s="86"/>
      <c r="I942" s="86"/>
      <c r="J942" s="86"/>
      <c r="K942" s="62"/>
      <c r="L942" s="86"/>
      <c r="M942" s="86"/>
      <c r="N942" s="86"/>
      <c r="O942" s="86"/>
      <c r="P942" s="86"/>
      <c r="Q942" s="86"/>
      <c r="R942" s="86"/>
      <c r="S942" s="86"/>
      <c r="T942" s="86"/>
      <c r="U942" s="86"/>
      <c r="V942" s="86"/>
      <c r="W942" s="86"/>
      <c r="X942" s="86"/>
      <c r="Y942" s="86"/>
      <c r="Z942" s="86"/>
      <c r="AA942" s="86"/>
    </row>
    <row r="943" spans="1:27" ht="14.25" customHeight="1" x14ac:dyDescent="0.35">
      <c r="A943" s="76"/>
      <c r="B943" s="77" t="str">
        <v>Dario Kasser</v>
      </c>
      <c r="C943" s="76"/>
      <c r="D943" s="85"/>
      <c r="E943" s="85"/>
      <c r="F943" s="85"/>
      <c r="G943" s="83"/>
      <c r="H943" s="86"/>
      <c r="I943" s="86"/>
      <c r="J943" s="86"/>
      <c r="K943" s="62"/>
      <c r="L943" s="86"/>
      <c r="M943" s="86"/>
      <c r="N943" s="86"/>
      <c r="O943" s="86"/>
      <c r="P943" s="86"/>
      <c r="Q943" s="86"/>
      <c r="R943" s="86"/>
      <c r="S943" s="86"/>
      <c r="T943" s="86"/>
      <c r="U943" s="86"/>
      <c r="V943" s="86"/>
      <c r="W943" s="86"/>
      <c r="X943" s="86"/>
      <c r="Y943" s="86"/>
      <c r="Z943" s="86"/>
      <c r="AA943" s="86"/>
    </row>
    <row r="944" spans="1:27" ht="14.25" customHeight="1" x14ac:dyDescent="0.35">
      <c r="A944" s="76"/>
      <c r="B944" s="77" t="str">
        <v>Jacob Chen</v>
      </c>
      <c r="C944" s="76"/>
      <c r="D944" s="85"/>
      <c r="E944" s="85"/>
      <c r="F944" s="85"/>
      <c r="G944" s="83"/>
      <c r="H944" s="86"/>
      <c r="I944" s="86"/>
      <c r="J944" s="86"/>
      <c r="K944" s="62"/>
      <c r="L944" s="86"/>
      <c r="M944" s="86"/>
      <c r="N944" s="86"/>
      <c r="O944" s="86"/>
      <c r="P944" s="86"/>
      <c r="Q944" s="86"/>
      <c r="R944" s="86"/>
      <c r="S944" s="86"/>
      <c r="T944" s="86"/>
      <c r="U944" s="86"/>
      <c r="V944" s="86"/>
      <c r="W944" s="86"/>
      <c r="X944" s="86"/>
      <c r="Y944" s="86"/>
      <c r="Z944" s="86"/>
      <c r="AA944" s="86"/>
    </row>
    <row r="945" spans="1:27" ht="14.25" customHeight="1" x14ac:dyDescent="0.35">
      <c r="A945" s="76"/>
      <c r="B945" s="77" t="str">
        <v>Alvin Huang</v>
      </c>
      <c r="C945" s="76"/>
      <c r="D945" s="85"/>
      <c r="E945" s="85"/>
      <c r="F945" s="85"/>
      <c r="G945" s="83"/>
      <c r="H945" s="86"/>
      <c r="I945" s="86"/>
      <c r="J945" s="86"/>
      <c r="K945" s="62"/>
      <c r="L945" s="86"/>
      <c r="M945" s="86"/>
      <c r="N945" s="86"/>
      <c r="O945" s="86"/>
      <c r="P945" s="86"/>
      <c r="Q945" s="86"/>
      <c r="R945" s="86"/>
      <c r="S945" s="86"/>
      <c r="T945" s="86"/>
      <c r="U945" s="86"/>
      <c r="V945" s="86"/>
      <c r="W945" s="86"/>
      <c r="X945" s="86"/>
      <c r="Y945" s="86"/>
      <c r="Z945" s="86"/>
      <c r="AA945" s="86"/>
    </row>
    <row r="946" spans="1:27" ht="14.25" customHeight="1" x14ac:dyDescent="0.35">
      <c r="A946" s="76"/>
      <c r="B946" s="77" t="str">
        <v>Anton Baier</v>
      </c>
      <c r="C946" s="76"/>
      <c r="D946" s="85"/>
      <c r="E946" s="85"/>
      <c r="F946" s="85"/>
      <c r="G946" s="83"/>
      <c r="H946" s="86"/>
      <c r="I946" s="86"/>
      <c r="J946" s="86"/>
      <c r="K946" s="62"/>
      <c r="L946" s="86"/>
      <c r="M946" s="86"/>
      <c r="N946" s="86"/>
      <c r="O946" s="86"/>
      <c r="P946" s="86"/>
      <c r="Q946" s="86"/>
      <c r="R946" s="86"/>
      <c r="S946" s="86"/>
      <c r="T946" s="86"/>
      <c r="U946" s="86"/>
      <c r="V946" s="86"/>
      <c r="W946" s="86"/>
      <c r="X946" s="86"/>
      <c r="Y946" s="86"/>
      <c r="Z946" s="86"/>
      <c r="AA946" s="86"/>
    </row>
    <row r="947" spans="1:27" ht="14.25" customHeight="1" x14ac:dyDescent="0.35">
      <c r="A947" s="76"/>
      <c r="B947" s="77" t="str">
        <v>Tobias Gerner</v>
      </c>
      <c r="C947" s="76"/>
      <c r="D947" s="85"/>
      <c r="E947" s="85"/>
      <c r="F947" s="85"/>
      <c r="G947" s="83"/>
      <c r="H947" s="86"/>
      <c r="I947" s="86"/>
      <c r="J947" s="86"/>
      <c r="K947" s="62"/>
      <c r="L947" s="86"/>
      <c r="M947" s="86"/>
      <c r="N947" s="86"/>
      <c r="O947" s="86"/>
      <c r="P947" s="86"/>
      <c r="Q947" s="86"/>
      <c r="R947" s="86"/>
      <c r="S947" s="86"/>
      <c r="T947" s="86"/>
      <c r="U947" s="86"/>
      <c r="V947" s="86"/>
      <c r="W947" s="86"/>
      <c r="X947" s="86"/>
      <c r="Y947" s="86"/>
      <c r="Z947" s="86"/>
      <c r="AA947" s="86"/>
    </row>
    <row r="948" spans="1:27" ht="14.25" customHeight="1" x14ac:dyDescent="0.35">
      <c r="A948" s="76"/>
      <c r="B948" s="77">
        <v>0</v>
      </c>
      <c r="C948" s="76"/>
      <c r="D948" s="85"/>
      <c r="E948" s="85"/>
      <c r="F948" s="85"/>
      <c r="G948" s="83"/>
      <c r="H948" s="86"/>
      <c r="I948" s="86"/>
      <c r="J948" s="86"/>
      <c r="K948" s="62"/>
      <c r="L948" s="86"/>
      <c r="M948" s="86"/>
      <c r="N948" s="86"/>
      <c r="O948" s="86"/>
      <c r="P948" s="86"/>
      <c r="Q948" s="86"/>
      <c r="R948" s="86"/>
      <c r="S948" s="86"/>
      <c r="T948" s="86"/>
      <c r="U948" s="86"/>
      <c r="V948" s="86"/>
      <c r="W948" s="86"/>
      <c r="X948" s="86"/>
      <c r="Y948" s="86"/>
      <c r="Z948" s="86"/>
      <c r="AA948" s="86"/>
    </row>
    <row r="949" spans="1:27" ht="14.25" customHeight="1" x14ac:dyDescent="0.35">
      <c r="A949" s="76"/>
      <c r="B949" s="77">
        <v>0</v>
      </c>
      <c r="C949" s="76"/>
      <c r="D949" s="85"/>
      <c r="E949" s="85"/>
      <c r="F949" s="85"/>
      <c r="G949" s="83"/>
      <c r="H949" s="86"/>
      <c r="I949" s="86"/>
      <c r="J949" s="86"/>
      <c r="K949" s="62"/>
      <c r="L949" s="86"/>
      <c r="M949" s="86"/>
      <c r="N949" s="86"/>
      <c r="O949" s="86"/>
      <c r="P949" s="86"/>
      <c r="Q949" s="86"/>
      <c r="R949" s="86"/>
      <c r="S949" s="86"/>
      <c r="T949" s="86"/>
      <c r="U949" s="86"/>
      <c r="V949" s="86"/>
      <c r="W949" s="86"/>
      <c r="X949" s="86"/>
      <c r="Y949" s="86"/>
      <c r="Z949" s="86"/>
      <c r="AA949" s="86"/>
    </row>
    <row r="950" spans="1:27" ht="14.25" customHeight="1" x14ac:dyDescent="0.35">
      <c r="A950" s="76"/>
      <c r="B950" s="77">
        <v>0</v>
      </c>
      <c r="C950" s="76"/>
      <c r="D950" s="85"/>
      <c r="E950" s="85"/>
      <c r="F950" s="85"/>
      <c r="G950" s="83"/>
      <c r="H950" s="86"/>
      <c r="I950" s="86"/>
      <c r="J950" s="86"/>
      <c r="K950" s="62"/>
      <c r="L950" s="86"/>
      <c r="M950" s="86"/>
      <c r="N950" s="86"/>
      <c r="O950" s="86"/>
      <c r="P950" s="86"/>
      <c r="Q950" s="86"/>
      <c r="R950" s="86"/>
      <c r="S950" s="86"/>
      <c r="T950" s="86"/>
      <c r="U950" s="86"/>
      <c r="V950" s="86"/>
      <c r="W950" s="86"/>
      <c r="X950" s="86"/>
      <c r="Y950" s="86"/>
      <c r="Z950" s="86"/>
      <c r="AA950" s="86"/>
    </row>
    <row r="951" spans="1:27" ht="14.25" customHeight="1" x14ac:dyDescent="0.35">
      <c r="A951" s="76"/>
      <c r="B951" s="77">
        <v>0</v>
      </c>
      <c r="C951" s="76"/>
      <c r="D951" s="85"/>
      <c r="E951" s="85"/>
      <c r="F951" s="85"/>
      <c r="G951" s="83"/>
      <c r="H951" s="86"/>
      <c r="I951" s="86"/>
      <c r="J951" s="86"/>
      <c r="K951" s="62"/>
      <c r="L951" s="86"/>
      <c r="M951" s="86"/>
      <c r="N951" s="86"/>
      <c r="O951" s="86"/>
      <c r="P951" s="86"/>
      <c r="Q951" s="86"/>
      <c r="R951" s="86"/>
      <c r="S951" s="86"/>
      <c r="T951" s="86"/>
      <c r="U951" s="86"/>
      <c r="V951" s="86"/>
      <c r="W951" s="86"/>
      <c r="X951" s="86"/>
      <c r="Y951" s="86"/>
      <c r="Z951" s="86"/>
      <c r="AA951" s="86"/>
    </row>
    <row r="952" spans="1:27" ht="14.25" customHeight="1" x14ac:dyDescent="0.35">
      <c r="A952" s="76"/>
      <c r="B952" s="77">
        <v>0</v>
      </c>
      <c r="C952" s="76"/>
      <c r="D952" s="85"/>
      <c r="E952" s="85"/>
      <c r="F952" s="85"/>
      <c r="G952" s="83"/>
      <c r="H952" s="86"/>
      <c r="I952" s="86"/>
      <c r="J952" s="86"/>
      <c r="K952" s="62"/>
      <c r="L952" s="86"/>
      <c r="M952" s="86"/>
      <c r="N952" s="86"/>
      <c r="O952" s="86"/>
      <c r="P952" s="86"/>
      <c r="Q952" s="86"/>
      <c r="R952" s="86"/>
      <c r="S952" s="86"/>
      <c r="T952" s="86"/>
      <c r="U952" s="86"/>
      <c r="V952" s="86"/>
      <c r="W952" s="86"/>
      <c r="X952" s="86"/>
      <c r="Y952" s="86"/>
      <c r="Z952" s="86"/>
      <c r="AA952" s="86"/>
    </row>
    <row r="953" spans="1:27" ht="14.25" customHeight="1" x14ac:dyDescent="0.35">
      <c r="A953" s="76"/>
      <c r="B953" s="77">
        <v>0</v>
      </c>
      <c r="C953" s="76"/>
      <c r="D953" s="85"/>
      <c r="E953" s="85"/>
      <c r="F953" s="85"/>
      <c r="G953" s="83"/>
      <c r="H953" s="86"/>
      <c r="I953" s="86"/>
      <c r="J953" s="86"/>
      <c r="K953" s="62"/>
      <c r="L953" s="86"/>
      <c r="M953" s="86"/>
      <c r="N953" s="86"/>
      <c r="O953" s="86"/>
      <c r="P953" s="86"/>
      <c r="Q953" s="86"/>
      <c r="R953" s="86"/>
      <c r="S953" s="86"/>
      <c r="T953" s="86"/>
      <c r="U953" s="86"/>
      <c r="V953" s="86"/>
      <c r="W953" s="86"/>
      <c r="X953" s="86"/>
      <c r="Y953" s="86"/>
      <c r="Z953" s="86"/>
      <c r="AA953" s="86"/>
    </row>
    <row r="954" spans="1:27" ht="14.25" customHeight="1" x14ac:dyDescent="0.35">
      <c r="A954" s="76"/>
      <c r="B954" s="77">
        <v>0</v>
      </c>
      <c r="C954" s="76"/>
      <c r="D954" s="85"/>
      <c r="E954" s="85"/>
      <c r="F954" s="85"/>
      <c r="G954" s="83"/>
      <c r="H954" s="86"/>
      <c r="I954" s="86"/>
      <c r="J954" s="86"/>
      <c r="K954" s="62"/>
      <c r="L954" s="86"/>
      <c r="M954" s="86"/>
      <c r="N954" s="86"/>
      <c r="O954" s="86"/>
      <c r="P954" s="86"/>
      <c r="Q954" s="86"/>
      <c r="R954" s="86"/>
      <c r="S954" s="86"/>
      <c r="T954" s="86"/>
      <c r="U954" s="86"/>
      <c r="V954" s="86"/>
      <c r="W954" s="86"/>
      <c r="X954" s="86"/>
      <c r="Y954" s="86"/>
      <c r="Z954" s="86"/>
      <c r="AA954" s="86"/>
    </row>
    <row r="955" spans="1:27" ht="14.25" customHeight="1" x14ac:dyDescent="0.35">
      <c r="A955" s="76"/>
      <c r="B955" s="77">
        <v>0</v>
      </c>
      <c r="C955" s="76"/>
      <c r="D955" s="85"/>
      <c r="E955" s="85"/>
      <c r="F955" s="85"/>
      <c r="G955" s="83"/>
      <c r="H955" s="86"/>
      <c r="I955" s="86"/>
      <c r="J955" s="86"/>
      <c r="K955" s="62"/>
      <c r="L955" s="86"/>
      <c r="M955" s="86"/>
      <c r="N955" s="86"/>
      <c r="O955" s="86"/>
      <c r="P955" s="86"/>
      <c r="Q955" s="86"/>
      <c r="R955" s="86"/>
      <c r="S955" s="86"/>
      <c r="T955" s="86"/>
      <c r="U955" s="86"/>
      <c r="V955" s="86"/>
      <c r="W955" s="86"/>
      <c r="X955" s="86"/>
      <c r="Y955" s="86"/>
      <c r="Z955" s="86"/>
      <c r="AA955" s="86"/>
    </row>
    <row r="956" spans="1:27" ht="14.25" customHeight="1" x14ac:dyDescent="0.35">
      <c r="A956" s="76"/>
      <c r="B956" s="77">
        <v>0</v>
      </c>
      <c r="C956" s="76"/>
      <c r="D956" s="85"/>
      <c r="E956" s="85"/>
      <c r="F956" s="85"/>
      <c r="G956" s="83"/>
      <c r="H956" s="86"/>
      <c r="I956" s="86"/>
      <c r="J956" s="86"/>
      <c r="K956" s="62"/>
      <c r="L956" s="86"/>
      <c r="M956" s="86"/>
      <c r="N956" s="86"/>
      <c r="O956" s="86"/>
      <c r="P956" s="86"/>
      <c r="Q956" s="86"/>
      <c r="R956" s="86"/>
      <c r="S956" s="86"/>
      <c r="T956" s="86"/>
      <c r="U956" s="86"/>
      <c r="V956" s="86"/>
      <c r="W956" s="86"/>
      <c r="X956" s="86"/>
      <c r="Y956" s="86"/>
      <c r="Z956" s="86"/>
      <c r="AA956" s="86"/>
    </row>
    <row r="957" spans="1:27" ht="14.25" customHeight="1" x14ac:dyDescent="0.35">
      <c r="A957" s="76"/>
      <c r="B957" s="87">
        <v>0</v>
      </c>
      <c r="C957" s="76"/>
      <c r="D957" s="85"/>
      <c r="E957" s="85"/>
      <c r="F957" s="85"/>
      <c r="G957" s="83"/>
      <c r="H957" s="86"/>
      <c r="I957" s="86"/>
      <c r="J957" s="86"/>
      <c r="K957" s="62"/>
      <c r="L957" s="86"/>
      <c r="M957" s="86"/>
      <c r="N957" s="86"/>
      <c r="O957" s="86"/>
      <c r="P957" s="86"/>
      <c r="Q957" s="86"/>
      <c r="R957" s="86"/>
      <c r="S957" s="86"/>
      <c r="T957" s="86"/>
      <c r="U957" s="86"/>
      <c r="V957" s="86"/>
      <c r="W957" s="86"/>
      <c r="X957" s="86"/>
      <c r="Y957" s="86"/>
      <c r="Z957" s="86"/>
      <c r="AA957" s="86"/>
    </row>
    <row r="958" spans="1:27" ht="14.25" customHeight="1" x14ac:dyDescent="0.35">
      <c r="A958" s="76"/>
      <c r="B958" s="87">
        <v>0</v>
      </c>
      <c r="C958" s="76"/>
      <c r="D958" s="85"/>
      <c r="E958" s="85"/>
      <c r="F958" s="85"/>
      <c r="G958" s="83"/>
      <c r="H958" s="86"/>
      <c r="I958" s="86"/>
      <c r="J958" s="86"/>
      <c r="K958" s="62"/>
      <c r="L958" s="86"/>
      <c r="M958" s="86"/>
      <c r="N958" s="86"/>
      <c r="O958" s="86"/>
      <c r="P958" s="86"/>
      <c r="Q958" s="86"/>
      <c r="R958" s="86"/>
      <c r="S958" s="86"/>
      <c r="T958" s="86"/>
      <c r="U958" s="86"/>
      <c r="V958" s="86"/>
      <c r="W958" s="86"/>
      <c r="X958" s="86"/>
      <c r="Y958" s="86"/>
      <c r="Z958" s="86"/>
      <c r="AA958" s="86"/>
    </row>
    <row r="959" spans="1:27" ht="14.25" customHeight="1" x14ac:dyDescent="0.35">
      <c r="A959" s="76"/>
      <c r="B959" s="87">
        <v>0</v>
      </c>
      <c r="C959" s="76"/>
      <c r="D959" s="85"/>
      <c r="E959" s="85"/>
      <c r="F959" s="85"/>
      <c r="G959" s="83"/>
      <c r="H959" s="86"/>
      <c r="I959" s="86"/>
      <c r="J959" s="86"/>
      <c r="K959" s="62"/>
      <c r="L959" s="86"/>
      <c r="M959" s="86"/>
      <c r="N959" s="86"/>
      <c r="O959" s="86"/>
      <c r="P959" s="86"/>
      <c r="Q959" s="86"/>
      <c r="R959" s="86"/>
      <c r="S959" s="86"/>
      <c r="T959" s="86"/>
      <c r="U959" s="86"/>
      <c r="V959" s="86"/>
      <c r="W959" s="86"/>
      <c r="X959" s="86"/>
      <c r="Y959" s="86"/>
      <c r="Z959" s="86"/>
      <c r="AA959" s="86"/>
    </row>
    <row r="960" spans="1:27" ht="14.25" customHeight="1" x14ac:dyDescent="0.35">
      <c r="A960" s="76"/>
      <c r="B960" s="87">
        <v>0</v>
      </c>
      <c r="C960" s="76"/>
      <c r="D960" s="85"/>
      <c r="E960" s="85"/>
      <c r="F960" s="85"/>
      <c r="G960" s="83"/>
      <c r="H960" s="86"/>
      <c r="I960" s="86"/>
      <c r="J960" s="86"/>
      <c r="K960" s="62"/>
      <c r="L960" s="86"/>
      <c r="M960" s="86"/>
      <c r="N960" s="86"/>
      <c r="O960" s="86"/>
      <c r="P960" s="86"/>
      <c r="Q960" s="86"/>
      <c r="R960" s="86"/>
      <c r="S960" s="86"/>
      <c r="T960" s="86"/>
      <c r="U960" s="86"/>
      <c r="V960" s="86"/>
      <c r="W960" s="86"/>
      <c r="X960" s="86"/>
      <c r="Y960" s="86"/>
      <c r="Z960" s="86"/>
      <c r="AA960" s="86"/>
    </row>
    <row r="961" spans="1:27" ht="14.25" customHeight="1" x14ac:dyDescent="0.35">
      <c r="A961" s="76"/>
      <c r="B961" s="87">
        <v>0</v>
      </c>
      <c r="C961" s="76"/>
      <c r="D961" s="85"/>
      <c r="E961" s="85"/>
      <c r="F961" s="85"/>
      <c r="G961" s="83"/>
      <c r="H961" s="86"/>
      <c r="I961" s="86"/>
      <c r="J961" s="86"/>
      <c r="K961" s="62"/>
      <c r="L961" s="86"/>
      <c r="M961" s="86"/>
      <c r="N961" s="86"/>
      <c r="O961" s="86"/>
      <c r="P961" s="86"/>
      <c r="Q961" s="86"/>
      <c r="R961" s="86"/>
      <c r="S961" s="86"/>
      <c r="T961" s="86"/>
      <c r="U961" s="86"/>
      <c r="V961" s="86"/>
      <c r="W961" s="86"/>
      <c r="X961" s="86"/>
      <c r="Y961" s="86"/>
      <c r="Z961" s="86"/>
      <c r="AA961" s="86"/>
    </row>
    <row r="962" spans="1:27" ht="14.25" customHeight="1" x14ac:dyDescent="0.35">
      <c r="A962" s="76"/>
      <c r="B962" s="87">
        <v>0</v>
      </c>
      <c r="C962" s="76"/>
      <c r="D962" s="85"/>
      <c r="E962" s="85"/>
      <c r="F962" s="85"/>
      <c r="G962" s="83"/>
      <c r="H962" s="86"/>
      <c r="I962" s="86"/>
      <c r="J962" s="86"/>
      <c r="K962" s="62"/>
      <c r="L962" s="86"/>
      <c r="M962" s="86"/>
      <c r="N962" s="86"/>
      <c r="O962" s="86"/>
      <c r="P962" s="86"/>
      <c r="Q962" s="86"/>
      <c r="R962" s="86"/>
      <c r="S962" s="86"/>
      <c r="T962" s="86"/>
      <c r="U962" s="86"/>
      <c r="V962" s="86"/>
      <c r="W962" s="86"/>
      <c r="X962" s="86"/>
      <c r="Y962" s="86"/>
      <c r="Z962" s="86"/>
      <c r="AA962" s="86"/>
    </row>
    <row r="963" spans="1:27" ht="14.25" customHeight="1" x14ac:dyDescent="0.35">
      <c r="A963" s="76"/>
      <c r="B963" s="87">
        <v>0</v>
      </c>
      <c r="C963" s="76"/>
      <c r="D963" s="85"/>
      <c r="E963" s="85"/>
      <c r="F963" s="85"/>
      <c r="G963" s="83"/>
      <c r="H963" s="86"/>
      <c r="I963" s="86"/>
      <c r="J963" s="86"/>
      <c r="K963" s="62"/>
      <c r="L963" s="86"/>
      <c r="M963" s="86"/>
      <c r="N963" s="86"/>
      <c r="O963" s="86"/>
      <c r="P963" s="86"/>
      <c r="Q963" s="86"/>
      <c r="R963" s="86"/>
      <c r="S963" s="86"/>
      <c r="T963" s="86"/>
      <c r="U963" s="86"/>
      <c r="V963" s="86"/>
      <c r="W963" s="86"/>
      <c r="X963" s="86"/>
      <c r="Y963" s="86"/>
      <c r="Z963" s="86"/>
      <c r="AA963" s="86"/>
    </row>
    <row r="964" spans="1:27" ht="14.25" customHeight="1" x14ac:dyDescent="0.35">
      <c r="A964" s="76"/>
      <c r="B964" s="87">
        <f t="array" ref="B964:B995">'Regioturnier 1'!$J$3:$J$34</f>
        <v>0</v>
      </c>
      <c r="C964" s="76"/>
      <c r="D964" s="85"/>
      <c r="E964" s="85"/>
      <c r="F964" s="85"/>
      <c r="G964" s="83"/>
      <c r="H964" s="86"/>
      <c r="I964" s="86"/>
      <c r="J964" s="86"/>
      <c r="K964" s="62"/>
      <c r="L964" s="86"/>
      <c r="M964" s="86"/>
      <c r="N964" s="86"/>
      <c r="O964" s="86"/>
      <c r="P964" s="86"/>
      <c r="Q964" s="86"/>
      <c r="R964" s="86"/>
      <c r="S964" s="86"/>
      <c r="T964" s="86"/>
      <c r="U964" s="86"/>
      <c r="V964" s="86"/>
      <c r="W964" s="86"/>
      <c r="X964" s="86"/>
      <c r="Y964" s="86"/>
      <c r="Z964" s="86"/>
      <c r="AA964" s="86"/>
    </row>
    <row r="965" spans="1:27" ht="14.25" customHeight="1" x14ac:dyDescent="0.35">
      <c r="A965" s="76"/>
      <c r="B965" s="87">
        <v>0</v>
      </c>
      <c r="C965" s="76"/>
      <c r="D965" s="85"/>
      <c r="E965" s="85"/>
      <c r="F965" s="85"/>
      <c r="G965" s="83"/>
      <c r="H965" s="86"/>
      <c r="I965" s="86"/>
      <c r="J965" s="86"/>
      <c r="K965" s="62"/>
      <c r="L965" s="86"/>
      <c r="M965" s="86"/>
      <c r="N965" s="86"/>
      <c r="O965" s="86"/>
      <c r="P965" s="86"/>
      <c r="Q965" s="86"/>
      <c r="R965" s="86"/>
      <c r="S965" s="86"/>
      <c r="T965" s="86"/>
      <c r="U965" s="86"/>
      <c r="V965" s="86"/>
      <c r="W965" s="86"/>
      <c r="X965" s="86"/>
      <c r="Y965" s="86"/>
      <c r="Z965" s="86"/>
      <c r="AA965" s="86"/>
    </row>
    <row r="966" spans="1:27" ht="14.25" customHeight="1" x14ac:dyDescent="0.35">
      <c r="A966" s="76"/>
      <c r="B966" s="87">
        <v>0</v>
      </c>
      <c r="C966" s="76"/>
      <c r="D966" s="85"/>
      <c r="E966" s="85"/>
      <c r="F966" s="85"/>
      <c r="G966" s="83"/>
      <c r="H966" s="86"/>
      <c r="I966" s="86"/>
      <c r="J966" s="86"/>
      <c r="K966" s="62"/>
      <c r="L966" s="86"/>
      <c r="M966" s="86"/>
      <c r="N966" s="86"/>
      <c r="O966" s="86"/>
      <c r="P966" s="86"/>
      <c r="Q966" s="86"/>
      <c r="R966" s="86"/>
      <c r="S966" s="86"/>
      <c r="T966" s="86"/>
      <c r="U966" s="86"/>
      <c r="V966" s="86"/>
      <c r="W966" s="86"/>
      <c r="X966" s="86"/>
      <c r="Y966" s="86"/>
      <c r="Z966" s="86"/>
      <c r="AA966" s="86"/>
    </row>
    <row r="967" spans="1:27" ht="14.25" customHeight="1" x14ac:dyDescent="0.35">
      <c r="A967" s="76"/>
      <c r="B967" s="87">
        <v>0</v>
      </c>
      <c r="C967" s="76"/>
      <c r="D967" s="85"/>
      <c r="E967" s="85"/>
      <c r="F967" s="85"/>
      <c r="G967" s="83"/>
      <c r="H967" s="86"/>
      <c r="I967" s="86"/>
      <c r="J967" s="86"/>
      <c r="K967" s="62"/>
      <c r="L967" s="86"/>
      <c r="M967" s="86"/>
      <c r="N967" s="86"/>
      <c r="O967" s="86"/>
      <c r="P967" s="86"/>
      <c r="Q967" s="86"/>
      <c r="R967" s="86"/>
      <c r="S967" s="86"/>
      <c r="T967" s="86"/>
      <c r="U967" s="86"/>
      <c r="V967" s="86"/>
      <c r="W967" s="86"/>
      <c r="X967" s="86"/>
      <c r="Y967" s="86"/>
      <c r="Z967" s="86"/>
      <c r="AA967" s="86"/>
    </row>
    <row r="968" spans="1:27" ht="14.25" customHeight="1" x14ac:dyDescent="0.35">
      <c r="A968" s="76"/>
      <c r="B968" s="87">
        <v>0</v>
      </c>
      <c r="C968" s="76"/>
      <c r="D968" s="85"/>
      <c r="E968" s="85"/>
      <c r="F968" s="85"/>
      <c r="G968" s="83"/>
      <c r="H968" s="86"/>
      <c r="I968" s="86"/>
      <c r="J968" s="86"/>
      <c r="K968" s="62"/>
      <c r="L968" s="86"/>
      <c r="M968" s="86"/>
      <c r="N968" s="86"/>
      <c r="O968" s="86"/>
      <c r="P968" s="86"/>
      <c r="Q968" s="86"/>
      <c r="R968" s="86"/>
      <c r="S968" s="86"/>
      <c r="T968" s="86"/>
      <c r="U968" s="86"/>
      <c r="V968" s="86"/>
      <c r="W968" s="86"/>
      <c r="X968" s="86"/>
      <c r="Y968" s="86"/>
      <c r="Z968" s="86"/>
      <c r="AA968" s="86"/>
    </row>
    <row r="969" spans="1:27" ht="14.25" customHeight="1" x14ac:dyDescent="0.35">
      <c r="A969" s="76"/>
      <c r="B969" s="87">
        <v>0</v>
      </c>
      <c r="C969" s="76"/>
      <c r="D969" s="85"/>
      <c r="E969" s="85"/>
      <c r="F969" s="85"/>
      <c r="G969" s="83"/>
      <c r="H969" s="86"/>
      <c r="I969" s="86"/>
      <c r="J969" s="86"/>
      <c r="K969" s="62"/>
      <c r="L969" s="86"/>
      <c r="M969" s="86"/>
      <c r="N969" s="86"/>
      <c r="O969" s="86"/>
      <c r="P969" s="86"/>
      <c r="Q969" s="86"/>
      <c r="R969" s="86"/>
      <c r="S969" s="86"/>
      <c r="T969" s="86"/>
      <c r="U969" s="86"/>
      <c r="V969" s="86"/>
      <c r="W969" s="86"/>
      <c r="X969" s="86"/>
      <c r="Y969" s="86"/>
      <c r="Z969" s="86"/>
      <c r="AA969" s="86"/>
    </row>
    <row r="970" spans="1:27" ht="14.25" customHeight="1" x14ac:dyDescent="0.35">
      <c r="A970" s="76"/>
      <c r="B970" s="87">
        <v>0</v>
      </c>
      <c r="C970" s="76"/>
      <c r="D970" s="85"/>
      <c r="E970" s="85"/>
      <c r="F970" s="85"/>
      <c r="G970" s="83"/>
      <c r="H970" s="86"/>
      <c r="I970" s="86"/>
      <c r="J970" s="86"/>
      <c r="K970" s="62"/>
      <c r="L970" s="86"/>
      <c r="M970" s="86"/>
      <c r="N970" s="86"/>
      <c r="O970" s="86"/>
      <c r="P970" s="86"/>
      <c r="Q970" s="86"/>
      <c r="R970" s="86"/>
      <c r="S970" s="86"/>
      <c r="T970" s="86"/>
      <c r="U970" s="86"/>
      <c r="V970" s="86"/>
      <c r="W970" s="86"/>
      <c r="X970" s="86"/>
      <c r="Y970" s="86"/>
      <c r="Z970" s="86"/>
      <c r="AA970" s="86"/>
    </row>
    <row r="971" spans="1:27" ht="14.25" customHeight="1" x14ac:dyDescent="0.35">
      <c r="A971" s="76"/>
      <c r="B971" s="87">
        <v>0</v>
      </c>
      <c r="C971" s="76"/>
      <c r="D971" s="85"/>
      <c r="E971" s="85"/>
      <c r="F971" s="85"/>
      <c r="G971" s="83"/>
      <c r="H971" s="86"/>
      <c r="I971" s="86"/>
      <c r="J971" s="86"/>
      <c r="K971" s="62"/>
      <c r="L971" s="86"/>
      <c r="M971" s="86"/>
      <c r="N971" s="86"/>
      <c r="O971" s="86"/>
      <c r="P971" s="86"/>
      <c r="Q971" s="86"/>
      <c r="R971" s="86"/>
      <c r="S971" s="86"/>
      <c r="T971" s="86"/>
      <c r="U971" s="86"/>
      <c r="V971" s="86"/>
      <c r="W971" s="86"/>
      <c r="X971" s="86"/>
      <c r="Y971" s="86"/>
      <c r="Z971" s="86"/>
      <c r="AA971" s="86"/>
    </row>
    <row r="972" spans="1:27" ht="14.25" customHeight="1" x14ac:dyDescent="0.35">
      <c r="A972" s="76"/>
      <c r="B972" s="87">
        <v>0</v>
      </c>
      <c r="C972" s="76"/>
      <c r="D972" s="85"/>
      <c r="E972" s="85"/>
      <c r="F972" s="85"/>
      <c r="G972" s="83"/>
      <c r="H972" s="86"/>
      <c r="I972" s="86"/>
      <c r="J972" s="86"/>
      <c r="K972" s="62"/>
      <c r="L972" s="86"/>
      <c r="M972" s="86"/>
      <c r="N972" s="86"/>
      <c r="O972" s="86"/>
      <c r="P972" s="86"/>
      <c r="Q972" s="86"/>
      <c r="R972" s="86"/>
      <c r="S972" s="86"/>
      <c r="T972" s="86"/>
      <c r="U972" s="86"/>
      <c r="V972" s="86"/>
      <c r="W972" s="86"/>
      <c r="X972" s="86"/>
      <c r="Y972" s="86"/>
      <c r="Z972" s="86"/>
      <c r="AA972" s="86"/>
    </row>
    <row r="973" spans="1:27" ht="14.25" customHeight="1" x14ac:dyDescent="0.35">
      <c r="A973" s="76"/>
      <c r="B973" s="87">
        <v>0</v>
      </c>
      <c r="C973" s="76"/>
      <c r="D973" s="85"/>
      <c r="E973" s="85"/>
      <c r="F973" s="85"/>
      <c r="G973" s="83"/>
      <c r="H973" s="86"/>
      <c r="I973" s="86"/>
      <c r="J973" s="86"/>
      <c r="K973" s="62"/>
      <c r="L973" s="86"/>
      <c r="M973" s="86"/>
      <c r="N973" s="86"/>
      <c r="O973" s="86"/>
      <c r="P973" s="86"/>
      <c r="Q973" s="86"/>
      <c r="R973" s="86"/>
      <c r="S973" s="86"/>
      <c r="T973" s="86"/>
      <c r="U973" s="86"/>
      <c r="V973" s="86"/>
      <c r="W973" s="86"/>
      <c r="X973" s="86"/>
      <c r="Y973" s="86"/>
      <c r="Z973" s="86"/>
      <c r="AA973" s="86"/>
    </row>
    <row r="974" spans="1:27" ht="14.25" customHeight="1" x14ac:dyDescent="0.35">
      <c r="A974" s="76"/>
      <c r="B974" s="87">
        <v>0</v>
      </c>
      <c r="C974" s="76"/>
      <c r="D974" s="85"/>
      <c r="E974" s="85"/>
      <c r="F974" s="85"/>
      <c r="G974" s="83"/>
      <c r="H974" s="86"/>
      <c r="I974" s="86"/>
      <c r="J974" s="86"/>
      <c r="K974" s="62"/>
      <c r="L974" s="86"/>
      <c r="M974" s="86"/>
      <c r="N974" s="86"/>
      <c r="O974" s="86"/>
      <c r="P974" s="86"/>
      <c r="Q974" s="86"/>
      <c r="R974" s="86"/>
      <c r="S974" s="86"/>
      <c r="T974" s="86"/>
      <c r="U974" s="86"/>
      <c r="V974" s="86"/>
      <c r="W974" s="86"/>
      <c r="X974" s="86"/>
      <c r="Y974" s="86"/>
      <c r="Z974" s="86"/>
      <c r="AA974" s="86"/>
    </row>
    <row r="975" spans="1:27" ht="14.25" customHeight="1" x14ac:dyDescent="0.35">
      <c r="A975" s="76"/>
      <c r="B975" s="87">
        <v>0</v>
      </c>
      <c r="C975" s="76"/>
      <c r="D975" s="85"/>
      <c r="E975" s="85"/>
      <c r="F975" s="85"/>
      <c r="G975" s="83"/>
      <c r="H975" s="86"/>
      <c r="I975" s="86"/>
      <c r="J975" s="86"/>
      <c r="K975" s="62"/>
      <c r="L975" s="86"/>
      <c r="M975" s="86"/>
      <c r="N975" s="86"/>
      <c r="O975" s="86"/>
      <c r="P975" s="86"/>
      <c r="Q975" s="86"/>
      <c r="R975" s="86"/>
      <c r="S975" s="86"/>
      <c r="T975" s="86"/>
      <c r="U975" s="86"/>
      <c r="V975" s="86"/>
      <c r="W975" s="86"/>
      <c r="X975" s="86"/>
      <c r="Y975" s="86"/>
      <c r="Z975" s="86"/>
      <c r="AA975" s="86"/>
    </row>
    <row r="976" spans="1:27" ht="14.25" customHeight="1" x14ac:dyDescent="0.35">
      <c r="A976" s="76"/>
      <c r="B976" s="87">
        <v>0</v>
      </c>
      <c r="C976" s="76"/>
      <c r="D976" s="85"/>
      <c r="E976" s="85"/>
      <c r="F976" s="85"/>
      <c r="G976" s="83"/>
      <c r="H976" s="86"/>
      <c r="I976" s="86"/>
      <c r="J976" s="86"/>
      <c r="K976" s="62"/>
      <c r="L976" s="86"/>
      <c r="M976" s="86"/>
      <c r="N976" s="86"/>
      <c r="O976" s="86"/>
      <c r="P976" s="86"/>
      <c r="Q976" s="86"/>
      <c r="R976" s="86"/>
      <c r="S976" s="86"/>
      <c r="T976" s="86"/>
      <c r="U976" s="86"/>
      <c r="V976" s="86"/>
      <c r="W976" s="86"/>
      <c r="X976" s="86"/>
      <c r="Y976" s="86"/>
      <c r="Z976" s="86"/>
      <c r="AA976" s="86"/>
    </row>
    <row r="977" spans="1:27" ht="14.25" customHeight="1" x14ac:dyDescent="0.35">
      <c r="A977" s="76"/>
      <c r="B977" s="87">
        <v>0</v>
      </c>
      <c r="C977" s="76"/>
      <c r="D977" s="85"/>
      <c r="E977" s="85"/>
      <c r="F977" s="85"/>
      <c r="G977" s="83"/>
      <c r="H977" s="86"/>
      <c r="I977" s="86"/>
      <c r="J977" s="86"/>
      <c r="K977" s="62"/>
      <c r="L977" s="86"/>
      <c r="M977" s="86"/>
      <c r="N977" s="86"/>
      <c r="O977" s="86"/>
      <c r="P977" s="86"/>
      <c r="Q977" s="86"/>
      <c r="R977" s="86"/>
      <c r="S977" s="86"/>
      <c r="T977" s="86"/>
      <c r="U977" s="86"/>
      <c r="V977" s="86"/>
      <c r="W977" s="86"/>
      <c r="X977" s="86"/>
      <c r="Y977" s="86"/>
      <c r="Z977" s="86"/>
      <c r="AA977" s="86"/>
    </row>
    <row r="978" spans="1:27" ht="14.25" customHeight="1" x14ac:dyDescent="0.35">
      <c r="A978" s="76"/>
      <c r="B978" s="87">
        <v>0</v>
      </c>
      <c r="C978" s="76"/>
      <c r="D978" s="85"/>
      <c r="E978" s="85"/>
      <c r="F978" s="85"/>
      <c r="G978" s="83"/>
      <c r="H978" s="86"/>
      <c r="I978" s="86"/>
      <c r="J978" s="86"/>
      <c r="K978" s="62"/>
      <c r="L978" s="86"/>
      <c r="M978" s="86"/>
      <c r="N978" s="86"/>
      <c r="O978" s="86"/>
      <c r="P978" s="86"/>
      <c r="Q978" s="86"/>
      <c r="R978" s="86"/>
      <c r="S978" s="86"/>
      <c r="T978" s="86"/>
      <c r="U978" s="86"/>
      <c r="V978" s="86"/>
      <c r="W978" s="86"/>
      <c r="X978" s="86"/>
      <c r="Y978" s="86"/>
      <c r="Z978" s="86"/>
      <c r="AA978" s="86"/>
    </row>
    <row r="979" spans="1:27" ht="14.25" customHeight="1" x14ac:dyDescent="0.35">
      <c r="A979" s="76"/>
      <c r="B979" s="87">
        <v>0</v>
      </c>
      <c r="C979" s="76"/>
      <c r="D979" s="85"/>
      <c r="E979" s="85"/>
      <c r="F979" s="85"/>
      <c r="G979" s="83"/>
      <c r="H979" s="86"/>
      <c r="I979" s="86"/>
      <c r="J979" s="86"/>
      <c r="K979" s="62"/>
      <c r="L979" s="86"/>
      <c r="M979" s="86"/>
      <c r="N979" s="86"/>
      <c r="O979" s="86"/>
      <c r="P979" s="86"/>
      <c r="Q979" s="86"/>
      <c r="R979" s="86"/>
      <c r="S979" s="86"/>
      <c r="T979" s="86"/>
      <c r="U979" s="86"/>
      <c r="V979" s="86"/>
      <c r="W979" s="86"/>
      <c r="X979" s="86"/>
      <c r="Y979" s="86"/>
      <c r="Z979" s="86"/>
      <c r="AA979" s="86"/>
    </row>
    <row r="980" spans="1:27" ht="14.25" customHeight="1" x14ac:dyDescent="0.35">
      <c r="A980" s="76"/>
      <c r="B980" s="87">
        <v>0</v>
      </c>
      <c r="C980" s="76"/>
      <c r="D980" s="85"/>
      <c r="E980" s="85"/>
      <c r="F980" s="85"/>
      <c r="G980" s="83"/>
      <c r="H980" s="86"/>
      <c r="I980" s="86"/>
      <c r="J980" s="86"/>
      <c r="K980" s="62"/>
      <c r="L980" s="86"/>
      <c r="M980" s="86"/>
      <c r="N980" s="86"/>
      <c r="O980" s="86"/>
      <c r="P980" s="86"/>
      <c r="Q980" s="86"/>
      <c r="R980" s="86"/>
      <c r="S980" s="86"/>
      <c r="T980" s="86"/>
      <c r="U980" s="86"/>
      <c r="V980" s="86"/>
      <c r="W980" s="86"/>
      <c r="X980" s="86"/>
      <c r="Y980" s="86"/>
      <c r="Z980" s="86"/>
      <c r="AA980" s="86"/>
    </row>
    <row r="981" spans="1:27" ht="14.25" customHeight="1" x14ac:dyDescent="0.35">
      <c r="A981" s="76"/>
      <c r="B981" s="87">
        <v>0</v>
      </c>
      <c r="C981" s="76"/>
      <c r="D981" s="85"/>
      <c r="E981" s="85"/>
      <c r="F981" s="85"/>
      <c r="G981" s="83"/>
      <c r="H981" s="86"/>
      <c r="I981" s="86"/>
      <c r="J981" s="86"/>
      <c r="K981" s="62"/>
      <c r="L981" s="86"/>
      <c r="M981" s="86"/>
      <c r="N981" s="86"/>
      <c r="O981" s="86"/>
      <c r="P981" s="86"/>
      <c r="Q981" s="86"/>
      <c r="R981" s="86"/>
      <c r="S981" s="86"/>
      <c r="T981" s="86"/>
      <c r="U981" s="86"/>
      <c r="V981" s="86"/>
      <c r="W981" s="86"/>
      <c r="X981" s="86"/>
      <c r="Y981" s="86"/>
      <c r="Z981" s="86"/>
      <c r="AA981" s="86"/>
    </row>
    <row r="982" spans="1:27" ht="14.25" customHeight="1" x14ac:dyDescent="0.35">
      <c r="A982" s="76"/>
      <c r="B982" s="87">
        <v>0</v>
      </c>
      <c r="C982" s="76"/>
      <c r="D982" s="85"/>
      <c r="E982" s="85"/>
      <c r="F982" s="85"/>
      <c r="G982" s="83"/>
      <c r="H982" s="86"/>
      <c r="I982" s="86"/>
      <c r="J982" s="86"/>
      <c r="K982" s="62"/>
      <c r="L982" s="86"/>
      <c r="M982" s="86"/>
      <c r="N982" s="86"/>
      <c r="O982" s="86"/>
      <c r="P982" s="86"/>
      <c r="Q982" s="86"/>
      <c r="R982" s="86"/>
      <c r="S982" s="86"/>
      <c r="T982" s="86"/>
      <c r="U982" s="86"/>
      <c r="V982" s="86"/>
      <c r="W982" s="86"/>
      <c r="X982" s="86"/>
      <c r="Y982" s="86"/>
      <c r="Z982" s="86"/>
      <c r="AA982" s="86"/>
    </row>
    <row r="983" spans="1:27" ht="14.25" customHeight="1" x14ac:dyDescent="0.35">
      <c r="A983" s="76"/>
      <c r="B983" s="87">
        <v>0</v>
      </c>
      <c r="C983" s="76"/>
      <c r="D983" s="85"/>
      <c r="E983" s="85"/>
      <c r="F983" s="85"/>
      <c r="G983" s="83"/>
      <c r="H983" s="86"/>
      <c r="I983" s="86"/>
      <c r="J983" s="86"/>
      <c r="K983" s="62"/>
      <c r="L983" s="86"/>
      <c r="M983" s="86"/>
      <c r="N983" s="86"/>
      <c r="O983" s="86"/>
      <c r="P983" s="86"/>
      <c r="Q983" s="86"/>
      <c r="R983" s="86"/>
      <c r="S983" s="86"/>
      <c r="T983" s="86"/>
      <c r="U983" s="86"/>
      <c r="V983" s="86"/>
      <c r="W983" s="86"/>
      <c r="X983" s="86"/>
      <c r="Y983" s="86"/>
      <c r="Z983" s="86"/>
      <c r="AA983" s="86"/>
    </row>
    <row r="984" spans="1:27" ht="14.25" customHeight="1" x14ac:dyDescent="0.35">
      <c r="A984" s="76"/>
      <c r="B984" s="87">
        <v>0</v>
      </c>
      <c r="C984" s="76"/>
      <c r="D984" s="85"/>
      <c r="E984" s="85"/>
      <c r="F984" s="85"/>
      <c r="G984" s="83"/>
      <c r="H984" s="86"/>
      <c r="I984" s="86"/>
      <c r="J984" s="86"/>
      <c r="K984" s="62"/>
      <c r="L984" s="86"/>
      <c r="M984" s="86"/>
      <c r="N984" s="86"/>
      <c r="O984" s="86"/>
      <c r="P984" s="86"/>
      <c r="Q984" s="86"/>
      <c r="R984" s="86"/>
      <c r="S984" s="86"/>
      <c r="T984" s="86"/>
      <c r="U984" s="86"/>
      <c r="V984" s="86"/>
      <c r="W984" s="86"/>
      <c r="X984" s="86"/>
      <c r="Y984" s="86"/>
      <c r="Z984" s="86"/>
      <c r="AA984" s="86"/>
    </row>
    <row r="985" spans="1:27" ht="14.25" customHeight="1" x14ac:dyDescent="0.35">
      <c r="A985" s="76"/>
      <c r="B985" s="87">
        <v>0</v>
      </c>
      <c r="C985" s="76"/>
      <c r="D985" s="85"/>
      <c r="E985" s="85"/>
      <c r="F985" s="85"/>
      <c r="G985" s="83"/>
      <c r="H985" s="86"/>
      <c r="I985" s="86"/>
      <c r="J985" s="86"/>
      <c r="K985" s="62"/>
      <c r="L985" s="86"/>
      <c r="M985" s="86"/>
      <c r="N985" s="86"/>
      <c r="O985" s="86"/>
      <c r="P985" s="86"/>
      <c r="Q985" s="86"/>
      <c r="R985" s="86"/>
      <c r="S985" s="86"/>
      <c r="T985" s="86"/>
      <c r="U985" s="86"/>
      <c r="V985" s="86"/>
      <c r="W985" s="86"/>
      <c r="X985" s="86"/>
      <c r="Y985" s="86"/>
      <c r="Z985" s="86"/>
      <c r="AA985" s="86"/>
    </row>
    <row r="986" spans="1:27" ht="14.25" customHeight="1" x14ac:dyDescent="0.35">
      <c r="A986" s="76"/>
      <c r="B986" s="87">
        <v>0</v>
      </c>
      <c r="C986" s="76"/>
      <c r="D986" s="85"/>
      <c r="E986" s="85"/>
      <c r="F986" s="85"/>
      <c r="G986" s="83"/>
      <c r="H986" s="86"/>
      <c r="I986" s="86"/>
      <c r="J986" s="86"/>
      <c r="K986" s="62"/>
      <c r="L986" s="86"/>
      <c r="M986" s="86"/>
      <c r="N986" s="86"/>
      <c r="O986" s="86"/>
      <c r="P986" s="86"/>
      <c r="Q986" s="86"/>
      <c r="R986" s="86"/>
      <c r="S986" s="86"/>
      <c r="T986" s="86"/>
      <c r="U986" s="86"/>
      <c r="V986" s="86"/>
      <c r="W986" s="86"/>
      <c r="X986" s="86"/>
      <c r="Y986" s="86"/>
      <c r="Z986" s="86"/>
      <c r="AA986" s="86"/>
    </row>
    <row r="987" spans="1:27" ht="14.25" customHeight="1" x14ac:dyDescent="0.35">
      <c r="A987" s="76"/>
      <c r="B987" s="87">
        <v>0</v>
      </c>
      <c r="C987" s="76"/>
      <c r="D987" s="85"/>
      <c r="E987" s="85"/>
      <c r="F987" s="85"/>
      <c r="G987" s="83"/>
      <c r="H987" s="86"/>
      <c r="I987" s="86"/>
      <c r="J987" s="86"/>
      <c r="K987" s="62"/>
      <c r="L987" s="86"/>
      <c r="M987" s="86"/>
      <c r="N987" s="86"/>
      <c r="O987" s="86"/>
      <c r="P987" s="86"/>
      <c r="Q987" s="86"/>
      <c r="R987" s="86"/>
      <c r="S987" s="86"/>
      <c r="T987" s="86"/>
      <c r="U987" s="86"/>
      <c r="V987" s="86"/>
      <c r="W987" s="86"/>
      <c r="X987" s="86"/>
      <c r="Y987" s="86"/>
      <c r="Z987" s="86"/>
      <c r="AA987" s="86"/>
    </row>
    <row r="988" spans="1:27" ht="14.25" customHeight="1" x14ac:dyDescent="0.35">
      <c r="A988" s="76"/>
      <c r="B988" s="87">
        <v>0</v>
      </c>
      <c r="C988" s="76"/>
      <c r="D988" s="85"/>
      <c r="E988" s="85"/>
      <c r="F988" s="85"/>
      <c r="G988" s="83"/>
      <c r="H988" s="86"/>
      <c r="I988" s="86"/>
      <c r="J988" s="86"/>
      <c r="K988" s="62"/>
      <c r="L988" s="86"/>
      <c r="M988" s="86"/>
      <c r="N988" s="86"/>
      <c r="O988" s="86"/>
      <c r="P988" s="86"/>
      <c r="Q988" s="86"/>
      <c r="R988" s="86"/>
      <c r="S988" s="86"/>
      <c r="T988" s="86"/>
      <c r="U988" s="86"/>
      <c r="V988" s="86"/>
      <c r="W988" s="86"/>
      <c r="X988" s="86"/>
      <c r="Y988" s="86"/>
      <c r="Z988" s="86"/>
      <c r="AA988" s="86"/>
    </row>
    <row r="989" spans="1:27" ht="14.25" customHeight="1" x14ac:dyDescent="0.35">
      <c r="A989" s="76"/>
      <c r="B989" s="87">
        <v>0</v>
      </c>
      <c r="C989" s="76"/>
      <c r="D989" s="85"/>
      <c r="E989" s="85"/>
      <c r="F989" s="85"/>
      <c r="G989" s="83"/>
      <c r="H989" s="86"/>
      <c r="I989" s="86"/>
      <c r="J989" s="86"/>
      <c r="K989" s="62"/>
      <c r="L989" s="86"/>
      <c r="M989" s="86"/>
      <c r="N989" s="86"/>
      <c r="O989" s="86"/>
      <c r="P989" s="86"/>
      <c r="Q989" s="86"/>
      <c r="R989" s="86"/>
      <c r="S989" s="86"/>
      <c r="T989" s="86"/>
      <c r="U989" s="86"/>
      <c r="V989" s="86"/>
      <c r="W989" s="86"/>
      <c r="X989" s="86"/>
      <c r="Y989" s="86"/>
      <c r="Z989" s="86"/>
      <c r="AA989" s="86"/>
    </row>
    <row r="990" spans="1:27" ht="14.25" customHeight="1" x14ac:dyDescent="0.35">
      <c r="A990" s="76"/>
      <c r="B990" s="87">
        <v>0</v>
      </c>
      <c r="C990" s="76"/>
      <c r="D990" s="85"/>
      <c r="E990" s="85"/>
      <c r="F990" s="85"/>
      <c r="G990" s="83"/>
      <c r="H990" s="86"/>
      <c r="I990" s="86"/>
      <c r="J990" s="86"/>
      <c r="K990" s="62"/>
      <c r="L990" s="86"/>
      <c r="M990" s="86"/>
      <c r="N990" s="86"/>
      <c r="O990" s="86"/>
      <c r="P990" s="86"/>
      <c r="Q990" s="86"/>
      <c r="R990" s="86"/>
      <c r="S990" s="86"/>
      <c r="T990" s="86"/>
      <c r="U990" s="86"/>
      <c r="V990" s="86"/>
      <c r="W990" s="86"/>
      <c r="X990" s="86"/>
      <c r="Y990" s="86"/>
      <c r="Z990" s="86"/>
      <c r="AA990" s="86"/>
    </row>
    <row r="991" spans="1:27" ht="14.25" customHeight="1" x14ac:dyDescent="0.35">
      <c r="A991" s="76"/>
      <c r="B991" s="87">
        <v>0</v>
      </c>
      <c r="C991" s="76"/>
      <c r="D991" s="85"/>
      <c r="E991" s="85"/>
      <c r="F991" s="85"/>
      <c r="G991" s="83"/>
      <c r="H991" s="86"/>
      <c r="I991" s="86"/>
      <c r="J991" s="86"/>
      <c r="K991" s="62"/>
      <c r="L991" s="86"/>
      <c r="M991" s="86"/>
      <c r="N991" s="86"/>
      <c r="O991" s="86"/>
      <c r="P991" s="86"/>
      <c r="Q991" s="86"/>
      <c r="R991" s="86"/>
      <c r="S991" s="86"/>
      <c r="T991" s="86"/>
      <c r="U991" s="86"/>
      <c r="V991" s="86"/>
      <c r="W991" s="86"/>
      <c r="X991" s="86"/>
      <c r="Y991" s="86"/>
      <c r="Z991" s="86"/>
      <c r="AA991" s="86"/>
    </row>
    <row r="992" spans="1:27" ht="14.25" customHeight="1" x14ac:dyDescent="0.35">
      <c r="A992" s="76"/>
      <c r="B992" s="87">
        <v>0</v>
      </c>
      <c r="C992" s="76"/>
      <c r="D992" s="85"/>
      <c r="E992" s="85"/>
      <c r="F992" s="85"/>
      <c r="G992" s="83"/>
      <c r="H992" s="86"/>
      <c r="I992" s="86"/>
      <c r="J992" s="86"/>
      <c r="K992" s="62"/>
      <c r="L992" s="86"/>
      <c r="M992" s="86"/>
      <c r="N992" s="86"/>
      <c r="O992" s="86"/>
      <c r="P992" s="86"/>
      <c r="Q992" s="86"/>
      <c r="R992" s="86"/>
      <c r="S992" s="86"/>
      <c r="T992" s="86"/>
      <c r="U992" s="86"/>
      <c r="V992" s="86"/>
      <c r="W992" s="86"/>
      <c r="X992" s="86"/>
      <c r="Y992" s="86"/>
      <c r="Z992" s="86"/>
      <c r="AA992" s="86"/>
    </row>
    <row r="993" spans="1:27" ht="14.25" customHeight="1" x14ac:dyDescent="0.35">
      <c r="A993" s="76"/>
      <c r="B993" s="87">
        <v>0</v>
      </c>
      <c r="C993" s="76"/>
      <c r="D993" s="85"/>
      <c r="E993" s="85"/>
      <c r="F993" s="85"/>
      <c r="G993" s="83"/>
      <c r="H993" s="86"/>
      <c r="I993" s="86"/>
      <c r="J993" s="86"/>
      <c r="K993" s="62"/>
      <c r="L993" s="86"/>
      <c r="M993" s="86"/>
      <c r="N993" s="86"/>
      <c r="O993" s="86"/>
      <c r="P993" s="86"/>
      <c r="Q993" s="86"/>
      <c r="R993" s="86"/>
      <c r="S993" s="86"/>
      <c r="T993" s="86"/>
      <c r="U993" s="86"/>
      <c r="V993" s="86"/>
      <c r="W993" s="86"/>
      <c r="X993" s="86"/>
      <c r="Y993" s="86"/>
      <c r="Z993" s="86"/>
      <c r="AA993" s="86"/>
    </row>
    <row r="994" spans="1:27" ht="14.25" customHeight="1" x14ac:dyDescent="0.35">
      <c r="A994" s="76"/>
      <c r="B994" s="87">
        <v>0</v>
      </c>
      <c r="C994" s="76"/>
      <c r="D994" s="85"/>
      <c r="E994" s="85"/>
      <c r="F994" s="85"/>
      <c r="G994" s="83"/>
      <c r="H994" s="86"/>
      <c r="I994" s="86"/>
      <c r="J994" s="86"/>
      <c r="K994" s="62"/>
      <c r="L994" s="86"/>
      <c r="M994" s="86"/>
      <c r="N994" s="86"/>
      <c r="O994" s="86"/>
      <c r="P994" s="86"/>
      <c r="Q994" s="86"/>
      <c r="R994" s="86"/>
      <c r="S994" s="86"/>
      <c r="T994" s="86"/>
      <c r="U994" s="86"/>
      <c r="V994" s="86"/>
      <c r="W994" s="86"/>
      <c r="X994" s="86"/>
      <c r="Y994" s="86"/>
      <c r="Z994" s="86"/>
      <c r="AA994" s="86"/>
    </row>
    <row r="995" spans="1:27" ht="14.25" customHeight="1" x14ac:dyDescent="0.35">
      <c r="A995" s="76"/>
      <c r="B995" s="87">
        <v>0</v>
      </c>
      <c r="C995" s="76"/>
      <c r="D995" s="85"/>
      <c r="E995" s="85"/>
      <c r="F995" s="85"/>
      <c r="G995" s="83"/>
      <c r="H995" s="86"/>
      <c r="I995" s="86"/>
      <c r="J995" s="86"/>
      <c r="K995" s="62"/>
      <c r="L995" s="86"/>
      <c r="M995" s="86"/>
      <c r="N995" s="86"/>
      <c r="O995" s="86"/>
      <c r="P995" s="86"/>
      <c r="Q995" s="86"/>
      <c r="R995" s="86"/>
      <c r="S995" s="86"/>
      <c r="T995" s="86"/>
      <c r="U995" s="86"/>
      <c r="V995" s="86"/>
      <c r="W995" s="86"/>
      <c r="X995" s="86"/>
      <c r="Y995" s="86"/>
      <c r="Z995" s="86"/>
      <c r="AA995" s="86"/>
    </row>
    <row r="996" spans="1:27" ht="14.25" customHeight="1" x14ac:dyDescent="0.35">
      <c r="A996" s="76"/>
      <c r="B996" s="87">
        <f t="array" ref="B996:B1027">'Regioturnier 1'!$N$3:$N$34</f>
        <v>0</v>
      </c>
      <c r="C996" s="76"/>
      <c r="D996" s="85"/>
      <c r="E996" s="85"/>
      <c r="F996" s="85"/>
      <c r="G996" s="83"/>
      <c r="H996" s="86"/>
      <c r="I996" s="86"/>
      <c r="J996" s="86"/>
      <c r="K996" s="62"/>
      <c r="L996" s="86"/>
      <c r="M996" s="86"/>
      <c r="N996" s="86"/>
      <c r="O996" s="86"/>
      <c r="P996" s="86"/>
      <c r="Q996" s="86"/>
      <c r="R996" s="86"/>
      <c r="S996" s="86"/>
      <c r="T996" s="86"/>
      <c r="U996" s="86"/>
      <c r="V996" s="86"/>
      <c r="W996" s="86"/>
      <c r="X996" s="86"/>
      <c r="Y996" s="86"/>
      <c r="Z996" s="86"/>
      <c r="AA996" s="86"/>
    </row>
    <row r="997" spans="1:27" ht="14.25" customHeight="1" x14ac:dyDescent="0.35">
      <c r="A997" s="76"/>
      <c r="B997" s="87">
        <v>0</v>
      </c>
      <c r="C997" s="76"/>
      <c r="D997" s="85"/>
      <c r="E997" s="85"/>
      <c r="F997" s="85"/>
      <c r="G997" s="83"/>
      <c r="H997" s="86"/>
      <c r="I997" s="86"/>
      <c r="J997" s="86"/>
      <c r="K997" s="62"/>
      <c r="L997" s="86"/>
      <c r="M997" s="86"/>
      <c r="N997" s="86"/>
      <c r="O997" s="86"/>
      <c r="P997" s="86"/>
      <c r="Q997" s="86"/>
      <c r="R997" s="86"/>
      <c r="S997" s="86"/>
      <c r="T997" s="86"/>
      <c r="U997" s="86"/>
      <c r="V997" s="86"/>
      <c r="W997" s="86"/>
      <c r="X997" s="86"/>
      <c r="Y997" s="86"/>
      <c r="Z997" s="86"/>
      <c r="AA997" s="86"/>
    </row>
    <row r="998" spans="1:27" ht="14.25" customHeight="1" x14ac:dyDescent="0.35">
      <c r="A998" s="76"/>
      <c r="B998" s="87">
        <v>0</v>
      </c>
      <c r="C998" s="76"/>
      <c r="D998" s="85"/>
      <c r="E998" s="85"/>
      <c r="F998" s="85"/>
      <c r="G998" s="83"/>
      <c r="H998" s="86"/>
      <c r="I998" s="86"/>
      <c r="J998" s="86"/>
      <c r="K998" s="62"/>
      <c r="L998" s="86"/>
      <c r="M998" s="86"/>
      <c r="N998" s="86"/>
      <c r="O998" s="86"/>
      <c r="P998" s="86"/>
      <c r="Q998" s="86"/>
      <c r="R998" s="86"/>
      <c r="S998" s="86"/>
      <c r="T998" s="86"/>
      <c r="U998" s="86"/>
      <c r="V998" s="86"/>
      <c r="W998" s="86"/>
      <c r="X998" s="86"/>
      <c r="Y998" s="86"/>
      <c r="Z998" s="86"/>
      <c r="AA998" s="86"/>
    </row>
    <row r="999" spans="1:27" ht="14.25" customHeight="1" x14ac:dyDescent="0.35">
      <c r="A999" s="76"/>
      <c r="B999" s="87">
        <v>0</v>
      </c>
      <c r="C999" s="76"/>
      <c r="D999" s="85"/>
      <c r="E999" s="85"/>
      <c r="F999" s="85"/>
      <c r="G999" s="83"/>
      <c r="H999" s="86"/>
      <c r="I999" s="86"/>
      <c r="J999" s="86"/>
      <c r="K999" s="62"/>
      <c r="L999" s="86"/>
      <c r="M999" s="86"/>
      <c r="N999" s="86"/>
      <c r="O999" s="86"/>
      <c r="P999" s="86"/>
      <c r="Q999" s="86"/>
      <c r="R999" s="86"/>
      <c r="S999" s="86"/>
      <c r="T999" s="86"/>
      <c r="U999" s="86"/>
      <c r="V999" s="86"/>
      <c r="W999" s="86"/>
      <c r="X999" s="86"/>
      <c r="Y999" s="86"/>
      <c r="Z999" s="86"/>
      <c r="AA999" s="86"/>
    </row>
    <row r="1000" spans="1:27" ht="14.25" customHeight="1" x14ac:dyDescent="0.35">
      <c r="A1000" s="76"/>
      <c r="B1000" s="87">
        <v>0</v>
      </c>
      <c r="C1000" s="76"/>
      <c r="D1000" s="85"/>
      <c r="E1000" s="85"/>
      <c r="F1000" s="85"/>
      <c r="G1000" s="83"/>
      <c r="H1000" s="86"/>
      <c r="I1000" s="86"/>
      <c r="J1000" s="86"/>
      <c r="K1000" s="62"/>
      <c r="L1000" s="86"/>
      <c r="M1000" s="86"/>
      <c r="N1000" s="86"/>
      <c r="O1000" s="86"/>
      <c r="P1000" s="86"/>
      <c r="Q1000" s="86"/>
      <c r="R1000" s="86"/>
      <c r="S1000" s="86"/>
      <c r="T1000" s="86"/>
      <c r="U1000" s="86"/>
      <c r="V1000" s="86"/>
      <c r="W1000" s="86"/>
      <c r="X1000" s="86"/>
      <c r="Y1000" s="86"/>
      <c r="Z1000" s="86"/>
      <c r="AA1000" s="86"/>
    </row>
    <row r="1001" spans="1:27" ht="14.25" customHeight="1" x14ac:dyDescent="0.35">
      <c r="A1001" s="76"/>
      <c r="B1001" s="87">
        <v>0</v>
      </c>
      <c r="C1001" s="76"/>
      <c r="D1001" s="85"/>
      <c r="E1001" s="85"/>
      <c r="F1001" s="85"/>
      <c r="G1001" s="83"/>
      <c r="H1001" s="86"/>
      <c r="I1001" s="86"/>
      <c r="J1001" s="86"/>
      <c r="K1001" s="62"/>
      <c r="L1001" s="86"/>
      <c r="M1001" s="86"/>
      <c r="N1001" s="86"/>
      <c r="O1001" s="86"/>
      <c r="P1001" s="86"/>
      <c r="Q1001" s="86"/>
      <c r="R1001" s="86"/>
      <c r="S1001" s="86"/>
      <c r="T1001" s="86"/>
      <c r="U1001" s="86"/>
      <c r="V1001" s="86"/>
      <c r="W1001" s="86"/>
      <c r="X1001" s="86"/>
      <c r="Y1001" s="86"/>
      <c r="Z1001" s="86"/>
      <c r="AA1001" s="86"/>
    </row>
    <row r="1002" spans="1:27" ht="14.25" customHeight="1" x14ac:dyDescent="0.35">
      <c r="A1002" s="76"/>
      <c r="B1002" s="87">
        <v>0</v>
      </c>
      <c r="C1002" s="76"/>
      <c r="D1002" s="85"/>
      <c r="E1002" s="85"/>
      <c r="F1002" s="85"/>
      <c r="G1002" s="83"/>
      <c r="H1002" s="86"/>
      <c r="I1002" s="86"/>
      <c r="J1002" s="86"/>
      <c r="K1002" s="62"/>
      <c r="L1002" s="86"/>
      <c r="M1002" s="86"/>
      <c r="N1002" s="86"/>
      <c r="O1002" s="86"/>
      <c r="P1002" s="86"/>
      <c r="Q1002" s="86"/>
      <c r="R1002" s="86"/>
      <c r="S1002" s="86"/>
      <c r="T1002" s="86"/>
      <c r="U1002" s="86"/>
      <c r="V1002" s="86"/>
      <c r="W1002" s="86"/>
      <c r="X1002" s="86"/>
      <c r="Y1002" s="86"/>
      <c r="Z1002" s="86"/>
      <c r="AA1002" s="86"/>
    </row>
    <row r="1003" spans="1:27" ht="14.25" customHeight="1" x14ac:dyDescent="0.35">
      <c r="A1003" s="76"/>
      <c r="B1003" s="87">
        <v>0</v>
      </c>
      <c r="C1003" s="76"/>
      <c r="D1003" s="85"/>
      <c r="E1003" s="85"/>
      <c r="F1003" s="85"/>
      <c r="G1003" s="83"/>
      <c r="H1003" s="86"/>
      <c r="I1003" s="86"/>
      <c r="J1003" s="86"/>
      <c r="K1003" s="62"/>
      <c r="L1003" s="86"/>
      <c r="M1003" s="86"/>
      <c r="N1003" s="86"/>
      <c r="O1003" s="86"/>
      <c r="P1003" s="86"/>
      <c r="Q1003" s="86"/>
      <c r="R1003" s="86"/>
      <c r="S1003" s="86"/>
      <c r="T1003" s="86"/>
      <c r="U1003" s="86"/>
      <c r="V1003" s="86"/>
      <c r="W1003" s="86"/>
      <c r="X1003" s="86"/>
      <c r="Y1003" s="86"/>
      <c r="Z1003" s="86"/>
      <c r="AA1003" s="86"/>
    </row>
    <row r="1004" spans="1:27" ht="15" customHeight="1" x14ac:dyDescent="0.35">
      <c r="B1004" s="87">
        <v>0</v>
      </c>
      <c r="C1004" s="79"/>
      <c r="D1004" s="79"/>
      <c r="E1004" s="79"/>
      <c r="F1004" s="79"/>
      <c r="G1004" s="80"/>
    </row>
    <row r="1005" spans="1:27" ht="15" customHeight="1" x14ac:dyDescent="0.35">
      <c r="B1005" s="87">
        <v>0</v>
      </c>
      <c r="C1005" s="79"/>
      <c r="D1005" s="79"/>
      <c r="E1005" s="79"/>
      <c r="F1005" s="79"/>
      <c r="G1005" s="80"/>
    </row>
    <row r="1006" spans="1:27" ht="15" customHeight="1" x14ac:dyDescent="0.35">
      <c r="B1006" s="87">
        <v>0</v>
      </c>
      <c r="C1006" s="79"/>
      <c r="D1006" s="79"/>
      <c r="E1006" s="79"/>
      <c r="F1006" s="79"/>
      <c r="G1006" s="80"/>
    </row>
    <row r="1007" spans="1:27" ht="15" customHeight="1" x14ac:dyDescent="0.35">
      <c r="B1007" s="87">
        <v>0</v>
      </c>
      <c r="C1007" s="79"/>
      <c r="D1007" s="79"/>
      <c r="E1007" s="79"/>
      <c r="F1007" s="79"/>
      <c r="G1007" s="80"/>
    </row>
    <row r="1008" spans="1:27" ht="15" customHeight="1" x14ac:dyDescent="0.35">
      <c r="B1008" s="87">
        <v>0</v>
      </c>
      <c r="C1008" s="79"/>
      <c r="D1008" s="79"/>
      <c r="E1008" s="79"/>
      <c r="F1008" s="79"/>
      <c r="G1008" s="80"/>
    </row>
    <row r="1009" spans="2:7" ht="15" customHeight="1" x14ac:dyDescent="0.35">
      <c r="B1009" s="87">
        <v>0</v>
      </c>
      <c r="C1009" s="79"/>
      <c r="D1009" s="79"/>
      <c r="E1009" s="79"/>
      <c r="F1009" s="79"/>
      <c r="G1009" s="80"/>
    </row>
    <row r="1010" spans="2:7" ht="15" customHeight="1" x14ac:dyDescent="0.35">
      <c r="B1010" s="87">
        <v>0</v>
      </c>
      <c r="C1010" s="79"/>
      <c r="D1010" s="79"/>
      <c r="E1010" s="79"/>
      <c r="F1010" s="79"/>
      <c r="G1010" s="80"/>
    </row>
    <row r="1011" spans="2:7" ht="15" customHeight="1" x14ac:dyDescent="0.35">
      <c r="B1011" s="87">
        <v>0</v>
      </c>
      <c r="C1011" s="79"/>
      <c r="D1011" s="79"/>
      <c r="E1011" s="79"/>
      <c r="F1011" s="79"/>
      <c r="G1011" s="80"/>
    </row>
    <row r="1012" spans="2:7" ht="15" customHeight="1" x14ac:dyDescent="0.35">
      <c r="B1012" s="87">
        <v>0</v>
      </c>
      <c r="C1012" s="79"/>
      <c r="D1012" s="79"/>
      <c r="E1012" s="79"/>
      <c r="F1012" s="79"/>
      <c r="G1012" s="80"/>
    </row>
    <row r="1013" spans="2:7" ht="15" customHeight="1" x14ac:dyDescent="0.35">
      <c r="B1013" s="87">
        <v>0</v>
      </c>
      <c r="C1013" s="79"/>
      <c r="D1013" s="79"/>
      <c r="E1013" s="79"/>
      <c r="F1013" s="79"/>
      <c r="G1013" s="80"/>
    </row>
    <row r="1014" spans="2:7" ht="15" customHeight="1" x14ac:dyDescent="0.35">
      <c r="B1014" s="87">
        <v>0</v>
      </c>
      <c r="C1014" s="79"/>
      <c r="D1014" s="79"/>
      <c r="E1014" s="79"/>
      <c r="F1014" s="79"/>
      <c r="G1014" s="80"/>
    </row>
    <row r="1015" spans="2:7" ht="15" customHeight="1" x14ac:dyDescent="0.35">
      <c r="B1015" s="87">
        <v>0</v>
      </c>
      <c r="C1015" s="79"/>
      <c r="D1015" s="79"/>
      <c r="E1015" s="79"/>
      <c r="F1015" s="79"/>
      <c r="G1015" s="80"/>
    </row>
    <row r="1016" spans="2:7" ht="15" customHeight="1" x14ac:dyDescent="0.35">
      <c r="B1016" s="87">
        <v>0</v>
      </c>
      <c r="C1016" s="79"/>
      <c r="D1016" s="79"/>
      <c r="E1016" s="79"/>
      <c r="F1016" s="79"/>
      <c r="G1016" s="80"/>
    </row>
    <row r="1017" spans="2:7" ht="15" customHeight="1" x14ac:dyDescent="0.35">
      <c r="B1017" s="87">
        <v>0</v>
      </c>
      <c r="C1017" s="79"/>
      <c r="D1017" s="79"/>
      <c r="E1017" s="79"/>
      <c r="F1017" s="79"/>
      <c r="G1017" s="80"/>
    </row>
    <row r="1018" spans="2:7" ht="15" customHeight="1" x14ac:dyDescent="0.35">
      <c r="B1018" s="87">
        <v>0</v>
      </c>
      <c r="C1018" s="79"/>
      <c r="D1018" s="79"/>
      <c r="E1018" s="79"/>
      <c r="F1018" s="79"/>
      <c r="G1018" s="80"/>
    </row>
    <row r="1019" spans="2:7" ht="15" customHeight="1" x14ac:dyDescent="0.35">
      <c r="B1019" s="87">
        <v>0</v>
      </c>
      <c r="C1019" s="79"/>
      <c r="D1019" s="79"/>
      <c r="E1019" s="79"/>
      <c r="F1019" s="79"/>
      <c r="G1019" s="80"/>
    </row>
    <row r="1020" spans="2:7" ht="15" customHeight="1" x14ac:dyDescent="0.35">
      <c r="B1020" s="87">
        <v>0</v>
      </c>
      <c r="C1020" s="79"/>
      <c r="D1020" s="79"/>
      <c r="E1020" s="79"/>
      <c r="F1020" s="79"/>
      <c r="G1020" s="80"/>
    </row>
    <row r="1021" spans="2:7" ht="15" customHeight="1" x14ac:dyDescent="0.35">
      <c r="B1021" s="87">
        <v>0</v>
      </c>
      <c r="C1021" s="79"/>
      <c r="D1021" s="79"/>
      <c r="E1021" s="79"/>
      <c r="F1021" s="79"/>
      <c r="G1021" s="80"/>
    </row>
    <row r="1022" spans="2:7" ht="15" customHeight="1" x14ac:dyDescent="0.35">
      <c r="B1022" s="87">
        <v>0</v>
      </c>
      <c r="C1022" s="79"/>
      <c r="D1022" s="79"/>
      <c r="E1022" s="79"/>
      <c r="F1022" s="79"/>
      <c r="G1022" s="80"/>
    </row>
    <row r="1023" spans="2:7" ht="15" customHeight="1" x14ac:dyDescent="0.35">
      <c r="B1023" s="87">
        <v>0</v>
      </c>
      <c r="C1023" s="79"/>
      <c r="D1023" s="79"/>
      <c r="E1023" s="79"/>
      <c r="F1023" s="79"/>
      <c r="G1023" s="80"/>
    </row>
    <row r="1024" spans="2:7" ht="15" customHeight="1" x14ac:dyDescent="0.35">
      <c r="B1024" s="87">
        <v>0</v>
      </c>
      <c r="C1024" s="79"/>
      <c r="D1024" s="79"/>
      <c r="E1024" s="79"/>
      <c r="F1024" s="79"/>
      <c r="G1024" s="80"/>
    </row>
    <row r="1025" spans="2:7" ht="15" customHeight="1" x14ac:dyDescent="0.35">
      <c r="B1025" s="87">
        <v>0</v>
      </c>
      <c r="C1025" s="79"/>
      <c r="D1025" s="79"/>
      <c r="E1025" s="79"/>
      <c r="F1025" s="79"/>
      <c r="G1025" s="80"/>
    </row>
    <row r="1026" spans="2:7" ht="15" customHeight="1" x14ac:dyDescent="0.35">
      <c r="B1026" s="87">
        <v>0</v>
      </c>
      <c r="C1026" s="79"/>
      <c r="D1026" s="79"/>
      <c r="E1026" s="79"/>
      <c r="F1026" s="79"/>
      <c r="G1026" s="80"/>
    </row>
    <row r="1027" spans="2:7" ht="15" customHeight="1" x14ac:dyDescent="0.35">
      <c r="B1027" s="87">
        <v>0</v>
      </c>
      <c r="C1027" s="79"/>
      <c r="D1027" s="79"/>
      <c r="E1027" s="79"/>
      <c r="F1027" s="79"/>
      <c r="G1027" s="80"/>
    </row>
    <row r="1028" spans="2:7" ht="15" customHeight="1" x14ac:dyDescent="0.35">
      <c r="B1028" s="87" t="str">
        <f t="array" ref="B1028:B1059">'Regioturnier 1'!$R$3:$R$34</f>
        <v>Laura Schindler</v>
      </c>
      <c r="C1028" s="79"/>
      <c r="D1028" s="79"/>
      <c r="E1028" s="79"/>
      <c r="F1028" s="79"/>
      <c r="G1028" s="80"/>
    </row>
    <row r="1029" spans="2:7" ht="15" customHeight="1" x14ac:dyDescent="0.35">
      <c r="B1029" s="87" t="str">
        <v>Emilia Nagy</v>
      </c>
      <c r="C1029" s="79"/>
      <c r="D1029" s="79"/>
      <c r="E1029" s="79"/>
      <c r="F1029" s="79"/>
      <c r="G1029" s="80"/>
    </row>
    <row r="1030" spans="2:7" ht="15" customHeight="1" x14ac:dyDescent="0.35">
      <c r="B1030" s="87" t="str">
        <v>Anja Reisinger</v>
      </c>
      <c r="C1030" s="79"/>
      <c r="D1030" s="79"/>
      <c r="E1030" s="79"/>
      <c r="F1030" s="79"/>
      <c r="G1030" s="80"/>
    </row>
    <row r="1031" spans="2:7" ht="15" customHeight="1" x14ac:dyDescent="0.35">
      <c r="B1031" s="87" t="str">
        <v>Mina Ruenroeng</v>
      </c>
      <c r="C1031" s="79"/>
      <c r="D1031" s="79"/>
      <c r="E1031" s="79"/>
      <c r="F1031" s="79"/>
      <c r="G1031" s="80"/>
    </row>
    <row r="1032" spans="2:7" ht="15" customHeight="1" x14ac:dyDescent="0.35">
      <c r="B1032" s="87">
        <v>0</v>
      </c>
      <c r="C1032" s="79"/>
      <c r="D1032" s="79"/>
      <c r="E1032" s="79"/>
      <c r="F1032" s="79"/>
      <c r="G1032" s="80"/>
    </row>
    <row r="1033" spans="2:7" ht="15" customHeight="1" x14ac:dyDescent="0.35">
      <c r="B1033" s="87">
        <v>0</v>
      </c>
      <c r="C1033" s="79"/>
      <c r="D1033" s="79"/>
      <c r="E1033" s="79"/>
      <c r="F1033" s="79"/>
      <c r="G1033" s="80"/>
    </row>
    <row r="1034" spans="2:7" ht="15" customHeight="1" x14ac:dyDescent="0.35">
      <c r="B1034" s="87">
        <v>0</v>
      </c>
      <c r="C1034" s="79"/>
      <c r="D1034" s="79"/>
      <c r="E1034" s="79"/>
      <c r="F1034" s="79"/>
      <c r="G1034" s="80"/>
    </row>
    <row r="1035" spans="2:7" ht="15" customHeight="1" x14ac:dyDescent="0.35">
      <c r="B1035" s="87">
        <v>0</v>
      </c>
      <c r="C1035" s="79"/>
      <c r="D1035" s="79"/>
      <c r="E1035" s="79"/>
      <c r="F1035" s="79"/>
      <c r="G1035" s="80"/>
    </row>
    <row r="1036" spans="2:7" ht="15" customHeight="1" x14ac:dyDescent="0.35">
      <c r="B1036" s="87">
        <v>0</v>
      </c>
      <c r="C1036" s="79"/>
      <c r="D1036" s="79"/>
      <c r="E1036" s="79"/>
      <c r="F1036" s="79"/>
      <c r="G1036" s="80"/>
    </row>
    <row r="1037" spans="2:7" ht="15" customHeight="1" x14ac:dyDescent="0.35">
      <c r="B1037" s="87">
        <v>0</v>
      </c>
      <c r="C1037" s="79"/>
      <c r="D1037" s="79"/>
      <c r="E1037" s="79"/>
      <c r="F1037" s="79"/>
      <c r="G1037" s="80"/>
    </row>
    <row r="1038" spans="2:7" ht="15" customHeight="1" x14ac:dyDescent="0.35">
      <c r="B1038" s="87">
        <v>0</v>
      </c>
      <c r="C1038" s="79"/>
      <c r="D1038" s="79"/>
      <c r="E1038" s="79"/>
      <c r="F1038" s="79"/>
      <c r="G1038" s="80"/>
    </row>
    <row r="1039" spans="2:7" ht="15" customHeight="1" x14ac:dyDescent="0.35">
      <c r="B1039" s="87">
        <v>0</v>
      </c>
      <c r="C1039" s="79"/>
      <c r="D1039" s="79"/>
      <c r="E1039" s="79"/>
      <c r="F1039" s="79"/>
      <c r="G1039" s="80"/>
    </row>
    <row r="1040" spans="2:7" ht="15" customHeight="1" x14ac:dyDescent="0.35">
      <c r="B1040" s="87">
        <v>0</v>
      </c>
      <c r="C1040" s="79"/>
      <c r="D1040" s="79"/>
      <c r="E1040" s="79"/>
      <c r="F1040" s="79"/>
      <c r="G1040" s="80"/>
    </row>
    <row r="1041" spans="2:7" ht="15" customHeight="1" x14ac:dyDescent="0.35">
      <c r="B1041" s="87">
        <v>0</v>
      </c>
      <c r="C1041" s="79"/>
      <c r="D1041" s="79"/>
      <c r="E1041" s="79"/>
      <c r="F1041" s="79"/>
      <c r="G1041" s="80"/>
    </row>
    <row r="1042" spans="2:7" ht="15" customHeight="1" x14ac:dyDescent="0.35">
      <c r="B1042" s="87">
        <v>0</v>
      </c>
      <c r="C1042" s="79"/>
      <c r="D1042" s="79"/>
      <c r="E1042" s="79"/>
      <c r="F1042" s="79"/>
      <c r="G1042" s="80"/>
    </row>
    <row r="1043" spans="2:7" ht="15" customHeight="1" x14ac:dyDescent="0.35">
      <c r="B1043" s="87">
        <v>0</v>
      </c>
      <c r="C1043" s="79"/>
      <c r="D1043" s="79"/>
      <c r="E1043" s="79"/>
      <c r="F1043" s="79"/>
      <c r="G1043" s="80"/>
    </row>
    <row r="1044" spans="2:7" ht="15" customHeight="1" x14ac:dyDescent="0.35">
      <c r="B1044" s="87">
        <v>0</v>
      </c>
      <c r="C1044" s="79"/>
      <c r="D1044" s="79"/>
      <c r="E1044" s="79"/>
      <c r="F1044" s="79"/>
      <c r="G1044" s="80"/>
    </row>
    <row r="1045" spans="2:7" ht="15" customHeight="1" x14ac:dyDescent="0.35">
      <c r="B1045" s="87">
        <v>0</v>
      </c>
      <c r="C1045" s="79"/>
      <c r="D1045" s="79"/>
      <c r="E1045" s="79"/>
      <c r="F1045" s="79"/>
      <c r="G1045" s="80"/>
    </row>
    <row r="1046" spans="2:7" ht="15" customHeight="1" x14ac:dyDescent="0.35">
      <c r="B1046" s="87">
        <v>0</v>
      </c>
      <c r="C1046" s="79"/>
      <c r="D1046" s="79"/>
      <c r="E1046" s="79"/>
      <c r="F1046" s="79"/>
      <c r="G1046" s="80"/>
    </row>
    <row r="1047" spans="2:7" ht="15" customHeight="1" x14ac:dyDescent="0.35">
      <c r="B1047" s="87">
        <v>0</v>
      </c>
      <c r="C1047" s="79"/>
      <c r="D1047" s="79"/>
      <c r="E1047" s="79"/>
      <c r="F1047" s="79"/>
      <c r="G1047" s="80"/>
    </row>
    <row r="1048" spans="2:7" ht="15" customHeight="1" x14ac:dyDescent="0.35">
      <c r="B1048" s="87">
        <v>0</v>
      </c>
      <c r="C1048" s="79"/>
      <c r="D1048" s="79"/>
      <c r="E1048" s="79"/>
      <c r="F1048" s="79"/>
      <c r="G1048" s="80"/>
    </row>
    <row r="1049" spans="2:7" ht="15" customHeight="1" x14ac:dyDescent="0.35">
      <c r="B1049" s="87">
        <v>0</v>
      </c>
      <c r="C1049" s="79"/>
      <c r="D1049" s="79"/>
      <c r="E1049" s="79"/>
      <c r="F1049" s="79"/>
      <c r="G1049" s="80"/>
    </row>
    <row r="1050" spans="2:7" ht="15" customHeight="1" x14ac:dyDescent="0.35">
      <c r="B1050" s="87">
        <v>0</v>
      </c>
      <c r="C1050" s="79"/>
      <c r="D1050" s="79"/>
      <c r="E1050" s="79"/>
      <c r="F1050" s="79"/>
      <c r="G1050" s="80"/>
    </row>
    <row r="1051" spans="2:7" ht="15" customHeight="1" x14ac:dyDescent="0.35">
      <c r="B1051" s="87">
        <v>0</v>
      </c>
      <c r="C1051" s="79"/>
      <c r="D1051" s="79"/>
      <c r="E1051" s="79"/>
      <c r="F1051" s="79"/>
      <c r="G1051" s="80"/>
    </row>
    <row r="1052" spans="2:7" ht="15" customHeight="1" x14ac:dyDescent="0.35">
      <c r="B1052" s="87">
        <v>0</v>
      </c>
      <c r="C1052" s="79"/>
      <c r="D1052" s="79"/>
      <c r="E1052" s="79"/>
      <c r="F1052" s="79"/>
      <c r="G1052" s="80"/>
    </row>
    <row r="1053" spans="2:7" ht="15" customHeight="1" x14ac:dyDescent="0.35">
      <c r="B1053" s="87">
        <v>0</v>
      </c>
      <c r="C1053" s="79"/>
      <c r="D1053" s="79"/>
      <c r="E1053" s="79"/>
      <c r="F1053" s="79"/>
      <c r="G1053" s="80"/>
    </row>
    <row r="1054" spans="2:7" ht="15" customHeight="1" x14ac:dyDescent="0.35">
      <c r="B1054" s="87">
        <v>0</v>
      </c>
      <c r="C1054" s="79"/>
      <c r="D1054" s="79"/>
      <c r="E1054" s="79"/>
      <c r="F1054" s="79"/>
      <c r="G1054" s="80"/>
    </row>
    <row r="1055" spans="2:7" ht="15" customHeight="1" x14ac:dyDescent="0.35">
      <c r="B1055" s="87">
        <v>0</v>
      </c>
      <c r="C1055" s="79"/>
      <c r="D1055" s="79"/>
      <c r="E1055" s="79"/>
      <c r="F1055" s="79"/>
      <c r="G1055" s="80"/>
    </row>
    <row r="1056" spans="2:7" ht="15" customHeight="1" x14ac:dyDescent="0.35">
      <c r="B1056" s="87">
        <v>0</v>
      </c>
      <c r="C1056" s="79"/>
      <c r="D1056" s="79"/>
      <c r="E1056" s="79"/>
      <c r="F1056" s="79"/>
      <c r="G1056" s="80"/>
    </row>
    <row r="1057" spans="2:7" ht="15" customHeight="1" x14ac:dyDescent="0.35">
      <c r="B1057" s="87">
        <v>0</v>
      </c>
      <c r="C1057" s="79"/>
      <c r="D1057" s="79"/>
      <c r="E1057" s="79"/>
      <c r="F1057" s="79"/>
      <c r="G1057" s="80"/>
    </row>
    <row r="1058" spans="2:7" ht="15" customHeight="1" x14ac:dyDescent="0.35">
      <c r="B1058" s="87">
        <v>0</v>
      </c>
      <c r="C1058" s="79"/>
      <c r="D1058" s="79"/>
      <c r="E1058" s="79"/>
      <c r="F1058" s="79"/>
      <c r="G1058" s="80"/>
    </row>
    <row r="1059" spans="2:7" ht="15" customHeight="1" x14ac:dyDescent="0.35">
      <c r="B1059" s="87">
        <v>0</v>
      </c>
      <c r="C1059" s="79"/>
      <c r="D1059" s="79"/>
      <c r="E1059" s="79"/>
      <c r="F1059" s="79"/>
      <c r="G1059" s="80"/>
    </row>
    <row r="1060" spans="2:7" ht="15" customHeight="1" x14ac:dyDescent="0.35">
      <c r="B1060" s="87" t="str">
        <f t="array" ref="B1060:B1091">'Regioturnier 1'!$V$3:$V$34</f>
        <v>Johanna Floßmann</v>
      </c>
      <c r="C1060" s="79"/>
      <c r="D1060" s="79"/>
      <c r="E1060" s="79"/>
      <c r="F1060" s="79"/>
      <c r="G1060" s="80"/>
    </row>
    <row r="1061" spans="2:7" ht="15" customHeight="1" x14ac:dyDescent="0.35">
      <c r="B1061" s="77" t="str">
        <v>Lola Ahammer</v>
      </c>
      <c r="C1061" s="79"/>
      <c r="D1061" s="79"/>
      <c r="E1061" s="79"/>
      <c r="F1061" s="79"/>
      <c r="G1061" s="80"/>
    </row>
    <row r="1062" spans="2:7" ht="15" customHeight="1" x14ac:dyDescent="0.35">
      <c r="B1062" s="77" t="str">
        <v>Miriam Duchac-Oberndorfer</v>
      </c>
      <c r="C1062" s="79"/>
      <c r="D1062" s="79"/>
      <c r="E1062" s="79"/>
      <c r="F1062" s="79"/>
      <c r="G1062" s="80"/>
    </row>
    <row r="1063" spans="2:7" ht="15" customHeight="1" x14ac:dyDescent="0.35">
      <c r="B1063" s="77" t="str">
        <v>Sofia Neumann</v>
      </c>
      <c r="C1063" s="79"/>
      <c r="D1063" s="79"/>
      <c r="E1063" s="79"/>
      <c r="F1063" s="79"/>
      <c r="G1063" s="80"/>
    </row>
    <row r="1064" spans="2:7" ht="15" customHeight="1" x14ac:dyDescent="0.35">
      <c r="B1064" s="77" t="str">
        <v>Alisha Huang</v>
      </c>
      <c r="C1064" s="79"/>
      <c r="D1064" s="79"/>
      <c r="E1064" s="79"/>
      <c r="F1064" s="79"/>
      <c r="G1064" s="80"/>
    </row>
    <row r="1065" spans="2:7" ht="15" customHeight="1" x14ac:dyDescent="0.35">
      <c r="B1065" s="77" t="str">
        <v>Emma Schuster</v>
      </c>
      <c r="C1065" s="79"/>
      <c r="D1065" s="79"/>
      <c r="E1065" s="79"/>
      <c r="F1065" s="79"/>
      <c r="G1065" s="80"/>
    </row>
    <row r="1066" spans="2:7" ht="15" customHeight="1" x14ac:dyDescent="0.35">
      <c r="B1066" s="77" t="str">
        <v>Pearl Panthiye Gedara</v>
      </c>
      <c r="C1066" s="79"/>
      <c r="D1066" s="79"/>
      <c r="E1066" s="79"/>
      <c r="F1066" s="79"/>
      <c r="G1066" s="80"/>
    </row>
    <row r="1067" spans="2:7" ht="15" customHeight="1" x14ac:dyDescent="0.35">
      <c r="B1067" s="77" t="str">
        <v>Anesia Brar</v>
      </c>
      <c r="C1067" s="79"/>
      <c r="D1067" s="79"/>
      <c r="E1067" s="79"/>
      <c r="F1067" s="79"/>
      <c r="G1067" s="80"/>
    </row>
    <row r="1068" spans="2:7" ht="15" customHeight="1" x14ac:dyDescent="0.35">
      <c r="B1068" s="77">
        <v>0</v>
      </c>
      <c r="C1068" s="79"/>
      <c r="D1068" s="79"/>
      <c r="E1068" s="79"/>
      <c r="F1068" s="79"/>
      <c r="G1068" s="80"/>
    </row>
    <row r="1069" spans="2:7" ht="15" customHeight="1" x14ac:dyDescent="0.35">
      <c r="B1069" s="77">
        <v>0</v>
      </c>
      <c r="C1069" s="79"/>
      <c r="D1069" s="79"/>
      <c r="E1069" s="79"/>
      <c r="F1069" s="79"/>
      <c r="G1069" s="80"/>
    </row>
    <row r="1070" spans="2:7" ht="15" customHeight="1" x14ac:dyDescent="0.35">
      <c r="B1070" s="77">
        <v>0</v>
      </c>
      <c r="C1070" s="79"/>
      <c r="D1070" s="79"/>
      <c r="E1070" s="79"/>
      <c r="F1070" s="79"/>
      <c r="G1070" s="80"/>
    </row>
    <row r="1071" spans="2:7" ht="15" customHeight="1" x14ac:dyDescent="0.35">
      <c r="B1071" s="77">
        <v>0</v>
      </c>
      <c r="C1071" s="79"/>
      <c r="D1071" s="79"/>
      <c r="E1071" s="79"/>
      <c r="F1071" s="79"/>
      <c r="G1071" s="80"/>
    </row>
    <row r="1072" spans="2:7" ht="15" customHeight="1" x14ac:dyDescent="0.35">
      <c r="B1072" s="77">
        <v>0</v>
      </c>
      <c r="C1072" s="79"/>
      <c r="D1072" s="79"/>
      <c r="E1072" s="79"/>
      <c r="F1072" s="79"/>
      <c r="G1072" s="80"/>
    </row>
    <row r="1073" spans="2:7" ht="15" customHeight="1" x14ac:dyDescent="0.35">
      <c r="B1073" s="77">
        <v>0</v>
      </c>
      <c r="C1073" s="79"/>
      <c r="D1073" s="79"/>
      <c r="E1073" s="79"/>
      <c r="F1073" s="79"/>
      <c r="G1073" s="80"/>
    </row>
    <row r="1074" spans="2:7" ht="15" customHeight="1" x14ac:dyDescent="0.35">
      <c r="B1074" s="77">
        <v>0</v>
      </c>
      <c r="C1074" s="79"/>
      <c r="D1074" s="79"/>
      <c r="E1074" s="79"/>
      <c r="F1074" s="79"/>
      <c r="G1074" s="80"/>
    </row>
    <row r="1075" spans="2:7" ht="15" customHeight="1" x14ac:dyDescent="0.35">
      <c r="B1075" s="77">
        <v>0</v>
      </c>
      <c r="C1075" s="79"/>
      <c r="D1075" s="79"/>
      <c r="E1075" s="79"/>
      <c r="F1075" s="79"/>
      <c r="G1075" s="80"/>
    </row>
    <row r="1076" spans="2:7" ht="15" customHeight="1" x14ac:dyDescent="0.35">
      <c r="B1076" s="77">
        <v>0</v>
      </c>
      <c r="C1076" s="79"/>
      <c r="D1076" s="79"/>
      <c r="E1076" s="79"/>
      <c r="F1076" s="79"/>
      <c r="G1076" s="80"/>
    </row>
    <row r="1077" spans="2:7" ht="15" customHeight="1" x14ac:dyDescent="0.35">
      <c r="B1077" s="77">
        <v>0</v>
      </c>
      <c r="C1077" s="79"/>
      <c r="D1077" s="79"/>
      <c r="E1077" s="79"/>
      <c r="F1077" s="79"/>
      <c r="G1077" s="80"/>
    </row>
    <row r="1078" spans="2:7" ht="15" customHeight="1" x14ac:dyDescent="0.35">
      <c r="B1078" s="77">
        <v>0</v>
      </c>
      <c r="C1078" s="79"/>
      <c r="D1078" s="79"/>
      <c r="E1078" s="79"/>
      <c r="F1078" s="79"/>
      <c r="G1078" s="80"/>
    </row>
    <row r="1079" spans="2:7" ht="15" customHeight="1" x14ac:dyDescent="0.35">
      <c r="B1079" s="77">
        <v>0</v>
      </c>
      <c r="C1079" s="79"/>
      <c r="D1079" s="79"/>
      <c r="E1079" s="79"/>
      <c r="F1079" s="79"/>
      <c r="G1079" s="80"/>
    </row>
    <row r="1080" spans="2:7" ht="15" customHeight="1" x14ac:dyDescent="0.35">
      <c r="B1080" s="77">
        <v>0</v>
      </c>
      <c r="C1080" s="79"/>
      <c r="D1080" s="79"/>
      <c r="E1080" s="79"/>
      <c r="F1080" s="79"/>
      <c r="G1080" s="80"/>
    </row>
    <row r="1081" spans="2:7" ht="15" customHeight="1" x14ac:dyDescent="0.35">
      <c r="B1081" s="77">
        <v>0</v>
      </c>
      <c r="C1081" s="79"/>
      <c r="D1081" s="79"/>
      <c r="E1081" s="79"/>
      <c r="F1081" s="79"/>
      <c r="G1081" s="80"/>
    </row>
    <row r="1082" spans="2:7" ht="15" customHeight="1" x14ac:dyDescent="0.35">
      <c r="B1082" s="77">
        <v>0</v>
      </c>
      <c r="C1082" s="79"/>
      <c r="D1082" s="79"/>
      <c r="E1082" s="79"/>
      <c r="F1082" s="79"/>
      <c r="G1082" s="80"/>
    </row>
    <row r="1083" spans="2:7" ht="15" customHeight="1" x14ac:dyDescent="0.35">
      <c r="B1083" s="77">
        <v>0</v>
      </c>
      <c r="C1083" s="79"/>
      <c r="D1083" s="79"/>
      <c r="E1083" s="79"/>
      <c r="F1083" s="79"/>
      <c r="G1083" s="80"/>
    </row>
    <row r="1084" spans="2:7" ht="15" customHeight="1" x14ac:dyDescent="0.35">
      <c r="B1084" s="77">
        <v>0</v>
      </c>
      <c r="C1084" s="79"/>
      <c r="D1084" s="79"/>
      <c r="E1084" s="79"/>
      <c r="F1084" s="79"/>
      <c r="G1084" s="80"/>
    </row>
    <row r="1085" spans="2:7" ht="15" customHeight="1" x14ac:dyDescent="0.35">
      <c r="B1085" s="77">
        <v>0</v>
      </c>
      <c r="C1085" s="79"/>
      <c r="D1085" s="79"/>
      <c r="E1085" s="79"/>
      <c r="F1085" s="79"/>
      <c r="G1085" s="80"/>
    </row>
    <row r="1086" spans="2:7" ht="15" customHeight="1" x14ac:dyDescent="0.35">
      <c r="B1086" s="77">
        <v>0</v>
      </c>
      <c r="C1086" s="79"/>
      <c r="D1086" s="79"/>
      <c r="E1086" s="79"/>
      <c r="F1086" s="79"/>
      <c r="G1086" s="80"/>
    </row>
    <row r="1087" spans="2:7" ht="15" customHeight="1" x14ac:dyDescent="0.35">
      <c r="B1087" s="77">
        <v>0</v>
      </c>
      <c r="C1087" s="79"/>
      <c r="D1087" s="79"/>
      <c r="E1087" s="79"/>
      <c r="F1087" s="79"/>
      <c r="G1087" s="80"/>
    </row>
    <row r="1088" spans="2:7" ht="15" customHeight="1" x14ac:dyDescent="0.35">
      <c r="B1088" s="77">
        <v>0</v>
      </c>
      <c r="C1088" s="79"/>
      <c r="D1088" s="79"/>
      <c r="E1088" s="79"/>
      <c r="F1088" s="79"/>
      <c r="G1088" s="80"/>
    </row>
    <row r="1089" spans="2:7" ht="15" customHeight="1" x14ac:dyDescent="0.35">
      <c r="B1089" s="77">
        <v>0</v>
      </c>
      <c r="C1089" s="79"/>
      <c r="D1089" s="79"/>
      <c r="E1089" s="79"/>
      <c r="F1089" s="79"/>
      <c r="G1089" s="80"/>
    </row>
    <row r="1090" spans="2:7" ht="15" customHeight="1" x14ac:dyDescent="0.35">
      <c r="B1090" s="77">
        <v>0</v>
      </c>
      <c r="C1090" s="79"/>
      <c r="D1090" s="79"/>
      <c r="E1090" s="79"/>
      <c r="F1090" s="79"/>
      <c r="G1090" s="80"/>
    </row>
    <row r="1091" spans="2:7" ht="15" customHeight="1" x14ac:dyDescent="0.35">
      <c r="B1091" s="77">
        <v>0</v>
      </c>
      <c r="C1091" s="79"/>
      <c r="D1091" s="79"/>
      <c r="E1091" s="79"/>
      <c r="F1091" s="79"/>
      <c r="G1091" s="80"/>
    </row>
    <row r="1092" spans="2:7" ht="15" customHeight="1" x14ac:dyDescent="0.35">
      <c r="B1092" s="87">
        <f t="array" ref="B1092:B1123">'Regioturnier 1'!$Z$3:$Z$34</f>
        <v>0</v>
      </c>
      <c r="C1092" s="79"/>
      <c r="D1092" s="79"/>
      <c r="E1092" s="79"/>
      <c r="F1092" s="79"/>
      <c r="G1092" s="80"/>
    </row>
    <row r="1093" spans="2:7" ht="15" customHeight="1" x14ac:dyDescent="0.35">
      <c r="B1093" s="77">
        <v>0</v>
      </c>
      <c r="C1093" s="79"/>
      <c r="D1093" s="79"/>
      <c r="E1093" s="79"/>
      <c r="F1093" s="79"/>
      <c r="G1093" s="80"/>
    </row>
    <row r="1094" spans="2:7" ht="15" customHeight="1" x14ac:dyDescent="0.35">
      <c r="B1094" s="77">
        <v>0</v>
      </c>
      <c r="C1094" s="79"/>
      <c r="D1094" s="79"/>
      <c r="E1094" s="79"/>
      <c r="F1094" s="79"/>
      <c r="G1094" s="80"/>
    </row>
    <row r="1095" spans="2:7" ht="15" customHeight="1" x14ac:dyDescent="0.35">
      <c r="B1095" s="77">
        <v>0</v>
      </c>
      <c r="C1095" s="79"/>
      <c r="D1095" s="79"/>
      <c r="E1095" s="79"/>
      <c r="F1095" s="79"/>
      <c r="G1095" s="80"/>
    </row>
    <row r="1096" spans="2:7" ht="15" customHeight="1" x14ac:dyDescent="0.35">
      <c r="B1096" s="77">
        <v>0</v>
      </c>
      <c r="C1096" s="79"/>
      <c r="D1096" s="79"/>
      <c r="E1096" s="79"/>
      <c r="F1096" s="79"/>
      <c r="G1096" s="80"/>
    </row>
    <row r="1097" spans="2:7" ht="15" customHeight="1" x14ac:dyDescent="0.35">
      <c r="B1097" s="77">
        <v>0</v>
      </c>
      <c r="C1097" s="79"/>
      <c r="D1097" s="79"/>
      <c r="E1097" s="79"/>
      <c r="F1097" s="79"/>
      <c r="G1097" s="80"/>
    </row>
    <row r="1098" spans="2:7" ht="15" customHeight="1" x14ac:dyDescent="0.35">
      <c r="B1098" s="77">
        <v>0</v>
      </c>
      <c r="C1098" s="79"/>
      <c r="D1098" s="79"/>
      <c r="E1098" s="79"/>
      <c r="F1098" s="79"/>
      <c r="G1098" s="80"/>
    </row>
    <row r="1099" spans="2:7" ht="15" customHeight="1" x14ac:dyDescent="0.35">
      <c r="B1099" s="77">
        <v>0</v>
      </c>
      <c r="C1099" s="79"/>
      <c r="D1099" s="79"/>
      <c r="E1099" s="79"/>
      <c r="F1099" s="79"/>
      <c r="G1099" s="80"/>
    </row>
    <row r="1100" spans="2:7" ht="15" customHeight="1" x14ac:dyDescent="0.35">
      <c r="B1100" s="77">
        <v>0</v>
      </c>
      <c r="C1100" s="79"/>
      <c r="D1100" s="79"/>
      <c r="E1100" s="79"/>
      <c r="F1100" s="79"/>
      <c r="G1100" s="80"/>
    </row>
    <row r="1101" spans="2:7" ht="15" customHeight="1" x14ac:dyDescent="0.35">
      <c r="B1101" s="77">
        <v>0</v>
      </c>
      <c r="C1101" s="79"/>
      <c r="D1101" s="79"/>
      <c r="E1101" s="79"/>
      <c r="F1101" s="79"/>
      <c r="G1101" s="80"/>
    </row>
    <row r="1102" spans="2:7" ht="15" customHeight="1" x14ac:dyDescent="0.35">
      <c r="B1102" s="77">
        <v>0</v>
      </c>
      <c r="C1102" s="79"/>
      <c r="D1102" s="79"/>
      <c r="E1102" s="79"/>
      <c r="F1102" s="79"/>
      <c r="G1102" s="80"/>
    </row>
    <row r="1103" spans="2:7" ht="15" customHeight="1" x14ac:dyDescent="0.35">
      <c r="B1103" s="77">
        <v>0</v>
      </c>
      <c r="C1103" s="79"/>
      <c r="D1103" s="79"/>
      <c r="E1103" s="79"/>
      <c r="F1103" s="79"/>
      <c r="G1103" s="80"/>
    </row>
    <row r="1104" spans="2:7" ht="15" customHeight="1" x14ac:dyDescent="0.35">
      <c r="B1104" s="77">
        <v>0</v>
      </c>
      <c r="C1104" s="79"/>
      <c r="D1104" s="79"/>
      <c r="E1104" s="79"/>
      <c r="F1104" s="79"/>
      <c r="G1104" s="80"/>
    </row>
    <row r="1105" spans="2:7" ht="15" customHeight="1" x14ac:dyDescent="0.35">
      <c r="B1105" s="77">
        <v>0</v>
      </c>
      <c r="C1105" s="79"/>
      <c r="D1105" s="79"/>
      <c r="E1105" s="79"/>
      <c r="F1105" s="79"/>
      <c r="G1105" s="80"/>
    </row>
    <row r="1106" spans="2:7" ht="15" customHeight="1" x14ac:dyDescent="0.35">
      <c r="B1106" s="77">
        <v>0</v>
      </c>
      <c r="C1106" s="79"/>
      <c r="D1106" s="79"/>
      <c r="E1106" s="79"/>
      <c r="F1106" s="79"/>
      <c r="G1106" s="80"/>
    </row>
    <row r="1107" spans="2:7" ht="15" customHeight="1" x14ac:dyDescent="0.35">
      <c r="B1107" s="77">
        <v>0</v>
      </c>
      <c r="C1107" s="79"/>
      <c r="D1107" s="79"/>
      <c r="E1107" s="79"/>
      <c r="F1107" s="79"/>
      <c r="G1107" s="80"/>
    </row>
    <row r="1108" spans="2:7" ht="15" customHeight="1" x14ac:dyDescent="0.35">
      <c r="B1108" s="77">
        <v>0</v>
      </c>
      <c r="C1108" s="79"/>
      <c r="D1108" s="79"/>
      <c r="E1108" s="79"/>
      <c r="F1108" s="79"/>
      <c r="G1108" s="80"/>
    </row>
    <row r="1109" spans="2:7" ht="15" customHeight="1" x14ac:dyDescent="0.35">
      <c r="B1109" s="77">
        <v>0</v>
      </c>
      <c r="C1109" s="79"/>
      <c r="D1109" s="79"/>
      <c r="E1109" s="79"/>
      <c r="F1109" s="79"/>
      <c r="G1109" s="80"/>
    </row>
    <row r="1110" spans="2:7" ht="15" customHeight="1" x14ac:dyDescent="0.35">
      <c r="B1110" s="77">
        <v>0</v>
      </c>
      <c r="C1110" s="79"/>
      <c r="D1110" s="79"/>
      <c r="E1110" s="79"/>
      <c r="F1110" s="79"/>
      <c r="G1110" s="80"/>
    </row>
    <row r="1111" spans="2:7" ht="15" customHeight="1" x14ac:dyDescent="0.35">
      <c r="B1111" s="77">
        <v>0</v>
      </c>
      <c r="C1111" s="79"/>
      <c r="D1111" s="79"/>
      <c r="E1111" s="79"/>
      <c r="F1111" s="79"/>
      <c r="G1111" s="80"/>
    </row>
    <row r="1112" spans="2:7" ht="15" customHeight="1" x14ac:dyDescent="0.35">
      <c r="B1112" s="77">
        <v>0</v>
      </c>
      <c r="C1112" s="79"/>
      <c r="D1112" s="79"/>
      <c r="E1112" s="79"/>
      <c r="F1112" s="79"/>
      <c r="G1112" s="80"/>
    </row>
    <row r="1113" spans="2:7" ht="15" customHeight="1" x14ac:dyDescent="0.35">
      <c r="B1113" s="77">
        <v>0</v>
      </c>
      <c r="C1113" s="79"/>
      <c r="D1113" s="79"/>
      <c r="E1113" s="79"/>
      <c r="F1113" s="79"/>
      <c r="G1113" s="80"/>
    </row>
    <row r="1114" spans="2:7" ht="15" customHeight="1" x14ac:dyDescent="0.35">
      <c r="B1114" s="77">
        <v>0</v>
      </c>
      <c r="C1114" s="79"/>
      <c r="D1114" s="79"/>
      <c r="E1114" s="79"/>
      <c r="F1114" s="79"/>
      <c r="G1114" s="80"/>
    </row>
    <row r="1115" spans="2:7" ht="15" customHeight="1" x14ac:dyDescent="0.35">
      <c r="B1115" s="77">
        <v>0</v>
      </c>
      <c r="C1115" s="79"/>
      <c r="D1115" s="79"/>
      <c r="E1115" s="79"/>
      <c r="F1115" s="79"/>
      <c r="G1115" s="80"/>
    </row>
    <row r="1116" spans="2:7" ht="15" customHeight="1" x14ac:dyDescent="0.35">
      <c r="B1116" s="77">
        <v>0</v>
      </c>
      <c r="C1116" s="79"/>
      <c r="D1116" s="79"/>
      <c r="E1116" s="79"/>
      <c r="F1116" s="79"/>
      <c r="G1116" s="80"/>
    </row>
    <row r="1117" spans="2:7" ht="15" customHeight="1" x14ac:dyDescent="0.35">
      <c r="B1117" s="77">
        <v>0</v>
      </c>
      <c r="C1117" s="79"/>
      <c r="D1117" s="79"/>
      <c r="E1117" s="79"/>
      <c r="F1117" s="79"/>
      <c r="G1117" s="80"/>
    </row>
    <row r="1118" spans="2:7" ht="15" customHeight="1" x14ac:dyDescent="0.35">
      <c r="B1118" s="77">
        <v>0</v>
      </c>
      <c r="C1118" s="79"/>
      <c r="D1118" s="79"/>
      <c r="E1118" s="79"/>
      <c r="F1118" s="79"/>
      <c r="G1118" s="80"/>
    </row>
    <row r="1119" spans="2:7" ht="15" customHeight="1" x14ac:dyDescent="0.35">
      <c r="B1119" s="77">
        <v>0</v>
      </c>
      <c r="C1119" s="79"/>
      <c r="D1119" s="79"/>
      <c r="E1119" s="79"/>
      <c r="F1119" s="79"/>
      <c r="G1119" s="80"/>
    </row>
    <row r="1120" spans="2:7" ht="15" customHeight="1" x14ac:dyDescent="0.35">
      <c r="B1120" s="77">
        <v>0</v>
      </c>
      <c r="C1120" s="79"/>
      <c r="D1120" s="79"/>
      <c r="E1120" s="79"/>
      <c r="F1120" s="79"/>
      <c r="G1120" s="80"/>
    </row>
    <row r="1121" spans="2:7" ht="15" customHeight="1" x14ac:dyDescent="0.35">
      <c r="B1121" s="77">
        <v>0</v>
      </c>
      <c r="C1121" s="79"/>
      <c r="D1121" s="79"/>
      <c r="E1121" s="79"/>
      <c r="F1121" s="79"/>
      <c r="G1121" s="80"/>
    </row>
    <row r="1122" spans="2:7" ht="15" customHeight="1" x14ac:dyDescent="0.35">
      <c r="B1122" s="77">
        <v>0</v>
      </c>
      <c r="C1122" s="79"/>
      <c r="D1122" s="79"/>
      <c r="E1122" s="79"/>
      <c r="F1122" s="79"/>
      <c r="G1122" s="80"/>
    </row>
    <row r="1123" spans="2:7" ht="15" customHeight="1" x14ac:dyDescent="0.35">
      <c r="B1123" s="77">
        <v>0</v>
      </c>
      <c r="C1123" s="79"/>
      <c r="D1123" s="79"/>
      <c r="E1123" s="79"/>
      <c r="F1123" s="79"/>
      <c r="G1123" s="80"/>
    </row>
    <row r="1124" spans="2:7" ht="15" customHeight="1" x14ac:dyDescent="0.35">
      <c r="B1124" s="84" t="str">
        <f t="array" ref="B1124:B1155">'Regioturnier 2'!$B$3:$B$34</f>
        <v>Valentin Grebien</v>
      </c>
      <c r="C1124" s="79"/>
      <c r="D1124" s="79"/>
      <c r="E1124" s="79"/>
      <c r="F1124" s="79"/>
      <c r="G1124" s="80"/>
    </row>
    <row r="1125" spans="2:7" ht="15" customHeight="1" x14ac:dyDescent="0.35">
      <c r="B1125" s="77" t="str">
        <v>Matthias Trimmel</v>
      </c>
      <c r="C1125" s="79"/>
      <c r="D1125" s="79"/>
      <c r="E1125" s="79"/>
      <c r="F1125" s="79"/>
      <c r="G1125" s="80"/>
    </row>
    <row r="1126" spans="2:7" ht="15" customHeight="1" x14ac:dyDescent="0.35">
      <c r="B1126" s="77" t="str">
        <v>Xinjie Chen</v>
      </c>
      <c r="C1126" s="79"/>
      <c r="D1126" s="79"/>
      <c r="E1126" s="79"/>
      <c r="F1126" s="79"/>
      <c r="G1126" s="80"/>
    </row>
    <row r="1127" spans="2:7" ht="15" customHeight="1" x14ac:dyDescent="0.35">
      <c r="B1127" s="77" t="str">
        <v>Ricky Chen</v>
      </c>
      <c r="C1127" s="79"/>
      <c r="D1127" s="79"/>
      <c r="E1127" s="79"/>
      <c r="F1127" s="79"/>
      <c r="G1127" s="80"/>
    </row>
    <row r="1128" spans="2:7" ht="15" customHeight="1" x14ac:dyDescent="0.35">
      <c r="B1128" s="77" t="str">
        <v>Leon Lu</v>
      </c>
      <c r="C1128" s="79"/>
      <c r="D1128" s="79"/>
      <c r="E1128" s="79"/>
      <c r="F1128" s="79"/>
      <c r="G1128" s="80"/>
    </row>
    <row r="1129" spans="2:7" ht="15" customHeight="1" x14ac:dyDescent="0.35">
      <c r="B1129" s="77" t="str">
        <v>Sebastian Dollinger</v>
      </c>
      <c r="C1129" s="79"/>
      <c r="D1129" s="79"/>
      <c r="E1129" s="79"/>
      <c r="F1129" s="79"/>
      <c r="G1129" s="80"/>
    </row>
    <row r="1130" spans="2:7" ht="15" customHeight="1" x14ac:dyDescent="0.35">
      <c r="B1130" s="77" t="str">
        <v>Wenzel Tiapal</v>
      </c>
      <c r="C1130" s="79"/>
      <c r="D1130" s="79"/>
      <c r="E1130" s="79"/>
      <c r="F1130" s="79"/>
      <c r="G1130" s="80"/>
    </row>
    <row r="1131" spans="2:7" ht="15" customHeight="1" x14ac:dyDescent="0.35">
      <c r="B1131" s="77" t="str">
        <v>Tobias Quiroga</v>
      </c>
      <c r="C1131" s="79"/>
      <c r="D1131" s="79"/>
      <c r="E1131" s="79"/>
      <c r="F1131" s="79"/>
      <c r="G1131" s="80"/>
    </row>
    <row r="1132" spans="2:7" ht="15" customHeight="1" x14ac:dyDescent="0.35">
      <c r="B1132" s="77" t="str">
        <v>Valentin Schefcik</v>
      </c>
      <c r="C1132" s="79"/>
      <c r="D1132" s="79"/>
      <c r="E1132" s="79"/>
      <c r="F1132" s="79"/>
      <c r="G1132" s="80"/>
    </row>
    <row r="1133" spans="2:7" ht="15" customHeight="1" x14ac:dyDescent="0.35">
      <c r="B1133" s="77">
        <v>0</v>
      </c>
      <c r="C1133" s="79"/>
      <c r="D1133" s="79"/>
      <c r="E1133" s="79"/>
      <c r="F1133" s="79"/>
      <c r="G1133" s="80"/>
    </row>
    <row r="1134" spans="2:7" ht="15" customHeight="1" x14ac:dyDescent="0.35">
      <c r="B1134" s="77">
        <v>0</v>
      </c>
      <c r="C1134" s="79"/>
      <c r="D1134" s="79"/>
      <c r="E1134" s="79"/>
      <c r="F1134" s="79"/>
      <c r="G1134" s="80"/>
    </row>
    <row r="1135" spans="2:7" ht="15" customHeight="1" x14ac:dyDescent="0.35">
      <c r="B1135" s="77">
        <v>0</v>
      </c>
      <c r="C1135" s="79"/>
      <c r="D1135" s="79"/>
      <c r="E1135" s="79"/>
      <c r="F1135" s="79"/>
      <c r="G1135" s="80"/>
    </row>
    <row r="1136" spans="2:7" ht="15" customHeight="1" x14ac:dyDescent="0.35">
      <c r="B1136" s="77">
        <v>0</v>
      </c>
      <c r="C1136" s="79"/>
      <c r="D1136" s="79"/>
      <c r="E1136" s="79"/>
      <c r="F1136" s="79"/>
      <c r="G1136" s="80"/>
    </row>
    <row r="1137" spans="2:7" ht="15" customHeight="1" x14ac:dyDescent="0.35">
      <c r="B1137" s="77">
        <v>0</v>
      </c>
      <c r="C1137" s="79"/>
      <c r="D1137" s="79"/>
      <c r="E1137" s="79"/>
      <c r="F1137" s="79"/>
      <c r="G1137" s="80"/>
    </row>
    <row r="1138" spans="2:7" ht="15" customHeight="1" x14ac:dyDescent="0.35">
      <c r="B1138" s="77">
        <v>0</v>
      </c>
      <c r="C1138" s="79"/>
      <c r="D1138" s="79"/>
      <c r="E1138" s="79"/>
      <c r="F1138" s="79"/>
      <c r="G1138" s="80"/>
    </row>
    <row r="1139" spans="2:7" ht="15" customHeight="1" x14ac:dyDescent="0.35">
      <c r="B1139" s="77">
        <v>0</v>
      </c>
      <c r="C1139" s="79"/>
      <c r="D1139" s="79"/>
      <c r="E1139" s="79"/>
      <c r="F1139" s="79"/>
      <c r="G1139" s="80"/>
    </row>
    <row r="1140" spans="2:7" ht="15" customHeight="1" x14ac:dyDescent="0.35">
      <c r="B1140" s="77">
        <v>0</v>
      </c>
      <c r="C1140" s="79"/>
      <c r="D1140" s="79"/>
      <c r="E1140" s="79"/>
      <c r="F1140" s="79"/>
      <c r="G1140" s="80"/>
    </row>
    <row r="1141" spans="2:7" ht="15" customHeight="1" x14ac:dyDescent="0.35">
      <c r="B1141" s="77">
        <v>0</v>
      </c>
      <c r="C1141" s="79"/>
      <c r="D1141" s="79"/>
      <c r="E1141" s="79"/>
      <c r="F1141" s="79"/>
      <c r="G1141" s="80"/>
    </row>
    <row r="1142" spans="2:7" ht="15" customHeight="1" x14ac:dyDescent="0.35">
      <c r="B1142" s="77">
        <v>0</v>
      </c>
      <c r="C1142" s="79"/>
      <c r="D1142" s="79"/>
      <c r="E1142" s="79"/>
      <c r="F1142" s="79"/>
      <c r="G1142" s="80"/>
    </row>
    <row r="1143" spans="2:7" ht="15" customHeight="1" x14ac:dyDescent="0.35">
      <c r="B1143" s="77">
        <v>0</v>
      </c>
      <c r="C1143" s="79"/>
      <c r="D1143" s="79"/>
      <c r="E1143" s="79"/>
      <c r="F1143" s="79"/>
      <c r="G1143" s="80"/>
    </row>
    <row r="1144" spans="2:7" ht="15" customHeight="1" x14ac:dyDescent="0.35">
      <c r="B1144" s="77">
        <v>0</v>
      </c>
      <c r="C1144" s="79"/>
      <c r="D1144" s="79"/>
      <c r="E1144" s="79"/>
      <c r="F1144" s="79"/>
      <c r="G1144" s="80"/>
    </row>
    <row r="1145" spans="2:7" ht="15" customHeight="1" x14ac:dyDescent="0.35">
      <c r="B1145" s="77">
        <v>0</v>
      </c>
      <c r="C1145" s="79"/>
      <c r="D1145" s="79"/>
      <c r="E1145" s="79"/>
      <c r="F1145" s="79"/>
      <c r="G1145" s="80"/>
    </row>
    <row r="1146" spans="2:7" ht="15" customHeight="1" x14ac:dyDescent="0.35">
      <c r="B1146" s="77">
        <v>0</v>
      </c>
      <c r="C1146" s="79"/>
      <c r="D1146" s="79"/>
      <c r="E1146" s="79"/>
      <c r="F1146" s="79"/>
      <c r="G1146" s="80"/>
    </row>
    <row r="1147" spans="2:7" ht="15" customHeight="1" x14ac:dyDescent="0.35">
      <c r="B1147" s="77">
        <v>0</v>
      </c>
      <c r="C1147" s="79"/>
      <c r="D1147" s="79"/>
      <c r="E1147" s="79"/>
      <c r="F1147" s="79"/>
      <c r="G1147" s="80"/>
    </row>
    <row r="1148" spans="2:7" ht="15" customHeight="1" x14ac:dyDescent="0.35">
      <c r="B1148" s="77">
        <v>0</v>
      </c>
      <c r="C1148" s="79"/>
      <c r="D1148" s="79"/>
      <c r="E1148" s="79"/>
      <c r="F1148" s="79"/>
      <c r="G1148" s="80"/>
    </row>
    <row r="1149" spans="2:7" ht="15" customHeight="1" x14ac:dyDescent="0.35">
      <c r="B1149" s="77">
        <v>0</v>
      </c>
      <c r="C1149" s="79"/>
      <c r="D1149" s="79"/>
      <c r="E1149" s="79"/>
      <c r="F1149" s="79"/>
      <c r="G1149" s="80"/>
    </row>
    <row r="1150" spans="2:7" ht="15" customHeight="1" x14ac:dyDescent="0.35">
      <c r="B1150" s="77">
        <v>0</v>
      </c>
      <c r="C1150" s="79"/>
      <c r="D1150" s="79"/>
      <c r="E1150" s="79"/>
      <c r="F1150" s="79"/>
      <c r="G1150" s="80"/>
    </row>
    <row r="1151" spans="2:7" ht="15" customHeight="1" x14ac:dyDescent="0.35">
      <c r="B1151" s="77">
        <v>0</v>
      </c>
      <c r="C1151" s="79"/>
      <c r="D1151" s="79"/>
      <c r="E1151" s="79"/>
      <c r="F1151" s="79"/>
      <c r="G1151" s="80"/>
    </row>
    <row r="1152" spans="2:7" ht="15" customHeight="1" x14ac:dyDescent="0.35">
      <c r="B1152" s="77">
        <v>0</v>
      </c>
      <c r="C1152" s="79"/>
      <c r="D1152" s="79"/>
      <c r="E1152" s="79"/>
      <c r="F1152" s="79"/>
      <c r="G1152" s="80"/>
    </row>
    <row r="1153" spans="2:7" ht="15" customHeight="1" x14ac:dyDescent="0.35">
      <c r="B1153" s="77">
        <v>0</v>
      </c>
      <c r="C1153" s="79"/>
      <c r="D1153" s="79"/>
      <c r="E1153" s="79"/>
      <c r="F1153" s="79"/>
      <c r="G1153" s="80"/>
    </row>
    <row r="1154" spans="2:7" ht="15" customHeight="1" x14ac:dyDescent="0.35">
      <c r="B1154" s="77">
        <v>0</v>
      </c>
      <c r="C1154" s="79"/>
      <c r="D1154" s="79"/>
      <c r="E1154" s="79"/>
      <c r="F1154" s="79"/>
      <c r="G1154" s="80"/>
    </row>
    <row r="1155" spans="2:7" ht="15" customHeight="1" x14ac:dyDescent="0.35">
      <c r="B1155" s="77">
        <v>0</v>
      </c>
      <c r="C1155" s="79"/>
      <c r="D1155" s="79"/>
      <c r="E1155" s="79"/>
      <c r="F1155" s="79"/>
      <c r="G1155" s="80"/>
    </row>
    <row r="1156" spans="2:7" ht="15" customHeight="1" x14ac:dyDescent="0.35">
      <c r="B1156" s="77" t="str">
        <f t="array" ref="B1156:B1187">'Regioturnier 2'!$F$3:$F$34</f>
        <v>Samuel Nemeskal</v>
      </c>
      <c r="C1156" s="79"/>
      <c r="D1156" s="79"/>
      <c r="E1156" s="79"/>
      <c r="F1156" s="79"/>
      <c r="G1156" s="80"/>
    </row>
    <row r="1157" spans="2:7" ht="15" customHeight="1" x14ac:dyDescent="0.35">
      <c r="B1157" s="77" t="str">
        <v>Philipp Grebien</v>
      </c>
      <c r="C1157" s="79"/>
      <c r="D1157" s="79"/>
      <c r="E1157" s="79"/>
      <c r="F1157" s="79"/>
      <c r="G1157" s="80"/>
    </row>
    <row r="1158" spans="2:7" ht="15" customHeight="1" x14ac:dyDescent="0.35">
      <c r="B1158" s="77" t="str">
        <v>Agam Singh</v>
      </c>
      <c r="C1158" s="79"/>
      <c r="D1158" s="79"/>
      <c r="E1158" s="79"/>
      <c r="F1158" s="79"/>
      <c r="G1158" s="80"/>
    </row>
    <row r="1159" spans="2:7" ht="15" customHeight="1" x14ac:dyDescent="0.35">
      <c r="B1159" s="77" t="str">
        <v>Felix Sztatecsny</v>
      </c>
      <c r="C1159" s="79"/>
      <c r="D1159" s="79"/>
      <c r="E1159" s="79"/>
      <c r="F1159" s="79"/>
      <c r="G1159" s="80"/>
    </row>
    <row r="1160" spans="2:7" ht="15" customHeight="1" x14ac:dyDescent="0.35">
      <c r="B1160" s="77" t="str">
        <v>Felix Rädle</v>
      </c>
      <c r="C1160" s="79"/>
      <c r="D1160" s="79"/>
      <c r="E1160" s="79"/>
      <c r="F1160" s="79"/>
      <c r="G1160" s="80"/>
    </row>
    <row r="1161" spans="2:7" ht="15" customHeight="1" x14ac:dyDescent="0.35">
      <c r="B1161" s="77" t="str">
        <v>Luis Burker</v>
      </c>
      <c r="C1161" s="79"/>
      <c r="D1161" s="79"/>
      <c r="E1161" s="79"/>
      <c r="F1161" s="79"/>
      <c r="G1161" s="80"/>
    </row>
    <row r="1162" spans="2:7" ht="15" customHeight="1" x14ac:dyDescent="0.35">
      <c r="B1162" s="77" t="str">
        <v>Dimitrij Wolgin</v>
      </c>
      <c r="C1162" s="79"/>
      <c r="D1162" s="79"/>
      <c r="E1162" s="79"/>
      <c r="F1162" s="79"/>
      <c r="G1162" s="80"/>
    </row>
    <row r="1163" spans="2:7" ht="15" customHeight="1" x14ac:dyDescent="0.35">
      <c r="B1163" s="77" t="str">
        <v>Jacob Chen</v>
      </c>
      <c r="C1163" s="79"/>
      <c r="D1163" s="79"/>
      <c r="E1163" s="79"/>
      <c r="F1163" s="79"/>
      <c r="G1163" s="80"/>
    </row>
    <row r="1164" spans="2:7" ht="15" customHeight="1" x14ac:dyDescent="0.35">
      <c r="B1164" s="77" t="str">
        <v>Marco Papp</v>
      </c>
      <c r="C1164" s="79"/>
      <c r="D1164" s="79"/>
      <c r="E1164" s="79"/>
      <c r="F1164" s="79"/>
      <c r="G1164" s="80"/>
    </row>
    <row r="1165" spans="2:7" ht="15" customHeight="1" x14ac:dyDescent="0.35">
      <c r="B1165" s="77">
        <v>0</v>
      </c>
      <c r="C1165" s="79"/>
      <c r="D1165" s="79"/>
      <c r="E1165" s="79"/>
      <c r="F1165" s="79"/>
      <c r="G1165" s="80"/>
    </row>
    <row r="1166" spans="2:7" ht="15" customHeight="1" x14ac:dyDescent="0.35">
      <c r="B1166" s="77">
        <v>0</v>
      </c>
      <c r="C1166" s="79"/>
      <c r="D1166" s="79"/>
      <c r="E1166" s="79"/>
      <c r="F1166" s="79"/>
      <c r="G1166" s="80"/>
    </row>
    <row r="1167" spans="2:7" ht="15" customHeight="1" x14ac:dyDescent="0.35">
      <c r="B1167" s="77">
        <v>0</v>
      </c>
      <c r="C1167" s="79"/>
      <c r="D1167" s="79"/>
      <c r="E1167" s="79"/>
      <c r="F1167" s="79"/>
      <c r="G1167" s="80"/>
    </row>
    <row r="1168" spans="2:7" ht="15" customHeight="1" x14ac:dyDescent="0.35">
      <c r="B1168" s="77">
        <v>0</v>
      </c>
      <c r="C1168" s="79"/>
      <c r="D1168" s="79"/>
      <c r="E1168" s="79"/>
      <c r="F1168" s="79"/>
      <c r="G1168" s="80"/>
    </row>
    <row r="1169" spans="2:7" ht="15" customHeight="1" x14ac:dyDescent="0.35">
      <c r="B1169" s="77">
        <v>0</v>
      </c>
      <c r="C1169" s="79"/>
      <c r="D1169" s="79"/>
      <c r="E1169" s="79"/>
      <c r="F1169" s="79"/>
      <c r="G1169" s="80"/>
    </row>
    <row r="1170" spans="2:7" ht="15" customHeight="1" x14ac:dyDescent="0.35">
      <c r="B1170" s="77">
        <v>0</v>
      </c>
      <c r="C1170" s="79"/>
      <c r="D1170" s="79"/>
      <c r="E1170" s="79"/>
      <c r="F1170" s="79"/>
      <c r="G1170" s="80"/>
    </row>
    <row r="1171" spans="2:7" ht="15" customHeight="1" x14ac:dyDescent="0.35">
      <c r="B1171" s="77">
        <v>0</v>
      </c>
      <c r="C1171" s="79"/>
      <c r="D1171" s="79"/>
      <c r="E1171" s="79"/>
      <c r="F1171" s="79"/>
      <c r="G1171" s="80"/>
    </row>
    <row r="1172" spans="2:7" ht="15" customHeight="1" x14ac:dyDescent="0.35">
      <c r="B1172" s="77">
        <v>0</v>
      </c>
      <c r="C1172" s="79"/>
      <c r="D1172" s="79"/>
      <c r="E1172" s="79"/>
      <c r="F1172" s="79"/>
      <c r="G1172" s="80"/>
    </row>
    <row r="1173" spans="2:7" ht="15" customHeight="1" x14ac:dyDescent="0.35">
      <c r="B1173" s="77">
        <v>0</v>
      </c>
      <c r="C1173" s="79"/>
      <c r="D1173" s="79"/>
      <c r="E1173" s="79"/>
      <c r="F1173" s="79"/>
      <c r="G1173" s="80"/>
    </row>
    <row r="1174" spans="2:7" ht="15" customHeight="1" x14ac:dyDescent="0.35">
      <c r="B1174" s="77">
        <v>0</v>
      </c>
      <c r="C1174" s="79"/>
      <c r="D1174" s="79"/>
      <c r="E1174" s="79"/>
      <c r="F1174" s="79"/>
      <c r="G1174" s="80"/>
    </row>
    <row r="1175" spans="2:7" ht="15" customHeight="1" x14ac:dyDescent="0.35">
      <c r="B1175" s="77">
        <v>0</v>
      </c>
      <c r="C1175" s="79"/>
      <c r="D1175" s="79"/>
      <c r="E1175" s="79"/>
      <c r="F1175" s="79"/>
      <c r="G1175" s="80"/>
    </row>
    <row r="1176" spans="2:7" ht="15" customHeight="1" x14ac:dyDescent="0.35">
      <c r="B1176" s="77">
        <v>0</v>
      </c>
      <c r="C1176" s="79"/>
      <c r="D1176" s="79"/>
      <c r="E1176" s="79"/>
      <c r="F1176" s="79"/>
      <c r="G1176" s="80"/>
    </row>
    <row r="1177" spans="2:7" ht="15" customHeight="1" x14ac:dyDescent="0.35">
      <c r="B1177" s="77">
        <v>0</v>
      </c>
      <c r="C1177" s="79"/>
      <c r="D1177" s="79"/>
      <c r="E1177" s="79"/>
      <c r="F1177" s="79"/>
      <c r="G1177" s="80"/>
    </row>
    <row r="1178" spans="2:7" ht="15" customHeight="1" x14ac:dyDescent="0.35">
      <c r="B1178" s="77">
        <v>0</v>
      </c>
      <c r="C1178" s="79"/>
      <c r="D1178" s="79"/>
      <c r="E1178" s="79"/>
      <c r="F1178" s="79"/>
      <c r="G1178" s="80"/>
    </row>
    <row r="1179" spans="2:7" ht="15" customHeight="1" x14ac:dyDescent="0.35">
      <c r="B1179" s="77">
        <v>0</v>
      </c>
      <c r="C1179" s="79"/>
      <c r="D1179" s="79"/>
      <c r="E1179" s="79"/>
      <c r="F1179" s="79"/>
      <c r="G1179" s="80"/>
    </row>
    <row r="1180" spans="2:7" ht="15" customHeight="1" x14ac:dyDescent="0.35">
      <c r="B1180" s="77">
        <v>0</v>
      </c>
      <c r="C1180" s="79"/>
      <c r="D1180" s="79"/>
      <c r="E1180" s="79"/>
      <c r="F1180" s="79"/>
      <c r="G1180" s="80"/>
    </row>
    <row r="1181" spans="2:7" ht="15" customHeight="1" x14ac:dyDescent="0.35">
      <c r="B1181" s="87">
        <v>0</v>
      </c>
      <c r="C1181" s="79"/>
      <c r="D1181" s="79"/>
      <c r="E1181" s="79"/>
      <c r="F1181" s="79"/>
      <c r="G1181" s="80"/>
    </row>
    <row r="1182" spans="2:7" ht="15" customHeight="1" x14ac:dyDescent="0.35">
      <c r="B1182" s="87">
        <v>0</v>
      </c>
      <c r="C1182" s="79"/>
      <c r="D1182" s="79"/>
      <c r="E1182" s="79"/>
      <c r="F1182" s="79"/>
      <c r="G1182" s="80"/>
    </row>
    <row r="1183" spans="2:7" ht="15" customHeight="1" x14ac:dyDescent="0.35">
      <c r="B1183" s="87">
        <v>0</v>
      </c>
      <c r="C1183" s="79"/>
      <c r="D1183" s="79"/>
      <c r="E1183" s="79"/>
      <c r="F1183" s="79"/>
      <c r="G1183" s="80"/>
    </row>
    <row r="1184" spans="2:7" ht="15" customHeight="1" x14ac:dyDescent="0.35">
      <c r="B1184" s="87">
        <v>0</v>
      </c>
      <c r="C1184" s="79"/>
      <c r="D1184" s="79"/>
      <c r="E1184" s="79"/>
      <c r="F1184" s="79"/>
      <c r="G1184" s="80"/>
    </row>
    <row r="1185" spans="2:7" ht="15" customHeight="1" x14ac:dyDescent="0.35">
      <c r="B1185" s="87">
        <v>0</v>
      </c>
      <c r="C1185" s="79"/>
      <c r="D1185" s="79"/>
      <c r="E1185" s="79"/>
      <c r="F1185" s="79"/>
      <c r="G1185" s="80"/>
    </row>
    <row r="1186" spans="2:7" ht="15" customHeight="1" x14ac:dyDescent="0.35">
      <c r="B1186" s="87">
        <v>0</v>
      </c>
      <c r="C1186" s="79"/>
      <c r="D1186" s="79"/>
      <c r="E1186" s="79"/>
      <c r="F1186" s="79"/>
      <c r="G1186" s="80"/>
    </row>
    <row r="1187" spans="2:7" ht="15" customHeight="1" x14ac:dyDescent="0.35">
      <c r="B1187" s="87">
        <v>0</v>
      </c>
      <c r="C1187" s="79"/>
      <c r="D1187" s="79"/>
      <c r="E1187" s="79"/>
      <c r="F1187" s="79"/>
      <c r="G1187" s="80"/>
    </row>
    <row r="1188" spans="2:7" ht="15" customHeight="1" x14ac:dyDescent="0.35">
      <c r="B1188" s="87" t="str">
        <f t="array" ref="B1188:B1219">'Regioturnier 2'!$J$3:$J$34</f>
        <v>Rafael Burian</v>
      </c>
      <c r="C1188" s="79"/>
      <c r="D1188" s="79"/>
      <c r="E1188" s="79"/>
      <c r="F1188" s="79"/>
      <c r="G1188" s="80"/>
    </row>
    <row r="1189" spans="2:7" ht="15" customHeight="1" x14ac:dyDescent="0.35">
      <c r="B1189" s="87" t="str">
        <v>Frederik Braun</v>
      </c>
      <c r="C1189" s="79"/>
      <c r="D1189" s="79"/>
      <c r="E1189" s="79"/>
      <c r="F1189" s="79"/>
      <c r="G1189" s="80"/>
    </row>
    <row r="1190" spans="2:7" ht="15" customHeight="1" x14ac:dyDescent="0.35">
      <c r="B1190" s="87" t="str">
        <v>Haorui Qu</v>
      </c>
      <c r="C1190" s="79"/>
      <c r="D1190" s="79"/>
      <c r="E1190" s="79"/>
      <c r="F1190" s="79"/>
      <c r="G1190" s="80"/>
    </row>
    <row r="1191" spans="2:7" ht="15" customHeight="1" x14ac:dyDescent="0.35">
      <c r="B1191" s="87" t="str">
        <v>Dario Kasser</v>
      </c>
      <c r="C1191" s="79"/>
      <c r="D1191" s="79"/>
      <c r="E1191" s="79"/>
      <c r="F1191" s="79"/>
      <c r="G1191" s="80"/>
    </row>
    <row r="1192" spans="2:7" ht="15" customHeight="1" x14ac:dyDescent="0.35">
      <c r="B1192" s="87" t="str">
        <v>Louis Mayer</v>
      </c>
      <c r="C1192" s="79"/>
      <c r="D1192" s="79"/>
      <c r="E1192" s="79"/>
      <c r="F1192" s="79"/>
      <c r="G1192" s="80"/>
    </row>
    <row r="1193" spans="2:7" ht="15" customHeight="1" x14ac:dyDescent="0.35">
      <c r="B1193" s="87" t="str">
        <v>Alvin Huang</v>
      </c>
      <c r="C1193" s="79"/>
      <c r="D1193" s="79"/>
      <c r="E1193" s="79"/>
      <c r="F1193" s="79"/>
      <c r="G1193" s="80"/>
    </row>
    <row r="1194" spans="2:7" ht="15" customHeight="1" x14ac:dyDescent="0.35">
      <c r="B1194" s="87">
        <v>0</v>
      </c>
      <c r="C1194" s="79"/>
      <c r="D1194" s="79"/>
      <c r="E1194" s="79"/>
      <c r="F1194" s="79"/>
      <c r="G1194" s="80"/>
    </row>
    <row r="1195" spans="2:7" ht="15" customHeight="1" x14ac:dyDescent="0.35">
      <c r="B1195" s="87">
        <v>0</v>
      </c>
      <c r="C1195" s="79"/>
      <c r="D1195" s="79"/>
      <c r="E1195" s="79"/>
      <c r="F1195" s="79"/>
      <c r="G1195" s="80"/>
    </row>
    <row r="1196" spans="2:7" ht="15" customHeight="1" x14ac:dyDescent="0.35">
      <c r="B1196" s="87">
        <v>0</v>
      </c>
      <c r="C1196" s="79"/>
      <c r="D1196" s="79"/>
      <c r="E1196" s="79"/>
      <c r="F1196" s="79"/>
      <c r="G1196" s="80"/>
    </row>
    <row r="1197" spans="2:7" ht="15" customHeight="1" x14ac:dyDescent="0.35">
      <c r="B1197" s="87">
        <v>0</v>
      </c>
      <c r="C1197" s="79"/>
      <c r="D1197" s="79"/>
      <c r="E1197" s="79"/>
      <c r="F1197" s="79"/>
      <c r="G1197" s="80"/>
    </row>
    <row r="1198" spans="2:7" ht="15" customHeight="1" x14ac:dyDescent="0.35">
      <c r="B1198" s="87">
        <v>0</v>
      </c>
      <c r="C1198" s="79"/>
      <c r="D1198" s="79"/>
      <c r="E1198" s="79"/>
      <c r="F1198" s="79"/>
      <c r="G1198" s="80"/>
    </row>
    <row r="1199" spans="2:7" ht="15" customHeight="1" x14ac:dyDescent="0.35">
      <c r="B1199" s="87">
        <v>0</v>
      </c>
      <c r="C1199" s="79"/>
      <c r="D1199" s="79"/>
      <c r="E1199" s="79"/>
      <c r="F1199" s="79"/>
      <c r="G1199" s="80"/>
    </row>
    <row r="1200" spans="2:7" ht="15" customHeight="1" x14ac:dyDescent="0.35">
      <c r="B1200" s="87">
        <v>0</v>
      </c>
      <c r="C1200" s="79"/>
      <c r="D1200" s="79"/>
      <c r="E1200" s="79"/>
      <c r="F1200" s="79"/>
      <c r="G1200" s="80"/>
    </row>
    <row r="1201" spans="2:7" ht="15" customHeight="1" x14ac:dyDescent="0.35">
      <c r="B1201" s="87">
        <v>0</v>
      </c>
      <c r="C1201" s="79"/>
      <c r="D1201" s="79"/>
      <c r="E1201" s="79"/>
      <c r="F1201" s="79"/>
      <c r="G1201" s="80"/>
    </row>
    <row r="1202" spans="2:7" ht="15" customHeight="1" x14ac:dyDescent="0.35">
      <c r="B1202" s="87">
        <v>0</v>
      </c>
      <c r="C1202" s="79"/>
      <c r="D1202" s="79"/>
      <c r="E1202" s="79"/>
      <c r="F1202" s="79"/>
      <c r="G1202" s="80"/>
    </row>
    <row r="1203" spans="2:7" ht="15" customHeight="1" x14ac:dyDescent="0.35">
      <c r="B1203" s="87">
        <v>0</v>
      </c>
      <c r="C1203" s="79"/>
      <c r="D1203" s="79"/>
      <c r="E1203" s="79"/>
      <c r="F1203" s="79"/>
      <c r="G1203" s="80"/>
    </row>
    <row r="1204" spans="2:7" ht="15" customHeight="1" x14ac:dyDescent="0.35">
      <c r="B1204" s="87">
        <v>0</v>
      </c>
      <c r="C1204" s="79"/>
      <c r="D1204" s="79"/>
      <c r="E1204" s="79"/>
      <c r="F1204" s="79"/>
      <c r="G1204" s="80"/>
    </row>
    <row r="1205" spans="2:7" ht="15" customHeight="1" x14ac:dyDescent="0.35">
      <c r="B1205" s="87">
        <v>0</v>
      </c>
      <c r="C1205" s="79"/>
      <c r="D1205" s="79"/>
      <c r="E1205" s="79"/>
      <c r="F1205" s="79"/>
      <c r="G1205" s="80"/>
    </row>
    <row r="1206" spans="2:7" ht="15" customHeight="1" x14ac:dyDescent="0.35">
      <c r="B1206" s="87">
        <v>0</v>
      </c>
      <c r="C1206" s="79"/>
      <c r="D1206" s="79"/>
      <c r="E1206" s="79"/>
      <c r="F1206" s="79"/>
      <c r="G1206" s="80"/>
    </row>
    <row r="1207" spans="2:7" ht="15" customHeight="1" x14ac:dyDescent="0.35">
      <c r="B1207" s="87">
        <v>0</v>
      </c>
      <c r="C1207" s="79"/>
      <c r="D1207" s="79"/>
      <c r="E1207" s="79"/>
      <c r="F1207" s="79"/>
      <c r="G1207" s="80"/>
    </row>
    <row r="1208" spans="2:7" ht="15" customHeight="1" x14ac:dyDescent="0.35">
      <c r="B1208" s="87">
        <v>0</v>
      </c>
      <c r="C1208" s="79"/>
      <c r="D1208" s="79"/>
      <c r="E1208" s="79"/>
      <c r="F1208" s="79"/>
      <c r="G1208" s="80"/>
    </row>
    <row r="1209" spans="2:7" ht="15" customHeight="1" x14ac:dyDescent="0.35">
      <c r="B1209" s="87">
        <v>0</v>
      </c>
      <c r="C1209" s="79"/>
      <c r="D1209" s="79"/>
      <c r="E1209" s="79"/>
      <c r="F1209" s="79"/>
      <c r="G1209" s="80"/>
    </row>
    <row r="1210" spans="2:7" ht="15" customHeight="1" x14ac:dyDescent="0.35">
      <c r="B1210" s="87">
        <v>0</v>
      </c>
      <c r="C1210" s="79"/>
      <c r="D1210" s="79"/>
      <c r="E1210" s="79"/>
      <c r="F1210" s="79"/>
      <c r="G1210" s="80"/>
    </row>
    <row r="1211" spans="2:7" ht="15" customHeight="1" x14ac:dyDescent="0.35">
      <c r="B1211" s="87">
        <v>0</v>
      </c>
      <c r="C1211" s="79"/>
      <c r="D1211" s="79"/>
      <c r="E1211" s="79"/>
      <c r="F1211" s="79"/>
      <c r="G1211" s="80"/>
    </row>
    <row r="1212" spans="2:7" ht="15" customHeight="1" x14ac:dyDescent="0.35">
      <c r="B1212" s="87">
        <v>0</v>
      </c>
      <c r="C1212" s="79"/>
      <c r="D1212" s="79"/>
      <c r="E1212" s="79"/>
      <c r="F1212" s="79"/>
      <c r="G1212" s="80"/>
    </row>
    <row r="1213" spans="2:7" ht="15" customHeight="1" x14ac:dyDescent="0.35">
      <c r="B1213" s="87">
        <v>0</v>
      </c>
      <c r="C1213" s="79"/>
      <c r="D1213" s="79"/>
      <c r="E1213" s="79"/>
      <c r="F1213" s="79"/>
      <c r="G1213" s="80"/>
    </row>
    <row r="1214" spans="2:7" ht="15" customHeight="1" x14ac:dyDescent="0.35">
      <c r="B1214" s="87">
        <v>0</v>
      </c>
      <c r="C1214" s="79"/>
      <c r="D1214" s="79"/>
      <c r="E1214" s="79"/>
      <c r="F1214" s="79"/>
      <c r="G1214" s="80"/>
    </row>
    <row r="1215" spans="2:7" ht="15" customHeight="1" x14ac:dyDescent="0.35">
      <c r="B1215" s="87">
        <v>0</v>
      </c>
      <c r="C1215" s="79"/>
      <c r="D1215" s="79"/>
      <c r="E1215" s="79"/>
      <c r="F1215" s="79"/>
      <c r="G1215" s="80"/>
    </row>
    <row r="1216" spans="2:7" ht="15" customHeight="1" x14ac:dyDescent="0.35">
      <c r="B1216" s="87">
        <v>0</v>
      </c>
      <c r="C1216" s="79"/>
      <c r="D1216" s="79"/>
      <c r="E1216" s="79"/>
      <c r="F1216" s="79"/>
      <c r="G1216" s="80"/>
    </row>
    <row r="1217" spans="2:7" ht="15" customHeight="1" x14ac:dyDescent="0.35">
      <c r="B1217" s="87">
        <v>0</v>
      </c>
      <c r="C1217" s="79"/>
      <c r="D1217" s="79"/>
      <c r="E1217" s="79"/>
      <c r="F1217" s="79"/>
      <c r="G1217" s="80"/>
    </row>
    <row r="1218" spans="2:7" ht="15" customHeight="1" x14ac:dyDescent="0.35">
      <c r="B1218" s="87">
        <v>0</v>
      </c>
      <c r="C1218" s="79"/>
      <c r="D1218" s="79"/>
      <c r="E1218" s="79"/>
      <c r="F1218" s="79"/>
      <c r="G1218" s="80"/>
    </row>
    <row r="1219" spans="2:7" ht="15" customHeight="1" x14ac:dyDescent="0.35">
      <c r="B1219" s="87">
        <v>0</v>
      </c>
      <c r="C1219" s="79"/>
      <c r="D1219" s="79"/>
      <c r="E1219" s="79"/>
      <c r="F1219" s="79"/>
      <c r="G1219" s="80"/>
    </row>
    <row r="1220" spans="2:7" ht="15" customHeight="1" x14ac:dyDescent="0.35">
      <c r="B1220" s="87">
        <f t="array" ref="B1220:B1251">'Regioturnier 2'!$N$3:$N$34</f>
        <v>0</v>
      </c>
      <c r="C1220" s="79"/>
      <c r="D1220" s="79"/>
      <c r="E1220" s="79"/>
      <c r="F1220" s="79"/>
      <c r="G1220" s="80"/>
    </row>
    <row r="1221" spans="2:7" ht="15" customHeight="1" x14ac:dyDescent="0.35">
      <c r="B1221" s="87">
        <v>0</v>
      </c>
      <c r="C1221" s="79"/>
      <c r="D1221" s="79"/>
      <c r="E1221" s="79"/>
      <c r="F1221" s="79"/>
      <c r="G1221" s="80"/>
    </row>
    <row r="1222" spans="2:7" ht="15" customHeight="1" x14ac:dyDescent="0.35">
      <c r="B1222" s="87">
        <v>0</v>
      </c>
      <c r="C1222" s="79"/>
      <c r="D1222" s="79"/>
      <c r="E1222" s="79"/>
      <c r="F1222" s="79"/>
      <c r="G1222" s="80"/>
    </row>
    <row r="1223" spans="2:7" ht="15" customHeight="1" x14ac:dyDescent="0.35">
      <c r="B1223" s="87">
        <v>0</v>
      </c>
      <c r="C1223" s="79"/>
      <c r="D1223" s="79"/>
      <c r="E1223" s="79"/>
      <c r="F1223" s="79"/>
      <c r="G1223" s="80"/>
    </row>
    <row r="1224" spans="2:7" ht="15" customHeight="1" x14ac:dyDescent="0.35">
      <c r="B1224" s="87">
        <v>0</v>
      </c>
      <c r="C1224" s="79"/>
      <c r="D1224" s="79"/>
      <c r="E1224" s="79"/>
      <c r="F1224" s="79"/>
      <c r="G1224" s="80"/>
    </row>
    <row r="1225" spans="2:7" ht="15" customHeight="1" x14ac:dyDescent="0.35">
      <c r="B1225" s="87">
        <v>0</v>
      </c>
      <c r="C1225" s="79"/>
      <c r="D1225" s="79"/>
      <c r="E1225" s="79"/>
      <c r="F1225" s="79"/>
      <c r="G1225" s="80"/>
    </row>
    <row r="1226" spans="2:7" ht="15" customHeight="1" x14ac:dyDescent="0.35">
      <c r="B1226" s="87">
        <v>0</v>
      </c>
      <c r="C1226" s="79"/>
      <c r="D1226" s="79"/>
      <c r="E1226" s="79"/>
      <c r="F1226" s="79"/>
      <c r="G1226" s="80"/>
    </row>
    <row r="1227" spans="2:7" ht="15" customHeight="1" x14ac:dyDescent="0.35">
      <c r="B1227" s="87">
        <v>0</v>
      </c>
      <c r="C1227" s="79"/>
      <c r="D1227" s="79"/>
      <c r="E1227" s="79"/>
      <c r="F1227" s="79"/>
      <c r="G1227" s="80"/>
    </row>
    <row r="1228" spans="2:7" ht="15" customHeight="1" x14ac:dyDescent="0.35">
      <c r="B1228" s="87">
        <v>0</v>
      </c>
      <c r="C1228" s="79"/>
      <c r="D1228" s="79"/>
      <c r="E1228" s="79"/>
      <c r="F1228" s="79"/>
      <c r="G1228" s="80"/>
    </row>
    <row r="1229" spans="2:7" ht="15" customHeight="1" x14ac:dyDescent="0.35">
      <c r="B1229" s="87">
        <v>0</v>
      </c>
      <c r="C1229" s="79"/>
      <c r="D1229" s="79"/>
      <c r="E1229" s="79"/>
      <c r="F1229" s="79"/>
      <c r="G1229" s="80"/>
    </row>
    <row r="1230" spans="2:7" ht="15" customHeight="1" x14ac:dyDescent="0.35">
      <c r="B1230" s="87">
        <v>0</v>
      </c>
      <c r="C1230" s="79"/>
      <c r="D1230" s="79"/>
      <c r="E1230" s="79"/>
      <c r="F1230" s="79"/>
      <c r="G1230" s="80"/>
    </row>
    <row r="1231" spans="2:7" ht="15" customHeight="1" x14ac:dyDescent="0.35">
      <c r="B1231" s="87">
        <v>0</v>
      </c>
      <c r="C1231" s="79"/>
      <c r="D1231" s="79"/>
      <c r="E1231" s="79"/>
      <c r="F1231" s="79"/>
      <c r="G1231" s="80"/>
    </row>
    <row r="1232" spans="2:7" ht="15" customHeight="1" x14ac:dyDescent="0.35">
      <c r="B1232" s="87">
        <v>0</v>
      </c>
      <c r="C1232" s="79"/>
      <c r="D1232" s="79"/>
      <c r="E1232" s="79"/>
      <c r="F1232" s="79"/>
      <c r="G1232" s="80"/>
    </row>
    <row r="1233" spans="2:7" ht="15" customHeight="1" x14ac:dyDescent="0.35">
      <c r="B1233" s="87">
        <v>0</v>
      </c>
      <c r="C1233" s="79"/>
      <c r="D1233" s="79"/>
      <c r="E1233" s="79"/>
      <c r="F1233" s="79"/>
      <c r="G1233" s="80"/>
    </row>
    <row r="1234" spans="2:7" ht="15" customHeight="1" x14ac:dyDescent="0.35">
      <c r="B1234" s="87">
        <v>0</v>
      </c>
      <c r="C1234" s="79"/>
      <c r="D1234" s="79"/>
      <c r="E1234" s="79"/>
      <c r="F1234" s="79"/>
      <c r="G1234" s="80"/>
    </row>
    <row r="1235" spans="2:7" ht="15" customHeight="1" x14ac:dyDescent="0.35">
      <c r="B1235" s="87">
        <v>0</v>
      </c>
      <c r="C1235" s="79"/>
      <c r="D1235" s="79"/>
      <c r="E1235" s="79"/>
      <c r="F1235" s="79"/>
      <c r="G1235" s="80"/>
    </row>
    <row r="1236" spans="2:7" ht="15" customHeight="1" x14ac:dyDescent="0.35">
      <c r="B1236" s="87">
        <v>0</v>
      </c>
      <c r="C1236" s="79"/>
      <c r="D1236" s="79"/>
      <c r="E1236" s="79"/>
      <c r="F1236" s="79"/>
      <c r="G1236" s="80"/>
    </row>
    <row r="1237" spans="2:7" ht="15" customHeight="1" x14ac:dyDescent="0.35">
      <c r="B1237" s="87">
        <v>0</v>
      </c>
      <c r="C1237" s="79"/>
      <c r="D1237" s="79"/>
      <c r="E1237" s="79"/>
      <c r="F1237" s="79"/>
      <c r="G1237" s="80"/>
    </row>
    <row r="1238" spans="2:7" ht="15" customHeight="1" x14ac:dyDescent="0.35">
      <c r="B1238" s="87">
        <v>0</v>
      </c>
      <c r="C1238" s="79"/>
      <c r="D1238" s="79"/>
      <c r="E1238" s="79"/>
      <c r="F1238" s="79"/>
      <c r="G1238" s="80"/>
    </row>
    <row r="1239" spans="2:7" ht="15" customHeight="1" x14ac:dyDescent="0.35">
      <c r="B1239" s="87">
        <v>0</v>
      </c>
      <c r="C1239" s="79"/>
      <c r="D1239" s="79"/>
      <c r="E1239" s="79"/>
      <c r="F1239" s="79"/>
      <c r="G1239" s="80"/>
    </row>
    <row r="1240" spans="2:7" ht="15" customHeight="1" x14ac:dyDescent="0.35">
      <c r="B1240" s="87">
        <v>0</v>
      </c>
      <c r="C1240" s="79"/>
      <c r="D1240" s="79"/>
      <c r="E1240" s="79"/>
      <c r="F1240" s="79"/>
      <c r="G1240" s="80"/>
    </row>
    <row r="1241" spans="2:7" ht="15" customHeight="1" x14ac:dyDescent="0.35">
      <c r="B1241" s="87">
        <v>0</v>
      </c>
      <c r="C1241" s="79"/>
      <c r="D1241" s="79"/>
      <c r="E1241" s="79"/>
      <c r="F1241" s="79"/>
      <c r="G1241" s="80"/>
    </row>
    <row r="1242" spans="2:7" ht="15" customHeight="1" x14ac:dyDescent="0.35">
      <c r="B1242" s="87">
        <v>0</v>
      </c>
      <c r="C1242" s="79"/>
      <c r="D1242" s="79"/>
      <c r="E1242" s="79"/>
      <c r="F1242" s="79"/>
      <c r="G1242" s="80"/>
    </row>
    <row r="1243" spans="2:7" ht="15" customHeight="1" x14ac:dyDescent="0.35">
      <c r="B1243" s="87">
        <v>0</v>
      </c>
      <c r="C1243" s="79"/>
      <c r="D1243" s="79"/>
      <c r="E1243" s="79"/>
      <c r="F1243" s="79"/>
      <c r="G1243" s="80"/>
    </row>
    <row r="1244" spans="2:7" ht="15" customHeight="1" x14ac:dyDescent="0.35">
      <c r="B1244" s="87">
        <v>0</v>
      </c>
      <c r="C1244" s="79"/>
      <c r="D1244" s="79"/>
      <c r="E1244" s="79"/>
      <c r="F1244" s="79"/>
      <c r="G1244" s="80"/>
    </row>
    <row r="1245" spans="2:7" ht="15" customHeight="1" x14ac:dyDescent="0.35">
      <c r="B1245" s="87">
        <v>0</v>
      </c>
      <c r="C1245" s="79"/>
      <c r="D1245" s="79"/>
      <c r="E1245" s="79"/>
      <c r="F1245" s="79"/>
      <c r="G1245" s="80"/>
    </row>
    <row r="1246" spans="2:7" ht="15" customHeight="1" x14ac:dyDescent="0.35">
      <c r="B1246" s="87">
        <v>0</v>
      </c>
      <c r="C1246" s="79"/>
      <c r="D1246" s="79"/>
      <c r="E1246" s="79"/>
      <c r="F1246" s="79"/>
      <c r="G1246" s="80"/>
    </row>
    <row r="1247" spans="2:7" ht="15" customHeight="1" x14ac:dyDescent="0.35">
      <c r="B1247" s="87">
        <v>0</v>
      </c>
      <c r="C1247" s="79"/>
      <c r="D1247" s="79"/>
      <c r="E1247" s="79"/>
      <c r="F1247" s="79"/>
      <c r="G1247" s="80"/>
    </row>
    <row r="1248" spans="2:7" ht="15" customHeight="1" x14ac:dyDescent="0.35">
      <c r="B1248" s="87">
        <v>0</v>
      </c>
      <c r="C1248" s="79"/>
      <c r="D1248" s="79"/>
      <c r="E1248" s="79"/>
      <c r="F1248" s="79"/>
      <c r="G1248" s="80"/>
    </row>
    <row r="1249" spans="2:7" ht="15" customHeight="1" x14ac:dyDescent="0.35">
      <c r="B1249" s="87">
        <v>0</v>
      </c>
      <c r="C1249" s="79"/>
      <c r="D1249" s="79"/>
      <c r="E1249" s="79"/>
      <c r="F1249" s="79"/>
      <c r="G1249" s="80"/>
    </row>
    <row r="1250" spans="2:7" ht="15" customHeight="1" x14ac:dyDescent="0.35">
      <c r="B1250" s="87">
        <v>0</v>
      </c>
      <c r="C1250" s="79"/>
      <c r="D1250" s="79"/>
      <c r="E1250" s="79"/>
      <c r="F1250" s="79"/>
      <c r="G1250" s="80"/>
    </row>
    <row r="1251" spans="2:7" ht="15" customHeight="1" x14ac:dyDescent="0.35">
      <c r="B1251" s="87">
        <v>0</v>
      </c>
      <c r="C1251" s="79"/>
      <c r="D1251" s="79"/>
      <c r="E1251" s="79"/>
      <c r="F1251" s="79"/>
      <c r="G1251" s="80"/>
    </row>
    <row r="1252" spans="2:7" ht="15" customHeight="1" x14ac:dyDescent="0.35">
      <c r="B1252" s="87" t="str">
        <f t="array" ref="B1252:B1283">'Regioturnier 2'!$R$3:$R$34</f>
        <v>Nikol Odyntsova</v>
      </c>
      <c r="C1252" s="79"/>
      <c r="D1252" s="79"/>
      <c r="E1252" s="79"/>
      <c r="F1252" s="79"/>
      <c r="G1252" s="80"/>
    </row>
    <row r="1253" spans="2:7" ht="15" customHeight="1" x14ac:dyDescent="0.35">
      <c r="B1253" s="87" t="str">
        <v>Laura Schindler</v>
      </c>
      <c r="C1253" s="79"/>
      <c r="D1253" s="79"/>
      <c r="E1253" s="79"/>
      <c r="F1253" s="79"/>
      <c r="G1253" s="80"/>
    </row>
    <row r="1254" spans="2:7" ht="15" customHeight="1" x14ac:dyDescent="0.35">
      <c r="B1254" s="87" t="str">
        <v>Emilia Nagy</v>
      </c>
      <c r="C1254" s="79"/>
      <c r="D1254" s="79"/>
      <c r="E1254" s="79"/>
      <c r="F1254" s="79"/>
      <c r="G1254" s="80"/>
    </row>
    <row r="1255" spans="2:7" ht="15" customHeight="1" x14ac:dyDescent="0.35">
      <c r="B1255" s="87" t="str">
        <v>Johanna Floßmann</v>
      </c>
      <c r="C1255" s="79"/>
      <c r="D1255" s="79"/>
      <c r="E1255" s="79"/>
      <c r="F1255" s="79"/>
      <c r="G1255" s="80"/>
    </row>
    <row r="1256" spans="2:7" ht="15" customHeight="1" x14ac:dyDescent="0.35">
      <c r="B1256" s="87" t="str">
        <v>Lola Ahammer</v>
      </c>
      <c r="C1256" s="79"/>
      <c r="D1256" s="79"/>
      <c r="E1256" s="79"/>
      <c r="F1256" s="79"/>
      <c r="G1256" s="80"/>
    </row>
    <row r="1257" spans="2:7" ht="15" customHeight="1" x14ac:dyDescent="0.35">
      <c r="B1257" s="87">
        <v>0</v>
      </c>
      <c r="C1257" s="79"/>
      <c r="D1257" s="79"/>
      <c r="E1257" s="79"/>
      <c r="F1257" s="79"/>
      <c r="G1257" s="80"/>
    </row>
    <row r="1258" spans="2:7" ht="15" customHeight="1" x14ac:dyDescent="0.35">
      <c r="B1258" s="87">
        <v>0</v>
      </c>
      <c r="C1258" s="79"/>
      <c r="D1258" s="79"/>
      <c r="E1258" s="79"/>
      <c r="F1258" s="79"/>
      <c r="G1258" s="80"/>
    </row>
    <row r="1259" spans="2:7" ht="15" customHeight="1" x14ac:dyDescent="0.35">
      <c r="B1259" s="87">
        <v>0</v>
      </c>
      <c r="C1259" s="79"/>
      <c r="D1259" s="79"/>
      <c r="E1259" s="79"/>
      <c r="F1259" s="79"/>
      <c r="G1259" s="80"/>
    </row>
    <row r="1260" spans="2:7" ht="15" customHeight="1" x14ac:dyDescent="0.35">
      <c r="B1260" s="87">
        <v>0</v>
      </c>
      <c r="C1260" s="79"/>
      <c r="D1260" s="79"/>
      <c r="E1260" s="79"/>
      <c r="F1260" s="79"/>
      <c r="G1260" s="80"/>
    </row>
    <row r="1261" spans="2:7" ht="15" customHeight="1" x14ac:dyDescent="0.35">
      <c r="B1261" s="87">
        <v>0</v>
      </c>
      <c r="C1261" s="79"/>
      <c r="D1261" s="79"/>
      <c r="E1261" s="79"/>
      <c r="F1261" s="79"/>
      <c r="G1261" s="80"/>
    </row>
    <row r="1262" spans="2:7" ht="15" customHeight="1" x14ac:dyDescent="0.35">
      <c r="B1262" s="87">
        <v>0</v>
      </c>
      <c r="C1262" s="79"/>
      <c r="D1262" s="79"/>
      <c r="E1262" s="79"/>
      <c r="F1262" s="79"/>
      <c r="G1262" s="80"/>
    </row>
    <row r="1263" spans="2:7" ht="15" customHeight="1" x14ac:dyDescent="0.35">
      <c r="B1263" s="87">
        <v>0</v>
      </c>
      <c r="C1263" s="79"/>
      <c r="D1263" s="79"/>
      <c r="E1263" s="79"/>
      <c r="F1263" s="79"/>
      <c r="G1263" s="80"/>
    </row>
    <row r="1264" spans="2:7" ht="15" customHeight="1" x14ac:dyDescent="0.35">
      <c r="B1264" s="87">
        <v>0</v>
      </c>
      <c r="C1264" s="79"/>
      <c r="D1264" s="79"/>
      <c r="E1264" s="79"/>
      <c r="F1264" s="79"/>
      <c r="G1264" s="80"/>
    </row>
    <row r="1265" spans="2:7" ht="15" customHeight="1" x14ac:dyDescent="0.35">
      <c r="B1265" s="87">
        <v>0</v>
      </c>
      <c r="C1265" s="79"/>
      <c r="D1265" s="79"/>
      <c r="E1265" s="79"/>
      <c r="F1265" s="79"/>
      <c r="G1265" s="80"/>
    </row>
    <row r="1266" spans="2:7" ht="15" customHeight="1" x14ac:dyDescent="0.35">
      <c r="B1266" s="87">
        <v>0</v>
      </c>
      <c r="C1266" s="79"/>
      <c r="D1266" s="79"/>
      <c r="E1266" s="79"/>
      <c r="F1266" s="79"/>
      <c r="G1266" s="80"/>
    </row>
    <row r="1267" spans="2:7" ht="15" customHeight="1" x14ac:dyDescent="0.35">
      <c r="B1267" s="87">
        <v>0</v>
      </c>
      <c r="C1267" s="79"/>
      <c r="D1267" s="79"/>
      <c r="E1267" s="79"/>
      <c r="F1267" s="79"/>
      <c r="G1267" s="80"/>
    </row>
    <row r="1268" spans="2:7" ht="15" customHeight="1" x14ac:dyDescent="0.35">
      <c r="B1268" s="87">
        <v>0</v>
      </c>
      <c r="C1268" s="79"/>
      <c r="D1268" s="79"/>
      <c r="E1268" s="79"/>
      <c r="F1268" s="79"/>
      <c r="G1268" s="80"/>
    </row>
    <row r="1269" spans="2:7" ht="15" customHeight="1" x14ac:dyDescent="0.35">
      <c r="B1269" s="87">
        <v>0</v>
      </c>
      <c r="C1269" s="79"/>
      <c r="D1269" s="79"/>
      <c r="E1269" s="79"/>
      <c r="F1269" s="79"/>
      <c r="G1269" s="80"/>
    </row>
    <row r="1270" spans="2:7" ht="15" customHeight="1" x14ac:dyDescent="0.35">
      <c r="B1270" s="87">
        <v>0</v>
      </c>
      <c r="C1270" s="79"/>
      <c r="D1270" s="79"/>
      <c r="E1270" s="79"/>
      <c r="F1270" s="79"/>
      <c r="G1270" s="80"/>
    </row>
    <row r="1271" spans="2:7" ht="15" customHeight="1" x14ac:dyDescent="0.35">
      <c r="B1271" s="87">
        <v>0</v>
      </c>
      <c r="C1271" s="79"/>
      <c r="D1271" s="79"/>
      <c r="E1271" s="79"/>
      <c r="F1271" s="79"/>
      <c r="G1271" s="80"/>
    </row>
    <row r="1272" spans="2:7" ht="15" customHeight="1" x14ac:dyDescent="0.35">
      <c r="B1272" s="87">
        <v>0</v>
      </c>
      <c r="C1272" s="79"/>
      <c r="D1272" s="79"/>
      <c r="E1272" s="79"/>
      <c r="F1272" s="79"/>
      <c r="G1272" s="80"/>
    </row>
    <row r="1273" spans="2:7" ht="15" customHeight="1" x14ac:dyDescent="0.35">
      <c r="B1273" s="87">
        <v>0</v>
      </c>
      <c r="C1273" s="79"/>
      <c r="D1273" s="79"/>
      <c r="E1273" s="79"/>
      <c r="F1273" s="79"/>
      <c r="G1273" s="80"/>
    </row>
    <row r="1274" spans="2:7" ht="15" customHeight="1" x14ac:dyDescent="0.35">
      <c r="B1274" s="87">
        <v>0</v>
      </c>
      <c r="C1274" s="79"/>
      <c r="D1274" s="79"/>
      <c r="E1274" s="79"/>
      <c r="F1274" s="79"/>
      <c r="G1274" s="80"/>
    </row>
    <row r="1275" spans="2:7" ht="15" customHeight="1" x14ac:dyDescent="0.35">
      <c r="B1275" s="87">
        <v>0</v>
      </c>
      <c r="C1275" s="79"/>
      <c r="D1275" s="79"/>
      <c r="E1275" s="79"/>
      <c r="F1275" s="79"/>
      <c r="G1275" s="80"/>
    </row>
    <row r="1276" spans="2:7" ht="15" customHeight="1" x14ac:dyDescent="0.35">
      <c r="B1276" s="87">
        <v>0</v>
      </c>
      <c r="C1276" s="79"/>
      <c r="D1276" s="79"/>
      <c r="E1276" s="79"/>
      <c r="F1276" s="79"/>
      <c r="G1276" s="80"/>
    </row>
    <row r="1277" spans="2:7" ht="15" customHeight="1" x14ac:dyDescent="0.35">
      <c r="B1277" s="87">
        <v>0</v>
      </c>
      <c r="C1277" s="79"/>
      <c r="D1277" s="79"/>
      <c r="E1277" s="79"/>
      <c r="F1277" s="79"/>
      <c r="G1277" s="80"/>
    </row>
    <row r="1278" spans="2:7" ht="15" customHeight="1" x14ac:dyDescent="0.35">
      <c r="B1278" s="87">
        <v>0</v>
      </c>
      <c r="C1278" s="79"/>
      <c r="D1278" s="79"/>
      <c r="E1278" s="79"/>
      <c r="F1278" s="79"/>
      <c r="G1278" s="80"/>
    </row>
    <row r="1279" spans="2:7" ht="15" customHeight="1" x14ac:dyDescent="0.35">
      <c r="B1279" s="87">
        <v>0</v>
      </c>
      <c r="C1279" s="79"/>
      <c r="D1279" s="79"/>
      <c r="E1279" s="79"/>
      <c r="F1279" s="79"/>
      <c r="G1279" s="80"/>
    </row>
    <row r="1280" spans="2:7" ht="15" customHeight="1" x14ac:dyDescent="0.35">
      <c r="B1280" s="87">
        <v>0</v>
      </c>
      <c r="C1280" s="79"/>
      <c r="D1280" s="79"/>
      <c r="E1280" s="79"/>
      <c r="F1280" s="79"/>
      <c r="G1280" s="80"/>
    </row>
    <row r="1281" spans="2:7" ht="15" customHeight="1" x14ac:dyDescent="0.35">
      <c r="B1281" s="87">
        <v>0</v>
      </c>
      <c r="C1281" s="79"/>
      <c r="D1281" s="79"/>
      <c r="E1281" s="79"/>
      <c r="F1281" s="79"/>
      <c r="G1281" s="80"/>
    </row>
    <row r="1282" spans="2:7" ht="15" customHeight="1" x14ac:dyDescent="0.35">
      <c r="B1282" s="87">
        <v>0</v>
      </c>
      <c r="C1282" s="79"/>
      <c r="D1282" s="79"/>
      <c r="E1282" s="79"/>
      <c r="F1282" s="79"/>
      <c r="G1282" s="80"/>
    </row>
    <row r="1283" spans="2:7" ht="15" customHeight="1" x14ac:dyDescent="0.35">
      <c r="B1283" s="87">
        <v>0</v>
      </c>
      <c r="C1283" s="79"/>
      <c r="D1283" s="79"/>
      <c r="E1283" s="79"/>
      <c r="F1283" s="79"/>
      <c r="G1283" s="80"/>
    </row>
    <row r="1284" spans="2:7" ht="15" customHeight="1" x14ac:dyDescent="0.35">
      <c r="B1284" s="87" t="str">
        <f t="array" ref="B1284:B1315">'Regioturnier 2'!$V$3:$V$34</f>
        <v>Nora Walter</v>
      </c>
      <c r="C1284" s="79"/>
      <c r="D1284" s="79"/>
      <c r="E1284" s="79"/>
      <c r="F1284" s="79"/>
      <c r="G1284" s="80"/>
    </row>
    <row r="1285" spans="2:7" ht="15" customHeight="1" x14ac:dyDescent="0.35">
      <c r="B1285" s="77" t="str">
        <v>Sofia Neumann</v>
      </c>
      <c r="C1285" s="79"/>
      <c r="D1285" s="79"/>
      <c r="E1285" s="79"/>
      <c r="F1285" s="79"/>
      <c r="G1285" s="80"/>
    </row>
    <row r="1286" spans="2:7" ht="15" customHeight="1" x14ac:dyDescent="0.35">
      <c r="B1286" s="77" t="str">
        <v>Mae Rädle</v>
      </c>
      <c r="C1286" s="79"/>
      <c r="D1286" s="79"/>
      <c r="E1286" s="79"/>
      <c r="F1286" s="79"/>
      <c r="G1286" s="80"/>
    </row>
    <row r="1287" spans="2:7" ht="15" customHeight="1" x14ac:dyDescent="0.35">
      <c r="B1287" s="77" t="str">
        <v>Alisha Huang</v>
      </c>
      <c r="C1287" s="79"/>
      <c r="D1287" s="79"/>
      <c r="E1287" s="79"/>
      <c r="F1287" s="79"/>
      <c r="G1287" s="80"/>
    </row>
    <row r="1288" spans="2:7" ht="15" customHeight="1" x14ac:dyDescent="0.35">
      <c r="B1288" s="77" t="str">
        <v>Yunqi Yang</v>
      </c>
      <c r="C1288" s="79"/>
      <c r="D1288" s="79"/>
      <c r="E1288" s="79"/>
      <c r="F1288" s="79"/>
      <c r="G1288" s="80"/>
    </row>
    <row r="1289" spans="2:7" ht="15" customHeight="1" x14ac:dyDescent="0.35">
      <c r="B1289" s="77">
        <v>0</v>
      </c>
      <c r="C1289" s="79"/>
      <c r="D1289" s="79"/>
      <c r="E1289" s="79"/>
      <c r="F1289" s="79"/>
      <c r="G1289" s="80"/>
    </row>
    <row r="1290" spans="2:7" ht="15" customHeight="1" x14ac:dyDescent="0.35">
      <c r="B1290" s="77">
        <v>0</v>
      </c>
      <c r="C1290" s="79"/>
      <c r="D1290" s="79"/>
      <c r="E1290" s="79"/>
      <c r="F1290" s="79"/>
      <c r="G1290" s="80"/>
    </row>
    <row r="1291" spans="2:7" ht="15" customHeight="1" x14ac:dyDescent="0.35">
      <c r="B1291" s="77">
        <v>0</v>
      </c>
      <c r="C1291" s="79"/>
      <c r="D1291" s="79"/>
      <c r="E1291" s="79"/>
      <c r="F1291" s="79"/>
      <c r="G1291" s="80"/>
    </row>
    <row r="1292" spans="2:7" ht="15" customHeight="1" x14ac:dyDescent="0.35">
      <c r="B1292" s="77">
        <v>0</v>
      </c>
      <c r="C1292" s="79"/>
      <c r="D1292" s="79"/>
      <c r="E1292" s="79"/>
      <c r="F1292" s="79"/>
      <c r="G1292" s="80"/>
    </row>
    <row r="1293" spans="2:7" ht="15" customHeight="1" x14ac:dyDescent="0.35">
      <c r="B1293" s="77">
        <v>0</v>
      </c>
      <c r="C1293" s="79"/>
      <c r="D1293" s="79"/>
      <c r="E1293" s="79"/>
      <c r="F1293" s="79"/>
      <c r="G1293" s="80"/>
    </row>
    <row r="1294" spans="2:7" ht="15" customHeight="1" x14ac:dyDescent="0.35">
      <c r="B1294" s="77">
        <v>0</v>
      </c>
      <c r="C1294" s="79"/>
      <c r="D1294" s="79"/>
      <c r="E1294" s="79"/>
      <c r="F1294" s="79"/>
      <c r="G1294" s="80"/>
    </row>
    <row r="1295" spans="2:7" ht="15" customHeight="1" x14ac:dyDescent="0.35">
      <c r="B1295" s="77">
        <v>0</v>
      </c>
      <c r="C1295" s="79"/>
      <c r="D1295" s="79"/>
      <c r="E1295" s="79"/>
      <c r="F1295" s="79"/>
      <c r="G1295" s="80"/>
    </row>
    <row r="1296" spans="2:7" ht="15" customHeight="1" x14ac:dyDescent="0.35">
      <c r="B1296" s="77">
        <v>0</v>
      </c>
      <c r="C1296" s="79"/>
      <c r="D1296" s="79"/>
      <c r="E1296" s="79"/>
      <c r="F1296" s="79"/>
      <c r="G1296" s="80"/>
    </row>
    <row r="1297" spans="2:7" ht="15" customHeight="1" x14ac:dyDescent="0.35">
      <c r="B1297" s="77">
        <v>0</v>
      </c>
      <c r="C1297" s="79"/>
      <c r="D1297" s="79"/>
      <c r="E1297" s="79"/>
      <c r="F1297" s="79"/>
      <c r="G1297" s="80"/>
    </row>
    <row r="1298" spans="2:7" ht="15" customHeight="1" x14ac:dyDescent="0.35">
      <c r="B1298" s="77">
        <v>0</v>
      </c>
      <c r="C1298" s="79"/>
      <c r="D1298" s="79"/>
      <c r="E1298" s="79"/>
      <c r="F1298" s="79"/>
      <c r="G1298" s="80"/>
    </row>
    <row r="1299" spans="2:7" ht="15" customHeight="1" x14ac:dyDescent="0.35">
      <c r="B1299" s="77">
        <v>0</v>
      </c>
      <c r="C1299" s="79"/>
      <c r="D1299" s="79"/>
      <c r="E1299" s="79"/>
      <c r="F1299" s="79"/>
      <c r="G1299" s="80"/>
    </row>
    <row r="1300" spans="2:7" ht="15" customHeight="1" x14ac:dyDescent="0.35">
      <c r="B1300" s="77">
        <v>0</v>
      </c>
      <c r="C1300" s="79"/>
      <c r="D1300" s="79"/>
      <c r="E1300" s="79"/>
      <c r="F1300" s="79"/>
      <c r="G1300" s="80"/>
    </row>
    <row r="1301" spans="2:7" ht="15" customHeight="1" x14ac:dyDescent="0.35">
      <c r="B1301" s="77">
        <v>0</v>
      </c>
      <c r="C1301" s="79"/>
      <c r="D1301" s="79"/>
      <c r="E1301" s="79"/>
      <c r="F1301" s="79"/>
      <c r="G1301" s="80"/>
    </row>
    <row r="1302" spans="2:7" ht="15" customHeight="1" x14ac:dyDescent="0.35">
      <c r="B1302" s="77">
        <v>0</v>
      </c>
      <c r="C1302" s="79"/>
      <c r="D1302" s="79"/>
      <c r="E1302" s="79"/>
      <c r="F1302" s="79"/>
      <c r="G1302" s="80"/>
    </row>
    <row r="1303" spans="2:7" ht="15" customHeight="1" x14ac:dyDescent="0.35">
      <c r="B1303" s="77">
        <v>0</v>
      </c>
      <c r="C1303" s="79"/>
      <c r="D1303" s="79"/>
      <c r="E1303" s="79"/>
      <c r="F1303" s="79"/>
      <c r="G1303" s="80"/>
    </row>
    <row r="1304" spans="2:7" ht="15" customHeight="1" x14ac:dyDescent="0.35">
      <c r="B1304" s="77">
        <v>0</v>
      </c>
      <c r="C1304" s="79"/>
      <c r="D1304" s="79"/>
      <c r="E1304" s="79"/>
      <c r="F1304" s="79"/>
      <c r="G1304" s="80"/>
    </row>
    <row r="1305" spans="2:7" ht="15" customHeight="1" x14ac:dyDescent="0.35">
      <c r="B1305" s="77">
        <v>0</v>
      </c>
      <c r="C1305" s="79"/>
      <c r="D1305" s="79"/>
      <c r="E1305" s="79"/>
      <c r="F1305" s="79"/>
      <c r="G1305" s="80"/>
    </row>
    <row r="1306" spans="2:7" ht="15" customHeight="1" x14ac:dyDescent="0.35">
      <c r="B1306" s="77">
        <v>0</v>
      </c>
      <c r="C1306" s="79"/>
      <c r="D1306" s="79"/>
      <c r="E1306" s="79"/>
      <c r="F1306" s="79"/>
      <c r="G1306" s="80"/>
    </row>
    <row r="1307" spans="2:7" ht="15" customHeight="1" x14ac:dyDescent="0.35">
      <c r="B1307" s="77">
        <v>0</v>
      </c>
      <c r="C1307" s="79"/>
      <c r="D1307" s="79"/>
      <c r="E1307" s="79"/>
      <c r="F1307" s="79"/>
      <c r="G1307" s="80"/>
    </row>
    <row r="1308" spans="2:7" ht="15" customHeight="1" x14ac:dyDescent="0.35">
      <c r="B1308" s="77">
        <v>0</v>
      </c>
      <c r="C1308" s="79"/>
      <c r="D1308" s="79"/>
      <c r="E1308" s="79"/>
      <c r="F1308" s="79"/>
      <c r="G1308" s="80"/>
    </row>
    <row r="1309" spans="2:7" ht="15" customHeight="1" x14ac:dyDescent="0.35">
      <c r="B1309" s="77">
        <v>0</v>
      </c>
      <c r="C1309" s="79"/>
      <c r="D1309" s="79"/>
      <c r="E1309" s="79"/>
      <c r="F1309" s="79"/>
      <c r="G1309" s="80"/>
    </row>
    <row r="1310" spans="2:7" ht="15" customHeight="1" x14ac:dyDescent="0.35">
      <c r="B1310" s="77">
        <v>0</v>
      </c>
      <c r="C1310" s="79"/>
      <c r="D1310" s="79"/>
      <c r="E1310" s="79"/>
      <c r="F1310" s="79"/>
      <c r="G1310" s="80"/>
    </row>
    <row r="1311" spans="2:7" ht="15" customHeight="1" x14ac:dyDescent="0.35">
      <c r="B1311" s="77">
        <v>0</v>
      </c>
      <c r="C1311" s="79"/>
      <c r="D1311" s="79"/>
      <c r="E1311" s="79"/>
      <c r="F1311" s="79"/>
      <c r="G1311" s="80"/>
    </row>
    <row r="1312" spans="2:7" ht="15" customHeight="1" x14ac:dyDescent="0.35">
      <c r="B1312" s="77">
        <v>0</v>
      </c>
      <c r="C1312" s="79"/>
      <c r="D1312" s="79"/>
      <c r="E1312" s="79"/>
      <c r="F1312" s="79"/>
      <c r="G1312" s="80"/>
    </row>
    <row r="1313" spans="2:7" ht="15" customHeight="1" x14ac:dyDescent="0.35">
      <c r="B1313" s="77">
        <v>0</v>
      </c>
      <c r="C1313" s="79"/>
      <c r="D1313" s="79"/>
      <c r="E1313" s="79"/>
      <c r="F1313" s="79"/>
      <c r="G1313" s="80"/>
    </row>
    <row r="1314" spans="2:7" ht="15" customHeight="1" x14ac:dyDescent="0.35">
      <c r="B1314" s="77">
        <v>0</v>
      </c>
      <c r="C1314" s="79"/>
      <c r="D1314" s="79"/>
      <c r="E1314" s="79"/>
      <c r="F1314" s="79"/>
      <c r="G1314" s="80"/>
    </row>
    <row r="1315" spans="2:7" ht="15" customHeight="1" x14ac:dyDescent="0.35">
      <c r="B1315" s="77">
        <v>0</v>
      </c>
      <c r="C1315" s="79"/>
      <c r="D1315" s="79"/>
      <c r="E1315" s="79"/>
      <c r="F1315" s="79"/>
      <c r="G1315" s="80"/>
    </row>
    <row r="1316" spans="2:7" ht="15" customHeight="1" x14ac:dyDescent="0.35">
      <c r="B1316" s="87">
        <f t="array" ref="B1316:B1347">'Regioturnier 2'!$Z$3:$Z$34</f>
        <v>0</v>
      </c>
      <c r="C1316" s="79"/>
      <c r="D1316" s="79"/>
      <c r="E1316" s="79"/>
      <c r="F1316" s="79"/>
      <c r="G1316" s="80"/>
    </row>
    <row r="1317" spans="2:7" ht="15" customHeight="1" x14ac:dyDescent="0.35">
      <c r="B1317" s="77">
        <v>0</v>
      </c>
      <c r="C1317" s="79"/>
      <c r="D1317" s="79"/>
      <c r="E1317" s="79"/>
      <c r="F1317" s="79"/>
      <c r="G1317" s="80"/>
    </row>
    <row r="1318" spans="2:7" ht="15" customHeight="1" x14ac:dyDescent="0.35">
      <c r="B1318" s="77">
        <v>0</v>
      </c>
      <c r="C1318" s="79"/>
      <c r="D1318" s="79"/>
      <c r="E1318" s="79"/>
      <c r="F1318" s="79"/>
      <c r="G1318" s="80"/>
    </row>
    <row r="1319" spans="2:7" ht="15" customHeight="1" x14ac:dyDescent="0.35">
      <c r="B1319" s="77">
        <v>0</v>
      </c>
      <c r="C1319" s="79"/>
      <c r="D1319" s="79"/>
      <c r="E1319" s="79"/>
      <c r="F1319" s="79"/>
      <c r="G1319" s="80"/>
    </row>
    <row r="1320" spans="2:7" ht="15" customHeight="1" x14ac:dyDescent="0.35">
      <c r="B1320" s="77">
        <v>0</v>
      </c>
      <c r="C1320" s="79"/>
      <c r="D1320" s="79"/>
      <c r="E1320" s="79"/>
      <c r="F1320" s="79"/>
      <c r="G1320" s="80"/>
    </row>
    <row r="1321" spans="2:7" ht="15" customHeight="1" x14ac:dyDescent="0.35">
      <c r="B1321" s="77">
        <v>0</v>
      </c>
      <c r="C1321" s="79"/>
      <c r="D1321" s="79"/>
      <c r="E1321" s="79"/>
      <c r="F1321" s="79"/>
      <c r="G1321" s="80"/>
    </row>
    <row r="1322" spans="2:7" ht="15" customHeight="1" x14ac:dyDescent="0.35">
      <c r="B1322" s="77">
        <v>0</v>
      </c>
      <c r="C1322" s="79"/>
      <c r="D1322" s="79"/>
      <c r="E1322" s="79"/>
      <c r="F1322" s="79"/>
      <c r="G1322" s="80"/>
    </row>
    <row r="1323" spans="2:7" ht="15" customHeight="1" x14ac:dyDescent="0.35">
      <c r="B1323" s="77">
        <v>0</v>
      </c>
      <c r="C1323" s="79"/>
      <c r="D1323" s="79"/>
      <c r="E1323" s="79"/>
      <c r="F1323" s="79"/>
      <c r="G1323" s="80"/>
    </row>
    <row r="1324" spans="2:7" ht="15" customHeight="1" x14ac:dyDescent="0.35">
      <c r="B1324" s="77">
        <v>0</v>
      </c>
      <c r="C1324" s="79"/>
      <c r="D1324" s="79"/>
      <c r="E1324" s="79"/>
      <c r="F1324" s="79"/>
      <c r="G1324" s="80"/>
    </row>
    <row r="1325" spans="2:7" ht="15" customHeight="1" x14ac:dyDescent="0.35">
      <c r="B1325" s="77">
        <v>0</v>
      </c>
      <c r="C1325" s="79"/>
      <c r="D1325" s="79"/>
      <c r="E1325" s="79"/>
      <c r="F1325" s="79"/>
      <c r="G1325" s="80"/>
    </row>
    <row r="1326" spans="2:7" ht="15" customHeight="1" x14ac:dyDescent="0.35">
      <c r="B1326" s="77">
        <v>0</v>
      </c>
      <c r="C1326" s="79"/>
      <c r="D1326" s="79"/>
      <c r="E1326" s="79"/>
      <c r="F1326" s="79"/>
      <c r="G1326" s="80"/>
    </row>
    <row r="1327" spans="2:7" ht="15" customHeight="1" x14ac:dyDescent="0.35">
      <c r="B1327" s="77">
        <v>0</v>
      </c>
      <c r="C1327" s="79"/>
      <c r="D1327" s="79"/>
      <c r="E1327" s="79"/>
      <c r="F1327" s="79"/>
      <c r="G1327" s="80"/>
    </row>
    <row r="1328" spans="2:7" ht="15" customHeight="1" x14ac:dyDescent="0.35">
      <c r="B1328" s="77">
        <v>0</v>
      </c>
      <c r="C1328" s="79"/>
      <c r="D1328" s="79"/>
      <c r="E1328" s="79"/>
      <c r="F1328" s="79"/>
      <c r="G1328" s="80"/>
    </row>
    <row r="1329" spans="2:7" ht="15" customHeight="1" x14ac:dyDescent="0.35">
      <c r="B1329" s="77">
        <v>0</v>
      </c>
      <c r="C1329" s="79"/>
      <c r="D1329" s="79"/>
      <c r="E1329" s="79"/>
      <c r="F1329" s="79"/>
      <c r="G1329" s="80"/>
    </row>
    <row r="1330" spans="2:7" ht="15" customHeight="1" x14ac:dyDescent="0.35">
      <c r="B1330" s="77">
        <v>0</v>
      </c>
      <c r="C1330" s="79"/>
      <c r="D1330" s="79"/>
      <c r="E1330" s="79"/>
      <c r="F1330" s="79"/>
      <c r="G1330" s="80"/>
    </row>
    <row r="1331" spans="2:7" ht="15" customHeight="1" x14ac:dyDescent="0.35">
      <c r="B1331" s="77">
        <v>0</v>
      </c>
      <c r="C1331" s="79"/>
      <c r="D1331" s="79"/>
      <c r="E1331" s="79"/>
      <c r="F1331" s="79"/>
      <c r="G1331" s="80"/>
    </row>
    <row r="1332" spans="2:7" ht="15" customHeight="1" x14ac:dyDescent="0.35">
      <c r="B1332" s="77">
        <v>0</v>
      </c>
      <c r="C1332" s="79"/>
      <c r="D1332" s="79"/>
      <c r="E1332" s="79"/>
      <c r="F1332" s="79"/>
      <c r="G1332" s="80"/>
    </row>
    <row r="1333" spans="2:7" ht="15" customHeight="1" x14ac:dyDescent="0.35">
      <c r="B1333" s="77">
        <v>0</v>
      </c>
      <c r="C1333" s="79"/>
      <c r="D1333" s="79"/>
      <c r="E1333" s="79"/>
      <c r="F1333" s="79"/>
      <c r="G1333" s="80"/>
    </row>
    <row r="1334" spans="2:7" ht="15" customHeight="1" x14ac:dyDescent="0.35">
      <c r="B1334" s="77">
        <v>0</v>
      </c>
      <c r="C1334" s="79"/>
      <c r="D1334" s="79"/>
      <c r="E1334" s="79"/>
      <c r="F1334" s="79"/>
      <c r="G1334" s="80"/>
    </row>
    <row r="1335" spans="2:7" ht="15" customHeight="1" x14ac:dyDescent="0.35">
      <c r="B1335" s="77">
        <v>0</v>
      </c>
      <c r="C1335" s="79"/>
      <c r="D1335" s="79"/>
      <c r="E1335" s="79"/>
      <c r="F1335" s="79"/>
      <c r="G1335" s="80"/>
    </row>
    <row r="1336" spans="2:7" ht="15" customHeight="1" x14ac:dyDescent="0.35">
      <c r="B1336" s="77">
        <v>0</v>
      </c>
      <c r="C1336" s="79"/>
      <c r="D1336" s="79"/>
      <c r="E1336" s="79"/>
      <c r="F1336" s="79"/>
      <c r="G1336" s="80"/>
    </row>
    <row r="1337" spans="2:7" ht="15" customHeight="1" x14ac:dyDescent="0.35">
      <c r="B1337" s="77">
        <v>0</v>
      </c>
      <c r="C1337" s="79"/>
      <c r="D1337" s="79"/>
      <c r="E1337" s="79"/>
      <c r="F1337" s="79"/>
      <c r="G1337" s="80"/>
    </row>
    <row r="1338" spans="2:7" ht="15" customHeight="1" x14ac:dyDescent="0.35">
      <c r="B1338" s="77">
        <v>0</v>
      </c>
      <c r="C1338" s="79"/>
      <c r="D1338" s="79"/>
      <c r="E1338" s="79"/>
      <c r="F1338" s="79"/>
      <c r="G1338" s="80"/>
    </row>
    <row r="1339" spans="2:7" ht="15" customHeight="1" x14ac:dyDescent="0.35">
      <c r="B1339" s="77">
        <v>0</v>
      </c>
      <c r="C1339" s="79"/>
      <c r="D1339" s="79"/>
      <c r="E1339" s="79"/>
      <c r="F1339" s="79"/>
      <c r="G1339" s="80"/>
    </row>
    <row r="1340" spans="2:7" ht="15" customHeight="1" x14ac:dyDescent="0.35">
      <c r="B1340" s="77">
        <v>0</v>
      </c>
      <c r="C1340" s="79"/>
      <c r="D1340" s="79"/>
      <c r="E1340" s="79"/>
      <c r="F1340" s="79"/>
      <c r="G1340" s="80"/>
    </row>
    <row r="1341" spans="2:7" ht="15" customHeight="1" x14ac:dyDescent="0.35">
      <c r="B1341" s="77">
        <v>0</v>
      </c>
      <c r="C1341" s="79"/>
      <c r="D1341" s="79"/>
      <c r="E1341" s="79"/>
      <c r="F1341" s="79"/>
      <c r="G1341" s="80"/>
    </row>
    <row r="1342" spans="2:7" ht="15" customHeight="1" x14ac:dyDescent="0.35">
      <c r="B1342" s="77">
        <v>0</v>
      </c>
      <c r="C1342" s="79"/>
      <c r="D1342" s="79"/>
      <c r="E1342" s="79"/>
      <c r="F1342" s="79"/>
      <c r="G1342" s="80"/>
    </row>
    <row r="1343" spans="2:7" ht="15" customHeight="1" x14ac:dyDescent="0.35">
      <c r="B1343" s="77">
        <v>0</v>
      </c>
      <c r="C1343" s="79"/>
      <c r="D1343" s="79"/>
      <c r="E1343" s="79"/>
      <c r="F1343" s="79"/>
      <c r="G1343" s="80"/>
    </row>
    <row r="1344" spans="2:7" ht="15" customHeight="1" x14ac:dyDescent="0.35">
      <c r="B1344" s="77">
        <v>0</v>
      </c>
      <c r="C1344" s="79"/>
      <c r="D1344" s="79"/>
      <c r="E1344" s="79"/>
      <c r="F1344" s="79"/>
      <c r="G1344" s="80"/>
    </row>
    <row r="1345" spans="2:7" ht="15" customHeight="1" x14ac:dyDescent="0.35">
      <c r="B1345" s="77">
        <v>0</v>
      </c>
      <c r="C1345" s="79"/>
      <c r="D1345" s="79"/>
      <c r="E1345" s="79"/>
      <c r="F1345" s="79"/>
      <c r="G1345" s="80"/>
    </row>
    <row r="1346" spans="2:7" ht="15" customHeight="1" x14ac:dyDescent="0.35">
      <c r="B1346" s="77">
        <v>0</v>
      </c>
      <c r="C1346" s="79"/>
      <c r="D1346" s="79"/>
      <c r="E1346" s="79"/>
      <c r="F1346" s="79"/>
      <c r="G1346" s="80"/>
    </row>
    <row r="1347" spans="2:7" ht="15" customHeight="1" x14ac:dyDescent="0.35">
      <c r="B1347" s="77">
        <v>0</v>
      </c>
      <c r="C1347" s="79"/>
      <c r="D1347" s="79"/>
      <c r="E1347" s="79"/>
      <c r="F1347" s="79"/>
      <c r="G1347" s="80"/>
    </row>
    <row r="1348" spans="2:7" ht="15" customHeight="1" x14ac:dyDescent="0.35">
      <c r="B1348" s="84">
        <f t="array" ref="B1348:B1379">'Regioturnier 3'!$B$3:$B$34</f>
        <v>0</v>
      </c>
      <c r="C1348" s="79"/>
      <c r="D1348" s="79"/>
      <c r="E1348" s="79"/>
      <c r="F1348" s="79"/>
      <c r="G1348" s="80"/>
    </row>
    <row r="1349" spans="2:7" ht="15" customHeight="1" x14ac:dyDescent="0.35">
      <c r="B1349" s="77">
        <v>0</v>
      </c>
      <c r="C1349" s="79"/>
      <c r="D1349" s="79"/>
      <c r="E1349" s="79"/>
      <c r="F1349" s="79"/>
      <c r="G1349" s="80"/>
    </row>
    <row r="1350" spans="2:7" ht="15" customHeight="1" x14ac:dyDescent="0.35">
      <c r="B1350" s="77">
        <v>0</v>
      </c>
      <c r="C1350" s="79"/>
      <c r="D1350" s="79"/>
      <c r="E1350" s="79"/>
      <c r="F1350" s="79"/>
      <c r="G1350" s="80"/>
    </row>
    <row r="1351" spans="2:7" ht="15" customHeight="1" x14ac:dyDescent="0.35">
      <c r="B1351" s="77">
        <v>0</v>
      </c>
      <c r="C1351" s="79"/>
      <c r="D1351" s="79"/>
      <c r="E1351" s="79"/>
      <c r="F1351" s="79"/>
      <c r="G1351" s="80"/>
    </row>
    <row r="1352" spans="2:7" ht="15" customHeight="1" x14ac:dyDescent="0.35">
      <c r="B1352" s="77">
        <v>0</v>
      </c>
      <c r="C1352" s="79"/>
      <c r="D1352" s="79"/>
      <c r="E1352" s="79"/>
      <c r="F1352" s="79"/>
      <c r="G1352" s="80"/>
    </row>
    <row r="1353" spans="2:7" ht="15" customHeight="1" x14ac:dyDescent="0.35">
      <c r="B1353" s="77">
        <v>0</v>
      </c>
      <c r="C1353" s="79"/>
      <c r="D1353" s="79"/>
      <c r="E1353" s="79"/>
      <c r="F1353" s="79"/>
      <c r="G1353" s="80"/>
    </row>
    <row r="1354" spans="2:7" ht="15" customHeight="1" x14ac:dyDescent="0.35">
      <c r="B1354" s="77">
        <v>0</v>
      </c>
      <c r="C1354" s="79"/>
      <c r="D1354" s="79"/>
      <c r="E1354" s="79"/>
      <c r="F1354" s="79"/>
      <c r="G1354" s="80"/>
    </row>
    <row r="1355" spans="2:7" ht="15" customHeight="1" x14ac:dyDescent="0.35">
      <c r="B1355" s="77">
        <v>0</v>
      </c>
      <c r="C1355" s="79"/>
      <c r="D1355" s="79"/>
      <c r="E1355" s="79"/>
      <c r="F1355" s="79"/>
      <c r="G1355" s="80"/>
    </row>
    <row r="1356" spans="2:7" ht="15" customHeight="1" x14ac:dyDescent="0.35">
      <c r="B1356" s="77">
        <v>0</v>
      </c>
      <c r="C1356" s="79"/>
      <c r="D1356" s="79"/>
      <c r="E1356" s="79"/>
      <c r="F1356" s="79"/>
      <c r="G1356" s="80"/>
    </row>
    <row r="1357" spans="2:7" ht="15" customHeight="1" x14ac:dyDescent="0.35">
      <c r="B1357" s="77">
        <v>0</v>
      </c>
      <c r="C1357" s="79"/>
      <c r="D1357" s="79"/>
      <c r="E1357" s="79"/>
      <c r="F1357" s="79"/>
      <c r="G1357" s="80"/>
    </row>
    <row r="1358" spans="2:7" ht="15" customHeight="1" x14ac:dyDescent="0.35">
      <c r="B1358" s="77">
        <v>0</v>
      </c>
      <c r="C1358" s="79"/>
      <c r="D1358" s="79"/>
      <c r="E1358" s="79"/>
      <c r="F1358" s="79"/>
      <c r="G1358" s="80"/>
    </row>
    <row r="1359" spans="2:7" ht="15" customHeight="1" x14ac:dyDescent="0.35">
      <c r="B1359" s="77">
        <v>0</v>
      </c>
      <c r="C1359" s="79"/>
      <c r="D1359" s="79"/>
      <c r="E1359" s="79"/>
      <c r="F1359" s="79"/>
      <c r="G1359" s="80"/>
    </row>
    <row r="1360" spans="2:7" ht="15" customHeight="1" x14ac:dyDescent="0.35">
      <c r="B1360" s="77">
        <v>0</v>
      </c>
      <c r="C1360" s="79"/>
      <c r="D1360" s="79"/>
      <c r="E1360" s="79"/>
      <c r="F1360" s="79"/>
      <c r="G1360" s="80"/>
    </row>
    <row r="1361" spans="2:7" ht="15" customHeight="1" x14ac:dyDescent="0.35">
      <c r="B1361" s="77">
        <v>0</v>
      </c>
      <c r="C1361" s="79"/>
      <c r="D1361" s="79"/>
      <c r="E1361" s="79"/>
      <c r="F1361" s="79"/>
      <c r="G1361" s="80"/>
    </row>
    <row r="1362" spans="2:7" ht="15" customHeight="1" x14ac:dyDescent="0.35">
      <c r="B1362" s="77">
        <v>0</v>
      </c>
      <c r="C1362" s="79"/>
      <c r="D1362" s="79"/>
      <c r="E1362" s="79"/>
      <c r="F1362" s="79"/>
      <c r="G1362" s="80"/>
    </row>
    <row r="1363" spans="2:7" ht="15" customHeight="1" x14ac:dyDescent="0.35">
      <c r="B1363" s="77">
        <v>0</v>
      </c>
      <c r="C1363" s="79"/>
      <c r="D1363" s="79"/>
      <c r="E1363" s="79"/>
      <c r="F1363" s="79"/>
      <c r="G1363" s="80"/>
    </row>
    <row r="1364" spans="2:7" ht="15" customHeight="1" x14ac:dyDescent="0.35">
      <c r="B1364" s="77">
        <v>0</v>
      </c>
      <c r="C1364" s="79"/>
      <c r="D1364" s="79"/>
      <c r="E1364" s="79"/>
      <c r="F1364" s="79"/>
      <c r="G1364" s="80"/>
    </row>
    <row r="1365" spans="2:7" ht="15" customHeight="1" x14ac:dyDescent="0.35">
      <c r="B1365" s="77">
        <v>0</v>
      </c>
      <c r="C1365" s="79"/>
      <c r="D1365" s="79"/>
      <c r="E1365" s="79"/>
      <c r="F1365" s="79"/>
      <c r="G1365" s="80"/>
    </row>
    <row r="1366" spans="2:7" ht="15" customHeight="1" x14ac:dyDescent="0.35">
      <c r="B1366" s="77">
        <v>0</v>
      </c>
      <c r="C1366" s="79"/>
      <c r="D1366" s="79"/>
      <c r="E1366" s="79"/>
      <c r="F1366" s="79"/>
      <c r="G1366" s="80"/>
    </row>
    <row r="1367" spans="2:7" ht="15" customHeight="1" x14ac:dyDescent="0.35">
      <c r="B1367" s="77">
        <v>0</v>
      </c>
      <c r="C1367" s="79"/>
      <c r="D1367" s="79"/>
      <c r="E1367" s="79"/>
      <c r="F1367" s="79"/>
      <c r="G1367" s="80"/>
    </row>
    <row r="1368" spans="2:7" ht="15" customHeight="1" x14ac:dyDescent="0.35">
      <c r="B1368" s="77">
        <v>0</v>
      </c>
      <c r="C1368" s="79"/>
      <c r="D1368" s="79"/>
      <c r="E1368" s="79"/>
      <c r="F1368" s="79"/>
      <c r="G1368" s="80"/>
    </row>
    <row r="1369" spans="2:7" ht="15" customHeight="1" x14ac:dyDescent="0.35">
      <c r="B1369" s="77">
        <v>0</v>
      </c>
      <c r="C1369" s="79"/>
      <c r="D1369" s="79"/>
      <c r="E1369" s="79"/>
      <c r="F1369" s="79"/>
      <c r="G1369" s="80"/>
    </row>
    <row r="1370" spans="2:7" ht="15" customHeight="1" x14ac:dyDescent="0.35">
      <c r="B1370" s="77">
        <v>0</v>
      </c>
      <c r="C1370" s="79"/>
      <c r="D1370" s="79"/>
      <c r="E1370" s="79"/>
      <c r="F1370" s="79"/>
      <c r="G1370" s="80"/>
    </row>
    <row r="1371" spans="2:7" ht="15" customHeight="1" x14ac:dyDescent="0.35">
      <c r="B1371" s="77">
        <v>0</v>
      </c>
      <c r="C1371" s="79"/>
      <c r="D1371" s="79"/>
      <c r="E1371" s="79"/>
      <c r="F1371" s="79"/>
      <c r="G1371" s="80"/>
    </row>
    <row r="1372" spans="2:7" ht="15" customHeight="1" x14ac:dyDescent="0.35">
      <c r="B1372" s="77">
        <v>0</v>
      </c>
      <c r="C1372" s="79"/>
      <c r="D1372" s="79"/>
      <c r="E1372" s="79"/>
      <c r="F1372" s="79"/>
      <c r="G1372" s="80"/>
    </row>
    <row r="1373" spans="2:7" ht="15" customHeight="1" x14ac:dyDescent="0.35">
      <c r="B1373" s="77">
        <v>0</v>
      </c>
      <c r="C1373" s="79"/>
      <c r="D1373" s="79"/>
      <c r="E1373" s="79"/>
      <c r="F1373" s="79"/>
      <c r="G1373" s="80"/>
    </row>
    <row r="1374" spans="2:7" ht="15" customHeight="1" x14ac:dyDescent="0.35">
      <c r="B1374" s="77">
        <v>0</v>
      </c>
      <c r="C1374" s="79"/>
      <c r="D1374" s="79"/>
      <c r="E1374" s="79"/>
      <c r="F1374" s="79"/>
      <c r="G1374" s="80"/>
    </row>
    <row r="1375" spans="2:7" ht="15" customHeight="1" x14ac:dyDescent="0.35">
      <c r="B1375" s="77">
        <v>0</v>
      </c>
      <c r="C1375" s="79"/>
      <c r="D1375" s="79"/>
      <c r="E1375" s="79"/>
      <c r="F1375" s="79"/>
      <c r="G1375" s="80"/>
    </row>
    <row r="1376" spans="2:7" ht="15" customHeight="1" x14ac:dyDescent="0.35">
      <c r="B1376" s="77">
        <v>0</v>
      </c>
      <c r="C1376" s="79"/>
      <c r="D1376" s="79"/>
      <c r="E1376" s="79"/>
      <c r="F1376" s="79"/>
      <c r="G1376" s="80"/>
    </row>
    <row r="1377" spans="2:7" ht="15" customHeight="1" x14ac:dyDescent="0.35">
      <c r="B1377" s="77">
        <v>0</v>
      </c>
      <c r="C1377" s="79"/>
      <c r="D1377" s="79"/>
      <c r="E1377" s="79"/>
      <c r="F1377" s="79"/>
      <c r="G1377" s="80"/>
    </row>
    <row r="1378" spans="2:7" ht="15" customHeight="1" x14ac:dyDescent="0.35">
      <c r="B1378" s="77">
        <v>0</v>
      </c>
      <c r="C1378" s="79"/>
      <c r="D1378" s="79"/>
      <c r="E1378" s="79"/>
      <c r="F1378" s="79"/>
      <c r="G1378" s="80"/>
    </row>
    <row r="1379" spans="2:7" ht="15" customHeight="1" x14ac:dyDescent="0.35">
      <c r="B1379" s="77">
        <v>0</v>
      </c>
      <c r="C1379" s="79"/>
      <c r="D1379" s="79"/>
      <c r="E1379" s="79"/>
      <c r="F1379" s="79"/>
      <c r="G1379" s="80"/>
    </row>
    <row r="1380" spans="2:7" ht="15" customHeight="1" x14ac:dyDescent="0.35">
      <c r="B1380" s="77">
        <f t="array" ref="B1380:B1411">'Regioturnier 3'!$F$3:$F$34</f>
        <v>0</v>
      </c>
      <c r="C1380" s="79"/>
      <c r="D1380" s="79"/>
      <c r="E1380" s="79"/>
      <c r="F1380" s="79"/>
      <c r="G1380" s="80"/>
    </row>
    <row r="1381" spans="2:7" ht="15" customHeight="1" x14ac:dyDescent="0.35">
      <c r="B1381" s="77">
        <v>0</v>
      </c>
      <c r="C1381" s="79"/>
      <c r="D1381" s="79"/>
      <c r="E1381" s="79"/>
      <c r="F1381" s="79"/>
      <c r="G1381" s="80"/>
    </row>
    <row r="1382" spans="2:7" ht="15" customHeight="1" x14ac:dyDescent="0.35">
      <c r="B1382" s="77">
        <v>0</v>
      </c>
      <c r="C1382" s="79"/>
      <c r="D1382" s="79"/>
      <c r="E1382" s="79"/>
      <c r="F1382" s="79"/>
      <c r="G1382" s="80"/>
    </row>
    <row r="1383" spans="2:7" ht="15" customHeight="1" x14ac:dyDescent="0.35">
      <c r="B1383" s="77">
        <v>0</v>
      </c>
      <c r="C1383" s="79"/>
      <c r="D1383" s="79"/>
      <c r="E1383" s="79"/>
      <c r="F1383" s="79"/>
      <c r="G1383" s="80"/>
    </row>
    <row r="1384" spans="2:7" ht="15" customHeight="1" x14ac:dyDescent="0.35">
      <c r="B1384" s="77">
        <v>0</v>
      </c>
      <c r="C1384" s="79"/>
      <c r="D1384" s="79"/>
      <c r="E1384" s="79"/>
      <c r="F1384" s="79"/>
      <c r="G1384" s="80"/>
    </row>
    <row r="1385" spans="2:7" ht="15" customHeight="1" x14ac:dyDescent="0.35">
      <c r="B1385" s="77">
        <v>0</v>
      </c>
      <c r="C1385" s="79"/>
      <c r="D1385" s="79"/>
      <c r="E1385" s="79"/>
      <c r="F1385" s="79"/>
      <c r="G1385" s="80"/>
    </row>
    <row r="1386" spans="2:7" ht="15" customHeight="1" x14ac:dyDescent="0.35">
      <c r="B1386" s="77">
        <v>0</v>
      </c>
      <c r="C1386" s="79"/>
      <c r="D1386" s="79"/>
      <c r="E1386" s="79"/>
      <c r="F1386" s="79"/>
      <c r="G1386" s="80"/>
    </row>
    <row r="1387" spans="2:7" ht="15" customHeight="1" x14ac:dyDescent="0.35">
      <c r="B1387" s="77">
        <v>0</v>
      </c>
      <c r="C1387" s="79"/>
      <c r="D1387" s="79"/>
      <c r="E1387" s="79"/>
      <c r="F1387" s="79"/>
      <c r="G1387" s="80"/>
    </row>
    <row r="1388" spans="2:7" ht="15" customHeight="1" x14ac:dyDescent="0.35">
      <c r="B1388" s="77">
        <v>0</v>
      </c>
      <c r="C1388" s="79"/>
      <c r="D1388" s="79"/>
      <c r="E1388" s="79"/>
      <c r="F1388" s="79"/>
      <c r="G1388" s="80"/>
    </row>
    <row r="1389" spans="2:7" ht="15" customHeight="1" x14ac:dyDescent="0.35">
      <c r="B1389" s="77">
        <v>0</v>
      </c>
      <c r="C1389" s="79"/>
      <c r="D1389" s="79"/>
      <c r="E1389" s="79"/>
      <c r="F1389" s="79"/>
      <c r="G1389" s="80"/>
    </row>
    <row r="1390" spans="2:7" ht="15" customHeight="1" x14ac:dyDescent="0.35">
      <c r="B1390" s="77">
        <v>0</v>
      </c>
      <c r="C1390" s="79"/>
      <c r="D1390" s="79"/>
      <c r="E1390" s="79"/>
      <c r="F1390" s="79"/>
      <c r="G1390" s="80"/>
    </row>
    <row r="1391" spans="2:7" ht="15" customHeight="1" x14ac:dyDescent="0.35">
      <c r="B1391" s="77">
        <v>0</v>
      </c>
      <c r="C1391" s="79"/>
      <c r="D1391" s="79"/>
      <c r="E1391" s="79"/>
      <c r="F1391" s="79"/>
      <c r="G1391" s="80"/>
    </row>
    <row r="1392" spans="2:7" ht="15" customHeight="1" x14ac:dyDescent="0.35">
      <c r="B1392" s="77">
        <v>0</v>
      </c>
      <c r="C1392" s="79"/>
      <c r="D1392" s="79"/>
      <c r="E1392" s="79"/>
      <c r="F1392" s="79"/>
      <c r="G1392" s="80"/>
    </row>
    <row r="1393" spans="2:7" ht="15" customHeight="1" x14ac:dyDescent="0.35">
      <c r="B1393" s="77">
        <v>0</v>
      </c>
      <c r="C1393" s="79"/>
      <c r="D1393" s="79"/>
      <c r="E1393" s="79"/>
      <c r="F1393" s="79"/>
      <c r="G1393" s="80"/>
    </row>
    <row r="1394" spans="2:7" ht="15" customHeight="1" x14ac:dyDescent="0.35">
      <c r="B1394" s="77">
        <v>0</v>
      </c>
      <c r="C1394" s="79"/>
      <c r="D1394" s="79"/>
      <c r="E1394" s="79"/>
      <c r="F1394" s="79"/>
      <c r="G1394" s="80"/>
    </row>
    <row r="1395" spans="2:7" ht="15" customHeight="1" x14ac:dyDescent="0.35">
      <c r="B1395" s="77">
        <v>0</v>
      </c>
      <c r="C1395" s="79"/>
      <c r="D1395" s="79"/>
      <c r="E1395" s="79"/>
      <c r="F1395" s="79"/>
      <c r="G1395" s="80"/>
    </row>
    <row r="1396" spans="2:7" ht="15" customHeight="1" x14ac:dyDescent="0.35">
      <c r="B1396" s="77">
        <v>0</v>
      </c>
      <c r="C1396" s="79"/>
      <c r="D1396" s="79"/>
      <c r="E1396" s="79"/>
      <c r="F1396" s="79"/>
      <c r="G1396" s="80"/>
    </row>
    <row r="1397" spans="2:7" ht="15" customHeight="1" x14ac:dyDescent="0.35">
      <c r="B1397" s="77">
        <v>0</v>
      </c>
      <c r="C1397" s="79"/>
      <c r="D1397" s="79"/>
      <c r="E1397" s="79"/>
      <c r="F1397" s="79"/>
      <c r="G1397" s="80"/>
    </row>
    <row r="1398" spans="2:7" ht="15" customHeight="1" x14ac:dyDescent="0.35">
      <c r="B1398" s="77">
        <v>0</v>
      </c>
      <c r="C1398" s="79"/>
      <c r="D1398" s="79"/>
      <c r="E1398" s="79"/>
      <c r="F1398" s="79"/>
      <c r="G1398" s="80"/>
    </row>
    <row r="1399" spans="2:7" ht="15" customHeight="1" x14ac:dyDescent="0.35">
      <c r="B1399" s="77">
        <v>0</v>
      </c>
      <c r="C1399" s="79"/>
      <c r="D1399" s="79"/>
      <c r="E1399" s="79"/>
      <c r="F1399" s="79"/>
      <c r="G1399" s="80"/>
    </row>
    <row r="1400" spans="2:7" ht="15" customHeight="1" x14ac:dyDescent="0.35">
      <c r="B1400" s="77">
        <v>0</v>
      </c>
      <c r="C1400" s="79"/>
      <c r="D1400" s="79"/>
      <c r="E1400" s="79"/>
      <c r="F1400" s="79"/>
      <c r="G1400" s="80"/>
    </row>
    <row r="1401" spans="2:7" ht="15" customHeight="1" x14ac:dyDescent="0.35">
      <c r="B1401" s="77">
        <v>0</v>
      </c>
      <c r="C1401" s="79"/>
      <c r="D1401" s="79"/>
      <c r="E1401" s="79"/>
      <c r="F1401" s="79"/>
      <c r="G1401" s="80"/>
    </row>
    <row r="1402" spans="2:7" ht="15" customHeight="1" x14ac:dyDescent="0.35">
      <c r="B1402" s="77">
        <v>0</v>
      </c>
      <c r="C1402" s="79"/>
      <c r="D1402" s="79"/>
      <c r="E1402" s="79"/>
      <c r="F1402" s="79"/>
      <c r="G1402" s="80"/>
    </row>
    <row r="1403" spans="2:7" ht="15" customHeight="1" x14ac:dyDescent="0.35">
      <c r="B1403" s="77">
        <v>0</v>
      </c>
      <c r="C1403" s="79"/>
      <c r="D1403" s="79"/>
      <c r="E1403" s="79"/>
      <c r="F1403" s="79"/>
      <c r="G1403" s="80"/>
    </row>
    <row r="1404" spans="2:7" ht="15" customHeight="1" x14ac:dyDescent="0.35">
      <c r="B1404" s="77">
        <v>0</v>
      </c>
      <c r="C1404" s="79"/>
      <c r="D1404" s="79"/>
      <c r="E1404" s="79"/>
      <c r="F1404" s="79"/>
      <c r="G1404" s="80"/>
    </row>
    <row r="1405" spans="2:7" ht="15" customHeight="1" x14ac:dyDescent="0.35">
      <c r="B1405" s="87">
        <v>0</v>
      </c>
      <c r="C1405" s="79"/>
      <c r="D1405" s="79"/>
      <c r="E1405" s="79"/>
      <c r="F1405" s="79"/>
      <c r="G1405" s="80"/>
    </row>
    <row r="1406" spans="2:7" ht="15" customHeight="1" x14ac:dyDescent="0.35">
      <c r="B1406" s="87">
        <v>0</v>
      </c>
      <c r="C1406" s="79"/>
      <c r="D1406" s="79"/>
      <c r="E1406" s="79"/>
      <c r="F1406" s="79"/>
      <c r="G1406" s="80"/>
    </row>
    <row r="1407" spans="2:7" ht="15" customHeight="1" x14ac:dyDescent="0.35">
      <c r="B1407" s="87">
        <v>0</v>
      </c>
      <c r="C1407" s="79"/>
      <c r="D1407" s="79"/>
      <c r="E1407" s="79"/>
      <c r="F1407" s="79"/>
      <c r="G1407" s="80"/>
    </row>
    <row r="1408" spans="2:7" ht="15" customHeight="1" x14ac:dyDescent="0.35">
      <c r="B1408" s="87">
        <v>0</v>
      </c>
      <c r="C1408" s="79"/>
      <c r="D1408" s="79"/>
      <c r="E1408" s="79"/>
      <c r="F1408" s="79"/>
      <c r="G1408" s="80"/>
    </row>
    <row r="1409" spans="2:7" ht="15" customHeight="1" x14ac:dyDescent="0.35">
      <c r="B1409" s="87">
        <v>0</v>
      </c>
      <c r="C1409" s="79"/>
      <c r="D1409" s="79"/>
      <c r="E1409" s="79"/>
      <c r="F1409" s="79"/>
      <c r="G1409" s="80"/>
    </row>
    <row r="1410" spans="2:7" ht="15" customHeight="1" x14ac:dyDescent="0.35">
      <c r="B1410" s="87">
        <v>0</v>
      </c>
      <c r="C1410" s="79"/>
      <c r="D1410" s="79"/>
      <c r="E1410" s="79"/>
      <c r="F1410" s="79"/>
      <c r="G1410" s="80"/>
    </row>
    <row r="1411" spans="2:7" ht="15" customHeight="1" x14ac:dyDescent="0.35">
      <c r="B1411" s="87">
        <v>0</v>
      </c>
      <c r="C1411" s="79"/>
      <c r="D1411" s="79"/>
      <c r="E1411" s="79"/>
      <c r="F1411" s="79"/>
      <c r="G1411" s="80"/>
    </row>
    <row r="1412" spans="2:7" ht="15" customHeight="1" x14ac:dyDescent="0.35">
      <c r="B1412" s="87">
        <f t="array" ref="B1412:B1443">'Regioturnier 3'!$J$3:$J$34</f>
        <v>0</v>
      </c>
      <c r="C1412" s="79"/>
      <c r="D1412" s="79"/>
      <c r="E1412" s="79"/>
      <c r="F1412" s="79"/>
      <c r="G1412" s="80"/>
    </row>
    <row r="1413" spans="2:7" ht="15" customHeight="1" x14ac:dyDescent="0.35">
      <c r="B1413" s="87">
        <v>0</v>
      </c>
      <c r="C1413" s="79"/>
      <c r="D1413" s="79"/>
      <c r="E1413" s="79"/>
      <c r="F1413" s="79"/>
      <c r="G1413" s="80"/>
    </row>
    <row r="1414" spans="2:7" ht="15" customHeight="1" x14ac:dyDescent="0.35">
      <c r="B1414" s="87">
        <v>0</v>
      </c>
      <c r="C1414" s="79"/>
      <c r="D1414" s="79"/>
      <c r="E1414" s="79"/>
      <c r="F1414" s="79"/>
      <c r="G1414" s="80"/>
    </row>
    <row r="1415" spans="2:7" ht="15" customHeight="1" x14ac:dyDescent="0.35">
      <c r="B1415" s="87">
        <v>0</v>
      </c>
      <c r="C1415" s="79"/>
      <c r="D1415" s="79"/>
      <c r="E1415" s="79"/>
      <c r="F1415" s="79"/>
      <c r="G1415" s="80"/>
    </row>
    <row r="1416" spans="2:7" ht="15" customHeight="1" x14ac:dyDescent="0.35">
      <c r="B1416" s="87">
        <v>0</v>
      </c>
      <c r="C1416" s="79"/>
      <c r="D1416" s="79"/>
      <c r="E1416" s="79"/>
      <c r="F1416" s="79"/>
      <c r="G1416" s="80"/>
    </row>
    <row r="1417" spans="2:7" ht="15" customHeight="1" x14ac:dyDescent="0.35">
      <c r="B1417" s="87">
        <v>0</v>
      </c>
      <c r="C1417" s="79"/>
      <c r="D1417" s="79"/>
      <c r="E1417" s="79"/>
      <c r="F1417" s="79"/>
      <c r="G1417" s="80"/>
    </row>
    <row r="1418" spans="2:7" ht="15" customHeight="1" x14ac:dyDescent="0.35">
      <c r="B1418" s="87">
        <v>0</v>
      </c>
      <c r="C1418" s="79"/>
      <c r="D1418" s="79"/>
      <c r="E1418" s="79"/>
      <c r="F1418" s="79"/>
      <c r="G1418" s="80"/>
    </row>
    <row r="1419" spans="2:7" ht="15" customHeight="1" x14ac:dyDescent="0.35">
      <c r="B1419" s="87">
        <v>0</v>
      </c>
      <c r="C1419" s="79"/>
      <c r="D1419" s="79"/>
      <c r="E1419" s="79"/>
      <c r="F1419" s="79"/>
      <c r="G1419" s="80"/>
    </row>
    <row r="1420" spans="2:7" ht="15" customHeight="1" x14ac:dyDescent="0.35">
      <c r="B1420" s="87">
        <v>0</v>
      </c>
      <c r="C1420" s="79"/>
      <c r="D1420" s="79"/>
      <c r="E1420" s="79"/>
      <c r="F1420" s="79"/>
      <c r="G1420" s="80"/>
    </row>
    <row r="1421" spans="2:7" ht="15" customHeight="1" x14ac:dyDescent="0.35">
      <c r="B1421" s="87">
        <v>0</v>
      </c>
      <c r="C1421" s="79"/>
      <c r="D1421" s="79"/>
      <c r="E1421" s="79"/>
      <c r="F1421" s="79"/>
      <c r="G1421" s="80"/>
    </row>
    <row r="1422" spans="2:7" ht="15" customHeight="1" x14ac:dyDescent="0.35">
      <c r="B1422" s="87">
        <v>0</v>
      </c>
      <c r="C1422" s="79"/>
      <c r="D1422" s="79"/>
      <c r="E1422" s="79"/>
      <c r="F1422" s="79"/>
      <c r="G1422" s="80"/>
    </row>
    <row r="1423" spans="2:7" ht="15" customHeight="1" x14ac:dyDescent="0.35">
      <c r="B1423" s="87">
        <v>0</v>
      </c>
      <c r="C1423" s="79"/>
      <c r="D1423" s="79"/>
      <c r="E1423" s="79"/>
      <c r="F1423" s="79"/>
      <c r="G1423" s="80"/>
    </row>
    <row r="1424" spans="2:7" ht="15" customHeight="1" x14ac:dyDescent="0.35">
      <c r="B1424" s="87">
        <v>0</v>
      </c>
      <c r="C1424" s="79"/>
      <c r="D1424" s="79"/>
      <c r="E1424" s="79"/>
      <c r="F1424" s="79"/>
      <c r="G1424" s="80"/>
    </row>
    <row r="1425" spans="2:7" ht="15" customHeight="1" x14ac:dyDescent="0.35">
      <c r="B1425" s="87">
        <v>0</v>
      </c>
      <c r="C1425" s="79"/>
      <c r="D1425" s="79"/>
      <c r="E1425" s="79"/>
      <c r="F1425" s="79"/>
      <c r="G1425" s="80"/>
    </row>
    <row r="1426" spans="2:7" ht="15" customHeight="1" x14ac:dyDescent="0.35">
      <c r="B1426" s="87">
        <v>0</v>
      </c>
      <c r="C1426" s="79"/>
      <c r="D1426" s="79"/>
      <c r="E1426" s="79"/>
      <c r="F1426" s="79"/>
      <c r="G1426" s="80"/>
    </row>
    <row r="1427" spans="2:7" ht="15" customHeight="1" x14ac:dyDescent="0.35">
      <c r="B1427" s="87">
        <v>0</v>
      </c>
      <c r="C1427" s="79"/>
      <c r="D1427" s="79"/>
      <c r="E1427" s="79"/>
      <c r="F1427" s="79"/>
      <c r="G1427" s="80"/>
    </row>
    <row r="1428" spans="2:7" ht="15" customHeight="1" x14ac:dyDescent="0.35">
      <c r="B1428" s="87">
        <v>0</v>
      </c>
      <c r="C1428" s="79"/>
      <c r="D1428" s="79"/>
      <c r="E1428" s="79"/>
      <c r="F1428" s="79"/>
      <c r="G1428" s="80"/>
    </row>
    <row r="1429" spans="2:7" ht="15" customHeight="1" x14ac:dyDescent="0.35">
      <c r="B1429" s="87">
        <v>0</v>
      </c>
      <c r="C1429" s="79"/>
      <c r="D1429" s="79"/>
      <c r="E1429" s="79"/>
      <c r="F1429" s="79"/>
      <c r="G1429" s="80"/>
    </row>
    <row r="1430" spans="2:7" ht="15" customHeight="1" x14ac:dyDescent="0.35">
      <c r="B1430" s="87">
        <v>0</v>
      </c>
      <c r="C1430" s="79"/>
      <c r="D1430" s="79"/>
      <c r="E1430" s="79"/>
      <c r="F1430" s="79"/>
      <c r="G1430" s="80"/>
    </row>
    <row r="1431" spans="2:7" ht="15" customHeight="1" x14ac:dyDescent="0.35">
      <c r="B1431" s="87">
        <v>0</v>
      </c>
      <c r="C1431" s="79"/>
      <c r="D1431" s="79"/>
      <c r="E1431" s="79"/>
      <c r="F1431" s="79"/>
      <c r="G1431" s="80"/>
    </row>
    <row r="1432" spans="2:7" ht="15" customHeight="1" x14ac:dyDescent="0.35">
      <c r="B1432" s="87">
        <v>0</v>
      </c>
      <c r="C1432" s="79"/>
      <c r="D1432" s="79"/>
      <c r="E1432" s="79"/>
      <c r="F1432" s="79"/>
      <c r="G1432" s="80"/>
    </row>
    <row r="1433" spans="2:7" ht="15" customHeight="1" x14ac:dyDescent="0.35">
      <c r="B1433" s="87">
        <v>0</v>
      </c>
      <c r="C1433" s="79"/>
      <c r="D1433" s="79"/>
      <c r="E1433" s="79"/>
      <c r="F1433" s="79"/>
      <c r="G1433" s="80"/>
    </row>
    <row r="1434" spans="2:7" ht="15" customHeight="1" x14ac:dyDescent="0.35">
      <c r="B1434" s="87">
        <v>0</v>
      </c>
      <c r="C1434" s="79"/>
      <c r="D1434" s="79"/>
      <c r="E1434" s="79"/>
      <c r="F1434" s="79"/>
      <c r="G1434" s="80"/>
    </row>
    <row r="1435" spans="2:7" ht="15" customHeight="1" x14ac:dyDescent="0.35">
      <c r="B1435" s="87">
        <v>0</v>
      </c>
      <c r="C1435" s="79"/>
      <c r="D1435" s="79"/>
      <c r="E1435" s="79"/>
      <c r="F1435" s="79"/>
      <c r="G1435" s="80"/>
    </row>
    <row r="1436" spans="2:7" ht="15" customHeight="1" x14ac:dyDescent="0.35">
      <c r="B1436" s="87">
        <v>0</v>
      </c>
      <c r="C1436" s="79"/>
      <c r="D1436" s="79"/>
      <c r="E1436" s="79"/>
      <c r="F1436" s="79"/>
      <c r="G1436" s="80"/>
    </row>
    <row r="1437" spans="2:7" ht="15" customHeight="1" x14ac:dyDescent="0.35">
      <c r="B1437" s="87">
        <v>0</v>
      </c>
      <c r="C1437" s="79"/>
      <c r="D1437" s="79"/>
      <c r="E1437" s="79"/>
      <c r="F1437" s="79"/>
      <c r="G1437" s="80"/>
    </row>
    <row r="1438" spans="2:7" ht="15" customHeight="1" x14ac:dyDescent="0.35">
      <c r="B1438" s="87">
        <v>0</v>
      </c>
      <c r="C1438" s="79"/>
      <c r="D1438" s="79"/>
      <c r="E1438" s="79"/>
      <c r="F1438" s="79"/>
      <c r="G1438" s="80"/>
    </row>
    <row r="1439" spans="2:7" ht="15" customHeight="1" x14ac:dyDescent="0.35">
      <c r="B1439" s="87">
        <v>0</v>
      </c>
      <c r="C1439" s="79"/>
      <c r="D1439" s="79"/>
      <c r="E1439" s="79"/>
      <c r="F1439" s="79"/>
      <c r="G1439" s="80"/>
    </row>
    <row r="1440" spans="2:7" ht="15" customHeight="1" x14ac:dyDescent="0.35">
      <c r="B1440" s="87">
        <v>0</v>
      </c>
      <c r="C1440" s="79"/>
      <c r="D1440" s="79"/>
      <c r="E1440" s="79"/>
      <c r="F1440" s="79"/>
      <c r="G1440" s="80"/>
    </row>
    <row r="1441" spans="2:7" ht="15" customHeight="1" x14ac:dyDescent="0.35">
      <c r="B1441" s="87">
        <v>0</v>
      </c>
      <c r="C1441" s="79"/>
      <c r="D1441" s="79"/>
      <c r="E1441" s="79"/>
      <c r="F1441" s="79"/>
      <c r="G1441" s="80"/>
    </row>
    <row r="1442" spans="2:7" ht="15" customHeight="1" x14ac:dyDescent="0.35">
      <c r="B1442" s="87">
        <v>0</v>
      </c>
      <c r="C1442" s="79"/>
      <c r="D1442" s="79"/>
      <c r="E1442" s="79"/>
      <c r="F1442" s="79"/>
      <c r="G1442" s="80"/>
    </row>
    <row r="1443" spans="2:7" ht="15" customHeight="1" x14ac:dyDescent="0.35">
      <c r="B1443" s="87">
        <v>0</v>
      </c>
      <c r="C1443" s="79"/>
      <c r="D1443" s="79"/>
      <c r="E1443" s="79"/>
      <c r="F1443" s="79"/>
      <c r="G1443" s="80"/>
    </row>
    <row r="1444" spans="2:7" ht="15" customHeight="1" x14ac:dyDescent="0.35">
      <c r="B1444" s="87">
        <f t="array" ref="B1444:B1475">'Regioturnier 3'!$N$3:$N$34</f>
        <v>0</v>
      </c>
      <c r="C1444" s="79"/>
      <c r="D1444" s="79"/>
      <c r="E1444" s="79"/>
      <c r="F1444" s="79"/>
      <c r="G1444" s="80"/>
    </row>
    <row r="1445" spans="2:7" ht="15" customHeight="1" x14ac:dyDescent="0.35">
      <c r="B1445" s="87">
        <v>0</v>
      </c>
      <c r="C1445" s="79"/>
      <c r="D1445" s="79"/>
      <c r="E1445" s="79"/>
      <c r="F1445" s="79"/>
      <c r="G1445" s="80"/>
    </row>
    <row r="1446" spans="2:7" ht="15" customHeight="1" x14ac:dyDescent="0.35">
      <c r="B1446" s="87">
        <v>0</v>
      </c>
      <c r="C1446" s="79"/>
      <c r="D1446" s="79"/>
      <c r="E1446" s="79"/>
      <c r="F1446" s="79"/>
      <c r="G1446" s="80"/>
    </row>
    <row r="1447" spans="2:7" ht="15" customHeight="1" x14ac:dyDescent="0.35">
      <c r="B1447" s="87">
        <v>0</v>
      </c>
      <c r="C1447" s="79"/>
      <c r="D1447" s="79"/>
      <c r="E1447" s="79"/>
      <c r="F1447" s="79"/>
      <c r="G1447" s="80"/>
    </row>
    <row r="1448" spans="2:7" ht="15" customHeight="1" x14ac:dyDescent="0.35">
      <c r="B1448" s="87">
        <v>0</v>
      </c>
      <c r="C1448" s="79"/>
      <c r="D1448" s="79"/>
      <c r="E1448" s="79"/>
      <c r="F1448" s="79"/>
      <c r="G1448" s="80"/>
    </row>
    <row r="1449" spans="2:7" ht="15" customHeight="1" x14ac:dyDescent="0.35">
      <c r="B1449" s="87">
        <v>0</v>
      </c>
      <c r="C1449" s="79"/>
      <c r="D1449" s="79"/>
      <c r="E1449" s="79"/>
      <c r="F1449" s="79"/>
      <c r="G1449" s="80"/>
    </row>
    <row r="1450" spans="2:7" ht="15" customHeight="1" x14ac:dyDescent="0.35">
      <c r="B1450" s="87">
        <v>0</v>
      </c>
      <c r="C1450" s="79"/>
      <c r="D1450" s="79"/>
      <c r="E1450" s="79"/>
      <c r="F1450" s="79"/>
      <c r="G1450" s="80"/>
    </row>
    <row r="1451" spans="2:7" ht="15" customHeight="1" x14ac:dyDescent="0.35">
      <c r="B1451" s="87">
        <v>0</v>
      </c>
      <c r="C1451" s="79"/>
      <c r="D1451" s="79"/>
      <c r="E1451" s="79"/>
      <c r="F1451" s="79"/>
      <c r="G1451" s="80"/>
    </row>
    <row r="1452" spans="2:7" ht="15" customHeight="1" x14ac:dyDescent="0.35">
      <c r="B1452" s="87">
        <v>0</v>
      </c>
      <c r="C1452" s="79"/>
      <c r="D1452" s="79"/>
      <c r="E1452" s="79"/>
      <c r="F1452" s="79"/>
      <c r="G1452" s="80"/>
    </row>
    <row r="1453" spans="2:7" ht="15" customHeight="1" x14ac:dyDescent="0.35">
      <c r="B1453" s="87">
        <v>0</v>
      </c>
      <c r="C1453" s="79"/>
      <c r="D1453" s="79"/>
      <c r="E1453" s="79"/>
      <c r="F1453" s="79"/>
      <c r="G1453" s="80"/>
    </row>
    <row r="1454" spans="2:7" ht="15" customHeight="1" x14ac:dyDescent="0.35">
      <c r="B1454" s="87">
        <v>0</v>
      </c>
      <c r="C1454" s="79"/>
      <c r="D1454" s="79"/>
      <c r="E1454" s="79"/>
      <c r="F1454" s="79"/>
      <c r="G1454" s="80"/>
    </row>
    <row r="1455" spans="2:7" ht="15" customHeight="1" x14ac:dyDescent="0.35">
      <c r="B1455" s="87">
        <v>0</v>
      </c>
      <c r="C1455" s="79"/>
      <c r="D1455" s="79"/>
      <c r="E1455" s="79"/>
      <c r="F1455" s="79"/>
      <c r="G1455" s="80"/>
    </row>
    <row r="1456" spans="2:7" ht="15" customHeight="1" x14ac:dyDescent="0.35">
      <c r="B1456" s="87">
        <v>0</v>
      </c>
      <c r="C1456" s="79"/>
      <c r="D1456" s="79"/>
      <c r="E1456" s="79"/>
      <c r="F1456" s="79"/>
      <c r="G1456" s="80"/>
    </row>
    <row r="1457" spans="2:7" ht="15" customHeight="1" x14ac:dyDescent="0.35">
      <c r="B1457" s="87">
        <v>0</v>
      </c>
      <c r="C1457" s="79"/>
      <c r="D1457" s="79"/>
      <c r="E1457" s="79"/>
      <c r="F1457" s="79"/>
      <c r="G1457" s="80"/>
    </row>
    <row r="1458" spans="2:7" ht="15" customHeight="1" x14ac:dyDescent="0.35">
      <c r="B1458" s="87">
        <v>0</v>
      </c>
      <c r="C1458" s="79"/>
      <c r="D1458" s="79"/>
      <c r="E1458" s="79"/>
      <c r="F1458" s="79"/>
      <c r="G1458" s="80"/>
    </row>
    <row r="1459" spans="2:7" ht="15" customHeight="1" x14ac:dyDescent="0.35">
      <c r="B1459" s="87">
        <v>0</v>
      </c>
      <c r="C1459" s="79"/>
      <c r="D1459" s="79"/>
      <c r="E1459" s="79"/>
      <c r="F1459" s="79"/>
      <c r="G1459" s="80"/>
    </row>
    <row r="1460" spans="2:7" ht="15" customHeight="1" x14ac:dyDescent="0.35">
      <c r="B1460" s="87">
        <v>0</v>
      </c>
      <c r="C1460" s="79"/>
      <c r="D1460" s="79"/>
      <c r="E1460" s="79"/>
      <c r="F1460" s="79"/>
      <c r="G1460" s="80"/>
    </row>
    <row r="1461" spans="2:7" ht="15" customHeight="1" x14ac:dyDescent="0.35">
      <c r="B1461" s="87">
        <v>0</v>
      </c>
      <c r="C1461" s="79"/>
      <c r="D1461" s="79"/>
      <c r="E1461" s="79"/>
      <c r="F1461" s="79"/>
      <c r="G1461" s="80"/>
    </row>
    <row r="1462" spans="2:7" ht="15" customHeight="1" x14ac:dyDescent="0.35">
      <c r="B1462" s="87">
        <v>0</v>
      </c>
      <c r="C1462" s="79"/>
      <c r="D1462" s="79"/>
      <c r="E1462" s="79"/>
      <c r="F1462" s="79"/>
      <c r="G1462" s="80"/>
    </row>
    <row r="1463" spans="2:7" ht="15" customHeight="1" x14ac:dyDescent="0.35">
      <c r="B1463" s="87">
        <v>0</v>
      </c>
      <c r="C1463" s="79"/>
      <c r="D1463" s="79"/>
      <c r="E1463" s="79"/>
      <c r="F1463" s="79"/>
      <c r="G1463" s="80"/>
    </row>
    <row r="1464" spans="2:7" ht="15" customHeight="1" x14ac:dyDescent="0.35">
      <c r="B1464" s="87">
        <v>0</v>
      </c>
      <c r="C1464" s="79"/>
      <c r="D1464" s="79"/>
      <c r="E1464" s="79"/>
      <c r="F1464" s="79"/>
      <c r="G1464" s="80"/>
    </row>
    <row r="1465" spans="2:7" ht="15" customHeight="1" x14ac:dyDescent="0.35">
      <c r="B1465" s="87">
        <v>0</v>
      </c>
      <c r="C1465" s="79"/>
      <c r="D1465" s="79"/>
      <c r="E1465" s="79"/>
      <c r="F1465" s="79"/>
      <c r="G1465" s="80"/>
    </row>
    <row r="1466" spans="2:7" ht="15" customHeight="1" x14ac:dyDescent="0.35">
      <c r="B1466" s="87">
        <v>0</v>
      </c>
      <c r="C1466" s="79"/>
      <c r="D1466" s="79"/>
      <c r="E1466" s="79"/>
      <c r="F1466" s="79"/>
      <c r="G1466" s="80"/>
    </row>
    <row r="1467" spans="2:7" ht="15" customHeight="1" x14ac:dyDescent="0.35">
      <c r="B1467" s="87">
        <v>0</v>
      </c>
      <c r="C1467" s="79"/>
      <c r="D1467" s="79"/>
      <c r="E1467" s="79"/>
      <c r="F1467" s="79"/>
      <c r="G1467" s="80"/>
    </row>
    <row r="1468" spans="2:7" ht="15" customHeight="1" x14ac:dyDescent="0.35">
      <c r="B1468" s="87">
        <v>0</v>
      </c>
      <c r="C1468" s="79"/>
      <c r="D1468" s="79"/>
      <c r="E1468" s="79"/>
      <c r="F1468" s="79"/>
      <c r="G1468" s="80"/>
    </row>
    <row r="1469" spans="2:7" ht="15" customHeight="1" x14ac:dyDescent="0.35">
      <c r="B1469" s="87">
        <v>0</v>
      </c>
      <c r="C1469" s="79"/>
      <c r="D1469" s="79"/>
      <c r="E1469" s="79"/>
      <c r="F1469" s="79"/>
      <c r="G1469" s="80"/>
    </row>
    <row r="1470" spans="2:7" ht="15" customHeight="1" x14ac:dyDescent="0.35">
      <c r="B1470" s="87">
        <v>0</v>
      </c>
      <c r="C1470" s="79"/>
      <c r="D1470" s="79"/>
      <c r="E1470" s="79"/>
      <c r="F1470" s="79"/>
      <c r="G1470" s="80"/>
    </row>
    <row r="1471" spans="2:7" ht="15" customHeight="1" x14ac:dyDescent="0.35">
      <c r="B1471" s="87">
        <v>0</v>
      </c>
      <c r="C1471" s="79"/>
      <c r="D1471" s="79"/>
      <c r="E1471" s="79"/>
      <c r="F1471" s="79"/>
      <c r="G1471" s="80"/>
    </row>
    <row r="1472" spans="2:7" ht="15" customHeight="1" x14ac:dyDescent="0.35">
      <c r="B1472" s="87">
        <v>0</v>
      </c>
      <c r="C1472" s="79"/>
      <c r="D1472" s="79"/>
      <c r="E1472" s="79"/>
      <c r="F1472" s="79"/>
      <c r="G1472" s="80"/>
    </row>
    <row r="1473" spans="2:7" ht="15" customHeight="1" x14ac:dyDescent="0.35">
      <c r="B1473" s="87">
        <v>0</v>
      </c>
      <c r="C1473" s="79"/>
      <c r="D1473" s="79"/>
      <c r="E1473" s="79"/>
      <c r="F1473" s="79"/>
      <c r="G1473" s="80"/>
    </row>
    <row r="1474" spans="2:7" ht="15" customHeight="1" x14ac:dyDescent="0.35">
      <c r="B1474" s="87">
        <v>0</v>
      </c>
      <c r="C1474" s="79"/>
      <c r="D1474" s="79"/>
      <c r="E1474" s="79"/>
      <c r="F1474" s="79"/>
      <c r="G1474" s="80"/>
    </row>
    <row r="1475" spans="2:7" ht="15" customHeight="1" x14ac:dyDescent="0.35">
      <c r="B1475" s="87">
        <v>0</v>
      </c>
      <c r="C1475" s="79"/>
      <c r="D1475" s="79"/>
      <c r="E1475" s="79"/>
      <c r="F1475" s="79"/>
      <c r="G1475" s="80"/>
    </row>
    <row r="1476" spans="2:7" ht="15" customHeight="1" x14ac:dyDescent="0.35">
      <c r="B1476" s="87">
        <f t="array" ref="B1476:B1507">'Regioturnier 3'!$R$3:$R$34</f>
        <v>0</v>
      </c>
      <c r="C1476" s="79"/>
      <c r="D1476" s="79"/>
      <c r="E1476" s="79"/>
      <c r="F1476" s="79"/>
      <c r="G1476" s="80"/>
    </row>
    <row r="1477" spans="2:7" ht="15" customHeight="1" x14ac:dyDescent="0.35">
      <c r="B1477" s="87">
        <v>0</v>
      </c>
      <c r="C1477" s="79"/>
      <c r="D1477" s="79"/>
      <c r="E1477" s="79"/>
      <c r="F1477" s="79"/>
      <c r="G1477" s="80"/>
    </row>
    <row r="1478" spans="2:7" ht="15" customHeight="1" x14ac:dyDescent="0.35">
      <c r="B1478" s="87">
        <v>0</v>
      </c>
      <c r="C1478" s="79"/>
      <c r="D1478" s="79"/>
      <c r="E1478" s="79"/>
      <c r="F1478" s="79"/>
      <c r="G1478" s="80"/>
    </row>
    <row r="1479" spans="2:7" ht="15" customHeight="1" x14ac:dyDescent="0.35">
      <c r="B1479" s="87">
        <v>0</v>
      </c>
      <c r="C1479" s="79"/>
      <c r="D1479" s="79"/>
      <c r="E1479" s="79"/>
      <c r="F1479" s="79"/>
      <c r="G1479" s="80"/>
    </row>
    <row r="1480" spans="2:7" ht="15" customHeight="1" x14ac:dyDescent="0.35">
      <c r="B1480" s="87">
        <v>0</v>
      </c>
      <c r="C1480" s="79"/>
      <c r="D1480" s="79"/>
      <c r="E1480" s="79"/>
      <c r="F1480" s="79"/>
      <c r="G1480" s="80"/>
    </row>
    <row r="1481" spans="2:7" ht="15" customHeight="1" x14ac:dyDescent="0.35">
      <c r="B1481" s="87">
        <v>0</v>
      </c>
      <c r="C1481" s="79"/>
      <c r="D1481" s="79"/>
      <c r="E1481" s="79"/>
      <c r="F1481" s="79"/>
      <c r="G1481" s="80"/>
    </row>
    <row r="1482" spans="2:7" ht="15" customHeight="1" x14ac:dyDescent="0.35">
      <c r="B1482" s="87">
        <v>0</v>
      </c>
      <c r="C1482" s="79"/>
      <c r="D1482" s="79"/>
      <c r="E1482" s="79"/>
      <c r="F1482" s="79"/>
      <c r="G1482" s="80"/>
    </row>
    <row r="1483" spans="2:7" ht="15" customHeight="1" x14ac:dyDescent="0.35">
      <c r="B1483" s="87">
        <v>0</v>
      </c>
      <c r="C1483" s="79"/>
      <c r="D1483" s="79"/>
      <c r="E1483" s="79"/>
      <c r="F1483" s="79"/>
      <c r="G1483" s="80"/>
    </row>
    <row r="1484" spans="2:7" ht="15" customHeight="1" x14ac:dyDescent="0.35">
      <c r="B1484" s="87">
        <v>0</v>
      </c>
      <c r="C1484" s="79"/>
      <c r="D1484" s="79"/>
      <c r="E1484" s="79"/>
      <c r="F1484" s="79"/>
      <c r="G1484" s="80"/>
    </row>
    <row r="1485" spans="2:7" ht="15" customHeight="1" x14ac:dyDescent="0.35">
      <c r="B1485" s="87">
        <v>0</v>
      </c>
      <c r="C1485" s="79"/>
      <c r="D1485" s="79"/>
      <c r="E1485" s="79"/>
      <c r="F1485" s="79"/>
      <c r="G1485" s="80"/>
    </row>
    <row r="1486" spans="2:7" ht="15" customHeight="1" x14ac:dyDescent="0.35">
      <c r="B1486" s="87">
        <v>0</v>
      </c>
      <c r="C1486" s="79"/>
      <c r="D1486" s="79"/>
      <c r="E1486" s="79"/>
      <c r="F1486" s="79"/>
      <c r="G1486" s="80"/>
    </row>
    <row r="1487" spans="2:7" ht="15" customHeight="1" x14ac:dyDescent="0.35">
      <c r="B1487" s="87">
        <v>0</v>
      </c>
      <c r="C1487" s="79"/>
      <c r="D1487" s="79"/>
      <c r="E1487" s="79"/>
      <c r="F1487" s="79"/>
      <c r="G1487" s="80"/>
    </row>
    <row r="1488" spans="2:7" ht="15" customHeight="1" x14ac:dyDescent="0.35">
      <c r="B1488" s="87">
        <v>0</v>
      </c>
      <c r="C1488" s="79"/>
      <c r="D1488" s="79"/>
      <c r="E1488" s="79"/>
      <c r="F1488" s="79"/>
      <c r="G1488" s="80"/>
    </row>
    <row r="1489" spans="2:7" ht="15" customHeight="1" x14ac:dyDescent="0.35">
      <c r="B1489" s="87">
        <v>0</v>
      </c>
      <c r="C1489" s="79"/>
      <c r="D1489" s="79"/>
      <c r="E1489" s="79"/>
      <c r="F1489" s="79"/>
      <c r="G1489" s="80"/>
    </row>
    <row r="1490" spans="2:7" ht="15" customHeight="1" x14ac:dyDescent="0.35">
      <c r="B1490" s="87">
        <v>0</v>
      </c>
      <c r="C1490" s="79"/>
      <c r="D1490" s="79"/>
      <c r="E1490" s="79"/>
      <c r="F1490" s="79"/>
      <c r="G1490" s="80"/>
    </row>
    <row r="1491" spans="2:7" ht="15" customHeight="1" x14ac:dyDescent="0.35">
      <c r="B1491" s="87">
        <v>0</v>
      </c>
      <c r="C1491" s="79"/>
      <c r="D1491" s="79"/>
      <c r="E1491" s="79"/>
      <c r="F1491" s="79"/>
      <c r="G1491" s="80"/>
    </row>
    <row r="1492" spans="2:7" ht="15" customHeight="1" x14ac:dyDescent="0.35">
      <c r="B1492" s="87">
        <v>0</v>
      </c>
      <c r="C1492" s="79"/>
      <c r="D1492" s="79"/>
      <c r="E1492" s="79"/>
      <c r="F1492" s="79"/>
      <c r="G1492" s="80"/>
    </row>
    <row r="1493" spans="2:7" ht="15" customHeight="1" x14ac:dyDescent="0.35">
      <c r="B1493" s="87">
        <v>0</v>
      </c>
      <c r="C1493" s="79"/>
      <c r="D1493" s="79"/>
      <c r="E1493" s="79"/>
      <c r="F1493" s="79"/>
      <c r="G1493" s="80"/>
    </row>
    <row r="1494" spans="2:7" ht="15" customHeight="1" x14ac:dyDescent="0.35">
      <c r="B1494" s="87">
        <v>0</v>
      </c>
      <c r="C1494" s="79"/>
      <c r="D1494" s="79"/>
      <c r="E1494" s="79"/>
      <c r="F1494" s="79"/>
      <c r="G1494" s="80"/>
    </row>
    <row r="1495" spans="2:7" ht="15" customHeight="1" x14ac:dyDescent="0.35">
      <c r="B1495" s="87">
        <v>0</v>
      </c>
      <c r="C1495" s="79"/>
      <c r="D1495" s="79"/>
      <c r="E1495" s="79"/>
      <c r="F1495" s="79"/>
      <c r="G1495" s="80"/>
    </row>
    <row r="1496" spans="2:7" ht="15" customHeight="1" x14ac:dyDescent="0.35">
      <c r="B1496" s="87">
        <v>0</v>
      </c>
      <c r="C1496" s="79"/>
      <c r="D1496" s="79"/>
      <c r="E1496" s="79"/>
      <c r="F1496" s="79"/>
      <c r="G1496" s="80"/>
    </row>
    <row r="1497" spans="2:7" ht="15" customHeight="1" x14ac:dyDescent="0.35">
      <c r="B1497" s="87">
        <v>0</v>
      </c>
      <c r="C1497" s="79"/>
      <c r="D1497" s="79"/>
      <c r="E1497" s="79"/>
      <c r="F1497" s="79"/>
      <c r="G1497" s="80"/>
    </row>
    <row r="1498" spans="2:7" ht="15" customHeight="1" x14ac:dyDescent="0.35">
      <c r="B1498" s="87">
        <v>0</v>
      </c>
      <c r="C1498" s="79"/>
      <c r="D1498" s="79"/>
      <c r="E1498" s="79"/>
      <c r="F1498" s="79"/>
      <c r="G1498" s="80"/>
    </row>
    <row r="1499" spans="2:7" ht="15" customHeight="1" x14ac:dyDescent="0.35">
      <c r="B1499" s="87">
        <v>0</v>
      </c>
      <c r="C1499" s="79"/>
      <c r="D1499" s="79"/>
      <c r="E1499" s="79"/>
      <c r="F1499" s="79"/>
      <c r="G1499" s="80"/>
    </row>
    <row r="1500" spans="2:7" ht="15" customHeight="1" x14ac:dyDescent="0.35">
      <c r="B1500" s="87">
        <v>0</v>
      </c>
      <c r="C1500" s="79"/>
      <c r="D1500" s="79"/>
      <c r="E1500" s="79"/>
      <c r="F1500" s="79"/>
      <c r="G1500" s="80"/>
    </row>
    <row r="1501" spans="2:7" ht="15" customHeight="1" x14ac:dyDescent="0.35">
      <c r="B1501" s="87">
        <v>0</v>
      </c>
      <c r="C1501" s="79"/>
      <c r="D1501" s="79"/>
      <c r="E1501" s="79"/>
      <c r="F1501" s="79"/>
      <c r="G1501" s="80"/>
    </row>
    <row r="1502" spans="2:7" ht="15" customHeight="1" x14ac:dyDescent="0.35">
      <c r="B1502" s="87">
        <v>0</v>
      </c>
      <c r="C1502" s="79"/>
      <c r="D1502" s="79"/>
      <c r="E1502" s="79"/>
      <c r="F1502" s="79"/>
      <c r="G1502" s="80"/>
    </row>
    <row r="1503" spans="2:7" ht="15" customHeight="1" x14ac:dyDescent="0.35">
      <c r="B1503" s="87">
        <v>0</v>
      </c>
      <c r="C1503" s="79"/>
      <c r="D1503" s="79"/>
      <c r="E1503" s="79"/>
      <c r="F1503" s="79"/>
      <c r="G1503" s="80"/>
    </row>
    <row r="1504" spans="2:7" ht="15" customHeight="1" x14ac:dyDescent="0.35">
      <c r="B1504" s="87">
        <v>0</v>
      </c>
      <c r="C1504" s="79"/>
      <c r="D1504" s="79"/>
      <c r="E1504" s="79"/>
      <c r="F1504" s="79"/>
      <c r="G1504" s="80"/>
    </row>
    <row r="1505" spans="2:7" ht="15" customHeight="1" x14ac:dyDescent="0.35">
      <c r="B1505" s="87">
        <v>0</v>
      </c>
      <c r="C1505" s="79"/>
      <c r="D1505" s="79"/>
      <c r="E1505" s="79"/>
      <c r="F1505" s="79"/>
      <c r="G1505" s="80"/>
    </row>
    <row r="1506" spans="2:7" ht="15" customHeight="1" x14ac:dyDescent="0.35">
      <c r="B1506" s="87">
        <v>0</v>
      </c>
      <c r="C1506" s="79"/>
      <c r="D1506" s="79"/>
      <c r="E1506" s="79"/>
      <c r="F1506" s="79"/>
      <c r="G1506" s="80"/>
    </row>
    <row r="1507" spans="2:7" ht="15" customHeight="1" x14ac:dyDescent="0.35">
      <c r="B1507" s="87">
        <v>0</v>
      </c>
      <c r="C1507" s="79"/>
      <c r="D1507" s="79"/>
      <c r="E1507" s="79"/>
      <c r="F1507" s="79"/>
      <c r="G1507" s="80"/>
    </row>
    <row r="1508" spans="2:7" ht="15" customHeight="1" x14ac:dyDescent="0.35">
      <c r="B1508" s="87">
        <f t="array" ref="B1508:B1539">'Regioturnier 3'!$V$3:$V$34</f>
        <v>0</v>
      </c>
      <c r="C1508" s="79"/>
      <c r="D1508" s="79"/>
      <c r="E1508" s="79"/>
      <c r="F1508" s="79"/>
      <c r="G1508" s="80"/>
    </row>
    <row r="1509" spans="2:7" ht="15" customHeight="1" x14ac:dyDescent="0.35">
      <c r="B1509" s="77">
        <v>0</v>
      </c>
      <c r="C1509" s="79"/>
      <c r="D1509" s="79"/>
      <c r="E1509" s="79"/>
      <c r="F1509" s="79"/>
      <c r="G1509" s="80"/>
    </row>
    <row r="1510" spans="2:7" ht="15" customHeight="1" x14ac:dyDescent="0.35">
      <c r="B1510" s="77">
        <v>0</v>
      </c>
      <c r="C1510" s="79"/>
      <c r="D1510" s="79"/>
      <c r="E1510" s="79"/>
      <c r="F1510" s="79"/>
      <c r="G1510" s="80"/>
    </row>
    <row r="1511" spans="2:7" ht="15" customHeight="1" x14ac:dyDescent="0.35">
      <c r="B1511" s="77">
        <v>0</v>
      </c>
      <c r="C1511" s="79"/>
      <c r="D1511" s="79"/>
      <c r="E1511" s="79"/>
      <c r="F1511" s="79"/>
      <c r="G1511" s="80"/>
    </row>
    <row r="1512" spans="2:7" ht="15" customHeight="1" x14ac:dyDescent="0.35">
      <c r="B1512" s="77">
        <v>0</v>
      </c>
      <c r="C1512" s="79"/>
      <c r="D1512" s="79"/>
      <c r="E1512" s="79"/>
      <c r="F1512" s="79"/>
      <c r="G1512" s="80"/>
    </row>
    <row r="1513" spans="2:7" ht="15" customHeight="1" x14ac:dyDescent="0.35">
      <c r="B1513" s="77">
        <v>0</v>
      </c>
      <c r="C1513" s="79"/>
      <c r="D1513" s="79"/>
      <c r="E1513" s="79"/>
      <c r="F1513" s="79"/>
      <c r="G1513" s="80"/>
    </row>
    <row r="1514" spans="2:7" ht="15" customHeight="1" x14ac:dyDescent="0.35">
      <c r="B1514" s="77">
        <v>0</v>
      </c>
      <c r="C1514" s="79"/>
      <c r="D1514" s="79"/>
      <c r="E1514" s="79"/>
      <c r="F1514" s="79"/>
      <c r="G1514" s="80"/>
    </row>
    <row r="1515" spans="2:7" ht="15" customHeight="1" x14ac:dyDescent="0.35">
      <c r="B1515" s="77">
        <v>0</v>
      </c>
      <c r="C1515" s="79"/>
      <c r="D1515" s="79"/>
      <c r="E1515" s="79"/>
      <c r="F1515" s="79"/>
      <c r="G1515" s="80"/>
    </row>
    <row r="1516" spans="2:7" ht="15" customHeight="1" x14ac:dyDescent="0.35">
      <c r="B1516" s="77">
        <v>0</v>
      </c>
      <c r="C1516" s="79"/>
      <c r="D1516" s="79"/>
      <c r="E1516" s="79"/>
      <c r="F1516" s="79"/>
      <c r="G1516" s="80"/>
    </row>
    <row r="1517" spans="2:7" ht="15" customHeight="1" x14ac:dyDescent="0.35">
      <c r="B1517" s="77">
        <v>0</v>
      </c>
      <c r="C1517" s="79"/>
      <c r="D1517" s="79"/>
      <c r="E1517" s="79"/>
      <c r="F1517" s="79"/>
      <c r="G1517" s="80"/>
    </row>
    <row r="1518" spans="2:7" ht="15" customHeight="1" x14ac:dyDescent="0.35">
      <c r="B1518" s="77">
        <v>0</v>
      </c>
      <c r="C1518" s="79"/>
      <c r="D1518" s="79"/>
      <c r="E1518" s="79"/>
      <c r="F1518" s="79"/>
      <c r="G1518" s="80"/>
    </row>
    <row r="1519" spans="2:7" ht="15" customHeight="1" x14ac:dyDescent="0.35">
      <c r="B1519" s="77">
        <v>0</v>
      </c>
      <c r="C1519" s="79"/>
      <c r="D1519" s="79"/>
      <c r="E1519" s="79"/>
      <c r="F1519" s="79"/>
      <c r="G1519" s="80"/>
    </row>
    <row r="1520" spans="2:7" ht="15" customHeight="1" x14ac:dyDescent="0.35">
      <c r="B1520" s="77">
        <v>0</v>
      </c>
      <c r="C1520" s="79"/>
      <c r="D1520" s="79"/>
      <c r="E1520" s="79"/>
      <c r="F1520" s="79"/>
      <c r="G1520" s="80"/>
    </row>
    <row r="1521" spans="2:7" ht="15" customHeight="1" x14ac:dyDescent="0.35">
      <c r="B1521" s="77">
        <v>0</v>
      </c>
      <c r="C1521" s="79"/>
      <c r="D1521" s="79"/>
      <c r="E1521" s="79"/>
      <c r="F1521" s="79"/>
      <c r="G1521" s="80"/>
    </row>
    <row r="1522" spans="2:7" ht="15" customHeight="1" x14ac:dyDescent="0.35">
      <c r="B1522" s="77">
        <v>0</v>
      </c>
      <c r="C1522" s="79"/>
      <c r="D1522" s="79"/>
      <c r="E1522" s="79"/>
      <c r="F1522" s="79"/>
      <c r="G1522" s="80"/>
    </row>
    <row r="1523" spans="2:7" ht="15" customHeight="1" x14ac:dyDescent="0.35">
      <c r="B1523" s="77">
        <v>0</v>
      </c>
      <c r="C1523" s="79"/>
      <c r="D1523" s="79"/>
      <c r="E1523" s="79"/>
      <c r="F1523" s="79"/>
      <c r="G1523" s="80"/>
    </row>
    <row r="1524" spans="2:7" ht="15" customHeight="1" x14ac:dyDescent="0.35">
      <c r="B1524" s="77">
        <v>0</v>
      </c>
      <c r="C1524" s="79"/>
      <c r="D1524" s="79"/>
      <c r="E1524" s="79"/>
      <c r="F1524" s="79"/>
      <c r="G1524" s="80"/>
    </row>
    <row r="1525" spans="2:7" ht="15" customHeight="1" x14ac:dyDescent="0.35">
      <c r="B1525" s="77">
        <v>0</v>
      </c>
      <c r="C1525" s="79"/>
      <c r="D1525" s="79"/>
      <c r="E1525" s="79"/>
      <c r="F1525" s="79"/>
      <c r="G1525" s="80"/>
    </row>
    <row r="1526" spans="2:7" ht="15" customHeight="1" x14ac:dyDescent="0.35">
      <c r="B1526" s="77">
        <v>0</v>
      </c>
      <c r="C1526" s="79"/>
      <c r="D1526" s="79"/>
      <c r="E1526" s="79"/>
      <c r="F1526" s="79"/>
      <c r="G1526" s="80"/>
    </row>
    <row r="1527" spans="2:7" ht="15" customHeight="1" x14ac:dyDescent="0.35">
      <c r="B1527" s="77">
        <v>0</v>
      </c>
      <c r="C1527" s="79"/>
      <c r="D1527" s="79"/>
      <c r="E1527" s="79"/>
      <c r="F1527" s="79"/>
      <c r="G1527" s="80"/>
    </row>
    <row r="1528" spans="2:7" ht="15" customHeight="1" x14ac:dyDescent="0.35">
      <c r="B1528" s="77">
        <v>0</v>
      </c>
      <c r="C1528" s="79"/>
      <c r="D1528" s="79"/>
      <c r="E1528" s="79"/>
      <c r="F1528" s="79"/>
      <c r="G1528" s="80"/>
    </row>
    <row r="1529" spans="2:7" ht="15" customHeight="1" x14ac:dyDescent="0.35">
      <c r="B1529" s="77">
        <v>0</v>
      </c>
      <c r="C1529" s="79"/>
      <c r="D1529" s="79"/>
      <c r="E1529" s="79"/>
      <c r="F1529" s="79"/>
      <c r="G1529" s="80"/>
    </row>
    <row r="1530" spans="2:7" ht="15" customHeight="1" x14ac:dyDescent="0.35">
      <c r="B1530" s="77">
        <v>0</v>
      </c>
      <c r="C1530" s="79"/>
      <c r="D1530" s="79"/>
      <c r="E1530" s="79"/>
      <c r="F1530" s="79"/>
      <c r="G1530" s="80"/>
    </row>
    <row r="1531" spans="2:7" ht="15" customHeight="1" x14ac:dyDescent="0.35">
      <c r="B1531" s="77">
        <v>0</v>
      </c>
      <c r="C1531" s="79"/>
      <c r="D1531" s="79"/>
      <c r="E1531" s="79"/>
      <c r="F1531" s="79"/>
      <c r="G1531" s="80"/>
    </row>
    <row r="1532" spans="2:7" ht="15" customHeight="1" x14ac:dyDescent="0.35">
      <c r="B1532" s="77">
        <v>0</v>
      </c>
      <c r="C1532" s="79"/>
      <c r="D1532" s="79"/>
      <c r="E1532" s="79"/>
      <c r="F1532" s="79"/>
      <c r="G1532" s="80"/>
    </row>
    <row r="1533" spans="2:7" ht="15" customHeight="1" x14ac:dyDescent="0.35">
      <c r="B1533" s="77">
        <v>0</v>
      </c>
      <c r="C1533" s="79"/>
      <c r="D1533" s="79"/>
      <c r="E1533" s="79"/>
      <c r="F1533" s="79"/>
      <c r="G1533" s="80"/>
    </row>
    <row r="1534" spans="2:7" ht="15" customHeight="1" x14ac:dyDescent="0.35">
      <c r="B1534" s="77">
        <v>0</v>
      </c>
      <c r="C1534" s="79"/>
      <c r="D1534" s="79"/>
      <c r="E1534" s="79"/>
      <c r="F1534" s="79"/>
      <c r="G1534" s="80"/>
    </row>
    <row r="1535" spans="2:7" ht="15" customHeight="1" x14ac:dyDescent="0.35">
      <c r="B1535" s="77">
        <v>0</v>
      </c>
      <c r="C1535" s="79"/>
      <c r="D1535" s="79"/>
      <c r="E1535" s="79"/>
      <c r="F1535" s="79"/>
      <c r="G1535" s="80"/>
    </row>
    <row r="1536" spans="2:7" ht="15" customHeight="1" x14ac:dyDescent="0.35">
      <c r="B1536" s="77">
        <v>0</v>
      </c>
      <c r="C1536" s="79"/>
      <c r="D1536" s="79"/>
      <c r="E1536" s="79"/>
      <c r="F1536" s="79"/>
      <c r="G1536" s="80"/>
    </row>
    <row r="1537" spans="2:7" ht="15" customHeight="1" x14ac:dyDescent="0.35">
      <c r="B1537" s="77">
        <v>0</v>
      </c>
      <c r="C1537" s="79"/>
      <c r="D1537" s="79"/>
      <c r="E1537" s="79"/>
      <c r="F1537" s="79"/>
      <c r="G1537" s="80"/>
    </row>
    <row r="1538" spans="2:7" ht="15" customHeight="1" x14ac:dyDescent="0.35">
      <c r="B1538" s="77">
        <v>0</v>
      </c>
      <c r="C1538" s="79"/>
      <c r="D1538" s="79"/>
      <c r="E1538" s="79"/>
      <c r="F1538" s="79"/>
      <c r="G1538" s="80"/>
    </row>
    <row r="1539" spans="2:7" ht="15" customHeight="1" x14ac:dyDescent="0.35">
      <c r="B1539" s="77">
        <v>0</v>
      </c>
      <c r="C1539" s="79"/>
      <c r="D1539" s="79"/>
      <c r="E1539" s="79"/>
      <c r="F1539" s="79"/>
      <c r="G1539" s="80"/>
    </row>
    <row r="1540" spans="2:7" ht="15" customHeight="1" x14ac:dyDescent="0.35">
      <c r="B1540" s="87">
        <f t="array" ref="B1540:B1571">'Regioturnier 3'!$Z$3:$Z$34</f>
        <v>0</v>
      </c>
      <c r="C1540" s="79"/>
      <c r="D1540" s="79"/>
      <c r="E1540" s="79"/>
      <c r="F1540" s="79"/>
      <c r="G1540" s="80"/>
    </row>
    <row r="1541" spans="2:7" ht="15" customHeight="1" x14ac:dyDescent="0.35">
      <c r="B1541" s="77">
        <v>0</v>
      </c>
      <c r="C1541" s="79"/>
      <c r="D1541" s="79"/>
      <c r="E1541" s="79"/>
      <c r="F1541" s="79"/>
      <c r="G1541" s="80"/>
    </row>
    <row r="1542" spans="2:7" ht="15" customHeight="1" x14ac:dyDescent="0.35">
      <c r="B1542" s="77">
        <v>0</v>
      </c>
      <c r="C1542" s="79"/>
      <c r="D1542" s="79"/>
      <c r="E1542" s="79"/>
      <c r="F1542" s="79"/>
      <c r="G1542" s="80"/>
    </row>
    <row r="1543" spans="2:7" ht="15" customHeight="1" x14ac:dyDescent="0.35">
      <c r="B1543" s="77">
        <v>0</v>
      </c>
      <c r="C1543" s="79"/>
      <c r="D1543" s="79"/>
      <c r="E1543" s="79"/>
      <c r="F1543" s="79"/>
      <c r="G1543" s="80"/>
    </row>
    <row r="1544" spans="2:7" ht="15" customHeight="1" x14ac:dyDescent="0.35">
      <c r="B1544" s="77">
        <v>0</v>
      </c>
      <c r="C1544" s="79"/>
      <c r="D1544" s="79"/>
      <c r="E1544" s="79"/>
      <c r="F1544" s="79"/>
      <c r="G1544" s="80"/>
    </row>
    <row r="1545" spans="2:7" ht="15" customHeight="1" x14ac:dyDescent="0.35">
      <c r="B1545" s="77">
        <v>0</v>
      </c>
      <c r="C1545" s="79"/>
      <c r="D1545" s="79"/>
      <c r="E1545" s="79"/>
      <c r="F1545" s="79"/>
      <c r="G1545" s="80"/>
    </row>
    <row r="1546" spans="2:7" ht="15" customHeight="1" x14ac:dyDescent="0.35">
      <c r="B1546" s="77">
        <v>0</v>
      </c>
      <c r="C1546" s="79"/>
      <c r="D1546" s="79"/>
      <c r="E1546" s="79"/>
      <c r="F1546" s="79"/>
      <c r="G1546" s="80"/>
    </row>
    <row r="1547" spans="2:7" ht="15" customHeight="1" x14ac:dyDescent="0.35">
      <c r="B1547" s="77">
        <v>0</v>
      </c>
      <c r="C1547" s="79"/>
      <c r="D1547" s="79"/>
      <c r="E1547" s="79"/>
      <c r="F1547" s="79"/>
      <c r="G1547" s="80"/>
    </row>
    <row r="1548" spans="2:7" ht="15" customHeight="1" x14ac:dyDescent="0.35">
      <c r="B1548" s="77">
        <v>0</v>
      </c>
      <c r="C1548" s="79"/>
      <c r="D1548" s="79"/>
      <c r="E1548" s="79"/>
      <c r="F1548" s="79"/>
      <c r="G1548" s="80"/>
    </row>
    <row r="1549" spans="2:7" ht="15" customHeight="1" x14ac:dyDescent="0.35">
      <c r="B1549" s="77">
        <v>0</v>
      </c>
      <c r="C1549" s="79"/>
      <c r="D1549" s="79"/>
      <c r="E1549" s="79"/>
      <c r="F1549" s="79"/>
      <c r="G1549" s="80"/>
    </row>
    <row r="1550" spans="2:7" ht="15" customHeight="1" x14ac:dyDescent="0.35">
      <c r="B1550" s="77">
        <v>0</v>
      </c>
      <c r="C1550" s="79"/>
      <c r="D1550" s="79"/>
      <c r="E1550" s="79"/>
      <c r="F1550" s="79"/>
      <c r="G1550" s="80"/>
    </row>
    <row r="1551" spans="2:7" ht="15" customHeight="1" x14ac:dyDescent="0.35">
      <c r="B1551" s="77">
        <v>0</v>
      </c>
      <c r="C1551" s="79"/>
      <c r="D1551" s="79"/>
      <c r="E1551" s="79"/>
      <c r="F1551" s="79"/>
      <c r="G1551" s="80"/>
    </row>
    <row r="1552" spans="2:7" ht="15" customHeight="1" x14ac:dyDescent="0.35">
      <c r="B1552" s="77">
        <v>0</v>
      </c>
      <c r="C1552" s="79"/>
      <c r="D1552" s="79"/>
      <c r="E1552" s="79"/>
      <c r="F1552" s="79"/>
      <c r="G1552" s="80"/>
    </row>
    <row r="1553" spans="2:7" ht="15" customHeight="1" x14ac:dyDescent="0.35">
      <c r="B1553" s="77">
        <v>0</v>
      </c>
      <c r="C1553" s="79"/>
      <c r="D1553" s="79"/>
      <c r="E1553" s="79"/>
      <c r="F1553" s="79"/>
      <c r="G1553" s="80"/>
    </row>
    <row r="1554" spans="2:7" ht="15" customHeight="1" x14ac:dyDescent="0.35">
      <c r="B1554" s="77">
        <v>0</v>
      </c>
      <c r="C1554" s="79"/>
      <c r="D1554" s="79"/>
      <c r="E1554" s="79"/>
      <c r="F1554" s="79"/>
      <c r="G1554" s="80"/>
    </row>
    <row r="1555" spans="2:7" ht="15" customHeight="1" x14ac:dyDescent="0.35">
      <c r="B1555" s="77">
        <v>0</v>
      </c>
      <c r="C1555" s="79"/>
      <c r="D1555" s="79"/>
      <c r="E1555" s="79"/>
      <c r="F1555" s="79"/>
      <c r="G1555" s="80"/>
    </row>
    <row r="1556" spans="2:7" ht="15" customHeight="1" x14ac:dyDescent="0.35">
      <c r="B1556" s="77">
        <v>0</v>
      </c>
      <c r="C1556" s="79"/>
      <c r="D1556" s="79"/>
      <c r="E1556" s="79"/>
      <c r="F1556" s="79"/>
      <c r="G1556" s="80"/>
    </row>
    <row r="1557" spans="2:7" ht="15" customHeight="1" x14ac:dyDescent="0.35">
      <c r="B1557" s="77">
        <v>0</v>
      </c>
      <c r="C1557" s="79"/>
      <c r="D1557" s="79"/>
      <c r="E1557" s="79"/>
      <c r="F1557" s="79"/>
      <c r="G1557" s="80"/>
    </row>
    <row r="1558" spans="2:7" ht="15" customHeight="1" x14ac:dyDescent="0.35">
      <c r="B1558" s="77">
        <v>0</v>
      </c>
      <c r="C1558" s="79"/>
      <c r="D1558" s="79"/>
      <c r="E1558" s="79"/>
      <c r="F1558" s="79"/>
      <c r="G1558" s="80"/>
    </row>
    <row r="1559" spans="2:7" ht="15" customHeight="1" x14ac:dyDescent="0.35">
      <c r="B1559" s="77">
        <v>0</v>
      </c>
      <c r="C1559" s="79"/>
      <c r="D1559" s="79"/>
      <c r="E1559" s="79"/>
      <c r="F1559" s="79"/>
      <c r="G1559" s="80"/>
    </row>
    <row r="1560" spans="2:7" ht="15" customHeight="1" x14ac:dyDescent="0.35">
      <c r="B1560" s="77">
        <v>0</v>
      </c>
      <c r="C1560" s="79"/>
      <c r="D1560" s="79"/>
      <c r="E1560" s="79"/>
      <c r="F1560" s="79"/>
      <c r="G1560" s="80"/>
    </row>
    <row r="1561" spans="2:7" ht="15" customHeight="1" x14ac:dyDescent="0.35">
      <c r="B1561" s="77">
        <v>0</v>
      </c>
      <c r="C1561" s="79"/>
      <c r="D1561" s="79"/>
      <c r="E1561" s="79"/>
      <c r="F1561" s="79"/>
      <c r="G1561" s="80"/>
    </row>
    <row r="1562" spans="2:7" ht="15" customHeight="1" x14ac:dyDescent="0.35">
      <c r="B1562" s="77">
        <v>0</v>
      </c>
      <c r="C1562" s="79"/>
      <c r="D1562" s="79"/>
      <c r="E1562" s="79"/>
      <c r="F1562" s="79"/>
      <c r="G1562" s="80"/>
    </row>
    <row r="1563" spans="2:7" ht="15" customHeight="1" x14ac:dyDescent="0.35">
      <c r="B1563" s="77">
        <v>0</v>
      </c>
      <c r="C1563" s="79"/>
      <c r="D1563" s="79"/>
      <c r="E1563" s="79"/>
      <c r="F1563" s="79"/>
      <c r="G1563" s="80"/>
    </row>
    <row r="1564" spans="2:7" ht="15" customHeight="1" x14ac:dyDescent="0.35">
      <c r="B1564" s="77">
        <v>0</v>
      </c>
      <c r="C1564" s="79"/>
      <c r="D1564" s="79"/>
      <c r="E1564" s="79"/>
      <c r="F1564" s="79"/>
      <c r="G1564" s="80"/>
    </row>
    <row r="1565" spans="2:7" ht="15" customHeight="1" x14ac:dyDescent="0.35">
      <c r="B1565" s="77">
        <v>0</v>
      </c>
      <c r="C1565" s="79"/>
      <c r="D1565" s="79"/>
      <c r="E1565" s="79"/>
      <c r="F1565" s="79"/>
      <c r="G1565" s="80"/>
    </row>
    <row r="1566" spans="2:7" ht="15" customHeight="1" x14ac:dyDescent="0.35">
      <c r="B1566" s="77">
        <v>0</v>
      </c>
      <c r="C1566" s="79"/>
      <c r="D1566" s="79"/>
      <c r="E1566" s="79"/>
      <c r="F1566" s="79"/>
      <c r="G1566" s="80"/>
    </row>
    <row r="1567" spans="2:7" ht="15" customHeight="1" x14ac:dyDescent="0.35">
      <c r="B1567" s="77">
        <v>0</v>
      </c>
      <c r="C1567" s="79"/>
      <c r="D1567" s="79"/>
      <c r="E1567" s="79"/>
      <c r="F1567" s="79"/>
      <c r="G1567" s="80"/>
    </row>
    <row r="1568" spans="2:7" ht="15" customHeight="1" x14ac:dyDescent="0.35">
      <c r="B1568" s="77">
        <v>0</v>
      </c>
      <c r="C1568" s="79"/>
      <c r="D1568" s="79"/>
      <c r="E1568" s="79"/>
      <c r="F1568" s="79"/>
      <c r="G1568" s="80"/>
    </row>
    <row r="1569" spans="2:7" ht="15" customHeight="1" x14ac:dyDescent="0.35">
      <c r="B1569" s="77">
        <v>0</v>
      </c>
      <c r="C1569" s="79"/>
      <c r="D1569" s="79"/>
      <c r="E1569" s="79"/>
      <c r="F1569" s="79"/>
      <c r="G1569" s="80"/>
    </row>
    <row r="1570" spans="2:7" ht="15" customHeight="1" x14ac:dyDescent="0.35">
      <c r="B1570" s="77">
        <v>0</v>
      </c>
      <c r="C1570" s="79"/>
      <c r="D1570" s="79"/>
      <c r="E1570" s="79"/>
      <c r="F1570" s="79"/>
      <c r="G1570" s="80"/>
    </row>
    <row r="1571" spans="2:7" ht="15" customHeight="1" x14ac:dyDescent="0.35">
      <c r="B1571" s="77">
        <v>0</v>
      </c>
      <c r="C1571" s="79"/>
      <c r="D1571" s="79"/>
      <c r="E1571" s="79"/>
      <c r="F1571" s="79"/>
      <c r="G1571" s="80"/>
    </row>
  </sheetData>
  <conditionalFormatting sqref="C2:C173">
    <cfRule type="expression" dxfId="11" priority="1">
      <formula>$D2=1</formula>
    </cfRule>
  </conditionalFormatting>
  <pageMargins left="0.7" right="0.7" top="0.78740157499999996" bottom="0.78740157499999996"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workbookViewId="0">
      <selection sqref="A1:D1"/>
    </sheetView>
  </sheetViews>
  <sheetFormatPr defaultColWidth="14.3984375" defaultRowHeight="15" customHeight="1" x14ac:dyDescent="0.3"/>
  <cols>
    <col min="1" max="1" width="16.296875" customWidth="1"/>
    <col min="2" max="2" width="18.69921875" customWidth="1"/>
    <col min="3" max="3" width="18.8984375" customWidth="1"/>
    <col min="4" max="4" width="20.296875" customWidth="1"/>
    <col min="5" max="5" width="16.3984375" customWidth="1"/>
    <col min="6" max="17" width="10.59765625" customWidth="1"/>
  </cols>
  <sheetData>
    <row r="1" spans="1:26" ht="20" x14ac:dyDescent="0.4">
      <c r="A1" s="141" t="s">
        <v>459</v>
      </c>
      <c r="B1" s="112"/>
      <c r="C1" s="112"/>
      <c r="D1" s="143"/>
      <c r="E1" s="43"/>
      <c r="F1" s="43"/>
      <c r="G1" s="43"/>
      <c r="H1" s="43"/>
      <c r="I1" s="43"/>
      <c r="J1" s="43"/>
      <c r="K1" s="43"/>
      <c r="L1" s="43"/>
      <c r="M1" s="43"/>
      <c r="N1" s="43"/>
      <c r="O1" s="43"/>
      <c r="P1" s="81"/>
      <c r="Q1" s="81"/>
      <c r="R1" s="81"/>
      <c r="S1" s="81"/>
      <c r="T1" s="81"/>
      <c r="U1" s="81"/>
      <c r="V1" s="81"/>
      <c r="W1" s="81"/>
      <c r="X1" s="81"/>
      <c r="Y1" s="81"/>
      <c r="Z1" s="81"/>
    </row>
    <row r="2" spans="1:26" ht="15" customHeight="1" x14ac:dyDescent="0.35">
      <c r="A2" s="81"/>
      <c r="B2" s="81"/>
      <c r="C2" s="81"/>
      <c r="D2" s="81"/>
      <c r="E2" s="81"/>
      <c r="F2" s="81"/>
      <c r="G2" s="81"/>
      <c r="H2" s="81"/>
      <c r="I2" s="81"/>
      <c r="J2" s="81"/>
      <c r="K2" s="81"/>
      <c r="L2" s="81"/>
      <c r="M2" s="81"/>
      <c r="N2" s="81"/>
      <c r="O2" s="81"/>
      <c r="P2" s="81"/>
      <c r="Q2" s="81"/>
      <c r="R2" s="81"/>
      <c r="S2" s="81"/>
      <c r="T2" s="81"/>
      <c r="U2" s="81"/>
      <c r="V2" s="81"/>
      <c r="W2" s="81"/>
      <c r="X2" s="81"/>
      <c r="Y2" s="81"/>
      <c r="Z2" s="81"/>
    </row>
    <row r="3" spans="1:26" ht="83.25" customHeight="1" x14ac:dyDescent="0.35">
      <c r="A3" s="144" t="s">
        <v>460</v>
      </c>
      <c r="B3" s="127"/>
      <c r="C3" s="127"/>
      <c r="D3" s="127"/>
      <c r="E3" s="81"/>
      <c r="F3" s="81"/>
      <c r="G3" s="81"/>
      <c r="H3" s="81"/>
      <c r="I3" s="81"/>
      <c r="J3" s="81"/>
      <c r="K3" s="81"/>
      <c r="L3" s="81"/>
      <c r="M3" s="81"/>
      <c r="N3" s="81"/>
      <c r="O3" s="81"/>
      <c r="P3" s="81"/>
      <c r="Q3" s="81"/>
      <c r="R3" s="81"/>
      <c r="S3" s="81"/>
      <c r="T3" s="81"/>
      <c r="U3" s="81"/>
      <c r="V3" s="81"/>
      <c r="W3" s="81"/>
      <c r="X3" s="81"/>
      <c r="Y3" s="81"/>
      <c r="Z3" s="81"/>
    </row>
    <row r="4" spans="1:26" ht="15" customHeight="1" x14ac:dyDescent="0.3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2.75" customHeight="1" x14ac:dyDescent="0.35">
      <c r="A5" s="89"/>
      <c r="B5" s="90" t="s">
        <v>461</v>
      </c>
      <c r="C5" s="90" t="s">
        <v>462</v>
      </c>
      <c r="D5" s="90" t="s">
        <v>463</v>
      </c>
      <c r="E5" s="81"/>
      <c r="F5" s="81"/>
      <c r="G5" s="81"/>
      <c r="H5" s="81"/>
      <c r="I5" s="81"/>
      <c r="J5" s="81"/>
      <c r="K5" s="81"/>
      <c r="L5" s="81"/>
      <c r="M5" s="81"/>
      <c r="N5" s="81"/>
      <c r="O5" s="81"/>
      <c r="P5" s="81"/>
      <c r="Q5" s="81"/>
      <c r="R5" s="81"/>
      <c r="S5" s="81"/>
      <c r="T5" s="81"/>
      <c r="U5" s="81"/>
      <c r="V5" s="81"/>
      <c r="W5" s="81"/>
      <c r="X5" s="81"/>
      <c r="Y5" s="81"/>
      <c r="Z5" s="81"/>
    </row>
    <row r="6" spans="1:26" ht="12.75" customHeight="1" x14ac:dyDescent="0.35">
      <c r="A6" s="89" t="s">
        <v>464</v>
      </c>
      <c r="B6" s="91">
        <v>220</v>
      </c>
      <c r="C6" s="92">
        <v>200</v>
      </c>
      <c r="D6" s="92">
        <v>200</v>
      </c>
      <c r="E6" s="81"/>
      <c r="F6" s="81"/>
      <c r="G6" s="81"/>
      <c r="H6" s="81"/>
      <c r="I6" s="81"/>
      <c r="J6" s="81"/>
      <c r="K6" s="81"/>
      <c r="L6" s="81"/>
      <c r="M6" s="81"/>
      <c r="N6" s="81"/>
      <c r="O6" s="81"/>
      <c r="P6" s="81"/>
      <c r="Q6" s="81"/>
      <c r="R6" s="81"/>
      <c r="S6" s="81"/>
      <c r="T6" s="81"/>
      <c r="U6" s="81"/>
      <c r="V6" s="81"/>
      <c r="W6" s="81"/>
      <c r="X6" s="81"/>
      <c r="Y6" s="81"/>
      <c r="Z6" s="81"/>
    </row>
    <row r="7" spans="1:26" ht="12.75" customHeight="1" x14ac:dyDescent="0.35">
      <c r="A7" s="89" t="s">
        <v>465</v>
      </c>
      <c r="B7" s="89">
        <v>2</v>
      </c>
      <c r="C7" s="89">
        <v>5</v>
      </c>
      <c r="D7" s="93">
        <v>2</v>
      </c>
      <c r="E7" s="81"/>
      <c r="F7" s="81"/>
      <c r="G7" s="81"/>
      <c r="H7" s="81"/>
      <c r="I7" s="81"/>
      <c r="J7" s="81"/>
      <c r="K7" s="81"/>
      <c r="L7" s="81"/>
      <c r="M7" s="81"/>
      <c r="N7" s="81"/>
      <c r="O7" s="81"/>
      <c r="P7" s="81"/>
      <c r="Q7" s="81"/>
      <c r="R7" s="81"/>
      <c r="S7" s="81"/>
      <c r="T7" s="81"/>
      <c r="U7" s="81"/>
      <c r="V7" s="81"/>
      <c r="W7" s="81"/>
      <c r="X7" s="81"/>
      <c r="Y7" s="81"/>
      <c r="Z7" s="81"/>
    </row>
    <row r="8" spans="1:26" ht="12.75" customHeight="1" x14ac:dyDescent="0.35">
      <c r="A8" s="94"/>
      <c r="B8" s="95"/>
      <c r="C8" s="95"/>
      <c r="D8" s="81"/>
      <c r="E8" s="81"/>
      <c r="F8" s="81"/>
      <c r="G8" s="81"/>
      <c r="H8" s="81"/>
      <c r="I8" s="81"/>
      <c r="J8" s="81"/>
      <c r="K8" s="81"/>
      <c r="L8" s="81"/>
      <c r="M8" s="81"/>
      <c r="N8" s="81"/>
      <c r="O8" s="81"/>
      <c r="P8" s="81"/>
      <c r="Q8" s="81"/>
      <c r="R8" s="81"/>
      <c r="S8" s="81"/>
      <c r="T8" s="81"/>
      <c r="U8" s="81"/>
      <c r="V8" s="81"/>
      <c r="W8" s="81"/>
      <c r="X8" s="81"/>
      <c r="Y8" s="81"/>
      <c r="Z8" s="81"/>
    </row>
    <row r="9" spans="1:26" ht="12.75" customHeight="1" x14ac:dyDescent="0.35">
      <c r="A9" s="94"/>
      <c r="B9" s="95"/>
      <c r="C9" s="81"/>
      <c r="D9" s="81"/>
      <c r="E9" s="81"/>
      <c r="F9" s="81"/>
      <c r="G9" s="81"/>
      <c r="H9" s="81"/>
      <c r="I9" s="81"/>
      <c r="J9" s="81"/>
      <c r="K9" s="81"/>
      <c r="L9" s="81"/>
      <c r="M9" s="81"/>
      <c r="N9" s="81"/>
      <c r="O9" s="81"/>
      <c r="P9" s="81"/>
      <c r="Q9" s="81"/>
      <c r="R9" s="81"/>
      <c r="S9" s="81"/>
      <c r="T9" s="81"/>
      <c r="U9" s="81"/>
      <c r="V9" s="81"/>
      <c r="W9" s="81"/>
      <c r="X9" s="81"/>
      <c r="Y9" s="81"/>
      <c r="Z9" s="81"/>
    </row>
    <row r="10" spans="1:26" ht="30" customHeight="1" x14ac:dyDescent="0.35">
      <c r="A10" s="96" t="s">
        <v>466</v>
      </c>
      <c r="B10" s="97">
        <v>0.75</v>
      </c>
      <c r="C10" s="144" t="s">
        <v>467</v>
      </c>
      <c r="D10" s="127"/>
      <c r="E10" s="81"/>
      <c r="F10" s="81"/>
      <c r="G10" s="81"/>
      <c r="H10" s="81"/>
      <c r="I10" s="81"/>
      <c r="J10" s="81"/>
      <c r="K10" s="81"/>
      <c r="L10" s="81"/>
      <c r="M10" s="81"/>
      <c r="N10" s="81"/>
      <c r="O10" s="81"/>
      <c r="P10" s="81"/>
      <c r="Q10" s="81"/>
      <c r="R10" s="81"/>
      <c r="S10" s="81"/>
      <c r="T10" s="81"/>
      <c r="U10" s="81"/>
      <c r="V10" s="81"/>
      <c r="W10" s="81"/>
      <c r="X10" s="81"/>
      <c r="Y10" s="81"/>
      <c r="Z10" s="81"/>
    </row>
    <row r="11" spans="1:26" ht="12.75" customHeight="1" x14ac:dyDescent="0.35">
      <c r="A11" s="94"/>
      <c r="B11" s="95"/>
      <c r="C11" s="81"/>
      <c r="D11" s="81"/>
      <c r="E11" s="81"/>
      <c r="F11" s="81"/>
      <c r="G11" s="81"/>
      <c r="H11" s="81"/>
      <c r="I11" s="81"/>
      <c r="J11" s="81"/>
      <c r="K11" s="81"/>
      <c r="L11" s="81"/>
      <c r="M11" s="81"/>
      <c r="N11" s="81"/>
      <c r="O11" s="81"/>
      <c r="P11" s="81"/>
      <c r="Q11" s="81"/>
      <c r="R11" s="81"/>
      <c r="S11" s="81"/>
      <c r="T11" s="81"/>
      <c r="U11" s="81"/>
      <c r="V11" s="81"/>
      <c r="W11" s="81"/>
      <c r="X11" s="81"/>
      <c r="Y11" s="81"/>
      <c r="Z11" s="81"/>
    </row>
    <row r="12" spans="1:26" ht="12.75" customHeight="1" x14ac:dyDescent="0.35">
      <c r="A12" s="95"/>
      <c r="B12" s="95"/>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2.75" customHeight="1" x14ac:dyDescent="0.35">
      <c r="A13" s="98" t="s">
        <v>468</v>
      </c>
      <c r="B13" s="99"/>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2.75" customHeight="1" x14ac:dyDescent="0.35">
      <c r="A14" s="95"/>
      <c r="B14" s="95"/>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2.75" customHeight="1" x14ac:dyDescent="0.35">
      <c r="A15" s="95"/>
      <c r="B15" s="95"/>
      <c r="C15" s="81"/>
      <c r="D15" s="81"/>
      <c r="E15" s="81"/>
      <c r="F15" s="81"/>
      <c r="G15" s="81"/>
      <c r="H15" s="81"/>
      <c r="I15" s="81"/>
      <c r="J15" s="81"/>
      <c r="K15" s="81"/>
      <c r="L15" s="81"/>
      <c r="M15" s="81"/>
      <c r="N15" s="81"/>
      <c r="O15" s="81"/>
      <c r="P15" s="81"/>
      <c r="Q15" s="81"/>
      <c r="R15" s="81"/>
      <c r="S15" s="81"/>
      <c r="T15" s="81"/>
      <c r="U15" s="81"/>
      <c r="V15" s="81"/>
      <c r="W15" s="81"/>
      <c r="X15" s="81"/>
      <c r="Y15" s="81"/>
      <c r="Z15" s="81"/>
    </row>
    <row r="16" spans="1:26" ht="12.75" customHeight="1" x14ac:dyDescent="0.35">
      <c r="A16" s="95"/>
      <c r="B16" s="95"/>
      <c r="C16" s="81"/>
      <c r="D16" s="81"/>
      <c r="E16" s="81"/>
      <c r="F16" s="81"/>
      <c r="G16" s="81"/>
      <c r="H16" s="81"/>
      <c r="I16" s="81"/>
      <c r="J16" s="81"/>
      <c r="K16" s="81"/>
      <c r="L16" s="81"/>
      <c r="M16" s="81"/>
      <c r="N16" s="81"/>
      <c r="O16" s="81"/>
      <c r="P16" s="81"/>
      <c r="Q16" s="81"/>
      <c r="R16" s="81"/>
      <c r="S16" s="81"/>
      <c r="T16" s="81"/>
      <c r="U16" s="81"/>
      <c r="V16" s="81"/>
      <c r="W16" s="81"/>
      <c r="X16" s="81"/>
      <c r="Y16" s="81"/>
      <c r="Z16" s="81"/>
    </row>
    <row r="17" spans="1:26" ht="12.75" customHeight="1" x14ac:dyDescent="0.35">
      <c r="A17" s="95"/>
      <c r="B17" s="95"/>
      <c r="C17" s="81"/>
      <c r="D17" s="81"/>
      <c r="E17" s="81"/>
      <c r="F17" s="81"/>
      <c r="G17" s="81"/>
      <c r="H17" s="81"/>
      <c r="I17" s="81"/>
      <c r="J17" s="81"/>
      <c r="K17" s="81"/>
      <c r="L17" s="81"/>
      <c r="M17" s="81"/>
      <c r="N17" s="81"/>
      <c r="O17" s="81"/>
      <c r="P17" s="81"/>
      <c r="Q17" s="81"/>
      <c r="R17" s="81"/>
      <c r="S17" s="81"/>
      <c r="T17" s="81"/>
      <c r="U17" s="81"/>
      <c r="V17" s="81"/>
      <c r="W17" s="81"/>
      <c r="X17" s="81"/>
      <c r="Y17" s="81"/>
      <c r="Z17" s="81"/>
    </row>
    <row r="18" spans="1:26" ht="12.75" customHeight="1" x14ac:dyDescent="0.35">
      <c r="A18" s="95"/>
      <c r="B18" s="95"/>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2.75" customHeight="1" x14ac:dyDescent="0.35">
      <c r="A19" s="95"/>
      <c r="B19" s="95"/>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2.75" customHeight="1" x14ac:dyDescent="0.35">
      <c r="A20" s="95"/>
      <c r="B20" s="95"/>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2.75" customHeight="1" x14ac:dyDescent="0.35">
      <c r="A21" s="95"/>
      <c r="B21" s="95"/>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2.75" customHeight="1" x14ac:dyDescent="0.35">
      <c r="A22" s="95"/>
      <c r="B22" s="95"/>
      <c r="C22" s="81"/>
      <c r="D22" s="81"/>
      <c r="E22" s="81"/>
      <c r="F22" s="81"/>
      <c r="G22" s="81"/>
      <c r="H22" s="81"/>
      <c r="I22" s="81"/>
      <c r="J22" s="81"/>
      <c r="K22" s="81"/>
      <c r="L22" s="81"/>
      <c r="M22" s="81"/>
      <c r="N22" s="81"/>
      <c r="O22" s="81"/>
      <c r="P22" s="81"/>
      <c r="Q22" s="81"/>
      <c r="R22" s="81"/>
      <c r="S22" s="81"/>
      <c r="T22" s="81"/>
      <c r="U22" s="81"/>
      <c r="V22" s="81"/>
      <c r="W22" s="81"/>
      <c r="X22" s="81"/>
      <c r="Y22" s="81"/>
      <c r="Z22" s="81"/>
    </row>
    <row r="23" spans="1:26" ht="12.75" customHeight="1" x14ac:dyDescent="0.35">
      <c r="A23" s="95"/>
      <c r="B23" s="95"/>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2.75" customHeight="1" x14ac:dyDescent="0.35">
      <c r="A24" s="95"/>
      <c r="B24" s="95"/>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2.75" customHeight="1" x14ac:dyDescent="0.35">
      <c r="A25" s="95"/>
      <c r="B25" s="95"/>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2.75" customHeight="1" x14ac:dyDescent="0.35">
      <c r="A26" s="95"/>
      <c r="B26" s="95"/>
      <c r="C26" s="81"/>
      <c r="D26" s="81"/>
      <c r="E26" s="81"/>
      <c r="F26" s="81"/>
      <c r="G26" s="81"/>
      <c r="H26" s="81"/>
      <c r="I26" s="81"/>
      <c r="J26" s="81"/>
      <c r="K26" s="81"/>
      <c r="L26" s="81"/>
      <c r="M26" s="81"/>
      <c r="N26" s="81"/>
      <c r="O26" s="81"/>
      <c r="P26" s="81"/>
      <c r="Q26" s="81"/>
      <c r="R26" s="81"/>
      <c r="S26" s="81"/>
      <c r="T26" s="81"/>
      <c r="U26" s="81"/>
      <c r="V26" s="81"/>
      <c r="W26" s="81"/>
      <c r="X26" s="81"/>
      <c r="Y26" s="81"/>
      <c r="Z26" s="81"/>
    </row>
    <row r="27" spans="1:26" ht="12.75" customHeight="1" x14ac:dyDescent="0.35">
      <c r="A27" s="95"/>
      <c r="B27" s="95"/>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2.75" customHeight="1" x14ac:dyDescent="0.35">
      <c r="A28" s="95"/>
      <c r="B28" s="95"/>
      <c r="C28" s="81"/>
      <c r="D28" s="81"/>
      <c r="E28" s="81"/>
      <c r="F28" s="81"/>
      <c r="G28" s="81"/>
      <c r="H28" s="81"/>
      <c r="I28" s="81"/>
      <c r="J28" s="81"/>
      <c r="K28" s="81"/>
      <c r="L28" s="81"/>
      <c r="M28" s="81"/>
      <c r="N28" s="81"/>
      <c r="O28" s="81"/>
      <c r="P28" s="81"/>
      <c r="Q28" s="81"/>
      <c r="R28" s="81"/>
      <c r="S28" s="81"/>
      <c r="T28" s="81"/>
      <c r="U28" s="81"/>
      <c r="V28" s="81"/>
      <c r="W28" s="81"/>
      <c r="X28" s="81"/>
      <c r="Y28" s="81"/>
      <c r="Z28" s="81"/>
    </row>
    <row r="29" spans="1:26" ht="12.75" customHeight="1" x14ac:dyDescent="0.35">
      <c r="A29" s="95"/>
      <c r="B29" s="95"/>
      <c r="C29" s="81"/>
      <c r="D29" s="81"/>
      <c r="E29" s="81"/>
      <c r="F29" s="81"/>
      <c r="G29" s="81"/>
      <c r="H29" s="81"/>
      <c r="I29" s="81"/>
      <c r="J29" s="81"/>
      <c r="K29" s="81"/>
      <c r="L29" s="81"/>
      <c r="M29" s="81"/>
      <c r="N29" s="81"/>
      <c r="O29" s="81"/>
      <c r="P29" s="81"/>
      <c r="Q29" s="81"/>
      <c r="R29" s="81"/>
      <c r="S29" s="81"/>
      <c r="T29" s="81"/>
      <c r="U29" s="81"/>
      <c r="V29" s="81"/>
      <c r="W29" s="81"/>
      <c r="X29" s="81"/>
      <c r="Y29" s="81"/>
      <c r="Z29" s="81"/>
    </row>
    <row r="30" spans="1:26" ht="12.75" customHeight="1" x14ac:dyDescent="0.35">
      <c r="A30" s="95"/>
      <c r="B30" s="95"/>
      <c r="C30" s="81"/>
      <c r="D30" s="81"/>
      <c r="E30" s="81"/>
      <c r="F30" s="81"/>
      <c r="G30" s="81"/>
      <c r="H30" s="81"/>
      <c r="I30" s="81"/>
      <c r="J30" s="81"/>
      <c r="K30" s="81"/>
      <c r="L30" s="81"/>
      <c r="M30" s="81"/>
      <c r="N30" s="81"/>
      <c r="O30" s="81"/>
      <c r="P30" s="81"/>
      <c r="Q30" s="81"/>
      <c r="R30" s="81"/>
      <c r="S30" s="81"/>
      <c r="T30" s="81"/>
      <c r="U30" s="81"/>
      <c r="V30" s="81"/>
      <c r="W30" s="81"/>
      <c r="X30" s="81"/>
      <c r="Y30" s="81"/>
      <c r="Z30" s="81"/>
    </row>
    <row r="31" spans="1:26" ht="12.75" customHeight="1" x14ac:dyDescent="0.35">
      <c r="A31" s="95"/>
      <c r="B31" s="95"/>
      <c r="C31" s="81"/>
      <c r="D31" s="81"/>
      <c r="E31" s="81"/>
      <c r="F31" s="81"/>
      <c r="G31" s="81"/>
      <c r="H31" s="81"/>
      <c r="I31" s="81"/>
      <c r="J31" s="81"/>
      <c r="K31" s="81"/>
      <c r="L31" s="81"/>
      <c r="M31" s="81"/>
      <c r="N31" s="81"/>
      <c r="O31" s="81"/>
      <c r="P31" s="81"/>
      <c r="Q31" s="81"/>
      <c r="R31" s="81"/>
      <c r="S31" s="81"/>
      <c r="T31" s="81"/>
      <c r="U31" s="81"/>
      <c r="V31" s="81"/>
      <c r="W31" s="81"/>
      <c r="X31" s="81"/>
      <c r="Y31" s="81"/>
      <c r="Z31" s="81"/>
    </row>
    <row r="32" spans="1:26" ht="12.75" customHeight="1" x14ac:dyDescent="0.35">
      <c r="A32" s="95"/>
      <c r="B32" s="95"/>
      <c r="C32" s="81"/>
      <c r="D32" s="81"/>
      <c r="E32" s="81"/>
      <c r="F32" s="81"/>
      <c r="G32" s="81"/>
      <c r="H32" s="81"/>
      <c r="I32" s="81"/>
      <c r="J32" s="81"/>
      <c r="K32" s="81"/>
      <c r="L32" s="81"/>
      <c r="M32" s="81"/>
      <c r="N32" s="81"/>
      <c r="O32" s="81"/>
      <c r="P32" s="81"/>
      <c r="Q32" s="81"/>
      <c r="R32" s="81"/>
      <c r="S32" s="81"/>
      <c r="T32" s="81"/>
      <c r="U32" s="81"/>
      <c r="V32" s="81"/>
      <c r="W32" s="81"/>
      <c r="X32" s="81"/>
      <c r="Y32" s="81"/>
      <c r="Z32" s="81"/>
    </row>
    <row r="33" spans="1:26" ht="12.75" customHeight="1" x14ac:dyDescent="0.35">
      <c r="A33" s="95"/>
      <c r="B33" s="95"/>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2.75" customHeight="1" x14ac:dyDescent="0.35">
      <c r="A34" s="95"/>
      <c r="B34" s="95"/>
      <c r="C34" s="81"/>
      <c r="D34" s="81"/>
      <c r="E34" s="81"/>
      <c r="F34" s="81"/>
      <c r="G34" s="81"/>
      <c r="H34" s="81"/>
      <c r="I34" s="81"/>
      <c r="J34" s="81"/>
      <c r="K34" s="81"/>
      <c r="L34" s="81"/>
      <c r="M34" s="81"/>
      <c r="N34" s="81"/>
      <c r="O34" s="81"/>
      <c r="P34" s="81"/>
      <c r="Q34" s="81"/>
      <c r="R34" s="81"/>
      <c r="S34" s="81"/>
      <c r="T34" s="81"/>
      <c r="U34" s="81"/>
      <c r="V34" s="81"/>
      <c r="W34" s="81"/>
      <c r="X34" s="81"/>
      <c r="Y34" s="81"/>
      <c r="Z34" s="81"/>
    </row>
    <row r="35" spans="1:26" ht="12.75" customHeight="1" x14ac:dyDescent="0.35">
      <c r="A35" s="95"/>
      <c r="B35" s="95"/>
      <c r="C35" s="81"/>
      <c r="D35" s="81"/>
      <c r="E35" s="81"/>
      <c r="F35" s="81"/>
      <c r="G35" s="81"/>
      <c r="H35" s="81"/>
      <c r="I35" s="81"/>
      <c r="J35" s="81"/>
      <c r="K35" s="81"/>
      <c r="L35" s="81"/>
      <c r="M35" s="81"/>
      <c r="N35" s="81"/>
      <c r="O35" s="81"/>
      <c r="P35" s="81"/>
      <c r="Q35" s="81"/>
      <c r="R35" s="81"/>
      <c r="S35" s="81"/>
      <c r="T35" s="81"/>
      <c r="U35" s="81"/>
      <c r="V35" s="81"/>
      <c r="W35" s="81"/>
      <c r="X35" s="81"/>
      <c r="Y35" s="81"/>
      <c r="Z35" s="81"/>
    </row>
    <row r="36" spans="1:26" ht="12.75" customHeight="1" x14ac:dyDescent="0.35">
      <c r="A36" s="95"/>
      <c r="B36" s="95"/>
      <c r="C36" s="81"/>
      <c r="D36" s="81"/>
      <c r="E36" s="81"/>
      <c r="F36" s="81"/>
      <c r="G36" s="81"/>
      <c r="H36" s="81"/>
      <c r="I36" s="81"/>
      <c r="J36" s="81"/>
      <c r="K36" s="81"/>
      <c r="L36" s="81"/>
      <c r="M36" s="81"/>
      <c r="N36" s="81"/>
      <c r="O36" s="81"/>
      <c r="P36" s="81"/>
      <c r="Q36" s="81"/>
      <c r="R36" s="81"/>
      <c r="S36" s="81"/>
      <c r="T36" s="81"/>
      <c r="U36" s="81"/>
      <c r="V36" s="81"/>
      <c r="W36" s="81"/>
      <c r="X36" s="81"/>
      <c r="Y36" s="81"/>
      <c r="Z36" s="81"/>
    </row>
    <row r="37" spans="1:26" ht="12.75" customHeight="1" x14ac:dyDescent="0.35">
      <c r="A37" s="95"/>
      <c r="B37" s="95"/>
      <c r="C37" s="81"/>
      <c r="D37" s="81"/>
      <c r="E37" s="81"/>
      <c r="F37" s="81"/>
      <c r="G37" s="81"/>
      <c r="H37" s="81"/>
      <c r="I37" s="81"/>
      <c r="J37" s="81"/>
      <c r="K37" s="81"/>
      <c r="L37" s="81"/>
      <c r="M37" s="81"/>
      <c r="N37" s="81"/>
      <c r="O37" s="81"/>
      <c r="P37" s="81"/>
      <c r="Q37" s="81"/>
      <c r="R37" s="81"/>
      <c r="S37" s="81"/>
      <c r="T37" s="81"/>
      <c r="U37" s="81"/>
      <c r="V37" s="81"/>
      <c r="W37" s="81"/>
      <c r="X37" s="81"/>
      <c r="Y37" s="81"/>
      <c r="Z37" s="81"/>
    </row>
    <row r="38" spans="1:26" ht="12.75" customHeight="1" x14ac:dyDescent="0.35">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spans="1:26" ht="12.75" customHeight="1" x14ac:dyDescent="0.35">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spans="1:26" ht="12.75" customHeight="1" x14ac:dyDescent="0.35">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2.75" customHeight="1" x14ac:dyDescent="0.3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2.75" customHeight="1" x14ac:dyDescent="0.3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2.75" customHeight="1" x14ac:dyDescent="0.35">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spans="1:26" ht="12.75" customHeight="1" x14ac:dyDescent="0.35">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spans="1:26" ht="12.75" customHeight="1" x14ac:dyDescent="0.3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spans="1:26" ht="12.75" customHeight="1" x14ac:dyDescent="0.35">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spans="1:26" ht="12.75" customHeight="1" x14ac:dyDescent="0.35">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spans="1:26" ht="12.75" customHeight="1" x14ac:dyDescent="0.35">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spans="1:26" ht="12.75" customHeight="1" x14ac:dyDescent="0.35">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spans="1:26" ht="12.75" customHeight="1" x14ac:dyDescent="0.35">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spans="1:26" ht="12.75" customHeight="1" x14ac:dyDescent="0.35">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spans="1:26" ht="12.75" customHeight="1" x14ac:dyDescent="0.35">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spans="1:26" ht="12.75" customHeight="1" x14ac:dyDescent="0.35">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2.75" customHeight="1" x14ac:dyDescent="0.35">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spans="1:26" ht="12.75" customHeight="1" x14ac:dyDescent="0.3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spans="1:26" ht="12.75" customHeight="1" x14ac:dyDescent="0.35">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2.75" customHeight="1" x14ac:dyDescent="0.35">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spans="1:26" ht="12.75" customHeight="1" x14ac:dyDescent="0.35">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ht="12.75" customHeight="1" x14ac:dyDescent="0.35">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spans="1:26" ht="12.75" customHeight="1" x14ac:dyDescent="0.35">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spans="1:26" ht="12.75" customHeight="1" x14ac:dyDescent="0.35">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spans="1:26" ht="12.75" customHeight="1" x14ac:dyDescent="0.35">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spans="1:26" ht="12.75" customHeight="1" x14ac:dyDescent="0.35">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spans="1:26" ht="12.75" customHeight="1" x14ac:dyDescent="0.35">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spans="1:26" ht="12.75" customHeight="1" x14ac:dyDescent="0.3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spans="1:26" ht="12.75" customHeight="1" x14ac:dyDescent="0.35">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spans="1:26" ht="12.75" customHeight="1" x14ac:dyDescent="0.35">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spans="1:26" ht="12.75" customHeight="1" x14ac:dyDescent="0.35">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spans="1:26" ht="12.75" customHeight="1" x14ac:dyDescent="0.35">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spans="1:26" ht="12.75" customHeight="1" x14ac:dyDescent="0.35">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spans="1:26" ht="12.75" customHeight="1" x14ac:dyDescent="0.35">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spans="1:26" ht="12.75" customHeight="1" x14ac:dyDescent="0.35">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spans="1:26" ht="12.75" customHeight="1" x14ac:dyDescent="0.35">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spans="1:26" ht="12.75" customHeight="1" x14ac:dyDescent="0.35">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spans="1:26" ht="12.75" customHeight="1" x14ac:dyDescent="0.3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spans="1:26" ht="12.75" customHeight="1" x14ac:dyDescent="0.35">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spans="1:26" ht="12.75" customHeight="1" x14ac:dyDescent="0.35">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spans="1:26" ht="12.75" customHeight="1" x14ac:dyDescent="0.35">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spans="1:26" ht="12.75" customHeight="1" x14ac:dyDescent="0.35">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spans="1:26" ht="12.75" customHeight="1" x14ac:dyDescent="0.35">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spans="1:26" ht="12.75" customHeight="1" x14ac:dyDescent="0.35">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spans="1:26" ht="12.75" customHeight="1" x14ac:dyDescent="0.35">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spans="1:26" ht="12.75" customHeight="1" x14ac:dyDescent="0.35">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spans="1:26" ht="12.75" customHeight="1" x14ac:dyDescent="0.35">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spans="1:26" ht="12.75" customHeight="1" x14ac:dyDescent="0.3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spans="1:26" ht="12.75" customHeight="1" x14ac:dyDescent="0.35">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spans="1:26" ht="12.75" customHeight="1" x14ac:dyDescent="0.35">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spans="1:26" ht="12.75" customHeight="1" x14ac:dyDescent="0.35">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spans="1:26" ht="12.75" customHeight="1" x14ac:dyDescent="0.35">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spans="1:26" ht="12.75" customHeight="1" x14ac:dyDescent="0.35">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spans="1:26" ht="12.75" customHeight="1" x14ac:dyDescent="0.35">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spans="1:26" ht="12.75" customHeight="1" x14ac:dyDescent="0.35">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spans="1:26" ht="12.75" customHeight="1" x14ac:dyDescent="0.35">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spans="1:26" ht="12.75" customHeight="1" x14ac:dyDescent="0.35">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spans="1:26" ht="12.75" customHeight="1" x14ac:dyDescent="0.3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spans="1:26" ht="12.75" customHeight="1" x14ac:dyDescent="0.35">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spans="1:26" ht="12.75" customHeight="1" x14ac:dyDescent="0.35">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spans="1:26" ht="12.75" customHeight="1" x14ac:dyDescent="0.35">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spans="1:26" ht="12.75" customHeight="1" x14ac:dyDescent="0.35">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spans="1:26" ht="12.75" customHeight="1" x14ac:dyDescent="0.35">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spans="1:26" ht="12.75" customHeight="1" x14ac:dyDescent="0.35">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spans="1:26" ht="12.75" customHeight="1" x14ac:dyDescent="0.35">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spans="1:26" ht="12.75" customHeight="1" x14ac:dyDescent="0.35">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spans="1:26" ht="12.75" customHeight="1" x14ac:dyDescent="0.35">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spans="1:26" ht="12.75" customHeight="1" x14ac:dyDescent="0.3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spans="1:26" ht="12.75" customHeight="1" x14ac:dyDescent="0.35">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spans="1:26" ht="12.75" customHeight="1" x14ac:dyDescent="0.35">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spans="1:26" ht="12.75" customHeight="1" x14ac:dyDescent="0.35">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26" ht="12.75" customHeight="1" x14ac:dyDescent="0.35">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spans="1:26" ht="12.75" customHeight="1" x14ac:dyDescent="0.35">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spans="1:26" ht="12.75" customHeight="1" x14ac:dyDescent="0.35">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spans="1:26" ht="12.75" customHeight="1" x14ac:dyDescent="0.35">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spans="1:26" ht="12.75" customHeight="1" x14ac:dyDescent="0.35">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spans="1:26" ht="12.75" customHeight="1" x14ac:dyDescent="0.35">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spans="1:26" ht="12.75" customHeight="1" x14ac:dyDescent="0.3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spans="1:26" ht="12.75" customHeight="1" x14ac:dyDescent="0.35">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spans="1:26" ht="12.75" customHeight="1" x14ac:dyDescent="0.35">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spans="1:26" ht="12.75" customHeight="1" x14ac:dyDescent="0.35">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2.75" customHeight="1" x14ac:dyDescent="0.35">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spans="1:26" ht="12.75" customHeight="1" x14ac:dyDescent="0.35">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spans="1:26" ht="12.75" customHeight="1" x14ac:dyDescent="0.35">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spans="1:26" ht="12.75" customHeight="1" x14ac:dyDescent="0.35">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spans="1:26" ht="12.75" customHeight="1" x14ac:dyDescent="0.35">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spans="1:26" ht="12.75" customHeight="1" x14ac:dyDescent="0.35">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spans="1:26" ht="12.75" customHeight="1" x14ac:dyDescent="0.3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spans="1:26" ht="12.75" customHeight="1" x14ac:dyDescent="0.35">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spans="1:26" ht="12.75" customHeight="1" x14ac:dyDescent="0.35">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spans="1:26" ht="12.75" customHeight="1" x14ac:dyDescent="0.35">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spans="1:26" ht="12.75" customHeight="1" x14ac:dyDescent="0.35">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spans="1:26" ht="12.75" customHeight="1" x14ac:dyDescent="0.35">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spans="1:26" ht="12.75" customHeight="1" x14ac:dyDescent="0.35">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spans="1:26" ht="12.75" customHeight="1" x14ac:dyDescent="0.35">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spans="1:26" ht="12.75" customHeight="1" x14ac:dyDescent="0.35">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spans="1:26" ht="12.75" customHeight="1" x14ac:dyDescent="0.35">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spans="1:26" ht="12.75" customHeight="1" x14ac:dyDescent="0.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spans="1:26" ht="12.75" customHeight="1" x14ac:dyDescent="0.35">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spans="1:26" ht="12.75" customHeight="1" x14ac:dyDescent="0.35">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spans="1:26" ht="12.75" customHeight="1" x14ac:dyDescent="0.35">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spans="1:26" ht="12.75" customHeight="1" x14ac:dyDescent="0.35">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spans="1:26" ht="12.75" customHeight="1" x14ac:dyDescent="0.35">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spans="1:26" ht="12.75" customHeight="1" x14ac:dyDescent="0.35">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spans="1:26" ht="12.75" customHeight="1" x14ac:dyDescent="0.35">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spans="1:26" ht="12.75" customHeight="1" x14ac:dyDescent="0.35">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spans="1:26" ht="12.75" customHeight="1" x14ac:dyDescent="0.35">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spans="1:26" ht="12.75" customHeight="1" x14ac:dyDescent="0.3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spans="1:26" ht="12.75" customHeight="1" x14ac:dyDescent="0.35">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spans="1:26" ht="12.75" customHeight="1" x14ac:dyDescent="0.35">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spans="1:26" ht="12.75" customHeight="1" x14ac:dyDescent="0.35">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spans="1:26" ht="12.75" customHeight="1" x14ac:dyDescent="0.35">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spans="1:26" ht="12.75" customHeight="1" x14ac:dyDescent="0.35">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spans="1:26" ht="12.75" customHeight="1" x14ac:dyDescent="0.35">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spans="1:26" ht="12.75" customHeight="1" x14ac:dyDescent="0.35">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spans="1:26" ht="12.75" customHeight="1" x14ac:dyDescent="0.35">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spans="1:26" ht="12.75" customHeight="1" x14ac:dyDescent="0.35">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spans="1:26" ht="12.75" customHeight="1" x14ac:dyDescent="0.3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spans="1:26" ht="12.75" customHeight="1" x14ac:dyDescent="0.35">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spans="1:26" ht="12.75" customHeight="1" x14ac:dyDescent="0.35">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spans="1:26" ht="12.75" customHeight="1" x14ac:dyDescent="0.35">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spans="1:26" ht="12.75" customHeight="1" x14ac:dyDescent="0.35">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spans="1:26" ht="12.75" customHeight="1" x14ac:dyDescent="0.35">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spans="1:26" ht="12.75" customHeight="1" x14ac:dyDescent="0.35">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spans="1:26" ht="12.75" customHeight="1" x14ac:dyDescent="0.35">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spans="1:26" ht="12.75" customHeight="1" x14ac:dyDescent="0.35">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spans="1:26" ht="12.75" customHeight="1" x14ac:dyDescent="0.35">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spans="1:26" ht="12.75" customHeight="1" x14ac:dyDescent="0.3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spans="1:26" ht="12.75" customHeight="1" x14ac:dyDescent="0.35">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spans="1:26" ht="12.75" customHeight="1" x14ac:dyDescent="0.35">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spans="1:26" ht="12.75" customHeight="1" x14ac:dyDescent="0.35">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spans="1:26" ht="12.75" customHeight="1" x14ac:dyDescent="0.35">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spans="1:26" ht="12.75" customHeight="1" x14ac:dyDescent="0.35">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spans="1:26" ht="12.75" customHeight="1" x14ac:dyDescent="0.35">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spans="1:26" ht="12.75" customHeight="1" x14ac:dyDescent="0.35">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spans="1:26" ht="12.75" customHeight="1" x14ac:dyDescent="0.35">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spans="1:26" ht="12.75" customHeight="1" x14ac:dyDescent="0.35">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spans="1:26" ht="12.75" customHeight="1" x14ac:dyDescent="0.3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spans="1:26" ht="12.75" customHeight="1" x14ac:dyDescent="0.35">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spans="1:26" ht="12.75" customHeight="1" x14ac:dyDescent="0.35">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spans="1:26" ht="12.75" customHeight="1" x14ac:dyDescent="0.35">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spans="1:26" ht="12.75" customHeight="1" x14ac:dyDescent="0.35">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spans="1:26" ht="12.75" customHeight="1" x14ac:dyDescent="0.35">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spans="1:26" ht="12.75" customHeight="1" x14ac:dyDescent="0.35">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spans="1:26" ht="12.75" customHeight="1" x14ac:dyDescent="0.35">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spans="1:26" ht="12.75" customHeight="1" x14ac:dyDescent="0.35">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spans="1:26" ht="12.75" customHeight="1" x14ac:dyDescent="0.35">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spans="1:26" ht="12.75" customHeight="1" x14ac:dyDescent="0.3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spans="1:26" ht="12.75" customHeight="1" x14ac:dyDescent="0.35">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spans="1:26" ht="12.75" customHeight="1" x14ac:dyDescent="0.35">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spans="1:26" ht="12.75" customHeight="1" x14ac:dyDescent="0.35">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spans="1:26" ht="12.75" customHeight="1" x14ac:dyDescent="0.35">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spans="1:26" ht="12.75" customHeight="1" x14ac:dyDescent="0.35">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spans="1:26" ht="12.75" customHeight="1" x14ac:dyDescent="0.35">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spans="1:26" ht="12.75" customHeight="1" x14ac:dyDescent="0.35">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spans="1:26" ht="12.75" customHeight="1" x14ac:dyDescent="0.35">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spans="1:26" ht="12.75" customHeight="1" x14ac:dyDescent="0.35">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spans="1:26" ht="12.75" customHeight="1" x14ac:dyDescent="0.3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spans="1:26" ht="12.75" customHeight="1" x14ac:dyDescent="0.35">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spans="1:26" ht="12.75" customHeight="1" x14ac:dyDescent="0.35">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spans="1:26" ht="12.75" customHeight="1" x14ac:dyDescent="0.35">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spans="1:26" ht="12.75" customHeight="1" x14ac:dyDescent="0.35">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spans="1:26" ht="12.75" customHeight="1" x14ac:dyDescent="0.35">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spans="1:26" ht="12.75" customHeight="1" x14ac:dyDescent="0.35">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spans="1:26" ht="12.75" customHeight="1" x14ac:dyDescent="0.35">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spans="1:26" ht="12.75" customHeight="1" x14ac:dyDescent="0.35">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spans="1:26" ht="12.75" customHeight="1" x14ac:dyDescent="0.35">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spans="1:26" ht="12.75" customHeight="1" x14ac:dyDescent="0.3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spans="1:26" ht="12.75" customHeight="1" x14ac:dyDescent="0.35">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spans="1:26" ht="12.75" customHeight="1" x14ac:dyDescent="0.35">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spans="1:26" ht="12.75" customHeight="1" x14ac:dyDescent="0.35">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spans="1:26" ht="12.75" customHeight="1" x14ac:dyDescent="0.35">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spans="1:26" ht="12.75" customHeight="1" x14ac:dyDescent="0.35">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spans="1:26" ht="12.75" customHeight="1" x14ac:dyDescent="0.35">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spans="1:26" ht="12.75" customHeight="1" x14ac:dyDescent="0.35">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spans="1:26" ht="12.75" customHeight="1" x14ac:dyDescent="0.35">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spans="1:26" ht="12.75" customHeight="1" x14ac:dyDescent="0.35">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spans="1:26" ht="12.75" customHeight="1" x14ac:dyDescent="0.3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spans="1:26" ht="12.75" customHeight="1" x14ac:dyDescent="0.35">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spans="1:26" ht="12.75" customHeight="1" x14ac:dyDescent="0.35">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spans="1:26" ht="12.75" customHeight="1" x14ac:dyDescent="0.35">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spans="1:26" ht="12.75" customHeight="1" x14ac:dyDescent="0.35">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spans="1:26" ht="12.75" customHeight="1" x14ac:dyDescent="0.35">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spans="1:26" ht="15.75" customHeight="1" x14ac:dyDescent="0.35">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spans="1:26" ht="15.75" customHeight="1" x14ac:dyDescent="0.35">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spans="1:26" ht="15.75" customHeight="1" x14ac:dyDescent="0.35">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spans="1:26" ht="15.75" customHeight="1" x14ac:dyDescent="0.35">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spans="1:26" ht="15.75" customHeight="1" x14ac:dyDescent="0.3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spans="1:26" ht="15.75" customHeight="1" x14ac:dyDescent="0.35">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spans="1:26" ht="15.75" customHeight="1" x14ac:dyDescent="0.35">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spans="1:26" ht="15.75" customHeight="1" x14ac:dyDescent="0.35">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spans="1:26" ht="15.75" customHeight="1" x14ac:dyDescent="0.35">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spans="1:26" ht="15.75" customHeight="1" x14ac:dyDescent="0.35">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spans="1:26" ht="15.75" customHeight="1" x14ac:dyDescent="0.35">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spans="1:26" ht="15.75" customHeight="1" x14ac:dyDescent="0.35">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spans="1:26" ht="15.75" customHeight="1" x14ac:dyDescent="0.35">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spans="1:26" ht="15.75" customHeight="1" x14ac:dyDescent="0.35">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spans="1:26" ht="15.75" customHeight="1" x14ac:dyDescent="0.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spans="1:26" ht="15.75" customHeight="1" x14ac:dyDescent="0.35">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spans="1:26" ht="15.75" customHeight="1" x14ac:dyDescent="0.35">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spans="1:26" ht="15.75" customHeight="1" x14ac:dyDescent="0.35">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spans="1:26" ht="15.75" customHeight="1" x14ac:dyDescent="0.35">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spans="1:26" ht="15.75" customHeight="1" x14ac:dyDescent="0.35">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spans="1:26" ht="15.75" customHeight="1" x14ac:dyDescent="0.35">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spans="1:26" ht="15.75" customHeight="1" x14ac:dyDescent="0.35">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spans="1:26" ht="15.75" customHeight="1" x14ac:dyDescent="0.35">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spans="1:26" ht="15.75" customHeight="1" x14ac:dyDescent="0.35">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spans="1:26" ht="15.75" customHeight="1" x14ac:dyDescent="0.3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spans="1:26" ht="15.75" customHeight="1" x14ac:dyDescent="0.35">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spans="1:26" ht="15.75" customHeight="1" x14ac:dyDescent="0.35">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spans="1:26" ht="15.75" customHeight="1" x14ac:dyDescent="0.35">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spans="1:26" ht="15.75" customHeight="1" x14ac:dyDescent="0.35">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spans="1:26" ht="15.75" customHeight="1" x14ac:dyDescent="0.35">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spans="1:26" ht="15.75" customHeight="1" x14ac:dyDescent="0.35">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spans="1:26" ht="15.75" customHeight="1" x14ac:dyDescent="0.35">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spans="1:26" ht="15.75" customHeight="1" x14ac:dyDescent="0.35">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spans="1:26" ht="15.75" customHeight="1" x14ac:dyDescent="0.35">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spans="1:26" ht="15.75" customHeight="1" x14ac:dyDescent="0.3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spans="1:26" ht="15.75" customHeight="1" x14ac:dyDescent="0.35">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spans="1:26" ht="15.75" customHeight="1" x14ac:dyDescent="0.35">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spans="1:26" ht="15.75" customHeight="1" x14ac:dyDescent="0.35">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spans="1:26" ht="15.75" customHeight="1" x14ac:dyDescent="0.35">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spans="1:26" ht="15.75" customHeight="1" x14ac:dyDescent="0.35">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spans="1:26" ht="15.75" customHeight="1" x14ac:dyDescent="0.35">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spans="1:26" ht="15.75" customHeight="1" x14ac:dyDescent="0.35">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spans="1:26" ht="15.75" customHeight="1" x14ac:dyDescent="0.35">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spans="1:26" ht="15.75" customHeight="1" x14ac:dyDescent="0.35">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spans="1:26" ht="15.75" customHeight="1" x14ac:dyDescent="0.3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spans="1:26" ht="15.75" customHeight="1" x14ac:dyDescent="0.35">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spans="1:26" ht="15.75" customHeight="1" x14ac:dyDescent="0.35">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spans="1:26" ht="15.75" customHeight="1" x14ac:dyDescent="0.35">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spans="1:26" ht="15.75" customHeight="1" x14ac:dyDescent="0.35">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spans="1:26" ht="15.75" customHeight="1" x14ac:dyDescent="0.35">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spans="1:26" ht="15.75" customHeight="1" x14ac:dyDescent="0.35">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spans="1:26" ht="15.75" customHeight="1" x14ac:dyDescent="0.35">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spans="1:26" ht="15.75" customHeight="1" x14ac:dyDescent="0.35">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spans="1:26" ht="15.75" customHeight="1" x14ac:dyDescent="0.35">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spans="1:26" ht="15.75" customHeight="1" x14ac:dyDescent="0.3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spans="1:26" ht="15.75" customHeight="1" x14ac:dyDescent="0.35">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spans="1:26" ht="15.75" customHeight="1" x14ac:dyDescent="0.35">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spans="1:26" ht="15.75" customHeight="1" x14ac:dyDescent="0.35">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spans="1:26" ht="15.75" customHeight="1" x14ac:dyDescent="0.35">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spans="1:26" ht="15.75" customHeight="1" x14ac:dyDescent="0.35">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spans="1:26" ht="15.75" customHeight="1" x14ac:dyDescent="0.35">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spans="1:26" ht="15.75" customHeight="1" x14ac:dyDescent="0.35">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spans="1:26" ht="15.75" customHeight="1" x14ac:dyDescent="0.35">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spans="1:26" ht="15.75" customHeight="1" x14ac:dyDescent="0.35">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spans="1:26" ht="15.75" customHeight="1" x14ac:dyDescent="0.3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spans="1:26" ht="15.75" customHeight="1" x14ac:dyDescent="0.35">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spans="1:26" ht="15.75" customHeight="1" x14ac:dyDescent="0.35">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spans="1:26" ht="15.75" customHeight="1" x14ac:dyDescent="0.35">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spans="1:26" ht="15.75" customHeight="1" x14ac:dyDescent="0.35">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spans="1:26" ht="15.75" customHeight="1" x14ac:dyDescent="0.35">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spans="1:26" ht="15.75" customHeight="1" x14ac:dyDescent="0.35">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spans="1:26" ht="15.75" customHeight="1" x14ac:dyDescent="0.35">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spans="1:26" ht="15.75" customHeight="1" x14ac:dyDescent="0.35">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spans="1:26" ht="15.75" customHeight="1" x14ac:dyDescent="0.35">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spans="1:26" ht="15.75" customHeight="1" x14ac:dyDescent="0.3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spans="1:26" ht="15.75" customHeight="1" x14ac:dyDescent="0.35">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spans="1:26" ht="15.75" customHeight="1" x14ac:dyDescent="0.35">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spans="1:26" ht="15.75" customHeight="1" x14ac:dyDescent="0.35">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spans="1:26" ht="15.75" customHeight="1" x14ac:dyDescent="0.35">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spans="1:26" ht="15.75" customHeight="1" x14ac:dyDescent="0.35">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spans="1:26" ht="15.75" customHeight="1" x14ac:dyDescent="0.35">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spans="1:26" ht="15.75" customHeight="1" x14ac:dyDescent="0.35">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spans="1:26" ht="15.75" customHeight="1" x14ac:dyDescent="0.35">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spans="1:26" ht="15.75" customHeight="1" x14ac:dyDescent="0.35">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spans="1:26" ht="15.75" customHeight="1" x14ac:dyDescent="0.3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spans="1:26" ht="15.75" customHeight="1" x14ac:dyDescent="0.35">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spans="1:26" ht="15.75" customHeight="1" x14ac:dyDescent="0.35">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spans="1:26" ht="15.75" customHeight="1" x14ac:dyDescent="0.35">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spans="1:26" ht="15.75" customHeight="1" x14ac:dyDescent="0.35">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spans="1:26" ht="15.75" customHeight="1" x14ac:dyDescent="0.35">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spans="1:26" ht="15.75" customHeight="1" x14ac:dyDescent="0.35">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spans="1:26" ht="15.75" customHeight="1" x14ac:dyDescent="0.35">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spans="1:26" ht="15.75" customHeight="1" x14ac:dyDescent="0.35">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spans="1:26" ht="15.75" customHeight="1" x14ac:dyDescent="0.35">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spans="1:26" ht="15.75" customHeight="1" x14ac:dyDescent="0.3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spans="1:26" ht="15.75" customHeight="1" x14ac:dyDescent="0.35">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spans="1:26" ht="15.75" customHeight="1" x14ac:dyDescent="0.35">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spans="1:26" ht="15.75" customHeight="1" x14ac:dyDescent="0.35">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spans="1:26" ht="15.75" customHeight="1" x14ac:dyDescent="0.35">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spans="1:26" ht="15.75" customHeight="1" x14ac:dyDescent="0.35">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spans="1:26" ht="15.75" customHeight="1" x14ac:dyDescent="0.35">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spans="1:26" ht="15.75" customHeight="1" x14ac:dyDescent="0.35">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spans="1:26" ht="15.75" customHeight="1" x14ac:dyDescent="0.35">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spans="1:26" ht="15.75" customHeight="1" x14ac:dyDescent="0.35">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spans="1:26" ht="15.75" customHeight="1" x14ac:dyDescent="0.3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spans="1:26" ht="15.75" customHeight="1" x14ac:dyDescent="0.35">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spans="1:26" ht="15.75" customHeight="1" x14ac:dyDescent="0.35">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spans="1:26" ht="15.75" customHeight="1" x14ac:dyDescent="0.35">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spans="1:26" ht="15.75" customHeight="1" x14ac:dyDescent="0.35">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spans="1:26" ht="15.75" customHeight="1" x14ac:dyDescent="0.35">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spans="1:26" ht="15.75" customHeight="1" x14ac:dyDescent="0.35">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spans="1:26" ht="15.75" customHeight="1" x14ac:dyDescent="0.35">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spans="1:26" ht="15.75" customHeight="1" x14ac:dyDescent="0.35">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spans="1:26" ht="15.75" customHeight="1" x14ac:dyDescent="0.35">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spans="1:26" ht="15.75" customHeight="1" x14ac:dyDescent="0.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spans="1:26" ht="15.75" customHeight="1" x14ac:dyDescent="0.35">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spans="1:26" ht="15.75" customHeight="1" x14ac:dyDescent="0.35">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spans="1:26" ht="15.75" customHeight="1" x14ac:dyDescent="0.35">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spans="1:26" ht="15.75" customHeight="1" x14ac:dyDescent="0.35">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spans="1:26" ht="15.75" customHeight="1" x14ac:dyDescent="0.35">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spans="1:26" ht="15.75" customHeight="1" x14ac:dyDescent="0.35">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spans="1:26" ht="15.75" customHeight="1" x14ac:dyDescent="0.35">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spans="1:26" ht="15.75" customHeight="1" x14ac:dyDescent="0.35">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spans="1:26" ht="15.75" customHeight="1" x14ac:dyDescent="0.35">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spans="1:26" ht="15.75" customHeight="1" x14ac:dyDescent="0.3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spans="1:26" ht="15.75" customHeight="1" x14ac:dyDescent="0.35">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spans="1:26" ht="15.75" customHeight="1" x14ac:dyDescent="0.35">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spans="1:26" ht="15.75" customHeight="1" x14ac:dyDescent="0.35">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spans="1:26" ht="15.75" customHeight="1" x14ac:dyDescent="0.35">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spans="1:26" ht="15.75" customHeight="1" x14ac:dyDescent="0.35">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spans="1:26" ht="15.75" customHeight="1" x14ac:dyDescent="0.35">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spans="1:26" ht="15.75" customHeight="1" x14ac:dyDescent="0.35">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spans="1:26" ht="15.75" customHeight="1" x14ac:dyDescent="0.35">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spans="1:26" ht="15.75" customHeight="1" x14ac:dyDescent="0.35">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spans="1:26" ht="15.75" customHeight="1" x14ac:dyDescent="0.3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spans="1:26" ht="15.75" customHeight="1" x14ac:dyDescent="0.35">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spans="1:26" ht="15.75" customHeight="1" x14ac:dyDescent="0.35">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spans="1:26" ht="15.75" customHeight="1" x14ac:dyDescent="0.35">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spans="1:26" ht="15.75" customHeight="1" x14ac:dyDescent="0.35">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spans="1:26" ht="15.75" customHeight="1" x14ac:dyDescent="0.35">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spans="1:26" ht="15.75" customHeight="1" x14ac:dyDescent="0.35">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spans="1:26" ht="15.75" customHeight="1" x14ac:dyDescent="0.35">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spans="1:26" ht="15.75" customHeight="1" x14ac:dyDescent="0.35">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spans="1:26" ht="15.75" customHeight="1" x14ac:dyDescent="0.35">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spans="1:26" ht="15.75" customHeight="1" x14ac:dyDescent="0.3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spans="1:26" ht="15.75" customHeight="1" x14ac:dyDescent="0.35">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spans="1:26" ht="15.75" customHeight="1" x14ac:dyDescent="0.35">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spans="1:26" ht="15.75" customHeight="1" x14ac:dyDescent="0.35">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spans="1:26" ht="15.75" customHeight="1" x14ac:dyDescent="0.35">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spans="1:26" ht="15.75" customHeight="1" x14ac:dyDescent="0.35">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spans="1:26" ht="15.75" customHeight="1" x14ac:dyDescent="0.35">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spans="1:26" ht="15.75" customHeight="1" x14ac:dyDescent="0.35">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spans="1:26" ht="15.75" customHeight="1" x14ac:dyDescent="0.35">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spans="1:26" ht="15.75" customHeight="1" x14ac:dyDescent="0.35">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spans="1:26" ht="15.75" customHeight="1" x14ac:dyDescent="0.3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spans="1:26" ht="15.75" customHeight="1" x14ac:dyDescent="0.35">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spans="1:26" ht="15.75" customHeight="1" x14ac:dyDescent="0.35">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spans="1:26" ht="15.75" customHeight="1" x14ac:dyDescent="0.35">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spans="1:26" ht="15.75" customHeight="1" x14ac:dyDescent="0.35">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spans="1:26" ht="15.75" customHeight="1" x14ac:dyDescent="0.35">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spans="1:26" ht="15.75" customHeight="1" x14ac:dyDescent="0.35">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spans="1:26" ht="15.75" customHeight="1" x14ac:dyDescent="0.35">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spans="1:26" ht="15.75" customHeight="1" x14ac:dyDescent="0.35">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spans="1:26" ht="15.75" customHeight="1" x14ac:dyDescent="0.35">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spans="1:26" ht="15.75" customHeight="1" x14ac:dyDescent="0.3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spans="1:26" ht="15.75" customHeight="1" x14ac:dyDescent="0.35">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spans="1:26" ht="15.75" customHeight="1" x14ac:dyDescent="0.35">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spans="1:26" ht="15.75" customHeight="1" x14ac:dyDescent="0.35">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spans="1:26" ht="15.75" customHeight="1" x14ac:dyDescent="0.35">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spans="1:26" ht="15.75" customHeight="1" x14ac:dyDescent="0.35">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spans="1:26" ht="15.75" customHeight="1" x14ac:dyDescent="0.35">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spans="1:26" ht="15.75" customHeight="1" x14ac:dyDescent="0.35">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spans="1:26" ht="15.75" customHeight="1" x14ac:dyDescent="0.35">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spans="1:26" ht="15.75" customHeight="1" x14ac:dyDescent="0.35">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spans="1:26" ht="15.75" customHeight="1" x14ac:dyDescent="0.3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spans="1:26" ht="15.75" customHeight="1" x14ac:dyDescent="0.35">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spans="1:26" ht="15.75" customHeight="1" x14ac:dyDescent="0.35">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spans="1:26" ht="15.75" customHeight="1" x14ac:dyDescent="0.35">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spans="1:26" ht="15.75" customHeight="1" x14ac:dyDescent="0.35">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spans="1:26" ht="15.75" customHeight="1" x14ac:dyDescent="0.35">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spans="1:26" ht="15.75" customHeight="1" x14ac:dyDescent="0.35">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spans="1:26" ht="15.75" customHeight="1" x14ac:dyDescent="0.35">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spans="1:26" ht="15.75" customHeight="1" x14ac:dyDescent="0.35">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spans="1:26" ht="15.75" customHeight="1" x14ac:dyDescent="0.35">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spans="1:26" ht="15.75" customHeight="1" x14ac:dyDescent="0.3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spans="1:26" ht="15.75" customHeight="1" x14ac:dyDescent="0.35">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spans="1:26" ht="15.75" customHeight="1" x14ac:dyDescent="0.35">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spans="1:26" ht="15.75" customHeight="1" x14ac:dyDescent="0.35">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spans="1:26" ht="15.75" customHeight="1" x14ac:dyDescent="0.35">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spans="1:26" ht="15.75" customHeight="1" x14ac:dyDescent="0.35">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spans="1:26" ht="15.75" customHeight="1" x14ac:dyDescent="0.35">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spans="1:26" ht="15.75" customHeight="1" x14ac:dyDescent="0.35">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spans="1:26" ht="15.75" customHeight="1" x14ac:dyDescent="0.35">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spans="1:26" ht="15.75" customHeight="1" x14ac:dyDescent="0.35">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spans="1:26" ht="15.75" customHeight="1" x14ac:dyDescent="0.3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spans="1:26" ht="15.75" customHeight="1" x14ac:dyDescent="0.35">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spans="1:26" ht="15.75" customHeight="1" x14ac:dyDescent="0.35">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spans="1:26" ht="15.75" customHeight="1" x14ac:dyDescent="0.35">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spans="1:26" ht="15.75" customHeight="1" x14ac:dyDescent="0.35">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spans="1:26" ht="15.75" customHeight="1" x14ac:dyDescent="0.35">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spans="1:26" ht="15.75" customHeight="1" x14ac:dyDescent="0.35">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spans="1:26" ht="15.75" customHeight="1" x14ac:dyDescent="0.35">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spans="1:26" ht="15.75" customHeight="1" x14ac:dyDescent="0.35">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spans="1:26" ht="15.75" customHeight="1" x14ac:dyDescent="0.35">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spans="1:26" ht="15.75" customHeight="1" x14ac:dyDescent="0.3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spans="1:26" ht="15.75" customHeight="1" x14ac:dyDescent="0.35">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spans="1:26" ht="15.75" customHeight="1" x14ac:dyDescent="0.35">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spans="1:26" ht="15.75" customHeight="1" x14ac:dyDescent="0.35">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spans="1:26" ht="15.75" customHeight="1" x14ac:dyDescent="0.35">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spans="1:26" ht="15.75" customHeight="1" x14ac:dyDescent="0.35">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spans="1:26" ht="15.75" customHeight="1" x14ac:dyDescent="0.35">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spans="1:26" ht="15.75" customHeight="1" x14ac:dyDescent="0.35">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spans="1:26" ht="15.75" customHeight="1" x14ac:dyDescent="0.35">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spans="1:26" ht="15.75" customHeight="1" x14ac:dyDescent="0.35">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spans="1:26" ht="15.75" customHeight="1" x14ac:dyDescent="0.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spans="1:26" ht="15.75" customHeight="1" x14ac:dyDescent="0.35">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spans="1:26" ht="15.75" customHeight="1" x14ac:dyDescent="0.35">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spans="1:26" ht="15.75" customHeight="1" x14ac:dyDescent="0.35">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spans="1:26" ht="15.75" customHeight="1" x14ac:dyDescent="0.35">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spans="1:26" ht="15.75" customHeight="1" x14ac:dyDescent="0.35">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spans="1:26" ht="15.75" customHeight="1" x14ac:dyDescent="0.35">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spans="1:26" ht="15.75" customHeight="1" x14ac:dyDescent="0.35">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spans="1:26" ht="15.75" customHeight="1" x14ac:dyDescent="0.35">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spans="1:26" ht="15.75" customHeight="1" x14ac:dyDescent="0.35">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spans="1:26" ht="15.75" customHeight="1" x14ac:dyDescent="0.3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spans="1:26" ht="15.75" customHeight="1" x14ac:dyDescent="0.35">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spans="1:26" ht="15.75" customHeight="1" x14ac:dyDescent="0.35">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spans="1:26" ht="15.75" customHeight="1" x14ac:dyDescent="0.35">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spans="1:26" ht="15.75" customHeight="1" x14ac:dyDescent="0.35">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spans="1:26" ht="15.75" customHeight="1" x14ac:dyDescent="0.35">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spans="1:26" ht="15.75" customHeight="1" x14ac:dyDescent="0.35">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spans="1:26" ht="15.75" customHeight="1" x14ac:dyDescent="0.35">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spans="1:26" ht="15.75" customHeight="1" x14ac:dyDescent="0.35">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spans="1:26" ht="15.75" customHeight="1" x14ac:dyDescent="0.35">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spans="1:26" ht="15.75" customHeight="1" x14ac:dyDescent="0.3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spans="1:26" ht="15.75" customHeight="1" x14ac:dyDescent="0.35">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spans="1:26" ht="15.75" customHeight="1" x14ac:dyDescent="0.35">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spans="1:26" ht="15.75" customHeight="1" x14ac:dyDescent="0.35">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spans="1:26" ht="15.75" customHeight="1" x14ac:dyDescent="0.35">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spans="1:26" ht="15.75" customHeight="1" x14ac:dyDescent="0.35">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spans="1:26" ht="15.75" customHeight="1" x14ac:dyDescent="0.35">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spans="1:26" ht="15.75" customHeight="1" x14ac:dyDescent="0.35">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spans="1:26" ht="15.75" customHeight="1" x14ac:dyDescent="0.35">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spans="1:26" ht="15.75" customHeight="1" x14ac:dyDescent="0.35">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spans="1:26" ht="15.75" customHeight="1" x14ac:dyDescent="0.3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spans="1:26" ht="15.75" customHeight="1" x14ac:dyDescent="0.35">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spans="1:26" ht="15.75" customHeight="1" x14ac:dyDescent="0.35">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spans="1:26" ht="15.75" customHeight="1" x14ac:dyDescent="0.35">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spans="1:26" ht="15.75" customHeight="1" x14ac:dyDescent="0.35">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spans="1:26" ht="15.75" customHeight="1" x14ac:dyDescent="0.35">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spans="1:26" ht="15.75" customHeight="1" x14ac:dyDescent="0.35">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spans="1:26" ht="15.75" customHeight="1" x14ac:dyDescent="0.35">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spans="1:26" ht="15.75" customHeight="1" x14ac:dyDescent="0.35">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spans="1:26" ht="15.75" customHeight="1" x14ac:dyDescent="0.35">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spans="1:26" ht="15.75" customHeight="1" x14ac:dyDescent="0.3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spans="1:26" ht="15.75" customHeight="1" x14ac:dyDescent="0.35">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spans="1:26" ht="15.75" customHeight="1" x14ac:dyDescent="0.35">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spans="1:26" ht="15.75" customHeight="1" x14ac:dyDescent="0.35">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spans="1:26" ht="15.75" customHeight="1" x14ac:dyDescent="0.35">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spans="1:26" ht="15.75" customHeight="1" x14ac:dyDescent="0.35">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spans="1:26" ht="15.75" customHeight="1" x14ac:dyDescent="0.35">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spans="1:26" ht="15.75" customHeight="1" x14ac:dyDescent="0.35">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spans="1:26" ht="15.75" customHeight="1" x14ac:dyDescent="0.35">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spans="1:26" ht="15.75" customHeight="1" x14ac:dyDescent="0.35">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spans="1:26" ht="15.75" customHeight="1" x14ac:dyDescent="0.3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spans="1:26" ht="15.75" customHeight="1" x14ac:dyDescent="0.35">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spans="1:26" ht="15.75" customHeight="1" x14ac:dyDescent="0.35">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spans="1:26" ht="15.75" customHeight="1" x14ac:dyDescent="0.35">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spans="1:26" ht="15.75" customHeight="1" x14ac:dyDescent="0.35">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spans="1:26" ht="15.75" customHeight="1" x14ac:dyDescent="0.35">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spans="1:26" ht="15.75" customHeight="1" x14ac:dyDescent="0.35">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spans="1:26" ht="15.75" customHeight="1" x14ac:dyDescent="0.35">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spans="1:26" ht="15.75" customHeight="1" x14ac:dyDescent="0.35">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spans="1:26" ht="15.75" customHeight="1" x14ac:dyDescent="0.35">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spans="1:26" ht="15.75" customHeight="1" x14ac:dyDescent="0.3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spans="1:26" ht="15.75" customHeight="1" x14ac:dyDescent="0.35">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spans="1:26" ht="15.75" customHeight="1" x14ac:dyDescent="0.35">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spans="1:26" ht="15.75" customHeight="1" x14ac:dyDescent="0.35">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spans="1:26" ht="15.75" customHeight="1" x14ac:dyDescent="0.35">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spans="1:26" ht="15.75" customHeight="1" x14ac:dyDescent="0.35">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spans="1:26" ht="15.75" customHeight="1" x14ac:dyDescent="0.35">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spans="1:26" ht="15.75" customHeight="1" x14ac:dyDescent="0.35">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spans="1:26" ht="15.75" customHeight="1" x14ac:dyDescent="0.35">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spans="1:26" ht="15.75" customHeight="1" x14ac:dyDescent="0.35">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spans="1:26" ht="15.75" customHeight="1" x14ac:dyDescent="0.3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spans="1:26" ht="15.75" customHeight="1" x14ac:dyDescent="0.35">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spans="1:26" ht="15.75" customHeight="1" x14ac:dyDescent="0.35">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spans="1:26" ht="15.75" customHeight="1" x14ac:dyDescent="0.35">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spans="1:26" ht="15.75" customHeight="1" x14ac:dyDescent="0.35">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spans="1:26" ht="15.75" customHeight="1" x14ac:dyDescent="0.35">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spans="1:26" ht="15.75" customHeight="1" x14ac:dyDescent="0.35">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spans="1:26" ht="15.75" customHeight="1" x14ac:dyDescent="0.35">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spans="1:26" ht="15.75" customHeight="1" x14ac:dyDescent="0.35">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spans="1:26" ht="15.75" customHeight="1" x14ac:dyDescent="0.35">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spans="1:26" ht="15.75" customHeight="1" x14ac:dyDescent="0.3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spans="1:26" ht="15.75" customHeight="1" x14ac:dyDescent="0.35">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spans="1:26" ht="15.75" customHeight="1" x14ac:dyDescent="0.35">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spans="1:26" ht="15.75" customHeight="1" x14ac:dyDescent="0.35">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spans="1:26" ht="15.75" customHeight="1" x14ac:dyDescent="0.35">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spans="1:26" ht="15.75" customHeight="1" x14ac:dyDescent="0.35">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spans="1:26" ht="15.75" customHeight="1" x14ac:dyDescent="0.35">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spans="1:26" ht="15.75" customHeight="1" x14ac:dyDescent="0.35">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spans="1:26" ht="15.75" customHeight="1" x14ac:dyDescent="0.35">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spans="1:26" ht="15.75" customHeight="1" x14ac:dyDescent="0.35">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spans="1:26" ht="15.75" customHeight="1" x14ac:dyDescent="0.3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spans="1:26" ht="15.75" customHeight="1" x14ac:dyDescent="0.35">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spans="1:26" ht="15.75" customHeight="1" x14ac:dyDescent="0.35">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spans="1:26" ht="15.75" customHeight="1" x14ac:dyDescent="0.35">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spans="1:26" ht="15.75" customHeight="1" x14ac:dyDescent="0.35">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spans="1:26" ht="15.75" customHeight="1" x14ac:dyDescent="0.35">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spans="1:26" ht="15.75" customHeight="1" x14ac:dyDescent="0.35">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spans="1:26" ht="15.75" customHeight="1" x14ac:dyDescent="0.35">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spans="1:26" ht="15.75" customHeight="1" x14ac:dyDescent="0.35">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spans="1:26" ht="15.75" customHeight="1" x14ac:dyDescent="0.35">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spans="1:26" ht="15.75" customHeight="1" x14ac:dyDescent="0.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spans="1:26" ht="15.75" customHeight="1" x14ac:dyDescent="0.35">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spans="1:26" ht="15.75" customHeight="1" x14ac:dyDescent="0.35">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spans="1:26" ht="15.75" customHeight="1" x14ac:dyDescent="0.35">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spans="1:26" ht="15.75" customHeight="1" x14ac:dyDescent="0.35">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spans="1:26" ht="15.75" customHeight="1" x14ac:dyDescent="0.35">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spans="1:26" ht="15.75" customHeight="1" x14ac:dyDescent="0.35">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spans="1:26" ht="15.75" customHeight="1" x14ac:dyDescent="0.35">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spans="1:26" ht="15.75" customHeight="1" x14ac:dyDescent="0.35">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spans="1:26" ht="15.75" customHeight="1" x14ac:dyDescent="0.35">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spans="1:26" ht="15.75" customHeight="1" x14ac:dyDescent="0.3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spans="1:26" ht="15.75" customHeight="1" x14ac:dyDescent="0.35">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spans="1:26" ht="15.75" customHeight="1" x14ac:dyDescent="0.35">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spans="1:26" ht="15.75" customHeight="1" x14ac:dyDescent="0.35">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spans="1:26" ht="15.75" customHeight="1" x14ac:dyDescent="0.35">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spans="1:26" ht="15.75" customHeight="1" x14ac:dyDescent="0.35">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spans="1:26" ht="15.75" customHeight="1" x14ac:dyDescent="0.35">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spans="1:26" ht="15.75" customHeight="1" x14ac:dyDescent="0.35">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spans="1:26" ht="15.75" customHeight="1" x14ac:dyDescent="0.35">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spans="1:26" ht="15.75" customHeight="1" x14ac:dyDescent="0.35">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spans="1:26" ht="15.75" customHeight="1" x14ac:dyDescent="0.3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spans="1:26" ht="15.75" customHeight="1" x14ac:dyDescent="0.35">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spans="1:26" ht="15.75" customHeight="1" x14ac:dyDescent="0.35">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spans="1:26" ht="15.75" customHeight="1" x14ac:dyDescent="0.35">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spans="1:26" ht="15.75" customHeight="1" x14ac:dyDescent="0.35">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spans="1:26" ht="15.75" customHeight="1" x14ac:dyDescent="0.35">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spans="1:26" ht="15.75" customHeight="1" x14ac:dyDescent="0.35">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spans="1:26" ht="15.75" customHeight="1" x14ac:dyDescent="0.35">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spans="1:26" ht="15.75" customHeight="1" x14ac:dyDescent="0.35">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spans="1:26" ht="15.75" customHeight="1" x14ac:dyDescent="0.35">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spans="1:26" ht="15.75" customHeight="1" x14ac:dyDescent="0.3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spans="1:26" ht="15.75" customHeight="1" x14ac:dyDescent="0.35">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spans="1:26" ht="15.75" customHeight="1" x14ac:dyDescent="0.35">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spans="1:26" ht="15.75" customHeight="1" x14ac:dyDescent="0.35">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spans="1:26" ht="15.75" customHeight="1" x14ac:dyDescent="0.35">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spans="1:26" ht="15.75" customHeight="1" x14ac:dyDescent="0.35">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spans="1:26" ht="15.75" customHeight="1" x14ac:dyDescent="0.35">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spans="1:26" ht="15.75" customHeight="1" x14ac:dyDescent="0.35">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spans="1:26" ht="15.75" customHeight="1" x14ac:dyDescent="0.35">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spans="1:26" ht="15.75" customHeight="1" x14ac:dyDescent="0.35">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spans="1:26" ht="15.75" customHeight="1" x14ac:dyDescent="0.3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spans="1:26" ht="15.75" customHeight="1" x14ac:dyDescent="0.35">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spans="1:26" ht="15.75" customHeight="1" x14ac:dyDescent="0.35">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spans="1:26" ht="15.75" customHeight="1" x14ac:dyDescent="0.35">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spans="1:26" ht="15.75" customHeight="1" x14ac:dyDescent="0.35">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spans="1:26" ht="15.75" customHeight="1" x14ac:dyDescent="0.35">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spans="1:26" ht="15.75" customHeight="1" x14ac:dyDescent="0.35">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spans="1:26" ht="15.75" customHeight="1" x14ac:dyDescent="0.35">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spans="1:26" ht="15.75" customHeight="1" x14ac:dyDescent="0.35">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spans="1:26" ht="15.75" customHeight="1" x14ac:dyDescent="0.35">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spans="1:26" ht="15.75" customHeight="1" x14ac:dyDescent="0.3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spans="1:26" ht="15.75" customHeight="1" x14ac:dyDescent="0.35">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spans="1:26" ht="15.75" customHeight="1" x14ac:dyDescent="0.35">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spans="1:26" ht="15.75" customHeight="1" x14ac:dyDescent="0.35">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spans="1:26" ht="15.75" customHeight="1" x14ac:dyDescent="0.35">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spans="1:26" ht="15.75" customHeight="1" x14ac:dyDescent="0.35">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spans="1:26" ht="15.75" customHeight="1" x14ac:dyDescent="0.35">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spans="1:26" ht="15.75" customHeight="1" x14ac:dyDescent="0.35">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spans="1:26" ht="15.75" customHeight="1" x14ac:dyDescent="0.35">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spans="1:26" ht="15.75" customHeight="1" x14ac:dyDescent="0.35">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spans="1:26" ht="15.75" customHeight="1" x14ac:dyDescent="0.3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spans="1:26" ht="15.75" customHeight="1" x14ac:dyDescent="0.35">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spans="1:26" ht="15.75" customHeight="1" x14ac:dyDescent="0.35">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spans="1:26" ht="15.75" customHeight="1" x14ac:dyDescent="0.35">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spans="1:26" ht="15.75" customHeight="1" x14ac:dyDescent="0.35">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spans="1:26" ht="15.75" customHeight="1" x14ac:dyDescent="0.35">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spans="1:26" ht="15.75" customHeight="1" x14ac:dyDescent="0.35">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spans="1:26" ht="15.75" customHeight="1" x14ac:dyDescent="0.35">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spans="1:26" ht="15.75" customHeight="1" x14ac:dyDescent="0.35">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spans="1:26" ht="15.75" customHeight="1" x14ac:dyDescent="0.35">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spans="1:26" ht="15.75" customHeight="1" x14ac:dyDescent="0.3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spans="1:26" ht="15.75" customHeight="1" x14ac:dyDescent="0.35">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spans="1:26" ht="15.75" customHeight="1" x14ac:dyDescent="0.35">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spans="1:26" ht="15.75" customHeight="1" x14ac:dyDescent="0.35">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spans="1:26" ht="15.75" customHeight="1" x14ac:dyDescent="0.35">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spans="1:26" ht="15.75" customHeight="1" x14ac:dyDescent="0.35">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spans="1:26" ht="15.75" customHeight="1" x14ac:dyDescent="0.35">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spans="1:26" ht="15.75" customHeight="1" x14ac:dyDescent="0.35">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spans="1:26" ht="15.75" customHeight="1" x14ac:dyDescent="0.35">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spans="1:26" ht="15.75" customHeight="1" x14ac:dyDescent="0.35">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spans="1:26" ht="15.75" customHeight="1" x14ac:dyDescent="0.3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spans="1:26" ht="15.75" customHeight="1" x14ac:dyDescent="0.35">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spans="1:26" ht="15.75" customHeight="1" x14ac:dyDescent="0.35">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spans="1:26" ht="15.75" customHeight="1" x14ac:dyDescent="0.35">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spans="1:26" ht="15.75" customHeight="1" x14ac:dyDescent="0.35">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spans="1:26" ht="15.75" customHeight="1" x14ac:dyDescent="0.35">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spans="1:26" ht="15.75" customHeight="1" x14ac:dyDescent="0.35">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spans="1:26" ht="15.75" customHeight="1" x14ac:dyDescent="0.35">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spans="1:26" ht="15.75" customHeight="1" x14ac:dyDescent="0.35">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spans="1:26" ht="15.75" customHeight="1" x14ac:dyDescent="0.35">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spans="1:26" ht="15.75" customHeight="1" x14ac:dyDescent="0.3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spans="1:26" ht="15.75" customHeight="1" x14ac:dyDescent="0.35">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spans="1:26" ht="15.75" customHeight="1" x14ac:dyDescent="0.35">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spans="1:26" ht="15.75" customHeight="1" x14ac:dyDescent="0.35">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spans="1:26" ht="15.75" customHeight="1" x14ac:dyDescent="0.35">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spans="1:26" ht="15.75" customHeight="1" x14ac:dyDescent="0.35">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spans="1:26" ht="15.75" customHeight="1" x14ac:dyDescent="0.35">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spans="1:26" ht="15.75" customHeight="1" x14ac:dyDescent="0.35">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spans="1:26" ht="15.75" customHeight="1" x14ac:dyDescent="0.35">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spans="1:26" ht="15.75" customHeight="1" x14ac:dyDescent="0.35">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spans="1:26" ht="15.75" customHeight="1" x14ac:dyDescent="0.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spans="1:26" ht="15.75" customHeight="1" x14ac:dyDescent="0.35">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spans="1:26" ht="15.75" customHeight="1" x14ac:dyDescent="0.35">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spans="1:26" ht="15.75" customHeight="1" x14ac:dyDescent="0.35">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spans="1:26" ht="15.75" customHeight="1" x14ac:dyDescent="0.35">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spans="1:26" ht="15.75" customHeight="1" x14ac:dyDescent="0.35">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spans="1:26" ht="15.75" customHeight="1" x14ac:dyDescent="0.35">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spans="1:26" ht="15.75" customHeight="1" x14ac:dyDescent="0.35">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spans="1:26" ht="15.75" customHeight="1" x14ac:dyDescent="0.35">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spans="1:26" ht="15.75" customHeight="1" x14ac:dyDescent="0.35">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spans="1:26" ht="15.75" customHeight="1" x14ac:dyDescent="0.3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spans="1:26" ht="15.75" customHeight="1" x14ac:dyDescent="0.35">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spans="1:26" ht="15.75" customHeight="1" x14ac:dyDescent="0.35">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spans="1:26" ht="15.75" customHeight="1" x14ac:dyDescent="0.35">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spans="1:26" ht="15.75" customHeight="1" x14ac:dyDescent="0.35">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spans="1:26" ht="15.75" customHeight="1" x14ac:dyDescent="0.35">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spans="1:26" ht="15.75" customHeight="1" x14ac:dyDescent="0.35">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spans="1:26" ht="15.75" customHeight="1" x14ac:dyDescent="0.35">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spans="1:26" ht="15.75" customHeight="1" x14ac:dyDescent="0.35">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spans="1:26" ht="15.75" customHeight="1" x14ac:dyDescent="0.35">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spans="1:26" ht="15.75" customHeight="1" x14ac:dyDescent="0.3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spans="1:26" ht="15.75" customHeight="1" x14ac:dyDescent="0.35">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spans="1:26" ht="15.75" customHeight="1" x14ac:dyDescent="0.35">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spans="1:26" ht="15.75" customHeight="1" x14ac:dyDescent="0.35">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spans="1:26" ht="15.75" customHeight="1" x14ac:dyDescent="0.35">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spans="1:26" ht="15.75" customHeight="1" x14ac:dyDescent="0.35">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spans="1:26" ht="15.75" customHeight="1" x14ac:dyDescent="0.35">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spans="1:26" ht="15.75" customHeight="1" x14ac:dyDescent="0.35">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spans="1:26" ht="15.75" customHeight="1" x14ac:dyDescent="0.35">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spans="1:26" ht="15.75" customHeight="1" x14ac:dyDescent="0.35">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spans="1:26" ht="15.75" customHeight="1" x14ac:dyDescent="0.3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spans="1:26" ht="15.75" customHeight="1" x14ac:dyDescent="0.35">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spans="1:26" ht="15.75" customHeight="1" x14ac:dyDescent="0.35">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spans="1:26" ht="15.75" customHeight="1" x14ac:dyDescent="0.35">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spans="1:26" ht="15.75" customHeight="1" x14ac:dyDescent="0.35">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spans="1:26" ht="15.75" customHeight="1" x14ac:dyDescent="0.35">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spans="1:26" ht="15.75" customHeight="1" x14ac:dyDescent="0.35">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spans="1:26" ht="15.75" customHeight="1" x14ac:dyDescent="0.35">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spans="1:26" ht="15.75" customHeight="1" x14ac:dyDescent="0.35">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spans="1:26" ht="15.75" customHeight="1" x14ac:dyDescent="0.35">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spans="1:26" ht="15.75" customHeight="1" x14ac:dyDescent="0.3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spans="1:26" ht="15.75" customHeight="1" x14ac:dyDescent="0.35">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spans="1:26" ht="15.75" customHeight="1" x14ac:dyDescent="0.35">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spans="1:26" ht="15.75" customHeight="1" x14ac:dyDescent="0.35">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spans="1:26" ht="15.75" customHeight="1" x14ac:dyDescent="0.35">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spans="1:26" ht="15.75" customHeight="1" x14ac:dyDescent="0.35">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spans="1:26" ht="15.75" customHeight="1" x14ac:dyDescent="0.35">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spans="1:26" ht="15.75" customHeight="1" x14ac:dyDescent="0.35">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spans="1:26" ht="15.75" customHeight="1" x14ac:dyDescent="0.35">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spans="1:26" ht="15.75" customHeight="1" x14ac:dyDescent="0.35">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spans="1:26" ht="15.75" customHeight="1" x14ac:dyDescent="0.3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spans="1:26" ht="15.75" customHeight="1" x14ac:dyDescent="0.35">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spans="1:26" ht="15.75" customHeight="1" x14ac:dyDescent="0.35">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spans="1:26" ht="15.75" customHeight="1" x14ac:dyDescent="0.35">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spans="1:26" ht="15.75" customHeight="1" x14ac:dyDescent="0.35">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spans="1:26" ht="15.75" customHeight="1" x14ac:dyDescent="0.35">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spans="1:26" ht="15.75" customHeight="1" x14ac:dyDescent="0.35">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spans="1:26" ht="15.75" customHeight="1" x14ac:dyDescent="0.35">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spans="1:26" ht="15.75" customHeight="1" x14ac:dyDescent="0.35">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spans="1:26" ht="15.75" customHeight="1" x14ac:dyDescent="0.35">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spans="1:26" ht="15.75" customHeight="1" x14ac:dyDescent="0.3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spans="1:26" ht="15.75" customHeight="1" x14ac:dyDescent="0.35">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spans="1:26" ht="15.75" customHeight="1" x14ac:dyDescent="0.35">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spans="1:26" ht="15.75" customHeight="1" x14ac:dyDescent="0.35">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spans="1:26" ht="15.75" customHeight="1" x14ac:dyDescent="0.35">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spans="1:26" ht="15.75" customHeight="1" x14ac:dyDescent="0.35">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spans="1:26" ht="15.75" customHeight="1" x14ac:dyDescent="0.35">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spans="1:26" ht="15.75" customHeight="1" x14ac:dyDescent="0.35">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spans="1:26" ht="15.75" customHeight="1" x14ac:dyDescent="0.35">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spans="1:26" ht="15.75" customHeight="1" x14ac:dyDescent="0.35">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spans="1:26" ht="15.75" customHeight="1" x14ac:dyDescent="0.3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spans="1:26" ht="15.75" customHeight="1" x14ac:dyDescent="0.35">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spans="1:26" ht="15.75" customHeight="1" x14ac:dyDescent="0.35">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spans="1:26" ht="15.75" customHeight="1" x14ac:dyDescent="0.35">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spans="1:26" ht="15.75" customHeight="1" x14ac:dyDescent="0.35">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spans="1:26" ht="15.75" customHeight="1" x14ac:dyDescent="0.35">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spans="1:26" ht="15.75" customHeight="1" x14ac:dyDescent="0.35">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spans="1:26" ht="15.75" customHeight="1" x14ac:dyDescent="0.35">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spans="1:26" ht="15.75" customHeight="1" x14ac:dyDescent="0.35">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spans="1:26" ht="15.75" customHeight="1" x14ac:dyDescent="0.35">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spans="1:26" ht="15.75" customHeight="1" x14ac:dyDescent="0.3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spans="1:26" ht="15.75" customHeight="1" x14ac:dyDescent="0.35">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spans="1:26" ht="15.75" customHeight="1" x14ac:dyDescent="0.35">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spans="1:26" ht="15.75" customHeight="1" x14ac:dyDescent="0.35">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spans="1:26" ht="15.75" customHeight="1" x14ac:dyDescent="0.35">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spans="1:26" ht="15.75" customHeight="1" x14ac:dyDescent="0.35">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spans="1:26" ht="15.75" customHeight="1" x14ac:dyDescent="0.35">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spans="1:26" ht="15.75" customHeight="1" x14ac:dyDescent="0.35">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spans="1:26" ht="15.75" customHeight="1" x14ac:dyDescent="0.35">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spans="1:26" ht="15.75" customHeight="1" x14ac:dyDescent="0.35">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spans="1:26" ht="15.75" customHeight="1" x14ac:dyDescent="0.3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spans="1:26" ht="15.75" customHeight="1" x14ac:dyDescent="0.35">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spans="1:26" ht="15.75" customHeight="1" x14ac:dyDescent="0.35">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spans="1:26" ht="15.75" customHeight="1" x14ac:dyDescent="0.35">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spans="1:26" ht="15.75" customHeight="1" x14ac:dyDescent="0.35">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spans="1:26" ht="15.75" customHeight="1" x14ac:dyDescent="0.35">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spans="1:26" ht="15.75" customHeight="1" x14ac:dyDescent="0.35">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spans="1:26" ht="15.75" customHeight="1" x14ac:dyDescent="0.35">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spans="1:26" ht="15.75" customHeight="1" x14ac:dyDescent="0.35">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spans="1:26" ht="15.75" customHeight="1" x14ac:dyDescent="0.35">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spans="1:26" ht="15.75" customHeight="1" x14ac:dyDescent="0.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spans="1:26" ht="15.75" customHeight="1" x14ac:dyDescent="0.35">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spans="1:26" ht="15.75" customHeight="1" x14ac:dyDescent="0.35">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spans="1:26" ht="15.75" customHeight="1" x14ac:dyDescent="0.35">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spans="1:26" ht="15.75" customHeight="1" x14ac:dyDescent="0.35">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spans="1:26" ht="15.75" customHeight="1" x14ac:dyDescent="0.35">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spans="1:26" ht="15.75" customHeight="1" x14ac:dyDescent="0.35">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spans="1:26" ht="15.75" customHeight="1" x14ac:dyDescent="0.35">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spans="1:26" ht="15.75" customHeight="1" x14ac:dyDescent="0.35">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spans="1:26" ht="15.75" customHeight="1" x14ac:dyDescent="0.35">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spans="1:26" ht="15.75" customHeight="1" x14ac:dyDescent="0.3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spans="1:26" ht="15.75" customHeight="1" x14ac:dyDescent="0.35">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spans="1:26" ht="15.75" customHeight="1" x14ac:dyDescent="0.35">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spans="1:26" ht="15.75" customHeight="1" x14ac:dyDescent="0.35">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spans="1:26" ht="15.75" customHeight="1" x14ac:dyDescent="0.35">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spans="1:26" ht="15.75" customHeight="1" x14ac:dyDescent="0.35">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spans="1:26" ht="15.75" customHeight="1" x14ac:dyDescent="0.35">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spans="1:26" ht="15.75" customHeight="1" x14ac:dyDescent="0.35">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spans="1:26" ht="15.75" customHeight="1" x14ac:dyDescent="0.35">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spans="1:26" ht="15.75" customHeight="1" x14ac:dyDescent="0.35">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spans="1:26" ht="15.75" customHeight="1" x14ac:dyDescent="0.3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spans="1:26" ht="15.75" customHeight="1" x14ac:dyDescent="0.35">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spans="1:26" ht="15.75" customHeight="1" x14ac:dyDescent="0.35">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spans="1:26" ht="15.75" customHeight="1" x14ac:dyDescent="0.35">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spans="1:26" ht="15.75" customHeight="1" x14ac:dyDescent="0.35">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spans="1:26" ht="15.75" customHeight="1" x14ac:dyDescent="0.35">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spans="1:26" ht="15.75" customHeight="1" x14ac:dyDescent="0.35">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spans="1:26" ht="15.75" customHeight="1" x14ac:dyDescent="0.35">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spans="1:26" ht="15.75" customHeight="1" x14ac:dyDescent="0.35">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spans="1:26" ht="15.75" customHeight="1" x14ac:dyDescent="0.35">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spans="1:26" ht="15.75" customHeight="1" x14ac:dyDescent="0.3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spans="1:26" ht="15.75" customHeight="1" x14ac:dyDescent="0.35">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spans="1:26" ht="15.75" customHeight="1" x14ac:dyDescent="0.35">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spans="1:26" ht="15.75" customHeight="1" x14ac:dyDescent="0.35">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spans="1:26" ht="15.75" customHeight="1" x14ac:dyDescent="0.35">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spans="1:26" ht="15.75" customHeight="1" x14ac:dyDescent="0.35">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spans="1:26" ht="15.75" customHeight="1" x14ac:dyDescent="0.35">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spans="1:26" ht="15.75" customHeight="1" x14ac:dyDescent="0.35">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spans="1:26" ht="15.75" customHeight="1" x14ac:dyDescent="0.35">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spans="1:26" ht="15.75" customHeight="1" x14ac:dyDescent="0.35">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spans="1:26" ht="15.75" customHeight="1" x14ac:dyDescent="0.3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spans="1:26" ht="15.75" customHeight="1" x14ac:dyDescent="0.35">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spans="1:26" ht="15.75" customHeight="1" x14ac:dyDescent="0.35">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spans="1:26" ht="15.75" customHeight="1" x14ac:dyDescent="0.35">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spans="1:26" ht="15.75" customHeight="1" x14ac:dyDescent="0.35">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spans="1:26" ht="15.75" customHeight="1" x14ac:dyDescent="0.35">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spans="1:26" ht="15.75" customHeight="1" x14ac:dyDescent="0.35">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spans="1:26" ht="15.75" customHeight="1" x14ac:dyDescent="0.35">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spans="1:26" ht="15.75" customHeight="1" x14ac:dyDescent="0.35">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spans="1:26" ht="15.75" customHeight="1" x14ac:dyDescent="0.35">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spans="1:26" ht="15.75" customHeight="1" x14ac:dyDescent="0.3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spans="1:26" ht="15.75" customHeight="1" x14ac:dyDescent="0.35">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spans="1:26" ht="15.75" customHeight="1" x14ac:dyDescent="0.35">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spans="1:26" ht="15.75" customHeight="1" x14ac:dyDescent="0.35">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spans="1:26" ht="15.75" customHeight="1" x14ac:dyDescent="0.35">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spans="1:26" ht="15.75" customHeight="1" x14ac:dyDescent="0.35">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spans="1:26" ht="15.75" customHeight="1" x14ac:dyDescent="0.35">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spans="1:26" ht="15.75" customHeight="1" x14ac:dyDescent="0.35">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spans="1:26" ht="15.75" customHeight="1" x14ac:dyDescent="0.35">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spans="1:26" ht="15.75" customHeight="1" x14ac:dyDescent="0.35">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spans="1:26" ht="15.75" customHeight="1" x14ac:dyDescent="0.3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spans="1:26" ht="15.75" customHeight="1" x14ac:dyDescent="0.35">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spans="1:26" ht="15.75" customHeight="1" x14ac:dyDescent="0.35">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spans="1:26" ht="15.75" customHeight="1" x14ac:dyDescent="0.35">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spans="1:26" ht="15.75" customHeight="1" x14ac:dyDescent="0.35">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spans="1:26" ht="15.75" customHeight="1" x14ac:dyDescent="0.35">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spans="1:26" ht="15.75" customHeight="1" x14ac:dyDescent="0.35">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spans="1:26" ht="15.75" customHeight="1" x14ac:dyDescent="0.35">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spans="1:26" ht="15.75" customHeight="1" x14ac:dyDescent="0.35">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spans="1:26" ht="15.75" customHeight="1" x14ac:dyDescent="0.35">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spans="1:26" ht="15.75" customHeight="1" x14ac:dyDescent="0.3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spans="1:26" ht="15.75" customHeight="1" x14ac:dyDescent="0.35">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spans="1:26" ht="15.75" customHeight="1" x14ac:dyDescent="0.35">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spans="1:26" ht="15.75" customHeight="1" x14ac:dyDescent="0.35">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spans="1:26" ht="15.75" customHeight="1" x14ac:dyDescent="0.35">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spans="1:26" ht="15.75" customHeight="1" x14ac:dyDescent="0.35">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spans="1:26" ht="15.75" customHeight="1" x14ac:dyDescent="0.35">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spans="1:26" ht="15.75" customHeight="1" x14ac:dyDescent="0.35">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spans="1:26" ht="15.75" customHeight="1" x14ac:dyDescent="0.35">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spans="1:26" ht="15.75" customHeight="1" x14ac:dyDescent="0.35">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spans="1:26" ht="15.75" customHeight="1" x14ac:dyDescent="0.3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spans="1:26" ht="15.75" customHeight="1" x14ac:dyDescent="0.35">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spans="1:26" ht="15.75" customHeight="1" x14ac:dyDescent="0.35">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spans="1:26" ht="15.75" customHeight="1" x14ac:dyDescent="0.35">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spans="1:26" ht="15.75" customHeight="1" x14ac:dyDescent="0.35">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spans="1:26" ht="15.75" customHeight="1" x14ac:dyDescent="0.35">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spans="1:26" ht="15.75" customHeight="1" x14ac:dyDescent="0.35">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spans="1:26" ht="15.75" customHeight="1" x14ac:dyDescent="0.35">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spans="1:26" ht="15.75" customHeight="1" x14ac:dyDescent="0.35">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spans="1:26" ht="15.75" customHeight="1" x14ac:dyDescent="0.35">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spans="1:26" ht="15.75" customHeight="1" x14ac:dyDescent="0.3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spans="1:26" ht="15.75" customHeight="1" x14ac:dyDescent="0.35">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spans="1:26" ht="15.75" customHeight="1" x14ac:dyDescent="0.35">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spans="1:26" ht="15.75" customHeight="1" x14ac:dyDescent="0.35">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spans="1:26" ht="15.75" customHeight="1" x14ac:dyDescent="0.35">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spans="1:26" ht="15.75" customHeight="1" x14ac:dyDescent="0.35">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spans="1:26" ht="15.75" customHeight="1" x14ac:dyDescent="0.35">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spans="1:26" ht="15.75" customHeight="1" x14ac:dyDescent="0.35">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spans="1:26" ht="15.75" customHeight="1" x14ac:dyDescent="0.35">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spans="1:26" ht="15.75" customHeight="1" x14ac:dyDescent="0.35">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spans="1:26" ht="15.75" customHeight="1" x14ac:dyDescent="0.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spans="1:26" ht="15.75" customHeight="1" x14ac:dyDescent="0.35">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spans="1:26" ht="15.75" customHeight="1" x14ac:dyDescent="0.35">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spans="1:26" ht="15.75" customHeight="1" x14ac:dyDescent="0.35">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spans="1:26" ht="15.75" customHeight="1" x14ac:dyDescent="0.35">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spans="1:26" ht="15.75" customHeight="1" x14ac:dyDescent="0.35">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spans="1:26" ht="15.75" customHeight="1" x14ac:dyDescent="0.35">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spans="1:26" ht="15.75" customHeight="1" x14ac:dyDescent="0.35">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spans="1:26" ht="15.75" customHeight="1" x14ac:dyDescent="0.35">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spans="1:26" ht="15.75" customHeight="1" x14ac:dyDescent="0.35">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spans="1:26" ht="15.75" customHeight="1" x14ac:dyDescent="0.3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spans="1:26" ht="15.75" customHeight="1" x14ac:dyDescent="0.35">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spans="1:26" ht="15.75" customHeight="1" x14ac:dyDescent="0.35">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spans="1:26" ht="15.75" customHeight="1" x14ac:dyDescent="0.35">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spans="1:26" ht="15.75" customHeight="1" x14ac:dyDescent="0.35">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spans="1:26" ht="15.75" customHeight="1" x14ac:dyDescent="0.35">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spans="1:26" ht="15.75" customHeight="1" x14ac:dyDescent="0.35">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spans="1:26" ht="15.75" customHeight="1" x14ac:dyDescent="0.35">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spans="1:26" ht="15.75" customHeight="1" x14ac:dyDescent="0.35">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spans="1:26" ht="15.75" customHeight="1" x14ac:dyDescent="0.35">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spans="1:26" ht="15.75" customHeight="1" x14ac:dyDescent="0.3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spans="1:26" ht="15.75" customHeight="1" x14ac:dyDescent="0.35">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spans="1:26" ht="15.75" customHeight="1" x14ac:dyDescent="0.35">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spans="1:26" ht="15.75" customHeight="1" x14ac:dyDescent="0.35">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spans="1:26" ht="15.75" customHeight="1" x14ac:dyDescent="0.35">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spans="1:26" ht="15.75" customHeight="1" x14ac:dyDescent="0.35">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spans="1:26" ht="15.75" customHeight="1" x14ac:dyDescent="0.35">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spans="1:26" ht="15.75" customHeight="1" x14ac:dyDescent="0.35">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spans="1:26" ht="15.75" customHeight="1" x14ac:dyDescent="0.35">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spans="1:26" ht="15.75" customHeight="1" x14ac:dyDescent="0.35">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spans="1:26" ht="15.75" customHeight="1" x14ac:dyDescent="0.3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spans="1:26" ht="15.75" customHeight="1" x14ac:dyDescent="0.35">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spans="1:26" ht="15.75" customHeight="1" x14ac:dyDescent="0.35">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spans="1:26" ht="15.75" customHeight="1" x14ac:dyDescent="0.35">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spans="1:26" ht="15.75" customHeight="1" x14ac:dyDescent="0.35">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spans="1:26" ht="15.75" customHeight="1" x14ac:dyDescent="0.35">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spans="1:26" ht="15.75" customHeight="1" x14ac:dyDescent="0.35">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spans="1:26" ht="15.75" customHeight="1" x14ac:dyDescent="0.35">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spans="1:26" ht="15.75" customHeight="1" x14ac:dyDescent="0.35">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spans="1:26" ht="15.75" customHeight="1" x14ac:dyDescent="0.35">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spans="1:26" ht="15.75" customHeight="1" x14ac:dyDescent="0.3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spans="1:26" ht="15.75" customHeight="1" x14ac:dyDescent="0.35">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spans="1:26" ht="15.75" customHeight="1" x14ac:dyDescent="0.35">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spans="1:26" ht="15.75" customHeight="1" x14ac:dyDescent="0.35">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spans="1:26" ht="15.75" customHeight="1" x14ac:dyDescent="0.35">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spans="1:26" ht="15.75" customHeight="1" x14ac:dyDescent="0.35">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spans="1:26" ht="15.75" customHeight="1" x14ac:dyDescent="0.35">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spans="1:26" ht="15.75" customHeight="1" x14ac:dyDescent="0.35">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spans="1:26" ht="15.75" customHeight="1" x14ac:dyDescent="0.35">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spans="1:26" ht="15.75" customHeight="1" x14ac:dyDescent="0.35">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spans="1:26" ht="15.75" customHeight="1" x14ac:dyDescent="0.3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spans="1:26" ht="15.75" customHeight="1" x14ac:dyDescent="0.35">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spans="1:26" ht="15.75" customHeight="1" x14ac:dyDescent="0.35">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spans="1:26" ht="15.75" customHeight="1" x14ac:dyDescent="0.35">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spans="1:26" ht="15.75" customHeight="1" x14ac:dyDescent="0.35">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spans="1:26" ht="15.75" customHeight="1" x14ac:dyDescent="0.35">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spans="1:26" ht="15.75" customHeight="1" x14ac:dyDescent="0.35">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spans="1:26" ht="15.75" customHeight="1" x14ac:dyDescent="0.35">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spans="1:26" ht="15.75" customHeight="1" x14ac:dyDescent="0.35">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spans="1:26" ht="15.75" customHeight="1" x14ac:dyDescent="0.35">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spans="1:26" ht="15.75" customHeight="1" x14ac:dyDescent="0.3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spans="1:26" ht="15.75" customHeight="1" x14ac:dyDescent="0.35">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spans="1:26" ht="15.75" customHeight="1" x14ac:dyDescent="0.35">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spans="1:26" ht="15.75" customHeight="1" x14ac:dyDescent="0.35">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spans="1:26" ht="15.75" customHeight="1" x14ac:dyDescent="0.35">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spans="1:26" ht="15.75" customHeight="1" x14ac:dyDescent="0.35">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spans="1:26" ht="15.75" customHeight="1" x14ac:dyDescent="0.35">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spans="1:26" ht="15.75" customHeight="1" x14ac:dyDescent="0.35">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spans="1:26" ht="15.75" customHeight="1" x14ac:dyDescent="0.35">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spans="1:26" ht="15.75" customHeight="1" x14ac:dyDescent="0.35">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spans="1:26" ht="15.75" customHeight="1" x14ac:dyDescent="0.3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spans="1:26" ht="15.75" customHeight="1" x14ac:dyDescent="0.35">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spans="1:26" ht="15.75" customHeight="1" x14ac:dyDescent="0.35">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spans="1:26" ht="15.75" customHeight="1" x14ac:dyDescent="0.35">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spans="1:26" ht="15.75" customHeight="1" x14ac:dyDescent="0.35">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spans="1:26" ht="15.75" customHeight="1" x14ac:dyDescent="0.35">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spans="1:26" ht="15.75" customHeight="1" x14ac:dyDescent="0.35">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spans="1:26" ht="15.75" customHeight="1" x14ac:dyDescent="0.35">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spans="1:26" ht="15.75" customHeight="1" x14ac:dyDescent="0.35">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spans="1:26" ht="15.75" customHeight="1" x14ac:dyDescent="0.35">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spans="1:26" ht="15.75" customHeight="1" x14ac:dyDescent="0.3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spans="1:26" ht="15.75" customHeight="1" x14ac:dyDescent="0.35">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spans="1:26" ht="15.75" customHeight="1" x14ac:dyDescent="0.35">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spans="1:26" ht="15.75" customHeight="1" x14ac:dyDescent="0.35">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spans="1:26" ht="15.75" customHeight="1" x14ac:dyDescent="0.35">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spans="1:26" ht="15.75" customHeight="1" x14ac:dyDescent="0.35">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spans="1:26" ht="15.75" customHeight="1" x14ac:dyDescent="0.35">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spans="1:26" ht="15.75" customHeight="1" x14ac:dyDescent="0.35">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spans="1:26" ht="15.75" customHeight="1" x14ac:dyDescent="0.35">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spans="1:26" ht="15.75" customHeight="1" x14ac:dyDescent="0.35">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spans="1:26" ht="15.75" customHeight="1" x14ac:dyDescent="0.3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spans="1:26" ht="15.75" customHeight="1" x14ac:dyDescent="0.35">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spans="1:26" ht="15.75" customHeight="1" x14ac:dyDescent="0.35">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spans="1:26" ht="15.75" customHeight="1" x14ac:dyDescent="0.35">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spans="1:26" ht="15.75" customHeight="1" x14ac:dyDescent="0.35">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spans="1:26" ht="15.75" customHeight="1" x14ac:dyDescent="0.35">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spans="1:26" ht="15.75" customHeight="1" x14ac:dyDescent="0.35">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spans="1:26" ht="15.75" customHeight="1" x14ac:dyDescent="0.35">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spans="1:26" ht="15.75" customHeight="1" x14ac:dyDescent="0.35">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spans="1:26" ht="15.75" customHeight="1" x14ac:dyDescent="0.35">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spans="1:26" ht="15.75" customHeight="1" x14ac:dyDescent="0.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spans="1:26" ht="15.75" customHeight="1" x14ac:dyDescent="0.35">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spans="1:26" ht="15.75" customHeight="1" x14ac:dyDescent="0.35">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spans="1:26" ht="15.75" customHeight="1" x14ac:dyDescent="0.35">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spans="1:26" ht="15.75" customHeight="1" x14ac:dyDescent="0.35">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spans="1:26" ht="15.75" customHeight="1" x14ac:dyDescent="0.35">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spans="1:26" ht="15.75" customHeight="1" x14ac:dyDescent="0.35">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spans="1:26" ht="15.75" customHeight="1" x14ac:dyDescent="0.35">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spans="1:26" ht="15.75" customHeight="1" x14ac:dyDescent="0.35">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spans="1:26" ht="15.75" customHeight="1" x14ac:dyDescent="0.35">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spans="1:26" ht="15.75" customHeight="1" x14ac:dyDescent="0.3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spans="1:26" ht="15.75" customHeight="1" x14ac:dyDescent="0.35">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spans="1:26" ht="15.75" customHeight="1" x14ac:dyDescent="0.35">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spans="1:26" ht="15.75" customHeight="1" x14ac:dyDescent="0.35">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spans="1:26" ht="15.75" customHeight="1" x14ac:dyDescent="0.35">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spans="1:26" ht="15.75" customHeight="1" x14ac:dyDescent="0.35">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spans="1:26" ht="15.75" customHeight="1" x14ac:dyDescent="0.35">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spans="1:26" ht="15.75" customHeight="1" x14ac:dyDescent="0.35">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spans="1:26" ht="15.75" customHeight="1" x14ac:dyDescent="0.35">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spans="1:26" ht="15.75" customHeight="1" x14ac:dyDescent="0.35">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spans="1:26" ht="15.75" customHeight="1" x14ac:dyDescent="0.3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spans="1:26" ht="15.75" customHeight="1" x14ac:dyDescent="0.35">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spans="1:26" ht="15.75" customHeight="1" x14ac:dyDescent="0.35">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spans="1:26" ht="15.75" customHeight="1" x14ac:dyDescent="0.35">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spans="1:26" ht="15.75" customHeight="1" x14ac:dyDescent="0.35">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spans="1:26" ht="15.75" customHeight="1" x14ac:dyDescent="0.35">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spans="1:26" ht="15.75" customHeight="1" x14ac:dyDescent="0.35">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spans="1:26" ht="15.75" customHeight="1" x14ac:dyDescent="0.35">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spans="1:26" ht="15.75" customHeight="1" x14ac:dyDescent="0.35">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spans="1:26" ht="15.75" customHeight="1" x14ac:dyDescent="0.35">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spans="1:26" ht="15.75" customHeight="1" x14ac:dyDescent="0.3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spans="1:26" ht="15.75" customHeight="1" x14ac:dyDescent="0.35">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spans="1:26" ht="15.75" customHeight="1" x14ac:dyDescent="0.35">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spans="1:26" ht="15.75" customHeight="1" x14ac:dyDescent="0.35">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spans="1:26" ht="15.75" customHeight="1" x14ac:dyDescent="0.35">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spans="1:26" ht="15.75" customHeight="1" x14ac:dyDescent="0.35">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spans="1:26" ht="15.75" customHeight="1" x14ac:dyDescent="0.35">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spans="1:26" ht="15.75" customHeight="1" x14ac:dyDescent="0.35">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spans="1:26" ht="15.75" customHeight="1" x14ac:dyDescent="0.35">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spans="1:26" ht="15.75" customHeight="1" x14ac:dyDescent="0.35">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spans="1:26" ht="15.75" customHeight="1" x14ac:dyDescent="0.3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spans="1:26" ht="15.75" customHeight="1" x14ac:dyDescent="0.35">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spans="1:26" ht="15.75" customHeight="1" x14ac:dyDescent="0.35">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spans="1:26" ht="15.75" customHeight="1" x14ac:dyDescent="0.35">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spans="1:26" ht="15.75" customHeight="1" x14ac:dyDescent="0.35">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spans="1:26" ht="15.75" customHeight="1" x14ac:dyDescent="0.35">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spans="1:26" ht="15.75" customHeight="1" x14ac:dyDescent="0.35">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spans="1:26" ht="15.75" customHeight="1" x14ac:dyDescent="0.35">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spans="1:26" ht="15.75" customHeight="1" x14ac:dyDescent="0.35">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spans="1:26" ht="15.75" customHeight="1" x14ac:dyDescent="0.35">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spans="1:26" ht="15.75" customHeight="1" x14ac:dyDescent="0.3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spans="1:26" ht="15.75" customHeight="1" x14ac:dyDescent="0.35">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spans="1:26" ht="15.75" customHeight="1" x14ac:dyDescent="0.35">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spans="1:26" ht="15.75" customHeight="1" x14ac:dyDescent="0.35">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spans="1:26" ht="15.75" customHeight="1" x14ac:dyDescent="0.35">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spans="1:26" ht="15.75" customHeight="1" x14ac:dyDescent="0.35">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spans="1:26" ht="15.75" customHeight="1" x14ac:dyDescent="0.35">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spans="1:26" ht="15.75" customHeight="1" x14ac:dyDescent="0.35">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spans="1:26" ht="15.75" customHeight="1" x14ac:dyDescent="0.35">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spans="1:26" ht="15.75" customHeight="1" x14ac:dyDescent="0.35">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spans="1:26" ht="15.75" customHeight="1" x14ac:dyDescent="0.3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spans="1:26" ht="15.75" customHeight="1" x14ac:dyDescent="0.35">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spans="1:26" ht="15.75" customHeight="1" x14ac:dyDescent="0.35">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spans="1:26" ht="15.75" customHeight="1" x14ac:dyDescent="0.35">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spans="1:26" ht="15.75" customHeight="1" x14ac:dyDescent="0.35">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spans="1:26" ht="15.75" customHeight="1" x14ac:dyDescent="0.35">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mergeCells count="3">
    <mergeCell ref="A1:D1"/>
    <mergeCell ref="A3:D3"/>
    <mergeCell ref="C10:D10"/>
  </mergeCells>
  <pageMargins left="0.7" right="0.7" top="0.78740157499999996" bottom="0.78740157499999996"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3.59765625" customWidth="1"/>
    <col min="6" max="8" width="6.3984375" customWidth="1"/>
    <col min="9" max="10" width="4.8984375" customWidth="1"/>
    <col min="11" max="11" width="5.59765625" customWidth="1"/>
  </cols>
  <sheetData>
    <row r="1" spans="1:11" ht="31.5" customHeight="1" x14ac:dyDescent="0.3">
      <c r="A1" s="114" t="s">
        <v>469</v>
      </c>
      <c r="B1" s="115"/>
      <c r="C1" s="115"/>
      <c r="D1" s="115"/>
      <c r="E1" s="115"/>
      <c r="F1" s="115"/>
      <c r="G1" s="115"/>
      <c r="H1" s="116"/>
      <c r="I1" s="120" t="s">
        <v>470</v>
      </c>
      <c r="J1" s="145"/>
      <c r="K1" s="121"/>
    </row>
    <row r="2" spans="1:11" ht="19.5" customHeight="1" x14ac:dyDescent="0.3">
      <c r="A2" s="117"/>
      <c r="B2" s="118"/>
      <c r="C2" s="118"/>
      <c r="D2" s="118"/>
      <c r="E2" s="118"/>
      <c r="F2" s="118"/>
      <c r="G2" s="118"/>
      <c r="H2" s="119"/>
      <c r="I2" s="122">
        <f ca="1">TODAY()</f>
        <v>46250</v>
      </c>
      <c r="J2" s="145"/>
      <c r="K2" s="121"/>
    </row>
    <row r="3" spans="1:1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11" ht="12.75" customHeight="1" x14ac:dyDescent="0.3">
      <c r="A4" s="15">
        <v>1</v>
      </c>
      <c r="B4" s="15" t="e">
        <f>IF(ISNA(VLOOKUP(C4,#REF!,3,FALSE))=TRUE,IF(ISNA(VLOOKUP(C4,Rangliste!B15:T109,3,FALSE))=TRUE,"",VLOOKUP(C4,Rangliste!B15:T109,3,FALSE)),IF(ISBLANK(VLOOKUP(C4,#REF!,3,FALSE))=TRUE,"",VLOOKUP(C4,#REF!,3,FALSE)))</f>
        <v>#REF!</v>
      </c>
      <c r="C4" s="16"/>
      <c r="D4" s="43" t="e">
        <f>IF(ISNA(VLOOKUP(C4,#REF!,2,FALSE))=TRUE,IF(ISNA(VLOOKUP(C4,Rangliste!B15:T109,2,FALSE))=TRUE,"",VLOOKUP(C4,Rangliste!B15:T109,2,FALSE)),IF(ISBLANK(VLOOKUP(C4,#REF!,2,FALSE))=TRUE,"",VLOOKUP(C4,#REF!,2,FALSE)))</f>
        <v>#REF!</v>
      </c>
      <c r="E4" s="22" t="e">
        <f>IF(ISNA(VLOOKUP(C4,#REF!,4,FALSE))=TRUE,IF(ISNA(VLOOKUP(C4,Rangliste!B15:T109,4,FALSE))=TRUE,"",VLOOKUP(C4,Rangliste!B15:T109,4,FALSE)),IF(ISBLANK(VLOOKUP(C4,#REF!,4,FALSE))=TRUE,"",VLOOKUP(C4,#REF!,4,FALSE)))</f>
        <v>#REF!</v>
      </c>
      <c r="F4" s="15" t="e">
        <f t="shared" ref="F4:F7" si="0">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G4" s="15" t="e">
        <f t="shared" ref="G4:G7" si="1">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H4" s="15" t="e">
        <f t="shared" ref="H4:H7"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7" si="3">MIN(F4:I4)</f>
        <v>#REF!</v>
      </c>
      <c r="K4" s="42" t="e">
        <f t="shared" ref="K4:K7" si="4">SUM(F4:I4)-J4</f>
        <v>#REF!</v>
      </c>
    </row>
    <row r="5" spans="1:11" ht="12.75" customHeight="1" x14ac:dyDescent="0.3">
      <c r="A5" s="15">
        <v>2</v>
      </c>
      <c r="B5" s="15" t="e">
        <f>IF(ISNA(VLOOKUP(C5,#REF!,3,FALSE))=TRUE,IF(ISNA(VLOOKUP(C5,Rangliste!B16:T110,3,FALSE))=TRUE,"",VLOOKUP(C5,Rangliste!B16:T110,3,FALSE)),IF(ISBLANK(VLOOKUP(C5,#REF!,3,FALSE))=TRUE,"",VLOOKUP(C5,#REF!,3,FALSE)))</f>
        <v>#REF!</v>
      </c>
      <c r="C5" s="21"/>
      <c r="D5" s="43" t="e">
        <f>IF(ISNA(VLOOKUP(C5,#REF!,2,FALSE))=TRUE,IF(ISNA(VLOOKUP(C5,Rangliste!B16:T110,2,FALSE))=TRUE,"",VLOOKUP(C5,Rangliste!B16:T110,2,FALSE)),IF(ISBLANK(VLOOKUP(C5,#REF!,2,FALSE))=TRUE,"",VLOOKUP(C5,#REF!,2,FALSE)))</f>
        <v>#REF!</v>
      </c>
      <c r="E5" s="22" t="e">
        <f>IF(ISNA(VLOOKUP(C5,#REF!,4,FALSE))=TRUE,IF(ISNA(VLOOKUP(C5,Rangliste!B16:T110,4,FALSE))=TRUE,"",VLOOKUP(C5,Rangliste!B16:T110,4,FALSE)),IF(ISBLANK(VLOOKUP(C5,#REF!,4,FALSE))=TRUE,"",VLOOKUP(C5,#REF!,4,FALSE)))</f>
        <v>#REF!</v>
      </c>
      <c r="F5" s="15" t="e">
        <f t="shared" si="0"/>
        <v>#REF!</v>
      </c>
      <c r="G5" s="15" t="e">
        <f t="shared" si="1"/>
        <v>#REF!</v>
      </c>
      <c r="H5" s="15" t="e">
        <f t="shared" si="2"/>
        <v>#REF!</v>
      </c>
      <c r="I5" s="15" t="s">
        <v>388</v>
      </c>
      <c r="J5" s="15" t="e">
        <f t="shared" si="3"/>
        <v>#REF!</v>
      </c>
      <c r="K5" s="42" t="e">
        <f t="shared" si="4"/>
        <v>#REF!</v>
      </c>
    </row>
    <row r="6" spans="1:11" ht="12.75" customHeight="1" x14ac:dyDescent="0.3">
      <c r="A6" s="15">
        <v>3</v>
      </c>
      <c r="B6" s="15" t="e">
        <f>IF(ISNA(VLOOKUP(C6,#REF!,3,FALSE))=TRUE,IF(ISNA(VLOOKUP(C6,Rangliste!B17:T111,3,FALSE))=TRUE,"",VLOOKUP(C6,Rangliste!B17:T111,3,FALSE)),IF(ISBLANK(VLOOKUP(C6,#REF!,3,FALSE))=TRUE,"",VLOOKUP(C6,#REF!,3,FALSE)))</f>
        <v>#REF!</v>
      </c>
      <c r="C6" s="21"/>
      <c r="D6" s="43" t="e">
        <f>IF(ISNA(VLOOKUP(C6,#REF!,2,FALSE))=TRUE,IF(ISNA(VLOOKUP(C6,Rangliste!B17:T111,2,FALSE))=TRUE,"",VLOOKUP(C6,Rangliste!B17:T111,2,FALSE)),IF(ISBLANK(VLOOKUP(C6,#REF!,2,FALSE))=TRUE,"",VLOOKUP(C6,#REF!,2,FALSE)))</f>
        <v>#REF!</v>
      </c>
      <c r="E6" s="22" t="e">
        <f>IF(ISNA(VLOOKUP(C6,#REF!,4,FALSE))=TRUE,IF(ISNA(VLOOKUP(C6,Rangliste!B17:T111,4,FALSE))=TRUE,"",VLOOKUP(C6,Rangliste!B17:T111,4,FALSE)),IF(ISBLANK(VLOOKUP(C6,#REF!,4,FALSE))=TRUE,"",VLOOKUP(C6,#REF!,4,FALSE)))</f>
        <v>#REF!</v>
      </c>
      <c r="F6" s="15" t="e">
        <f t="shared" si="0"/>
        <v>#REF!</v>
      </c>
      <c r="G6" s="15" t="e">
        <f t="shared" si="1"/>
        <v>#REF!</v>
      </c>
      <c r="H6" s="15" t="e">
        <f t="shared" si="2"/>
        <v>#REF!</v>
      </c>
      <c r="I6" s="15" t="s">
        <v>388</v>
      </c>
      <c r="J6" s="15" t="e">
        <f t="shared" si="3"/>
        <v>#REF!</v>
      </c>
      <c r="K6" s="42" t="e">
        <f t="shared" si="4"/>
        <v>#REF!</v>
      </c>
    </row>
    <row r="7" spans="1:11" ht="12.75" customHeight="1" x14ac:dyDescent="0.3">
      <c r="A7" s="15">
        <v>4</v>
      </c>
      <c r="B7" s="15" t="e">
        <f>IF(ISNA(VLOOKUP(C7,#REF!,3,FALSE))=TRUE,IF(ISNA(VLOOKUP(C7,Rangliste!B18:T112,3,FALSE))=TRUE,"",VLOOKUP(C7,Rangliste!B18:T112,3,FALSE)),IF(ISBLANK(VLOOKUP(C7,#REF!,3,FALSE))=TRUE,"",VLOOKUP(C7,#REF!,3,FALSE)))</f>
        <v>#REF!</v>
      </c>
      <c r="C7" s="21"/>
      <c r="D7" s="43" t="e">
        <f>IF(ISNA(VLOOKUP(C7,#REF!,2,FALSE))=TRUE,IF(ISNA(VLOOKUP(C7,Rangliste!B18:T112,2,FALSE))=TRUE,"",VLOOKUP(C7,Rangliste!B18:T112,2,FALSE)),IF(ISBLANK(VLOOKUP(C7,#REF!,2,FALSE))=TRUE,"",VLOOKUP(C7,#REF!,2,FALSE)))</f>
        <v>#REF!</v>
      </c>
      <c r="E7" s="22" t="e">
        <f>IF(ISNA(VLOOKUP(C7,#REF!,4,FALSE))=TRUE,IF(ISNA(VLOOKUP(C7,Rangliste!B18:T112,4,FALSE))=TRUE,"",VLOOKUP(C7,Rangliste!B18:T112,4,FALSE)),IF(ISBLANK(VLOOKUP(C7,#REF!,4,FALSE))=TRUE,"",VLOOKUP(C7,#REF!,4,FALSE)))</f>
        <v>#REF!</v>
      </c>
      <c r="F7" s="15" t="e">
        <f t="shared" si="0"/>
        <v>#REF!</v>
      </c>
      <c r="G7" s="15" t="e">
        <f t="shared" si="1"/>
        <v>#REF!</v>
      </c>
      <c r="H7" s="15" t="e">
        <f t="shared" si="2"/>
        <v>#REF!</v>
      </c>
      <c r="I7" s="15" t="s">
        <v>388</v>
      </c>
      <c r="J7" s="15" t="e">
        <f t="shared" si="3"/>
        <v>#REF!</v>
      </c>
      <c r="K7" s="42" t="e">
        <f t="shared" si="4"/>
        <v>#REF!</v>
      </c>
    </row>
    <row r="8" spans="1:11" ht="12.75" customHeight="1" x14ac:dyDescent="0.3">
      <c r="A8" s="15"/>
      <c r="B8" s="15"/>
      <c r="C8" s="16"/>
      <c r="D8" s="16"/>
      <c r="E8" s="22"/>
      <c r="F8" s="15"/>
      <c r="G8" s="15"/>
      <c r="H8" s="15"/>
      <c r="I8" s="15"/>
      <c r="J8" s="15"/>
      <c r="K8" s="42"/>
    </row>
    <row r="9" spans="1:11" ht="12.75" customHeight="1" x14ac:dyDescent="0.3">
      <c r="A9" s="15"/>
      <c r="B9" s="21"/>
      <c r="C9" s="21"/>
      <c r="D9" s="21"/>
      <c r="E9" s="22"/>
      <c r="F9" s="15"/>
      <c r="G9" s="15"/>
      <c r="H9" s="15"/>
      <c r="I9" s="15"/>
      <c r="J9" s="15"/>
      <c r="K9" s="42"/>
    </row>
    <row r="10" spans="1:11" ht="12.75" customHeight="1" x14ac:dyDescent="0.3">
      <c r="A10" s="15"/>
    </row>
    <row r="11" spans="1:11" ht="12.75" customHeight="1" x14ac:dyDescent="0.3">
      <c r="A11" s="15"/>
      <c r="B11" s="21"/>
      <c r="C11" s="48"/>
      <c r="D11" s="21"/>
      <c r="E11" s="21"/>
      <c r="F11" s="15"/>
      <c r="G11" s="15"/>
      <c r="H11" s="15"/>
      <c r="I11" s="15"/>
      <c r="J11" s="15"/>
      <c r="K11" s="42"/>
    </row>
    <row r="12" spans="1:11" ht="12.75" customHeight="1" x14ac:dyDescent="0.3">
      <c r="A12" s="15"/>
      <c r="B12" s="21"/>
      <c r="C12" s="48" t="str">
        <f>IF(COUNT(B4:B7) = COUNTA(A4:A7),"","Spieler muss beim nächsten Einzel-RLT ÖBV-Mitglied sein")</f>
        <v>Spieler muss beim nächsten Einzel-RLT ÖBV-Mitglied sein</v>
      </c>
      <c r="D12" s="21"/>
      <c r="E12" s="21"/>
      <c r="F12" s="15"/>
      <c r="G12" s="15"/>
      <c r="H12" s="15"/>
      <c r="I12" s="15"/>
      <c r="J12" s="15"/>
      <c r="K12" s="21"/>
    </row>
    <row r="13" spans="1:11" ht="12.75" customHeight="1" x14ac:dyDescent="0.3">
      <c r="A13" s="21"/>
      <c r="B13" s="21"/>
      <c r="C13" s="21"/>
      <c r="D13" s="21"/>
      <c r="E13" s="21"/>
      <c r="F13" s="21"/>
      <c r="G13" s="21"/>
      <c r="H13" s="21"/>
      <c r="I13" s="21"/>
      <c r="J13" s="21"/>
      <c r="K13" s="21"/>
    </row>
    <row r="14" spans="1:11" ht="12.75" customHeight="1" x14ac:dyDescent="0.3">
      <c r="A14" s="21"/>
      <c r="B14" s="21"/>
      <c r="C14" s="21"/>
      <c r="D14" s="21"/>
      <c r="E14" s="21"/>
      <c r="F14" s="21"/>
      <c r="G14" s="21"/>
      <c r="H14" s="21"/>
      <c r="I14" s="21"/>
      <c r="J14" s="21"/>
      <c r="K14" s="21"/>
    </row>
    <row r="15" spans="1:11" ht="12.75" customHeight="1" x14ac:dyDescent="0.3">
      <c r="A15" s="21"/>
      <c r="B15" s="21"/>
      <c r="C15" s="21"/>
      <c r="D15" s="21"/>
      <c r="E15" s="21"/>
      <c r="F15" s="21"/>
      <c r="G15" s="21"/>
      <c r="H15" s="21"/>
      <c r="I15" s="21"/>
      <c r="J15" s="21"/>
      <c r="K15" s="21"/>
    </row>
    <row r="16" spans="1:11" ht="12.75" customHeight="1" x14ac:dyDescent="0.3">
      <c r="A16" s="21"/>
      <c r="B16" s="21"/>
      <c r="C16" s="21"/>
      <c r="D16" s="21"/>
      <c r="E16" s="21"/>
      <c r="F16" s="21"/>
      <c r="G16" s="21"/>
      <c r="H16" s="21"/>
      <c r="I16" s="21"/>
      <c r="J16" s="21"/>
      <c r="K16" s="21"/>
    </row>
    <row r="17" spans="1:11" ht="12.75" customHeight="1" x14ac:dyDescent="0.3">
      <c r="A17" s="21"/>
      <c r="B17" s="21"/>
      <c r="C17" s="21"/>
      <c r="D17" s="21"/>
      <c r="E17" s="21"/>
      <c r="F17" s="21"/>
      <c r="G17" s="21"/>
      <c r="H17" s="21"/>
      <c r="I17" s="21"/>
      <c r="J17" s="21"/>
      <c r="K17" s="21"/>
    </row>
    <row r="18" spans="1:11" ht="12.75" customHeight="1" x14ac:dyDescent="0.3">
      <c r="A18" s="21"/>
      <c r="B18" s="21"/>
      <c r="C18" s="21"/>
      <c r="D18" s="21"/>
      <c r="E18" s="21"/>
      <c r="F18" s="21"/>
      <c r="G18" s="21"/>
      <c r="H18" s="21"/>
      <c r="I18" s="21"/>
      <c r="J18" s="21"/>
    </row>
    <row r="19" spans="1:11" ht="12.75" customHeight="1" x14ac:dyDescent="0.3"/>
    <row r="20" spans="1:11" ht="12.75" customHeight="1" x14ac:dyDescent="0.3"/>
    <row r="21" spans="1:11" ht="12.75" customHeight="1" x14ac:dyDescent="0.3"/>
    <row r="22" spans="1:11" ht="12.75" customHeight="1" x14ac:dyDescent="0.3"/>
    <row r="23" spans="1:11" ht="12.75" customHeight="1" x14ac:dyDescent="0.3"/>
    <row r="24" spans="1:11" ht="12.75" customHeight="1" x14ac:dyDescent="0.3"/>
    <row r="25" spans="1:11" ht="12.75" customHeight="1" x14ac:dyDescent="0.3"/>
    <row r="26" spans="1:11" ht="12.75" customHeight="1" x14ac:dyDescent="0.3">
      <c r="C26" s="101"/>
    </row>
    <row r="27" spans="1:11" ht="12.75" customHeight="1" x14ac:dyDescent="0.3"/>
    <row r="28" spans="1:11" ht="12.75" customHeight="1" x14ac:dyDescent="0.3"/>
    <row r="29" spans="1:11" ht="12.75" customHeight="1" x14ac:dyDescent="0.3"/>
    <row r="30" spans="1:11" ht="12.75" customHeight="1" x14ac:dyDescent="0.3"/>
    <row r="31" spans="1:11" ht="12.75" customHeight="1" x14ac:dyDescent="0.3"/>
    <row r="32" spans="1:11"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pageMargins left="0.39370078740157483" right="0.39370078740157483" top="0.78740157480314965" bottom="0.78740157480314965"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00"/>
  <sheetViews>
    <sheetView workbookViewId="0"/>
  </sheetViews>
  <sheetFormatPr defaultColWidth="14.3984375" defaultRowHeight="15" customHeight="1" x14ac:dyDescent="0.3"/>
  <cols>
    <col min="1" max="1" width="4.69921875" customWidth="1"/>
    <col min="2" max="2" width="8.3984375" customWidth="1"/>
    <col min="3" max="3" width="23.59765625" customWidth="1"/>
    <col min="4" max="4" width="22.59765625" customWidth="1"/>
    <col min="5" max="5" width="3.59765625" customWidth="1"/>
    <col min="6" max="8" width="6.3984375" customWidth="1"/>
    <col min="9" max="10" width="4.8984375" customWidth="1"/>
    <col min="11" max="11" width="5.59765625" customWidth="1"/>
  </cols>
  <sheetData>
    <row r="1" spans="1:11" ht="31.5" customHeight="1" x14ac:dyDescent="0.3">
      <c r="A1" s="114" t="s">
        <v>472</v>
      </c>
      <c r="B1" s="115"/>
      <c r="C1" s="115"/>
      <c r="D1" s="115"/>
      <c r="E1" s="115"/>
      <c r="F1" s="115"/>
      <c r="G1" s="115"/>
      <c r="H1" s="116"/>
      <c r="I1" s="120" t="s">
        <v>470</v>
      </c>
      <c r="J1" s="145"/>
      <c r="K1" s="121"/>
    </row>
    <row r="2" spans="1:11" ht="19.5" customHeight="1" x14ac:dyDescent="0.3">
      <c r="A2" s="117"/>
      <c r="B2" s="118"/>
      <c r="C2" s="118"/>
      <c r="D2" s="118"/>
      <c r="E2" s="118"/>
      <c r="F2" s="118"/>
      <c r="G2" s="118"/>
      <c r="H2" s="119"/>
      <c r="I2" s="122">
        <f ca="1">TODAY()</f>
        <v>46250</v>
      </c>
      <c r="J2" s="145"/>
      <c r="K2" s="121"/>
    </row>
    <row r="3" spans="1:1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11" ht="12.75" customHeight="1" x14ac:dyDescent="0.3">
      <c r="A4" s="15">
        <v>1</v>
      </c>
      <c r="B4" s="15" t="e">
        <f>IF(ISNA(VLOOKUP(C4,#REF!,3,FALSE))=TRUE,IF(ISNA(VLOOKUP(C4,Rangliste!B15:T109,3,FALSE))=TRUE,"",VLOOKUP(C4,Rangliste!B15:T109,3,FALSE)),IF(ISBLANK(VLOOKUP(C4,#REF!,3,FALSE))=TRUE,"",VLOOKUP(C4,#REF!,3,FALSE)))</f>
        <v>#REF!</v>
      </c>
      <c r="C4" s="16"/>
      <c r="D4" s="16" t="e">
        <f>IF(ISNA(VLOOKUP(C4,#REF!,2,FALSE))=TRUE,IF(ISNA(VLOOKUP(C4,Rangliste!B15:T109,2,FALSE))=TRUE,"",VLOOKUP(C4,Rangliste!B15:T109,2,FALSE)),IF(ISBLANK(VLOOKUP(C4,#REF!,2,FALSE))=TRUE,"",VLOOKUP(C4,#REF!,2,FALSE)))</f>
        <v>#REF!</v>
      </c>
      <c r="E4" s="22" t="e">
        <f>IF(ISNA(VLOOKUP(C4,#REF!,4,FALSE))=TRUE,IF(ISNA(VLOOKUP(C4,Rangliste!B15:T109,4,FALSE))=TRUE,"",VLOOKUP(C4,Rangliste!B15:T109,4,FALSE)),IF(ISBLANK(VLOOKUP(C4,#REF!,4,FALSE))=TRUE,"",VLOOKUP(C4,#REF!,4,FALSE)))</f>
        <v>#REF!</v>
      </c>
      <c r="F4" s="15" t="e">
        <f t="shared" ref="F4:F13" si="0">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G4" s="15" t="e">
        <f t="shared" ref="G4:G13" si="1">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H4" s="15" t="e">
        <f t="shared" ref="H4:H13" si="2">MAX(IF(ISNA(VLOOKUP(C4,#REF!,2,FALSE))=TRUE,0,VLOOKUP(C4,#REF!,2,FALSE)),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13" si="3">MIN(F4:H4)</f>
        <v>#REF!</v>
      </c>
      <c r="K4" s="42" t="e">
        <f t="shared" ref="K4:K13" si="4">SUM(F4:I4)-J4</f>
        <v>#REF!</v>
      </c>
    </row>
    <row r="5" spans="1:11" ht="12.75" customHeight="1" x14ac:dyDescent="0.3">
      <c r="A5" s="15">
        <v>2</v>
      </c>
      <c r="B5" s="15" t="e">
        <f>IF(ISNA(VLOOKUP(C5,#REF!,3,FALSE))=TRUE,IF(ISNA(VLOOKUP(C5,Rangliste!B16:T110,3,FALSE))=TRUE,"",VLOOKUP(C5,Rangliste!B16:T110,3,FALSE)),IF(ISBLANK(VLOOKUP(C5,#REF!,3,FALSE))=TRUE,"",VLOOKUP(C5,#REF!,3,FALSE)))</f>
        <v>#REF!</v>
      </c>
      <c r="C5" s="21"/>
      <c r="D5" s="16" t="e">
        <f>IF(ISNA(VLOOKUP(C5,#REF!,2,FALSE))=TRUE,IF(ISNA(VLOOKUP(C5,Rangliste!B16:T110,2,FALSE))=TRUE,"",VLOOKUP(C5,Rangliste!B16:T110,2,FALSE)),IF(ISBLANK(VLOOKUP(C5,#REF!,2,FALSE))=TRUE,"",VLOOKUP(C5,#REF!,2,FALSE)))</f>
        <v>#REF!</v>
      </c>
      <c r="E5" s="22" t="e">
        <f>IF(ISNA(VLOOKUP(C5,#REF!,4,FALSE))=TRUE,IF(ISNA(VLOOKUP(C5,Rangliste!B16:T110,4,FALSE))=TRUE,"",VLOOKUP(C5,Rangliste!B16:T110,4,FALSE)),IF(ISBLANK(VLOOKUP(C5,#REF!,4,FALSE))=TRUE,"",VLOOKUP(C5,#REF!,4,FALSE)))</f>
        <v>#REF!</v>
      </c>
      <c r="F5" s="15" t="e">
        <f t="shared" si="0"/>
        <v>#REF!</v>
      </c>
      <c r="G5" s="15" t="e">
        <f t="shared" si="1"/>
        <v>#REF!</v>
      </c>
      <c r="H5" s="15" t="e">
        <f t="shared" si="2"/>
        <v>#REF!</v>
      </c>
      <c r="I5" s="15" t="s">
        <v>388</v>
      </c>
      <c r="J5" s="15" t="e">
        <f t="shared" si="3"/>
        <v>#REF!</v>
      </c>
      <c r="K5" s="42" t="e">
        <f t="shared" si="4"/>
        <v>#REF!</v>
      </c>
    </row>
    <row r="6" spans="1:11" ht="12.75" customHeight="1" x14ac:dyDescent="0.3">
      <c r="A6" s="15">
        <v>3</v>
      </c>
      <c r="B6" s="15" t="e">
        <f>IF(ISNA(VLOOKUP(C6,#REF!,3,FALSE))=TRUE,IF(ISNA(VLOOKUP(C6,Rangliste!B17:T111,3,FALSE))=TRUE,"",VLOOKUP(C6,Rangliste!B17:T111,3,FALSE)),IF(ISBLANK(VLOOKUP(C6,#REF!,3,FALSE))=TRUE,"",VLOOKUP(C6,#REF!,3,FALSE)))</f>
        <v>#REF!</v>
      </c>
      <c r="D6" s="16" t="e">
        <f>IF(ISNA(VLOOKUP(C6,#REF!,2,FALSE))=TRUE,IF(ISNA(VLOOKUP(C6,Rangliste!B17:T111,2,FALSE))=TRUE,"",VLOOKUP(C6,Rangliste!B17:T111,2,FALSE)),IF(ISBLANK(VLOOKUP(C6,#REF!,2,FALSE))=TRUE,"",VLOOKUP(C6,#REF!,2,FALSE)))</f>
        <v>#REF!</v>
      </c>
      <c r="E6" s="22" t="e">
        <f>IF(ISNA(VLOOKUP(C6,#REF!,4,FALSE))=TRUE,IF(ISNA(VLOOKUP(C6,Rangliste!B17:T111,4,FALSE))=TRUE,"",VLOOKUP(C6,Rangliste!B17:T111,4,FALSE)),IF(ISBLANK(VLOOKUP(C6,#REF!,4,FALSE))=TRUE,"",VLOOKUP(C6,#REF!,4,FALSE)))</f>
        <v>#REF!</v>
      </c>
      <c r="F6" s="15" t="e">
        <f t="shared" si="0"/>
        <v>#REF!</v>
      </c>
      <c r="G6" s="15" t="e">
        <f t="shared" si="1"/>
        <v>#REF!</v>
      </c>
      <c r="H6" s="15" t="e">
        <f t="shared" si="2"/>
        <v>#REF!</v>
      </c>
      <c r="I6" s="15" t="s">
        <v>388</v>
      </c>
      <c r="J6" s="15" t="e">
        <f t="shared" si="3"/>
        <v>#REF!</v>
      </c>
      <c r="K6" s="42" t="e">
        <f t="shared" si="4"/>
        <v>#REF!</v>
      </c>
    </row>
    <row r="7" spans="1:11" ht="12.75" customHeight="1" x14ac:dyDescent="0.3">
      <c r="A7" s="15">
        <v>4</v>
      </c>
      <c r="B7" s="15" t="e">
        <f>IF(ISNA(VLOOKUP(C7,#REF!,3,FALSE))=TRUE,IF(ISNA(VLOOKUP(C7,Rangliste!B18:T112,3,FALSE))=TRUE,"",VLOOKUP(C7,Rangliste!B18:T112,3,FALSE)),IF(ISBLANK(VLOOKUP(C7,#REF!,3,FALSE))=TRUE,"",VLOOKUP(C7,#REF!,3,FALSE)))</f>
        <v>#REF!</v>
      </c>
      <c r="C7" s="16"/>
      <c r="D7" s="16" t="e">
        <f>IF(ISNA(VLOOKUP(C7,#REF!,2,FALSE))=TRUE,IF(ISNA(VLOOKUP(C7,Rangliste!B18:T112,2,FALSE))=TRUE,"",VLOOKUP(C7,Rangliste!B18:T112,2,FALSE)),IF(ISBLANK(VLOOKUP(C7,#REF!,2,FALSE))=TRUE,"",VLOOKUP(C7,#REF!,2,FALSE)))</f>
        <v>#REF!</v>
      </c>
      <c r="E7" s="22" t="e">
        <f>IF(ISNA(VLOOKUP(C7,#REF!,4,FALSE))=TRUE,IF(ISNA(VLOOKUP(C7,Rangliste!B18:T112,4,FALSE))=TRUE,"",VLOOKUP(C7,Rangliste!B18:T112,4,FALSE)),IF(ISBLANK(VLOOKUP(C7,#REF!,4,FALSE))=TRUE,"",VLOOKUP(C7,#REF!,4,FALSE)))</f>
        <v>#REF!</v>
      </c>
      <c r="F7" s="15" t="e">
        <f t="shared" si="0"/>
        <v>#REF!</v>
      </c>
      <c r="G7" s="15" t="e">
        <f t="shared" si="1"/>
        <v>#REF!</v>
      </c>
      <c r="H7" s="15" t="e">
        <f t="shared" si="2"/>
        <v>#REF!</v>
      </c>
      <c r="I7" s="15" t="s">
        <v>388</v>
      </c>
      <c r="J7" s="15" t="e">
        <f t="shared" si="3"/>
        <v>#REF!</v>
      </c>
      <c r="K7" s="42" t="e">
        <f t="shared" si="4"/>
        <v>#REF!</v>
      </c>
    </row>
    <row r="8" spans="1:11" ht="12.75" customHeight="1" x14ac:dyDescent="0.3">
      <c r="A8" s="15">
        <v>5</v>
      </c>
      <c r="B8" s="15" t="e">
        <f>IF(ISNA(VLOOKUP(C8,#REF!,3,FALSE))=TRUE,IF(ISNA(VLOOKUP(C8,Rangliste!B19:T113,3,FALSE))=TRUE,"",VLOOKUP(C8,Rangliste!B19:T113,3,FALSE)),IF(ISBLANK(VLOOKUP(C8,#REF!,3,FALSE))=TRUE,"",VLOOKUP(C8,#REF!,3,FALSE)))</f>
        <v>#REF!</v>
      </c>
      <c r="C8" s="21"/>
      <c r="D8" s="16" t="e">
        <f>IF(ISNA(VLOOKUP(C8,#REF!,2,FALSE))=TRUE,IF(ISNA(VLOOKUP(C8,Rangliste!B19:T113,2,FALSE))=TRUE,"",VLOOKUP(C8,Rangliste!B19:T113,2,FALSE)),IF(ISBLANK(VLOOKUP(C8,#REF!,2,FALSE))=TRUE,"",VLOOKUP(C8,#REF!,2,FALSE)))</f>
        <v>#REF!</v>
      </c>
      <c r="E8" s="22" t="e">
        <f>IF(ISNA(VLOOKUP(C8,#REF!,4,FALSE))=TRUE,IF(ISNA(VLOOKUP(C8,Rangliste!B19:T113,4,FALSE))=TRUE,"",VLOOKUP(C8,Rangliste!B19:T113,4,FALSE)),IF(ISBLANK(VLOOKUP(C8,#REF!,4,FALSE))=TRUE,"",VLOOKUP(C8,#REF!,4,FALSE)))</f>
        <v>#REF!</v>
      </c>
      <c r="F8" s="15" t="e">
        <f t="shared" si="0"/>
        <v>#REF!</v>
      </c>
      <c r="G8" s="15" t="e">
        <f t="shared" si="1"/>
        <v>#REF!</v>
      </c>
      <c r="H8" s="15" t="e">
        <f t="shared" si="2"/>
        <v>#REF!</v>
      </c>
      <c r="I8" s="15" t="s">
        <v>388</v>
      </c>
      <c r="J8" s="15" t="e">
        <f t="shared" si="3"/>
        <v>#REF!</v>
      </c>
      <c r="K8" s="42" t="e">
        <f t="shared" si="4"/>
        <v>#REF!</v>
      </c>
    </row>
    <row r="9" spans="1:11" ht="12.75" customHeight="1" x14ac:dyDescent="0.3">
      <c r="A9" s="15">
        <v>6</v>
      </c>
      <c r="B9" s="15" t="e">
        <f>IF(ISNA(VLOOKUP(C9,#REF!,3,FALSE))=TRUE,IF(ISNA(VLOOKUP(C9,Rangliste!B20:T114,3,FALSE))=TRUE,"",VLOOKUP(C9,Rangliste!B20:T114,3,FALSE)),IF(ISBLANK(VLOOKUP(C9,#REF!,3,FALSE))=TRUE,"",VLOOKUP(C9,#REF!,3,FALSE)))</f>
        <v>#REF!</v>
      </c>
      <c r="C9" s="16"/>
      <c r="D9" s="16" t="e">
        <f>IF(ISNA(VLOOKUP(C9,#REF!,2,FALSE))=TRUE,IF(ISNA(VLOOKUP(C9,Rangliste!B20:T114,2,FALSE))=TRUE,"",VLOOKUP(C9,Rangliste!B20:T114,2,FALSE)),IF(ISBLANK(VLOOKUP(C9,#REF!,2,FALSE))=TRUE,"",VLOOKUP(C9,#REF!,2,FALSE)))</f>
        <v>#REF!</v>
      </c>
      <c r="E9" s="22" t="e">
        <f>IF(ISNA(VLOOKUP(C9,#REF!,4,FALSE))=TRUE,IF(ISNA(VLOOKUP(C9,Rangliste!B20:T114,4,FALSE))=TRUE,"",VLOOKUP(C9,Rangliste!B20:T114,4,FALSE)),IF(ISBLANK(VLOOKUP(C9,#REF!,4,FALSE))=TRUE,"",VLOOKUP(C9,#REF!,4,FALSE)))</f>
        <v>#REF!</v>
      </c>
      <c r="F9" s="15" t="e">
        <f t="shared" si="0"/>
        <v>#REF!</v>
      </c>
      <c r="G9" s="15" t="e">
        <f t="shared" si="1"/>
        <v>#REF!</v>
      </c>
      <c r="H9" s="15" t="e">
        <f t="shared" si="2"/>
        <v>#REF!</v>
      </c>
      <c r="I9" s="15" t="s">
        <v>388</v>
      </c>
      <c r="J9" s="15" t="e">
        <f t="shared" si="3"/>
        <v>#REF!</v>
      </c>
      <c r="K9" s="42" t="e">
        <f t="shared" si="4"/>
        <v>#REF!</v>
      </c>
    </row>
    <row r="10" spans="1:11" ht="12.75" customHeight="1" x14ac:dyDescent="0.3">
      <c r="A10" s="15">
        <v>7</v>
      </c>
      <c r="B10" s="15" t="e">
        <f>IF(ISNA(VLOOKUP(C10,#REF!,3,FALSE))=TRUE,IF(ISNA(VLOOKUP(C10,Rangliste!B21:T115,3,FALSE))=TRUE,"",VLOOKUP(C10,Rangliste!B21:T115,3,FALSE)),IF(ISBLANK(VLOOKUP(C10,#REF!,3,FALSE))=TRUE,"",VLOOKUP(C10,#REF!,3,FALSE)))</f>
        <v>#REF!</v>
      </c>
      <c r="C10" s="16"/>
      <c r="D10" s="16" t="e">
        <f>IF(ISNA(VLOOKUP(C10,#REF!,2,FALSE))=TRUE,IF(ISNA(VLOOKUP(C10,Rangliste!B21:T115,2,FALSE))=TRUE,"",VLOOKUP(C10,Rangliste!B21:T115,2,FALSE)),IF(ISBLANK(VLOOKUP(C10,#REF!,2,FALSE))=TRUE,"",VLOOKUP(C10,#REF!,2,FALSE)))</f>
        <v>#REF!</v>
      </c>
      <c r="E10" s="22" t="e">
        <f>IF(ISNA(VLOOKUP(C10,#REF!,4,FALSE))=TRUE,IF(ISNA(VLOOKUP(C10,Rangliste!B21:T115,4,FALSE))=TRUE,"",VLOOKUP(C10,Rangliste!B21:T115,4,FALSE)),IF(ISBLANK(VLOOKUP(C10,#REF!,4,FALSE))=TRUE,"",VLOOKUP(C10,#REF!,4,FALSE)))</f>
        <v>#REF!</v>
      </c>
      <c r="F10" s="15" t="e">
        <f t="shared" si="0"/>
        <v>#REF!</v>
      </c>
      <c r="G10" s="15" t="e">
        <f t="shared" si="1"/>
        <v>#REF!</v>
      </c>
      <c r="H10" s="15" t="e">
        <f t="shared" si="2"/>
        <v>#REF!</v>
      </c>
      <c r="I10" s="15" t="s">
        <v>388</v>
      </c>
      <c r="J10" s="15" t="e">
        <f t="shared" si="3"/>
        <v>#REF!</v>
      </c>
      <c r="K10" s="42" t="e">
        <f t="shared" si="4"/>
        <v>#REF!</v>
      </c>
    </row>
    <row r="11" spans="1:11" ht="12.75" customHeight="1" x14ac:dyDescent="0.3">
      <c r="A11" s="15">
        <v>8</v>
      </c>
      <c r="B11" s="15" t="e">
        <f>IF(ISNA(VLOOKUP(C11,#REF!,3,FALSE))=TRUE,IF(ISNA(VLOOKUP(C11,Rangliste!B22:T116,3,FALSE))=TRUE,"",VLOOKUP(C11,Rangliste!B22:T116,3,FALSE)),IF(ISBLANK(VLOOKUP(C11,#REF!,3,FALSE))=TRUE,"",VLOOKUP(C11,#REF!,3,FALSE)))</f>
        <v>#REF!</v>
      </c>
      <c r="C11" s="16"/>
      <c r="D11" s="16" t="e">
        <f>IF(ISNA(VLOOKUP(C11,#REF!,2,FALSE))=TRUE,IF(ISNA(VLOOKUP(C11,Rangliste!B22:T116,2,FALSE))=TRUE,"",VLOOKUP(C11,Rangliste!B22:T116,2,FALSE)),IF(ISBLANK(VLOOKUP(C11,#REF!,2,FALSE))=TRUE,"",VLOOKUP(C11,#REF!,2,FALSE)))</f>
        <v>#REF!</v>
      </c>
      <c r="E11" s="22" t="e">
        <f>IF(ISNA(VLOOKUP(C11,#REF!,4,FALSE))=TRUE,IF(ISNA(VLOOKUP(C11,Rangliste!B22:T116,4,FALSE))=TRUE,"",VLOOKUP(C11,Rangliste!B22:T116,4,FALSE)),IF(ISBLANK(VLOOKUP(C11,#REF!,4,FALSE))=TRUE,"",VLOOKUP(C11,#REF!,4,FALSE)))</f>
        <v>#REF!</v>
      </c>
      <c r="F11" s="15" t="e">
        <f t="shared" si="0"/>
        <v>#REF!</v>
      </c>
      <c r="G11" s="15" t="e">
        <f t="shared" si="1"/>
        <v>#REF!</v>
      </c>
      <c r="H11" s="15" t="e">
        <f t="shared" si="2"/>
        <v>#REF!</v>
      </c>
      <c r="I11" s="15" t="s">
        <v>388</v>
      </c>
      <c r="J11" s="15" t="e">
        <f t="shared" si="3"/>
        <v>#REF!</v>
      </c>
      <c r="K11" s="42" t="e">
        <f t="shared" si="4"/>
        <v>#REF!</v>
      </c>
    </row>
    <row r="12" spans="1:11" ht="12.75" customHeight="1" x14ac:dyDescent="0.3">
      <c r="A12" s="15">
        <v>9</v>
      </c>
      <c r="B12" s="15" t="e">
        <f>IF(ISNA(VLOOKUP(C12,#REF!,3,FALSE))=TRUE,IF(ISNA(VLOOKUP(C12,Rangliste!B23:T117,3,FALSE))=TRUE,"",VLOOKUP(C12,Rangliste!B23:T117,3,FALSE)),IF(ISBLANK(VLOOKUP(C12,#REF!,3,FALSE))=TRUE,"",VLOOKUP(C12,#REF!,3,FALSE)))</f>
        <v>#REF!</v>
      </c>
      <c r="C12" s="54"/>
      <c r="D12" s="54" t="e">
        <f>IF(ISNA(VLOOKUP(C12,#REF!,2,FALSE))=TRUE,IF(ISNA(VLOOKUP(C12,Rangliste!B23:T117,2,FALSE))=TRUE,"",VLOOKUP(C12,Rangliste!B23:T117,2,FALSE)),IF(ISBLANK(VLOOKUP(C12,#REF!,2,FALSE))=TRUE,"",VLOOKUP(C12,#REF!,2,FALSE)))</f>
        <v>#REF!</v>
      </c>
      <c r="E12" s="22" t="e">
        <f>IF(ISNA(VLOOKUP(C12,#REF!,4,FALSE))=TRUE,IF(ISNA(VLOOKUP(C12,Rangliste!B23:T117,4,FALSE))=TRUE,"",VLOOKUP(C12,Rangliste!B23:T117,4,FALSE)),IF(ISBLANK(VLOOKUP(C12,#REF!,4,FALSE))=TRUE,"",VLOOKUP(C12,#REF!,4,FALSE)))</f>
        <v>#REF!</v>
      </c>
      <c r="F12" s="15" t="e">
        <f t="shared" si="0"/>
        <v>#REF!</v>
      </c>
      <c r="G12" s="15" t="e">
        <f t="shared" si="1"/>
        <v>#REF!</v>
      </c>
      <c r="H12" s="15" t="e">
        <f t="shared" si="2"/>
        <v>#REF!</v>
      </c>
      <c r="I12" s="15" t="s">
        <v>388</v>
      </c>
      <c r="J12" s="15" t="e">
        <f t="shared" si="3"/>
        <v>#REF!</v>
      </c>
      <c r="K12" s="42" t="e">
        <f t="shared" si="4"/>
        <v>#REF!</v>
      </c>
    </row>
    <row r="13" spans="1:11" ht="12.75" customHeight="1" x14ac:dyDescent="0.3">
      <c r="A13" s="15">
        <v>10</v>
      </c>
      <c r="B13" s="15" t="e">
        <f>IF(ISNA(VLOOKUP(C13,#REF!,3,FALSE))=TRUE,IF(ISNA(VLOOKUP(C13,Rangliste!B24:T118,3,FALSE))=TRUE,"",VLOOKUP(C13,Rangliste!B24:T118,3,FALSE)),IF(ISBLANK(VLOOKUP(C13,#REF!,3,FALSE))=TRUE,"",VLOOKUP(C13,#REF!,3,FALSE)))</f>
        <v>#REF!</v>
      </c>
      <c r="C13" s="16"/>
      <c r="D13" s="16" t="e">
        <f>IF(ISNA(VLOOKUP(C13,#REF!,2,FALSE))=TRUE,IF(ISNA(VLOOKUP(C13,Rangliste!B24:T118,2,FALSE))=TRUE,"",VLOOKUP(C13,Rangliste!B24:T118,2,FALSE)),IF(ISBLANK(VLOOKUP(C13,#REF!,2,FALSE))=TRUE,"",VLOOKUP(C13,#REF!,2,FALSE)))</f>
        <v>#REF!</v>
      </c>
      <c r="E13" s="22" t="e">
        <f>IF(ISNA(VLOOKUP(C13,#REF!,4,FALSE))=TRUE,IF(ISNA(VLOOKUP(C13,Rangliste!B24:T118,4,FALSE))=TRUE,"",VLOOKUP(C13,Rangliste!B24:T118,4,FALSE)),IF(ISBLANK(VLOOKUP(C13,#REF!,4,FALSE))=TRUE,"",VLOOKUP(C13,#REF!,4,FALSE)))</f>
        <v>#REF!</v>
      </c>
      <c r="F13" s="15" t="e">
        <f t="shared" si="0"/>
        <v>#REF!</v>
      </c>
      <c r="G13" s="15" t="e">
        <f t="shared" si="1"/>
        <v>#REF!</v>
      </c>
      <c r="H13" s="15" t="e">
        <f t="shared" si="2"/>
        <v>#REF!</v>
      </c>
      <c r="I13" s="15" t="s">
        <v>388</v>
      </c>
      <c r="J13" s="15" t="e">
        <f t="shared" si="3"/>
        <v>#REF!</v>
      </c>
      <c r="K13" s="42" t="e">
        <f t="shared" si="4"/>
        <v>#REF!</v>
      </c>
    </row>
    <row r="14" spans="1:11" ht="12.75" customHeight="1" x14ac:dyDescent="0.3">
      <c r="A14" s="15"/>
      <c r="B14" s="15"/>
      <c r="C14" s="54"/>
      <c r="D14" s="54"/>
      <c r="E14" s="22"/>
      <c r="F14" s="15"/>
      <c r="G14" s="15"/>
      <c r="H14" s="15"/>
      <c r="I14" s="15"/>
      <c r="J14" s="15"/>
      <c r="K14" s="42"/>
    </row>
    <row r="15" spans="1:11" ht="12.75" customHeight="1" x14ac:dyDescent="0.3">
      <c r="A15" s="15"/>
      <c r="B15" s="15"/>
      <c r="D15" s="16"/>
      <c r="E15" s="22"/>
      <c r="F15" s="15"/>
      <c r="G15" s="15"/>
      <c r="H15" s="15"/>
      <c r="I15" s="15"/>
      <c r="J15" s="15"/>
      <c r="K15" s="42"/>
    </row>
    <row r="16" spans="1:11" ht="12.75" customHeight="1" x14ac:dyDescent="0.3">
      <c r="A16" s="15"/>
      <c r="B16" s="15"/>
      <c r="C16" s="21"/>
      <c r="D16" s="16"/>
      <c r="E16" s="22"/>
      <c r="F16" s="15"/>
      <c r="G16" s="15"/>
      <c r="H16" s="15"/>
      <c r="I16" s="15"/>
      <c r="J16" s="15"/>
      <c r="K16" s="42"/>
    </row>
    <row r="17" spans="1:11" ht="12.75" customHeight="1" x14ac:dyDescent="0.3">
      <c r="A17" s="15"/>
      <c r="B17" s="15"/>
      <c r="C17" s="54"/>
      <c r="D17" s="54"/>
      <c r="E17" s="22"/>
      <c r="F17" s="15"/>
      <c r="G17" s="15"/>
      <c r="H17" s="15"/>
      <c r="I17" s="15"/>
      <c r="J17" s="15"/>
      <c r="K17" s="42"/>
    </row>
    <row r="18" spans="1:11" ht="12.75" customHeight="1" x14ac:dyDescent="0.3">
      <c r="A18" s="15"/>
      <c r="B18" s="15"/>
      <c r="D18" s="48"/>
      <c r="E18" s="22"/>
      <c r="F18" s="15"/>
      <c r="G18" s="15"/>
      <c r="H18" s="15"/>
      <c r="I18" s="15"/>
      <c r="J18" s="15"/>
      <c r="K18" s="42"/>
    </row>
    <row r="19" spans="1:11" ht="12.75" customHeight="1" x14ac:dyDescent="0.3">
      <c r="A19" s="15"/>
      <c r="B19" s="15"/>
      <c r="C19" s="54"/>
      <c r="D19" s="54"/>
      <c r="E19" s="22"/>
      <c r="F19" s="15"/>
      <c r="G19" s="15"/>
      <c r="H19" s="15"/>
      <c r="I19" s="15"/>
      <c r="J19" s="15"/>
      <c r="K19" s="42"/>
    </row>
    <row r="20" spans="1:11" ht="12.75" customHeight="1" x14ac:dyDescent="0.3">
      <c r="A20" s="15"/>
      <c r="B20" s="15"/>
      <c r="C20" s="48" t="str">
        <f>IF(COUNTA(A4:A13) = COUNT(B4:B13),"","Spieler muss beim nächsten Einzel-RLT ÖBV-Mitglied sein")</f>
        <v>Spieler muss beim nächsten Einzel-RLT ÖBV-Mitglied sein</v>
      </c>
      <c r="D20" s="54"/>
      <c r="E20" s="22"/>
      <c r="F20" s="15"/>
      <c r="G20" s="15"/>
      <c r="H20" s="15"/>
      <c r="I20" s="15"/>
      <c r="J20" s="15"/>
      <c r="K20" s="42"/>
    </row>
    <row r="21" spans="1:11" ht="12.75" customHeight="1" x14ac:dyDescent="0.3">
      <c r="A21" s="15"/>
      <c r="B21" s="15"/>
      <c r="C21" s="54"/>
      <c r="D21" s="54"/>
      <c r="E21" s="22"/>
      <c r="F21" s="15"/>
      <c r="G21" s="15"/>
      <c r="H21" s="15"/>
      <c r="I21" s="15"/>
      <c r="J21" s="15"/>
      <c r="K21" s="42"/>
    </row>
    <row r="22" spans="1:11" ht="12.75" customHeight="1" x14ac:dyDescent="0.3">
      <c r="A22" s="15"/>
      <c r="B22" s="15"/>
      <c r="C22" s="54"/>
      <c r="D22" s="54"/>
      <c r="E22" s="22"/>
      <c r="F22" s="15"/>
      <c r="G22" s="15"/>
      <c r="H22" s="15"/>
      <c r="I22" s="15"/>
      <c r="J22" s="15"/>
      <c r="K22" s="42"/>
    </row>
    <row r="23" spans="1:11" ht="12.75" customHeight="1" x14ac:dyDescent="0.3">
      <c r="A23" s="15"/>
      <c r="B23" s="15"/>
      <c r="C23" s="54"/>
      <c r="D23" s="54"/>
      <c r="E23" s="22"/>
      <c r="F23" s="15"/>
      <c r="G23" s="15"/>
      <c r="H23" s="15"/>
      <c r="I23" s="15"/>
      <c r="J23" s="15"/>
      <c r="K23" s="42"/>
    </row>
    <row r="24" spans="1:11" ht="12.75" customHeight="1" x14ac:dyDescent="0.3">
      <c r="A24" s="15"/>
      <c r="B24" s="15"/>
      <c r="C24" s="54"/>
      <c r="D24" s="54"/>
      <c r="E24" s="22"/>
      <c r="F24" s="15"/>
      <c r="G24" s="15"/>
      <c r="H24" s="15"/>
      <c r="I24" s="15"/>
      <c r="J24" s="15"/>
      <c r="K24" s="42"/>
    </row>
    <row r="25" spans="1:11" ht="12.75" customHeight="1" x14ac:dyDescent="0.3">
      <c r="A25" s="15"/>
      <c r="B25" s="15"/>
      <c r="C25" s="54"/>
      <c r="D25" s="54"/>
      <c r="E25" s="22"/>
      <c r="F25" s="15"/>
      <c r="G25" s="15"/>
      <c r="H25" s="15"/>
      <c r="I25" s="15"/>
      <c r="J25" s="15"/>
      <c r="K25" s="42"/>
    </row>
    <row r="26" spans="1:11" ht="12.75" customHeight="1" x14ac:dyDescent="0.3">
      <c r="A26" s="15"/>
      <c r="B26" s="15"/>
      <c r="C26" s="54"/>
      <c r="D26" s="54"/>
      <c r="E26" s="22"/>
      <c r="F26" s="15"/>
      <c r="G26" s="15"/>
      <c r="H26" s="15"/>
      <c r="I26" s="15"/>
      <c r="J26" s="15"/>
      <c r="K26" s="42"/>
    </row>
    <row r="27" spans="1:11" ht="12.75" customHeight="1" x14ac:dyDescent="0.3">
      <c r="A27" s="15"/>
      <c r="B27" s="15"/>
      <c r="C27" s="54"/>
      <c r="D27" s="54"/>
      <c r="E27" s="22"/>
      <c r="F27" s="15"/>
      <c r="G27" s="15"/>
      <c r="H27" s="15"/>
      <c r="I27" s="15"/>
      <c r="J27" s="15"/>
      <c r="K27" s="42"/>
    </row>
    <row r="28" spans="1:11" ht="12.75" customHeight="1" x14ac:dyDescent="0.3">
      <c r="A28" s="15"/>
      <c r="B28" s="15"/>
      <c r="C28" s="54"/>
      <c r="D28" s="54"/>
      <c r="E28" s="22"/>
      <c r="F28" s="15"/>
      <c r="G28" s="15"/>
      <c r="H28" s="15"/>
      <c r="I28" s="15"/>
      <c r="J28" s="15"/>
      <c r="K28" s="42"/>
    </row>
    <row r="29" spans="1:11" ht="12.75" customHeight="1" x14ac:dyDescent="0.3"/>
    <row r="30" spans="1:11" ht="12.75" customHeight="1" x14ac:dyDescent="0.3"/>
    <row r="31" spans="1:11" ht="12.75" customHeight="1" x14ac:dyDescent="0.3"/>
    <row r="32" spans="1:11" ht="12.75" customHeight="1" x14ac:dyDescent="0.3"/>
    <row r="33" spans="3:3" ht="12.75" customHeight="1" x14ac:dyDescent="0.3">
      <c r="C33" s="101"/>
    </row>
    <row r="34" spans="3:3" ht="12.75" customHeight="1" x14ac:dyDescent="0.3"/>
    <row r="35" spans="3:3" ht="12.75" customHeight="1" x14ac:dyDescent="0.3"/>
    <row r="36" spans="3:3" ht="12.75" customHeight="1" x14ac:dyDescent="0.3"/>
    <row r="37" spans="3:3" ht="12.75" customHeight="1" x14ac:dyDescent="0.3"/>
    <row r="38" spans="3:3" ht="12.75" customHeight="1" x14ac:dyDescent="0.3"/>
    <row r="39" spans="3:3" ht="12.75" customHeight="1" x14ac:dyDescent="0.3"/>
    <row r="40" spans="3:3" ht="12.75" customHeight="1" x14ac:dyDescent="0.3"/>
    <row r="41" spans="3:3" ht="12.75" customHeight="1" x14ac:dyDescent="0.3"/>
    <row r="42" spans="3:3" ht="12.75" customHeight="1" x14ac:dyDescent="0.3"/>
    <row r="43" spans="3:3" ht="12.75" customHeight="1" x14ac:dyDescent="0.3"/>
    <row r="44" spans="3:3" ht="12.75" customHeight="1" x14ac:dyDescent="0.3"/>
    <row r="45" spans="3:3" ht="12.75" customHeight="1" x14ac:dyDescent="0.3"/>
    <row r="46" spans="3:3" ht="12.75" customHeight="1" x14ac:dyDescent="0.3"/>
    <row r="47" spans="3:3" ht="12.75" customHeight="1" x14ac:dyDescent="0.3"/>
    <row r="48" spans="3:3"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conditionalFormatting sqref="C19">
    <cfRule type="expression" dxfId="10" priority="1">
      <formula>IF($B19="",FALSE,#REF!="")</formula>
    </cfRule>
  </conditionalFormatting>
  <conditionalFormatting sqref="D14">
    <cfRule type="expression" dxfId="9" priority="2">
      <formula>IF($B14="",FALSE,#REF!="")</formula>
    </cfRule>
  </conditionalFormatting>
  <conditionalFormatting sqref="D16:D17">
    <cfRule type="expression" dxfId="8" priority="3">
      <formula>IF($B16="",FALSE,#REF!="")</formula>
    </cfRule>
  </conditionalFormatting>
  <conditionalFormatting sqref="D19:D20 D22:D28">
    <cfRule type="expression" dxfId="7" priority="4">
      <formula>IF($B19="",FALSE,#REF!="")</formula>
    </cfRule>
  </conditionalFormatting>
  <pageMargins left="0.39370078740157483" right="0.39370078740157483" top="0.78740157480314965" bottom="0.78740157480314965" header="0" footer="0"/>
  <pageSetup paperSize="9" scale="97"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3.59765625" customWidth="1"/>
    <col min="6" max="8" width="6.3984375" customWidth="1"/>
    <col min="9" max="10" width="4.8984375" customWidth="1"/>
    <col min="11" max="11" width="5.59765625" customWidth="1"/>
    <col min="12" max="13" width="10.59765625" customWidth="1"/>
    <col min="14" max="14" width="16.8984375" customWidth="1"/>
    <col min="15" max="21" width="10.59765625" customWidth="1"/>
  </cols>
  <sheetData>
    <row r="1" spans="1:21" ht="31.5" customHeight="1" x14ac:dyDescent="0.3">
      <c r="A1" s="114" t="s">
        <v>473</v>
      </c>
      <c r="B1" s="115"/>
      <c r="C1" s="115"/>
      <c r="D1" s="115"/>
      <c r="E1" s="115"/>
      <c r="F1" s="115"/>
      <c r="G1" s="115"/>
      <c r="H1" s="116"/>
      <c r="I1" s="120" t="s">
        <v>470</v>
      </c>
      <c r="J1" s="145"/>
      <c r="K1" s="121"/>
    </row>
    <row r="2" spans="1:21" ht="19.5" customHeight="1" x14ac:dyDescent="0.3">
      <c r="A2" s="117"/>
      <c r="B2" s="118"/>
      <c r="C2" s="118"/>
      <c r="D2" s="118"/>
      <c r="E2" s="118"/>
      <c r="F2" s="118"/>
      <c r="G2" s="118"/>
      <c r="H2" s="119"/>
      <c r="I2" s="122">
        <f ca="1">TODAY()</f>
        <v>46250</v>
      </c>
      <c r="J2" s="145"/>
      <c r="K2" s="121"/>
    </row>
    <row r="3" spans="1:2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21" ht="12.75" customHeight="1" x14ac:dyDescent="0.3">
      <c r="A4" s="15">
        <v>1</v>
      </c>
      <c r="B4" s="15" t="e">
        <f>IF(ISBLANK(VLOOKUP(C4,Rangliste!$B$10:$T$117,3,FALSE))=TRUE,"",VLOOKUP(C4,Rangliste!$B$10:$T$117,3,FALSE))</f>
        <v>#N/A</v>
      </c>
      <c r="C4" s="16"/>
      <c r="D4" s="21" t="e">
        <f>IF(ISBLANK(VLOOKUP(C4,Rangliste!$B$10:$T$117,2,FALSE))=TRUE,"",VLOOKUP(C4,Rangliste!$B$10:$T$117,2,FALSE))</f>
        <v>#N/A</v>
      </c>
      <c r="E4" s="41" t="e">
        <f>IF(ISBLANK(VLOOKUP(C4,Rangliste!$B$10:$T$117,4,FALSE))=TRUE,"",VLOOKUP(C4,Rangliste!$B$10:$T$117,4,FALSE))</f>
        <v>#N/A</v>
      </c>
      <c r="F4" s="15" t="e">
        <f t="shared" ref="F4:F31"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31"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31" si="2">MAX(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31" si="3">MIN(F4:I4)</f>
        <v>#REF!</v>
      </c>
      <c r="K4" s="42" t="e">
        <f t="shared" ref="K4:K31" si="4">SUM(F4:I4)-J4</f>
        <v>#REF!</v>
      </c>
    </row>
    <row r="5" spans="1:21" ht="12.75" customHeight="1" x14ac:dyDescent="0.3">
      <c r="A5" s="15">
        <v>2</v>
      </c>
      <c r="B5" s="15" t="e">
        <f>IF(ISBLANK(VLOOKUP(C5,Rangliste!$B$10:$T$117,3,FALSE))=TRUE,"",VLOOKUP(C5,Rangliste!$B$10:$T$117,3,FALSE))</f>
        <v>#N/A</v>
      </c>
      <c r="C5" s="16"/>
      <c r="D5" s="16" t="e">
        <f>IF(ISBLANK(VLOOKUP(C5,Rangliste!$B$10:$T$117,2,FALSE))=TRUE,"",VLOOKUP(C5,Rangliste!$B$10:$T$117,2,FALSE))</f>
        <v>#N/A</v>
      </c>
      <c r="E5" s="41" t="e">
        <f>IF(ISBLANK(VLOOKUP(C5,Rangliste!$B$10:$T$117,4,FALSE))=TRUE,"",VLOOKUP(C5,Rangliste!$B$10:$T$117,4,FALSE))</f>
        <v>#N/A</v>
      </c>
      <c r="F5" s="15" t="e">
        <f t="shared" si="0"/>
        <v>#REF!</v>
      </c>
      <c r="G5" s="15" t="e">
        <f t="shared" si="1"/>
        <v>#REF!</v>
      </c>
      <c r="H5" s="15" t="e">
        <f t="shared" si="2"/>
        <v>#REF!</v>
      </c>
      <c r="I5" s="15" t="s">
        <v>388</v>
      </c>
      <c r="J5" s="15" t="e">
        <f t="shared" si="3"/>
        <v>#REF!</v>
      </c>
      <c r="K5" s="42" t="e">
        <f t="shared" si="4"/>
        <v>#REF!</v>
      </c>
      <c r="M5" s="15"/>
      <c r="N5" s="16"/>
      <c r="O5" s="16"/>
      <c r="P5" s="22"/>
      <c r="Q5" s="15"/>
      <c r="R5" s="15"/>
      <c r="S5" s="15"/>
      <c r="T5" s="15"/>
      <c r="U5" s="42"/>
    </row>
    <row r="6" spans="1:21" ht="12.75" customHeight="1" x14ac:dyDescent="0.3">
      <c r="A6" s="15">
        <v>3</v>
      </c>
      <c r="B6" s="15" t="e">
        <f>IF(ISBLANK(VLOOKUP(C6,Rangliste!$B$10:$T$117,3,FALSE))=TRUE,"",VLOOKUP(C6,Rangliste!$B$10:$T$117,3,FALSE))</f>
        <v>#N/A</v>
      </c>
      <c r="C6" s="16"/>
      <c r="D6" s="16" t="e">
        <f>IF(ISBLANK(VLOOKUP(C6,Rangliste!$B$10:$T$117,2,FALSE))=TRUE,"",VLOOKUP(C6,Rangliste!$B$10:$T$117,2,FALSE))</f>
        <v>#N/A</v>
      </c>
      <c r="E6" s="41" t="e">
        <f>IF(ISBLANK(VLOOKUP(C6,Rangliste!$B$10:$T$117,4,FALSE))=TRUE,"",VLOOKUP(C6,Rangliste!$B$10:$T$117,4,FALSE))</f>
        <v>#N/A</v>
      </c>
      <c r="F6" s="15" t="e">
        <f t="shared" si="0"/>
        <v>#REF!</v>
      </c>
      <c r="G6" s="15" t="e">
        <f t="shared" si="1"/>
        <v>#REF!</v>
      </c>
      <c r="H6" s="15" t="e">
        <f t="shared" si="2"/>
        <v>#REF!</v>
      </c>
      <c r="I6" s="15" t="s">
        <v>388</v>
      </c>
      <c r="J6" s="15" t="e">
        <f t="shared" si="3"/>
        <v>#REF!</v>
      </c>
      <c r="K6" s="42" t="e">
        <f t="shared" si="4"/>
        <v>#REF!</v>
      </c>
      <c r="M6" s="15"/>
      <c r="N6" s="16"/>
      <c r="O6" s="16"/>
      <c r="P6" s="41"/>
      <c r="Q6" s="15"/>
      <c r="R6" s="15"/>
      <c r="S6" s="15"/>
      <c r="T6" s="15"/>
      <c r="U6" s="42"/>
    </row>
    <row r="7" spans="1:21" ht="12.75" customHeight="1" x14ac:dyDescent="0.3">
      <c r="A7" s="15">
        <v>4</v>
      </c>
      <c r="B7" s="15" t="e">
        <f>IF(ISBLANK(VLOOKUP(C7,Rangliste!$B$10:$T$117,3,FALSE))=TRUE,"",VLOOKUP(C7,Rangliste!$B$10:$T$117,3,FALSE))</f>
        <v>#N/A</v>
      </c>
      <c r="C7" s="16"/>
      <c r="D7" s="21" t="e">
        <f>IF(ISBLANK(VLOOKUP(C7,Rangliste!$B$10:$T$117,2,FALSE))=TRUE,"",VLOOKUP(C7,Rangliste!$B$10:$T$117,2,FALSE))</f>
        <v>#N/A</v>
      </c>
      <c r="E7" s="41" t="e">
        <f>IF(ISBLANK(VLOOKUP(C7,Rangliste!$B$10:$T$117,4,FALSE))=TRUE,"",VLOOKUP(C7,Rangliste!$B$10:$T$117,4,FALSE))</f>
        <v>#N/A</v>
      </c>
      <c r="F7" s="15" t="e">
        <f t="shared" si="0"/>
        <v>#REF!</v>
      </c>
      <c r="G7" s="15" t="e">
        <f t="shared" si="1"/>
        <v>#REF!</v>
      </c>
      <c r="H7" s="15" t="e">
        <f t="shared" si="2"/>
        <v>#REF!</v>
      </c>
      <c r="I7" s="15" t="s">
        <v>388</v>
      </c>
      <c r="J7" s="15" t="e">
        <f t="shared" si="3"/>
        <v>#REF!</v>
      </c>
      <c r="K7" s="42" t="e">
        <f t="shared" si="4"/>
        <v>#REF!</v>
      </c>
      <c r="M7" s="15"/>
      <c r="N7" s="16"/>
      <c r="O7" s="16"/>
      <c r="P7" s="22"/>
      <c r="Q7" s="15"/>
      <c r="R7" s="15"/>
      <c r="S7" s="15"/>
      <c r="T7" s="15"/>
      <c r="U7" s="42"/>
    </row>
    <row r="8" spans="1:21" ht="12.75" customHeight="1" x14ac:dyDescent="0.3">
      <c r="A8" s="15">
        <v>5</v>
      </c>
      <c r="B8" s="15" t="e">
        <f>IF(ISBLANK(VLOOKUP(C8,Rangliste!$B$10:$T$117,3,FALSE))=TRUE,"",VLOOKUP(C8,Rangliste!$B$10:$T$117,3,FALSE))</f>
        <v>#N/A</v>
      </c>
      <c r="C8" s="16"/>
      <c r="D8" s="16" t="e">
        <f>IF(ISBLANK(VLOOKUP(C8,Rangliste!$B$10:$T$117,2,FALSE))=TRUE,"",VLOOKUP(C8,Rangliste!$B$10:$T$117,2,FALSE))</f>
        <v>#N/A</v>
      </c>
      <c r="E8" s="41" t="e">
        <f>IF(ISBLANK(VLOOKUP(C8,Rangliste!$B$10:$T$117,4,FALSE))=TRUE,"",VLOOKUP(C8,Rangliste!$B$10:$T$117,4,FALSE))</f>
        <v>#N/A</v>
      </c>
      <c r="F8" s="15" t="e">
        <f t="shared" si="0"/>
        <v>#REF!</v>
      </c>
      <c r="G8" s="15" t="e">
        <f t="shared" si="1"/>
        <v>#REF!</v>
      </c>
      <c r="H8" s="15" t="e">
        <f t="shared" si="2"/>
        <v>#REF!</v>
      </c>
      <c r="I8" s="15" t="s">
        <v>388</v>
      </c>
      <c r="J8" s="15" t="e">
        <f t="shared" si="3"/>
        <v>#REF!</v>
      </c>
      <c r="K8" s="42" t="e">
        <f t="shared" si="4"/>
        <v>#REF!</v>
      </c>
      <c r="M8" s="15"/>
      <c r="N8" s="16"/>
      <c r="O8" s="16"/>
      <c r="P8" s="22"/>
      <c r="Q8" s="15"/>
      <c r="R8" s="15"/>
      <c r="S8" s="15"/>
      <c r="T8" s="15"/>
      <c r="U8" s="42"/>
    </row>
    <row r="9" spans="1:21" ht="12.75" customHeight="1" x14ac:dyDescent="0.3">
      <c r="A9" s="15">
        <v>6</v>
      </c>
      <c r="B9" s="15" t="e">
        <f>IF(ISBLANK(VLOOKUP(C9,Rangliste!$B$10:$T$117,3,FALSE))=TRUE,"",VLOOKUP(C9,Rangliste!$B$10:$T$117,3,FALSE))</f>
        <v>#N/A</v>
      </c>
      <c r="C9" s="16"/>
      <c r="D9" s="16" t="e">
        <f>IF(ISBLANK(VLOOKUP(C9,Rangliste!$B$10:$T$117,2,FALSE))=TRUE,"",VLOOKUP(C9,Rangliste!$B$10:$T$117,2,FALSE))</f>
        <v>#N/A</v>
      </c>
      <c r="E9" s="41" t="e">
        <f>IF(ISBLANK(VLOOKUP(C9,Rangliste!$B$10:$T$117,4,FALSE))=TRUE,"",VLOOKUP(C9,Rangliste!$B$10:$T$117,4,FALSE))</f>
        <v>#N/A</v>
      </c>
      <c r="F9" s="15" t="e">
        <f t="shared" si="0"/>
        <v>#REF!</v>
      </c>
      <c r="G9" s="15" t="e">
        <f t="shared" si="1"/>
        <v>#REF!</v>
      </c>
      <c r="H9" s="15" t="e">
        <f t="shared" si="2"/>
        <v>#REF!</v>
      </c>
      <c r="I9" s="15" t="s">
        <v>388</v>
      </c>
      <c r="J9" s="15" t="e">
        <f t="shared" si="3"/>
        <v>#REF!</v>
      </c>
      <c r="K9" s="42" t="e">
        <f t="shared" si="4"/>
        <v>#REF!</v>
      </c>
      <c r="M9" s="15"/>
      <c r="N9" s="16"/>
      <c r="O9" s="35"/>
      <c r="P9" s="41"/>
      <c r="Q9" s="15"/>
      <c r="R9" s="15"/>
      <c r="S9" s="15"/>
      <c r="T9" s="15"/>
      <c r="U9" s="42"/>
    </row>
    <row r="10" spans="1:21" ht="12.75" customHeight="1" x14ac:dyDescent="0.3">
      <c r="A10" s="15">
        <v>7</v>
      </c>
      <c r="B10" s="15" t="e">
        <f>IF(ISBLANK(VLOOKUP(C10,Rangliste!$B$10:$T$117,3,FALSE))=TRUE,"",VLOOKUP(C10,Rangliste!$B$10:$T$117,3,FALSE))</f>
        <v>#N/A</v>
      </c>
      <c r="C10" s="16"/>
      <c r="D10" s="21" t="e">
        <f>IF(ISBLANK(VLOOKUP(C10,Rangliste!$B$10:$T$117,2,FALSE))=TRUE,"",VLOOKUP(C10,Rangliste!$B$10:$T$117,2,FALSE))</f>
        <v>#N/A</v>
      </c>
      <c r="E10" s="41" t="e">
        <f>IF(ISBLANK(VLOOKUP(C10,Rangliste!$B$10:$T$117,4,FALSE))=TRUE,"",VLOOKUP(C10,Rangliste!$B$10:$T$117,4,FALSE))</f>
        <v>#N/A</v>
      </c>
      <c r="F10" s="15" t="e">
        <f t="shared" si="0"/>
        <v>#REF!</v>
      </c>
      <c r="G10" s="15" t="e">
        <f t="shared" si="1"/>
        <v>#REF!</v>
      </c>
      <c r="H10" s="15" t="e">
        <f t="shared" si="2"/>
        <v>#REF!</v>
      </c>
      <c r="I10" s="15" t="s">
        <v>388</v>
      </c>
      <c r="J10" s="15" t="e">
        <f t="shared" si="3"/>
        <v>#REF!</v>
      </c>
      <c r="K10" s="42" t="e">
        <f t="shared" si="4"/>
        <v>#REF!</v>
      </c>
    </row>
    <row r="11" spans="1:21" ht="12.75" customHeight="1" x14ac:dyDescent="0.3">
      <c r="A11" s="15">
        <v>8</v>
      </c>
      <c r="B11" s="15" t="e">
        <f>IF(ISBLANK(VLOOKUP(C11,Rangliste!$B$10:$T$117,3,FALSE))=TRUE,"",VLOOKUP(C11,Rangliste!$B$10:$T$117,3,FALSE))</f>
        <v>#N/A</v>
      </c>
      <c r="C11" s="16"/>
      <c r="D11" s="21" t="e">
        <f>IF(ISBLANK(VLOOKUP(C11,Rangliste!$B$10:$T$117,2,FALSE))=TRUE,"",VLOOKUP(C11,Rangliste!$B$10:$T$117,2,FALSE))</f>
        <v>#N/A</v>
      </c>
      <c r="E11" s="41" t="e">
        <f>IF(ISBLANK(VLOOKUP(C11,Rangliste!$B$10:$T$117,4,FALSE))=TRUE,"",VLOOKUP(C11,Rangliste!$B$10:$T$117,4,FALSE))</f>
        <v>#N/A</v>
      </c>
      <c r="F11" s="15" t="e">
        <f t="shared" si="0"/>
        <v>#REF!</v>
      </c>
      <c r="G11" s="15" t="e">
        <f t="shared" si="1"/>
        <v>#REF!</v>
      </c>
      <c r="H11" s="15" t="e">
        <f t="shared" si="2"/>
        <v>#REF!</v>
      </c>
      <c r="I11" s="15" t="s">
        <v>388</v>
      </c>
      <c r="J11" s="15" t="e">
        <f t="shared" si="3"/>
        <v>#REF!</v>
      </c>
      <c r="K11" s="42" t="e">
        <f t="shared" si="4"/>
        <v>#REF!</v>
      </c>
    </row>
    <row r="12" spans="1:21" ht="12.75" customHeight="1" x14ac:dyDescent="0.3">
      <c r="A12" s="15">
        <v>9</v>
      </c>
      <c r="B12" s="15" t="e">
        <f>IF(ISBLANK(VLOOKUP(C12,Rangliste!$B$10:$T$117,3,FALSE))=TRUE,"",VLOOKUP(C12,Rangliste!$B$10:$T$117,3,FALSE))</f>
        <v>#N/A</v>
      </c>
      <c r="C12" s="21"/>
      <c r="D12" s="43" t="e">
        <f>IF(ISBLANK(VLOOKUP(C12,Rangliste!$B$10:$T$117,2,FALSE))=TRUE,"",VLOOKUP(C12,Rangliste!$B$10:$T$117,2,FALSE))</f>
        <v>#N/A</v>
      </c>
      <c r="E12" s="41" t="e">
        <f>IF(ISBLANK(VLOOKUP(C12,Rangliste!$B$10:$T$117,4,FALSE))=TRUE,"",VLOOKUP(C12,Rangliste!$B$10:$T$117,4,FALSE))</f>
        <v>#N/A</v>
      </c>
      <c r="F12" s="15" t="e">
        <f t="shared" si="0"/>
        <v>#REF!</v>
      </c>
      <c r="G12" s="15" t="e">
        <f t="shared" si="1"/>
        <v>#REF!</v>
      </c>
      <c r="H12" s="15" t="e">
        <f t="shared" si="2"/>
        <v>#REF!</v>
      </c>
      <c r="I12" s="15" t="s">
        <v>388</v>
      </c>
      <c r="J12" s="15" t="e">
        <f t="shared" si="3"/>
        <v>#REF!</v>
      </c>
      <c r="K12" s="42" t="e">
        <f t="shared" si="4"/>
        <v>#REF!</v>
      </c>
    </row>
    <row r="13" spans="1:21" ht="12.75" customHeight="1" x14ac:dyDescent="0.3">
      <c r="A13" s="15">
        <v>10</v>
      </c>
      <c r="B13" s="15" t="e">
        <f>IF(ISBLANK(VLOOKUP(C13,Rangliste!$B$10:$T$117,3,FALSE))=TRUE,"",VLOOKUP(C13,Rangliste!$B$10:$T$117,3,FALSE))</f>
        <v>#N/A</v>
      </c>
      <c r="C13" s="16"/>
      <c r="D13" s="21" t="e">
        <f>IF(ISBLANK(VLOOKUP(C13,Rangliste!$B$10:$T$117,2,FALSE))=TRUE,"",VLOOKUP(C13,Rangliste!$B$10:$T$117,2,FALSE))</f>
        <v>#N/A</v>
      </c>
      <c r="E13" s="41" t="e">
        <f>IF(ISBLANK(VLOOKUP(C13,Rangliste!$B$10:$T$117,4,FALSE))=TRUE,"",VLOOKUP(C13,Rangliste!$B$10:$T$117,4,FALSE))</f>
        <v>#N/A</v>
      </c>
      <c r="F13" s="15" t="e">
        <f t="shared" si="0"/>
        <v>#REF!</v>
      </c>
      <c r="G13" s="15" t="e">
        <f t="shared" si="1"/>
        <v>#REF!</v>
      </c>
      <c r="H13" s="15" t="e">
        <f t="shared" si="2"/>
        <v>#REF!</v>
      </c>
      <c r="I13" s="15" t="s">
        <v>388</v>
      </c>
      <c r="J13" s="15" t="e">
        <f t="shared" si="3"/>
        <v>#REF!</v>
      </c>
      <c r="K13" s="42" t="e">
        <f t="shared" si="4"/>
        <v>#REF!</v>
      </c>
    </row>
    <row r="14" spans="1:21" ht="12.75" customHeight="1" x14ac:dyDescent="0.3">
      <c r="A14" s="15">
        <v>11</v>
      </c>
      <c r="B14" s="15" t="e">
        <f>IF(ISBLANK(VLOOKUP(C14,Rangliste!$B$10:$T$117,3,FALSE))=TRUE,"",VLOOKUP(C14,Rangliste!$B$10:$T$117,3,FALSE))</f>
        <v>#N/A</v>
      </c>
      <c r="C14" s="21"/>
      <c r="D14" s="21" t="e">
        <f>IF(ISBLANK(VLOOKUP(C14,Rangliste!$B$10:$T$117,2,FALSE))=TRUE,"",VLOOKUP(C14,Rangliste!$B$10:$T$117,2,FALSE))</f>
        <v>#N/A</v>
      </c>
      <c r="E14" s="41" t="e">
        <f>IF(ISBLANK(VLOOKUP(C14,Rangliste!$B$10:$T$117,4,FALSE))=TRUE,"",VLOOKUP(C14,Rangliste!$B$10:$T$117,4,FALSE))</f>
        <v>#N/A</v>
      </c>
      <c r="F14" s="15" t="e">
        <f t="shared" si="0"/>
        <v>#REF!</v>
      </c>
      <c r="G14" s="15" t="e">
        <f t="shared" si="1"/>
        <v>#REF!</v>
      </c>
      <c r="H14" s="15" t="e">
        <f t="shared" si="2"/>
        <v>#REF!</v>
      </c>
      <c r="I14" s="15" t="s">
        <v>388</v>
      </c>
      <c r="J14" s="15" t="e">
        <f t="shared" si="3"/>
        <v>#REF!</v>
      </c>
      <c r="K14" s="42" t="e">
        <f t="shared" si="4"/>
        <v>#REF!</v>
      </c>
    </row>
    <row r="15" spans="1:21" ht="12.75" customHeight="1" x14ac:dyDescent="0.3">
      <c r="A15" s="15">
        <v>12</v>
      </c>
      <c r="B15" s="15" t="e">
        <f>IF(ISBLANK(VLOOKUP(C15,Rangliste!$B$10:$T$117,3,FALSE))=TRUE,"",VLOOKUP(C15,Rangliste!$B$10:$T$117,3,FALSE))</f>
        <v>#N/A</v>
      </c>
      <c r="C15" s="16"/>
      <c r="D15" s="21" t="e">
        <f>IF(ISBLANK(VLOOKUP(C15,Rangliste!$B$10:$T$117,2,FALSE))=TRUE,"",VLOOKUP(C15,Rangliste!$B$10:$T$117,2,FALSE))</f>
        <v>#N/A</v>
      </c>
      <c r="E15" s="41" t="e">
        <f>IF(ISBLANK(VLOOKUP(C15,Rangliste!$B$10:$T$117,4,FALSE))=TRUE,"",VLOOKUP(C15,Rangliste!$B$10:$T$117,4,FALSE))</f>
        <v>#N/A</v>
      </c>
      <c r="F15" s="15" t="e">
        <f t="shared" si="0"/>
        <v>#REF!</v>
      </c>
      <c r="G15" s="15" t="e">
        <f t="shared" si="1"/>
        <v>#REF!</v>
      </c>
      <c r="H15" s="15" t="e">
        <f t="shared" si="2"/>
        <v>#REF!</v>
      </c>
      <c r="I15" s="15" t="s">
        <v>388</v>
      </c>
      <c r="J15" s="15" t="e">
        <f t="shared" si="3"/>
        <v>#REF!</v>
      </c>
      <c r="K15" s="42" t="e">
        <f t="shared" si="4"/>
        <v>#REF!</v>
      </c>
    </row>
    <row r="16" spans="1:21" ht="12.75" customHeight="1" x14ac:dyDescent="0.3">
      <c r="A16" s="15">
        <v>13</v>
      </c>
      <c r="B16" s="15" t="e">
        <f>IF(ISBLANK(VLOOKUP(C16,Rangliste!$B$10:$T$117,3,FALSE))=TRUE,"",VLOOKUP(C16,Rangliste!$B$10:$T$117,3,FALSE))</f>
        <v>#N/A</v>
      </c>
      <c r="D16" s="21" t="e">
        <f>IF(ISBLANK(VLOOKUP(C16,Rangliste!$B$10:$T$117,2,FALSE))=TRUE,"",VLOOKUP(C16,Rangliste!$B$10:$T$117,2,FALSE))</f>
        <v>#N/A</v>
      </c>
      <c r="E16" s="41" t="e">
        <f>IF(ISBLANK(VLOOKUP(C16,Rangliste!$B$10:$T$117,4,FALSE))=TRUE,"",VLOOKUP(C16,Rangliste!$B$10:$T$117,4,FALSE))</f>
        <v>#N/A</v>
      </c>
      <c r="F16" s="15" t="e">
        <f t="shared" si="0"/>
        <v>#REF!</v>
      </c>
      <c r="G16" s="15" t="e">
        <f t="shared" si="1"/>
        <v>#REF!</v>
      </c>
      <c r="H16" s="15" t="e">
        <f t="shared" si="2"/>
        <v>#REF!</v>
      </c>
      <c r="I16" s="15" t="s">
        <v>388</v>
      </c>
      <c r="J16" s="15" t="e">
        <f t="shared" si="3"/>
        <v>#REF!</v>
      </c>
      <c r="K16" s="42" t="e">
        <f t="shared" si="4"/>
        <v>#REF!</v>
      </c>
    </row>
    <row r="17" spans="1:11" ht="12.75" customHeight="1" x14ac:dyDescent="0.3">
      <c r="A17" s="15">
        <v>14</v>
      </c>
      <c r="B17" s="15" t="e">
        <f>IF(ISBLANK(VLOOKUP(C17,Rangliste!$B$10:$T$117,3,FALSE))=TRUE,"",VLOOKUP(C17,Rangliste!$B$10:$T$117,3,FALSE))</f>
        <v>#N/A</v>
      </c>
      <c r="C17" s="21"/>
      <c r="D17" s="21" t="e">
        <f>IF(ISBLANK(VLOOKUP(C17,Rangliste!$B$10:$T$117,2,FALSE))=TRUE,"",VLOOKUP(C17,Rangliste!$B$10:$T$117,2,FALSE))</f>
        <v>#N/A</v>
      </c>
      <c r="E17" s="41" t="e">
        <f>IF(ISBLANK(VLOOKUP(C17,Rangliste!$B$10:$T$117,4,FALSE))=TRUE,"",VLOOKUP(C17,Rangliste!$B$10:$T$117,4,FALSE))</f>
        <v>#N/A</v>
      </c>
      <c r="F17" s="15" t="e">
        <f t="shared" si="0"/>
        <v>#REF!</v>
      </c>
      <c r="G17" s="15" t="e">
        <f t="shared" si="1"/>
        <v>#REF!</v>
      </c>
      <c r="H17" s="15" t="e">
        <f t="shared" si="2"/>
        <v>#REF!</v>
      </c>
      <c r="I17" s="15" t="s">
        <v>388</v>
      </c>
      <c r="J17" s="15" t="e">
        <f t="shared" si="3"/>
        <v>#REF!</v>
      </c>
      <c r="K17" s="42" t="e">
        <f t="shared" si="4"/>
        <v>#REF!</v>
      </c>
    </row>
    <row r="18" spans="1:11" ht="12.75" customHeight="1" x14ac:dyDescent="0.3">
      <c r="A18" s="15">
        <v>15</v>
      </c>
      <c r="B18" s="15" t="e">
        <f>IF(ISBLANK(VLOOKUP(C18,Rangliste!$B$10:$T$117,3,FALSE))=TRUE,"",VLOOKUP(C18,Rangliste!$B$10:$T$117,3,FALSE))</f>
        <v>#N/A</v>
      </c>
      <c r="C18" s="21"/>
      <c r="D18" s="21" t="e">
        <f>IF(ISBLANK(VLOOKUP(C18,Rangliste!$B$10:$T$117,2,FALSE))=TRUE,"",VLOOKUP(C18,Rangliste!$B$10:$T$117,2,FALSE))</f>
        <v>#N/A</v>
      </c>
      <c r="E18" s="41" t="e">
        <f>IF(ISBLANK(VLOOKUP(C18,Rangliste!$B$10:$T$117,4,FALSE))=TRUE,"",VLOOKUP(C18,Rangliste!$B$10:$T$117,4,FALSE))</f>
        <v>#N/A</v>
      </c>
      <c r="F18" s="15" t="e">
        <f t="shared" si="0"/>
        <v>#REF!</v>
      </c>
      <c r="G18" s="15" t="e">
        <f t="shared" si="1"/>
        <v>#REF!</v>
      </c>
      <c r="H18" s="15" t="e">
        <f t="shared" si="2"/>
        <v>#REF!</v>
      </c>
      <c r="I18" s="15" t="s">
        <v>388</v>
      </c>
      <c r="J18" s="15" t="e">
        <f t="shared" si="3"/>
        <v>#REF!</v>
      </c>
      <c r="K18" s="42" t="e">
        <f t="shared" si="4"/>
        <v>#REF!</v>
      </c>
    </row>
    <row r="19" spans="1:11" ht="12.75" customHeight="1" x14ac:dyDescent="0.3">
      <c r="A19" s="15">
        <v>16</v>
      </c>
      <c r="B19" s="15" t="e">
        <f>IF(ISBLANK(VLOOKUP(C19,Rangliste!$B$10:$T$117,3,FALSE))=TRUE,"",VLOOKUP(C19,Rangliste!$B$10:$T$117,3,FALSE))</f>
        <v>#N/A</v>
      </c>
      <c r="C19" s="21"/>
      <c r="D19" s="21" t="e">
        <f>IF(ISBLANK(VLOOKUP(C19,Rangliste!$B$10:$T$117,2,FALSE))=TRUE,"",VLOOKUP(C19,Rangliste!$B$10:$T$117,2,FALSE))</f>
        <v>#N/A</v>
      </c>
      <c r="E19" s="41" t="e">
        <f>IF(ISBLANK(VLOOKUP(C19,Rangliste!$B$10:$T$117,4,FALSE))=TRUE,"",VLOOKUP(C19,Rangliste!$B$10:$T$117,4,FALSE))</f>
        <v>#N/A</v>
      </c>
      <c r="F19" s="15" t="e">
        <f t="shared" si="0"/>
        <v>#REF!</v>
      </c>
      <c r="G19" s="15" t="e">
        <f t="shared" si="1"/>
        <v>#REF!</v>
      </c>
      <c r="H19" s="15" t="e">
        <f t="shared" si="2"/>
        <v>#REF!</v>
      </c>
      <c r="I19" s="15" t="s">
        <v>388</v>
      </c>
      <c r="J19" s="15" t="e">
        <f t="shared" si="3"/>
        <v>#REF!</v>
      </c>
      <c r="K19" s="42" t="e">
        <f t="shared" si="4"/>
        <v>#REF!</v>
      </c>
    </row>
    <row r="20" spans="1:11" ht="12.75" customHeight="1" x14ac:dyDescent="0.3">
      <c r="A20" s="15">
        <v>17</v>
      </c>
      <c r="B20" s="15" t="e">
        <f>IF(ISBLANK(VLOOKUP(C20,Rangliste!$B$10:$T$117,3,FALSE))=TRUE,"",VLOOKUP(C20,Rangliste!$B$10:$T$117,3,FALSE))</f>
        <v>#N/A</v>
      </c>
      <c r="C20" s="21"/>
      <c r="D20" s="21" t="e">
        <f>IF(ISBLANK(VLOOKUP(C20,Rangliste!$B$10:$T$117,2,FALSE))=TRUE,"",VLOOKUP(C20,Rangliste!$B$10:$T$117,2,FALSE))</f>
        <v>#N/A</v>
      </c>
      <c r="E20" s="41" t="e">
        <f>IF(ISBLANK(VLOOKUP(C20,Rangliste!$B$10:$T$117,4,FALSE))=TRUE,"",VLOOKUP(C20,Rangliste!$B$10:$T$117,4,FALSE))</f>
        <v>#N/A</v>
      </c>
      <c r="F20" s="15" t="e">
        <f t="shared" si="0"/>
        <v>#REF!</v>
      </c>
      <c r="G20" s="15" t="e">
        <f t="shared" si="1"/>
        <v>#REF!</v>
      </c>
      <c r="H20" s="15" t="e">
        <f t="shared" si="2"/>
        <v>#REF!</v>
      </c>
      <c r="I20" s="15" t="s">
        <v>388</v>
      </c>
      <c r="J20" s="15" t="e">
        <f t="shared" si="3"/>
        <v>#REF!</v>
      </c>
      <c r="K20" s="42" t="e">
        <f t="shared" si="4"/>
        <v>#REF!</v>
      </c>
    </row>
    <row r="21" spans="1:11" ht="12.75" customHeight="1" x14ac:dyDescent="0.3">
      <c r="A21" s="15">
        <v>18</v>
      </c>
      <c r="B21" s="15" t="e">
        <f>IF(ISBLANK(VLOOKUP(C21,Rangliste!$B$10:$T$117,3,FALSE))=TRUE,"",VLOOKUP(C21,Rangliste!$B$10:$T$117,3,FALSE))</f>
        <v>#N/A</v>
      </c>
      <c r="C21" s="21"/>
      <c r="D21" s="21" t="e">
        <f>IF(ISBLANK(VLOOKUP(C21,Rangliste!$B$10:$T$117,2,FALSE))=TRUE,"",VLOOKUP(C21,Rangliste!$B$10:$T$117,2,FALSE))</f>
        <v>#N/A</v>
      </c>
      <c r="E21" s="41" t="e">
        <f>IF(ISBLANK(VLOOKUP(C21,Rangliste!$B$10:$T$117,4,FALSE))=TRUE,"",VLOOKUP(C21,Rangliste!$B$10:$T$117,4,FALSE))</f>
        <v>#N/A</v>
      </c>
      <c r="F21" s="15" t="e">
        <f t="shared" si="0"/>
        <v>#REF!</v>
      </c>
      <c r="G21" s="15" t="e">
        <f t="shared" si="1"/>
        <v>#REF!</v>
      </c>
      <c r="H21" s="15" t="e">
        <f t="shared" si="2"/>
        <v>#REF!</v>
      </c>
      <c r="I21" s="15" t="s">
        <v>388</v>
      </c>
      <c r="J21" s="15" t="e">
        <f t="shared" si="3"/>
        <v>#REF!</v>
      </c>
      <c r="K21" s="42" t="e">
        <f t="shared" si="4"/>
        <v>#REF!</v>
      </c>
    </row>
    <row r="22" spans="1:11" ht="12.75" customHeight="1" x14ac:dyDescent="0.3">
      <c r="A22" s="15">
        <v>19</v>
      </c>
      <c r="B22" s="15" t="e">
        <f>IF(ISBLANK(VLOOKUP(C22,Rangliste!$B$10:$T$117,3,FALSE))=TRUE,"",VLOOKUP(C22,Rangliste!$B$10:$T$117,3,FALSE))</f>
        <v>#N/A</v>
      </c>
      <c r="C22" s="21"/>
      <c r="D22" s="16" t="e">
        <f>IF(ISBLANK(VLOOKUP(C22,Rangliste!$B$10:$T$117,2,FALSE))=TRUE,"",VLOOKUP(C22,Rangliste!$B$10:$T$117,2,FALSE))</f>
        <v>#N/A</v>
      </c>
      <c r="E22" s="41" t="e">
        <f>IF(ISBLANK(VLOOKUP(C22,Rangliste!$B$10:$T$117,4,FALSE))=TRUE,"",VLOOKUP(C22,Rangliste!$B$10:$T$117,4,FALSE))</f>
        <v>#N/A</v>
      </c>
      <c r="F22" s="15" t="e">
        <f t="shared" si="0"/>
        <v>#REF!</v>
      </c>
      <c r="G22" s="15" t="e">
        <f t="shared" si="1"/>
        <v>#REF!</v>
      </c>
      <c r="H22" s="15" t="e">
        <f t="shared" si="2"/>
        <v>#REF!</v>
      </c>
      <c r="I22" s="15" t="s">
        <v>388</v>
      </c>
      <c r="J22" s="15" t="e">
        <f t="shared" si="3"/>
        <v>#REF!</v>
      </c>
      <c r="K22" s="42" t="e">
        <f t="shared" si="4"/>
        <v>#REF!</v>
      </c>
    </row>
    <row r="23" spans="1:11" ht="12.75" customHeight="1" x14ac:dyDescent="0.3">
      <c r="A23" s="15">
        <v>20</v>
      </c>
      <c r="B23" s="15" t="e">
        <f>IF(ISBLANK(VLOOKUP(C23,Rangliste!$B$10:$T$117,3,FALSE))=TRUE,"",VLOOKUP(C23,Rangliste!$B$10:$T$117,3,FALSE))</f>
        <v>#N/A</v>
      </c>
      <c r="D23" s="43" t="e">
        <f>IF(ISBLANK(VLOOKUP(C23,Rangliste!$B$10:$T$117,2,FALSE))=TRUE,"",VLOOKUP(C23,Rangliste!$B$10:$T$117,2,FALSE))</f>
        <v>#N/A</v>
      </c>
      <c r="E23" s="41" t="e">
        <f>IF(ISBLANK(VLOOKUP(C23,Rangliste!$B$10:$T$117,4,FALSE))=TRUE,"",VLOOKUP(C23,Rangliste!$B$10:$T$117,4,FALSE))</f>
        <v>#N/A</v>
      </c>
      <c r="F23" s="15" t="e">
        <f t="shared" si="0"/>
        <v>#REF!</v>
      </c>
      <c r="G23" s="15" t="e">
        <f t="shared" si="1"/>
        <v>#REF!</v>
      </c>
      <c r="H23" s="15" t="e">
        <f t="shared" si="2"/>
        <v>#REF!</v>
      </c>
      <c r="I23" s="15" t="s">
        <v>388</v>
      </c>
      <c r="J23" s="15" t="e">
        <f t="shared" si="3"/>
        <v>#REF!</v>
      </c>
      <c r="K23" s="42" t="e">
        <f t="shared" si="4"/>
        <v>#REF!</v>
      </c>
    </row>
    <row r="24" spans="1:11" ht="12.75" customHeight="1" x14ac:dyDescent="0.3">
      <c r="A24" s="15">
        <v>21</v>
      </c>
      <c r="B24" s="15" t="e">
        <f>IF(ISBLANK(VLOOKUP(C24,Rangliste!$B$10:$T$117,3,FALSE))=TRUE,"",VLOOKUP(C24,Rangliste!$B$10:$T$117,3,FALSE))</f>
        <v>#N/A</v>
      </c>
      <c r="C24" s="21"/>
      <c r="D24" s="21" t="e">
        <f>IF(ISBLANK(VLOOKUP(C24,Rangliste!$B$10:$T$117,2,FALSE))=TRUE,"",VLOOKUP(C24,Rangliste!$B$10:$T$117,2,FALSE))</f>
        <v>#N/A</v>
      </c>
      <c r="E24" s="41" t="e">
        <f>IF(ISBLANK(VLOOKUP(C24,Rangliste!$B$10:$T$117,4,FALSE))=TRUE,"",VLOOKUP(C24,Rangliste!$B$10:$T$117,4,FALSE))</f>
        <v>#N/A</v>
      </c>
      <c r="F24" s="15" t="e">
        <f t="shared" si="0"/>
        <v>#REF!</v>
      </c>
      <c r="G24" s="15" t="e">
        <f t="shared" si="1"/>
        <v>#REF!</v>
      </c>
      <c r="H24" s="15" t="e">
        <f t="shared" si="2"/>
        <v>#REF!</v>
      </c>
      <c r="I24" s="15" t="s">
        <v>388</v>
      </c>
      <c r="J24" s="15" t="e">
        <f t="shared" si="3"/>
        <v>#REF!</v>
      </c>
      <c r="K24" s="42" t="e">
        <f t="shared" si="4"/>
        <v>#REF!</v>
      </c>
    </row>
    <row r="25" spans="1:11" ht="12.75" customHeight="1" x14ac:dyDescent="0.3">
      <c r="A25" s="15">
        <v>22</v>
      </c>
      <c r="B25" s="15" t="e">
        <f>IF(ISBLANK(VLOOKUP(C25,Rangliste!$B$10:$T$117,3,FALSE))=TRUE,"",VLOOKUP(C25,Rangliste!$B$10:$T$117,3,FALSE))</f>
        <v>#N/A</v>
      </c>
      <c r="C25" s="16"/>
      <c r="D25" s="16" t="e">
        <f>IF(ISBLANK(VLOOKUP(C25,Rangliste!$B$10:$T$117,2,FALSE))=TRUE,"",VLOOKUP(C25,Rangliste!$B$10:$T$117,2,FALSE))</f>
        <v>#N/A</v>
      </c>
      <c r="E25" s="41" t="e">
        <f>IF(ISBLANK(VLOOKUP(C25,Rangliste!$B$10:$T$117,4,FALSE))=TRUE,"",VLOOKUP(C25,Rangliste!$B$10:$T$117,4,FALSE))</f>
        <v>#N/A</v>
      </c>
      <c r="F25" s="15" t="e">
        <f t="shared" si="0"/>
        <v>#REF!</v>
      </c>
      <c r="G25" s="15" t="e">
        <f t="shared" si="1"/>
        <v>#REF!</v>
      </c>
      <c r="H25" s="15" t="e">
        <f t="shared" si="2"/>
        <v>#REF!</v>
      </c>
      <c r="I25" s="15" t="s">
        <v>388</v>
      </c>
      <c r="J25" s="15" t="e">
        <f t="shared" si="3"/>
        <v>#REF!</v>
      </c>
      <c r="K25" s="42" t="e">
        <f t="shared" si="4"/>
        <v>#REF!</v>
      </c>
    </row>
    <row r="26" spans="1:11" ht="12.75" customHeight="1" x14ac:dyDescent="0.3">
      <c r="A26" s="15">
        <v>23</v>
      </c>
      <c r="B26" s="15" t="e">
        <f>IF(ISBLANK(VLOOKUP(C26,Rangliste!$B$10:$T$117,3,FALSE))=TRUE,"",VLOOKUP(C26,Rangliste!$B$10:$T$117,3,FALSE))</f>
        <v>#N/A</v>
      </c>
      <c r="C26" s="21"/>
      <c r="D26" s="21" t="e">
        <f>IF(ISBLANK(VLOOKUP(C26,Rangliste!$B$10:$T$117,2,FALSE))=TRUE,"",VLOOKUP(C26,Rangliste!$B$10:$T$117,2,FALSE))</f>
        <v>#N/A</v>
      </c>
      <c r="E26" s="41" t="e">
        <f>IF(ISBLANK(VLOOKUP(C26,Rangliste!$B$10:$T$117,4,FALSE))=TRUE,"",VLOOKUP(C26,Rangliste!$B$10:$T$117,4,FALSE))</f>
        <v>#N/A</v>
      </c>
      <c r="F26" s="15" t="e">
        <f t="shared" si="0"/>
        <v>#REF!</v>
      </c>
      <c r="G26" s="15" t="e">
        <f t="shared" si="1"/>
        <v>#REF!</v>
      </c>
      <c r="H26" s="15" t="e">
        <f t="shared" si="2"/>
        <v>#REF!</v>
      </c>
      <c r="I26" s="15" t="s">
        <v>388</v>
      </c>
      <c r="J26" s="15" t="e">
        <f t="shared" si="3"/>
        <v>#REF!</v>
      </c>
      <c r="K26" s="42" t="e">
        <f t="shared" si="4"/>
        <v>#REF!</v>
      </c>
    </row>
    <row r="27" spans="1:11" ht="12.75" customHeight="1" x14ac:dyDescent="0.3">
      <c r="A27" s="15">
        <v>24</v>
      </c>
      <c r="B27" s="15" t="e">
        <f>IF(ISBLANK(VLOOKUP(C27,Rangliste!$B$10:$T$117,3,FALSE))=TRUE,"",VLOOKUP(C27,Rangliste!$B$10:$T$117,3,FALSE))</f>
        <v>#N/A</v>
      </c>
      <c r="D27" s="43" t="e">
        <f>IF(ISBLANK(VLOOKUP(C27,Rangliste!$B$10:$T$117,2,FALSE))=TRUE,"",VLOOKUP(C27,Rangliste!$B$10:$T$117,2,FALSE))</f>
        <v>#N/A</v>
      </c>
      <c r="E27" s="41" t="e">
        <f>IF(ISBLANK(VLOOKUP(C27,Rangliste!$B$10:$T$117,4,FALSE))=TRUE,"",VLOOKUP(C27,Rangliste!$B$10:$T$117,4,FALSE))</f>
        <v>#N/A</v>
      </c>
      <c r="F27" s="15" t="e">
        <f t="shared" si="0"/>
        <v>#REF!</v>
      </c>
      <c r="G27" s="15" t="e">
        <f t="shared" si="1"/>
        <v>#REF!</v>
      </c>
      <c r="H27" s="15" t="e">
        <f t="shared" si="2"/>
        <v>#REF!</v>
      </c>
      <c r="I27" s="15" t="s">
        <v>388</v>
      </c>
      <c r="J27" s="15" t="e">
        <f t="shared" si="3"/>
        <v>#REF!</v>
      </c>
      <c r="K27" s="42" t="e">
        <f t="shared" si="4"/>
        <v>#REF!</v>
      </c>
    </row>
    <row r="28" spans="1:11" ht="12.75" customHeight="1" x14ac:dyDescent="0.3">
      <c r="A28" s="15">
        <v>25</v>
      </c>
      <c r="B28" s="15" t="e">
        <f>IF(ISBLANK(VLOOKUP(C28,Rangliste!$B$10:$T$117,3,FALSE))=TRUE,"",VLOOKUP(C28,Rangliste!$B$10:$T$117,3,FALSE))</f>
        <v>#N/A</v>
      </c>
      <c r="C28" s="54"/>
      <c r="D28" s="54" t="e">
        <f>IF(ISBLANK(VLOOKUP(C28,Rangliste!$B$10:$T$117,2,FALSE))=TRUE,"",VLOOKUP(C28,Rangliste!$B$10:$T$117,2,FALSE))</f>
        <v>#N/A</v>
      </c>
      <c r="E28" s="41" t="e">
        <f>IF(ISBLANK(VLOOKUP(C28,Rangliste!$B$10:$T$117,4,FALSE))=TRUE,"",VLOOKUP(C28,Rangliste!$B$10:$T$117,4,FALSE))</f>
        <v>#N/A</v>
      </c>
      <c r="F28" s="15" t="e">
        <f t="shared" si="0"/>
        <v>#REF!</v>
      </c>
      <c r="G28" s="15" t="e">
        <f t="shared" si="1"/>
        <v>#REF!</v>
      </c>
      <c r="H28" s="15" t="e">
        <f t="shared" si="2"/>
        <v>#REF!</v>
      </c>
      <c r="I28" s="15" t="s">
        <v>388</v>
      </c>
      <c r="J28" s="15" t="e">
        <f t="shared" si="3"/>
        <v>#REF!</v>
      </c>
      <c r="K28" s="42" t="e">
        <f t="shared" si="4"/>
        <v>#REF!</v>
      </c>
    </row>
    <row r="29" spans="1:11" ht="12.75" hidden="1" customHeight="1" x14ac:dyDescent="0.3">
      <c r="A29" s="15">
        <v>26</v>
      </c>
      <c r="B29" s="15" t="e">
        <f>IF(ISBLANK(VLOOKUP(C29,Rangliste!$B$10:$T$117,3,FALSE))=TRUE,"",VLOOKUP(C29,Rangliste!$B$10:$T$117,3,FALSE))</f>
        <v>#N/A</v>
      </c>
      <c r="C29" s="21" t="s">
        <v>474</v>
      </c>
      <c r="D29" s="21" t="e">
        <f>IF(ISBLANK(VLOOKUP(C29,Rangliste!$B$10:$T$117,2,FALSE))=TRUE,"",VLOOKUP(C29,Rangliste!$B$10:$T$117,2,FALSE))</f>
        <v>#N/A</v>
      </c>
      <c r="E29" s="41" t="e">
        <f>IF(ISBLANK(VLOOKUP(C29,Rangliste!$B$10:$T$117,4,FALSE))=TRUE,"",VLOOKUP(C29,Rangliste!$B$10:$T$117,4,FALSE))</f>
        <v>#N/A</v>
      </c>
      <c r="F29" s="15" t="e">
        <f t="shared" si="0"/>
        <v>#REF!</v>
      </c>
      <c r="G29" s="15" t="e">
        <f t="shared" si="1"/>
        <v>#REF!</v>
      </c>
      <c r="H29" s="15" t="e">
        <f t="shared" si="2"/>
        <v>#REF!</v>
      </c>
      <c r="I29" s="15" t="s">
        <v>388</v>
      </c>
      <c r="J29" s="15" t="e">
        <f t="shared" si="3"/>
        <v>#REF!</v>
      </c>
      <c r="K29" s="42" t="e">
        <f t="shared" si="4"/>
        <v>#REF!</v>
      </c>
    </row>
    <row r="30" spans="1:11" ht="12.75" hidden="1" customHeight="1" x14ac:dyDescent="0.3">
      <c r="A30" s="15">
        <v>27</v>
      </c>
      <c r="B30" s="15" t="e">
        <f>IF(ISBLANK(VLOOKUP(C30,Rangliste!$B$10:$T$117,3,FALSE))=TRUE,"",VLOOKUP(C30,Rangliste!$B$10:$T$117,3,FALSE))</f>
        <v>#N/A</v>
      </c>
      <c r="C30" s="43" t="s">
        <v>475</v>
      </c>
      <c r="D30" s="21" t="e">
        <f>IF(ISBLANK(VLOOKUP(C30,Rangliste!$B$10:$T$117,2,FALSE))=TRUE,"",VLOOKUP(C30,Rangliste!$B$10:$T$117,2,FALSE))</f>
        <v>#N/A</v>
      </c>
      <c r="E30" s="41" t="e">
        <f>IF(ISBLANK(VLOOKUP(C30,Rangliste!$B$10:$T$117,4,FALSE))=TRUE,"",VLOOKUP(C30,Rangliste!$B$10:$T$117,4,FALSE))</f>
        <v>#N/A</v>
      </c>
      <c r="F30" s="15" t="e">
        <f t="shared" si="0"/>
        <v>#REF!</v>
      </c>
      <c r="G30" s="15" t="e">
        <f t="shared" si="1"/>
        <v>#REF!</v>
      </c>
      <c r="H30" s="15" t="e">
        <f t="shared" si="2"/>
        <v>#REF!</v>
      </c>
      <c r="I30" s="15" t="s">
        <v>388</v>
      </c>
      <c r="J30" s="15" t="e">
        <f t="shared" si="3"/>
        <v>#REF!</v>
      </c>
      <c r="K30" s="42" t="e">
        <f t="shared" si="4"/>
        <v>#REF!</v>
      </c>
    </row>
    <row r="31" spans="1:11" ht="12.75" hidden="1" customHeight="1" x14ac:dyDescent="0.3">
      <c r="A31" s="15">
        <v>28</v>
      </c>
      <c r="B31" s="15" t="e">
        <f>IF(ISBLANK(VLOOKUP(C31,Rangliste!$B$10:$T$117,3,FALSE))=TRUE,"",VLOOKUP(C31,Rangliste!$B$10:$T$117,3,FALSE))</f>
        <v>#N/A</v>
      </c>
      <c r="C31" s="54" t="s">
        <v>476</v>
      </c>
      <c r="D31" s="54" t="e">
        <f>IF(ISBLANK(VLOOKUP(C31,Rangliste!$B$10:$T$117,2,FALSE))=TRUE,"",VLOOKUP(C31,Rangliste!$B$10:$T$117,2,FALSE))</f>
        <v>#N/A</v>
      </c>
      <c r="E31" s="41" t="e">
        <f>IF(ISBLANK(VLOOKUP(C31,Rangliste!$B$10:$T$117,4,FALSE))=TRUE,"",VLOOKUP(C31,Rangliste!$B$10:$T$117,4,FALSE))</f>
        <v>#N/A</v>
      </c>
      <c r="F31" s="15" t="e">
        <f t="shared" si="0"/>
        <v>#REF!</v>
      </c>
      <c r="G31" s="15" t="e">
        <f t="shared" si="1"/>
        <v>#REF!</v>
      </c>
      <c r="H31" s="15" t="e">
        <f t="shared" si="2"/>
        <v>#REF!</v>
      </c>
      <c r="I31" s="15" t="s">
        <v>388</v>
      </c>
      <c r="J31" s="15" t="e">
        <f t="shared" si="3"/>
        <v>#REF!</v>
      </c>
      <c r="K31" s="42" t="e">
        <f t="shared" si="4"/>
        <v>#REF!</v>
      </c>
    </row>
    <row r="32" spans="1:11" ht="12.75" customHeight="1" x14ac:dyDescent="0.3">
      <c r="A32" s="15"/>
      <c r="B32" s="15"/>
      <c r="C32" s="21"/>
      <c r="D32" s="21"/>
      <c r="E32" s="41"/>
      <c r="F32" s="15"/>
      <c r="G32" s="15"/>
      <c r="H32" s="15"/>
      <c r="I32" s="15"/>
      <c r="J32" s="15"/>
      <c r="K32" s="42"/>
    </row>
    <row r="33" spans="1:11" ht="12.75" customHeight="1" x14ac:dyDescent="0.3">
      <c r="A33" s="15"/>
      <c r="B33" s="15"/>
      <c r="C33" s="21"/>
      <c r="D33" s="21"/>
      <c r="E33" s="41"/>
      <c r="F33" s="15"/>
      <c r="G33" s="15"/>
      <c r="H33" s="15"/>
      <c r="I33" s="15"/>
      <c r="J33" s="15"/>
      <c r="K33" s="42"/>
    </row>
    <row r="34" spans="1:11" ht="12.75" customHeight="1" x14ac:dyDescent="0.3">
      <c r="A34" s="15"/>
      <c r="B34" s="15"/>
      <c r="C34" s="54"/>
      <c r="D34" s="54"/>
      <c r="E34" s="41"/>
      <c r="F34" s="15"/>
      <c r="G34" s="15"/>
      <c r="H34" s="15"/>
      <c r="I34" s="15"/>
      <c r="J34" s="15"/>
      <c r="K34" s="42"/>
    </row>
    <row r="35" spans="1:11" ht="12.75" hidden="1" customHeight="1" x14ac:dyDescent="0.3">
      <c r="A35" s="15">
        <v>33</v>
      </c>
      <c r="B35" s="15" t="e">
        <f>IF(ISBLANK(VLOOKUP(C35,Rangliste!$B$10:$T$117,3,FALSE))=TRUE,"",VLOOKUP(C35,Rangliste!$B$10:$T$117,3,FALSE))</f>
        <v>#N/A</v>
      </c>
      <c r="C35" s="21" t="s">
        <v>477</v>
      </c>
      <c r="D35" s="21" t="e">
        <f>IF(ISBLANK(VLOOKUP(C35,Rangliste!$B$10:$T$117,2,FALSE))=TRUE,"",VLOOKUP(C35,Rangliste!$B$10:$T$117,2,FALSE))</f>
        <v>#N/A</v>
      </c>
      <c r="E35" s="41" t="e">
        <f>IF(ISBLANK(VLOOKUP(C35,Rangliste!$B$10:$T$117,4,FALSE))=TRUE,"",VLOOKUP(C35,Rangliste!$B$10:$T$117,4,FALSE))</f>
        <v>#N/A</v>
      </c>
      <c r="F35" s="15" t="e">
        <f t="shared" ref="F35:F41" si="5">MAX(IF(ISNA(VLOOKUP(C35,#REF!,2,FALSE))=TRUE,0,VLOOKUP(C35,#REF!,2,FALSE)),IF(ISNA(VLOOKUP(C35,#REF!,2,FALSE))=TRUE,0,VLOOKUP(C35,#REF!,2,FALSE)),IF(ISNA(VLOOKUP(C35,#REF!,2,FALSE))=TRUE,0,VLOOKUP(C35,#REF!,2,FALSE)),IF(ISNA(VLOOKUP(C35,#REF!,2,FALSE))=TRUE,0,VLOOKUP(C35,#REF!,2,FALSE)),IF(ISNA(VLOOKUP(C35,#REF!,2,FALSE))=TRUE,0,VLOOKUP(C35,#REF!,2,FALSE)))</f>
        <v>#REF!</v>
      </c>
      <c r="G35" s="15" t="e">
        <f t="shared" ref="G35:G41" si="6">MAX(IF(ISNA(VLOOKUP(C35,#REF!,2,FALSE))=TRUE,0,VLOOKUP(C35,#REF!,2,FALSE)),IF(ISNA(VLOOKUP(C35,#REF!,2,FALSE))=TRUE,0,VLOOKUP(C35,#REF!,2,FALSE)),IF(ISNA(VLOOKUP(C35,#REF!,2,FALSE))=TRUE,0,VLOOKUP(C35,#REF!,2,FALSE)),IF(ISNA(VLOOKUP(C35,#REF!,2,FALSE))=TRUE,0,VLOOKUP(C35,#REF!,2,FALSE)),IF(ISNA(VLOOKUP(C35,#REF!,2,FALSE))=TRUE,0,VLOOKUP(C35,#REF!,2,FALSE)))</f>
        <v>#REF!</v>
      </c>
      <c r="H35" s="15" t="e">
        <f t="shared" ref="H35:H41" si="7">MAX(IF(ISNA(VLOOKUP(C35,#REF!,2,FALSE))=TRUE,0,VLOOKUP(C35,#REF!,2,FALSE)),IF(ISNA(VLOOKUP(C35,#REF!,2,FALSE))=TRUE,0,VLOOKUP(C35,#REF!,2,FALSE)),IF(ISNA(VLOOKUP(C35,#REF!,2,FALSE))=TRUE,0,VLOOKUP(C35,#REF!,2,FALSE)),IF(ISNA(VLOOKUP(C35,#REF!,2,FALSE))=TRUE,0,VLOOKUP(C35,#REF!,2,FALSE)),IF(ISNA(VLOOKUP(C35,#REF!,2,FALSE))=TRUE,0,VLOOKUP(C35,#REF!,2,FALSE)))</f>
        <v>#REF!</v>
      </c>
      <c r="I35" s="15">
        <v>0</v>
      </c>
      <c r="J35" s="15" t="e">
        <f t="shared" ref="J35:J41" si="8">MIN(F35:I35)</f>
        <v>#REF!</v>
      </c>
      <c r="K35" s="42" t="e">
        <f t="shared" ref="K35:K41" si="9">SUM(F35:I35)-J35</f>
        <v>#REF!</v>
      </c>
    </row>
    <row r="36" spans="1:11" ht="12.75" hidden="1" customHeight="1" x14ac:dyDescent="0.3">
      <c r="A36" s="15">
        <v>34</v>
      </c>
      <c r="B36" s="15" t="e">
        <f>IF(ISBLANK(VLOOKUP(C36,Rangliste!$B$10:$T$117,3,FALSE))=TRUE,"",VLOOKUP(C36,Rangliste!$B$10:$T$117,3,FALSE))</f>
        <v>#N/A</v>
      </c>
      <c r="C36" s="43" t="s">
        <v>478</v>
      </c>
      <c r="D36" s="21" t="e">
        <f>IF(ISBLANK(VLOOKUP(C36,Rangliste!$B$10:$T$117,2,FALSE))=TRUE,"",VLOOKUP(C36,Rangliste!$B$10:$T$117,2,FALSE))</f>
        <v>#N/A</v>
      </c>
      <c r="E36" s="41" t="e">
        <f>IF(ISBLANK(VLOOKUP(C36,Rangliste!$B$10:$T$117,4,FALSE))=TRUE,"",VLOOKUP(C36,Rangliste!$B$10:$T$117,4,FALSE))</f>
        <v>#N/A</v>
      </c>
      <c r="F36" s="15" t="e">
        <f t="shared" si="5"/>
        <v>#REF!</v>
      </c>
      <c r="G36" s="15" t="e">
        <f t="shared" si="6"/>
        <v>#REF!</v>
      </c>
      <c r="H36" s="15" t="e">
        <f t="shared" si="7"/>
        <v>#REF!</v>
      </c>
      <c r="I36" s="15">
        <v>0</v>
      </c>
      <c r="J36" s="15" t="e">
        <f t="shared" si="8"/>
        <v>#REF!</v>
      </c>
      <c r="K36" s="42" t="e">
        <f t="shared" si="9"/>
        <v>#REF!</v>
      </c>
    </row>
    <row r="37" spans="1:11" ht="12.75" hidden="1" customHeight="1" x14ac:dyDescent="0.3">
      <c r="A37" s="15">
        <v>35</v>
      </c>
      <c r="B37" s="15" t="e">
        <f>IF(ISBLANK(VLOOKUP(C37,Rangliste!$B$10:$T$117,3,FALSE))=TRUE,"",VLOOKUP(C37,Rangliste!$B$10:$T$117,3,FALSE))</f>
        <v>#N/A</v>
      </c>
      <c r="C37" s="43" t="s">
        <v>479</v>
      </c>
      <c r="D37" s="21" t="e">
        <f>IF(ISBLANK(VLOOKUP(C37,Rangliste!$B$10:$T$117,2,FALSE))=TRUE,"",VLOOKUP(C37,Rangliste!$B$10:$T$117,2,FALSE))</f>
        <v>#N/A</v>
      </c>
      <c r="E37" s="41" t="e">
        <f>IF(ISBLANK(VLOOKUP(C37,Rangliste!$B$10:$T$117,4,FALSE))=TRUE,"",VLOOKUP(C37,Rangliste!$B$10:$T$117,4,FALSE))</f>
        <v>#N/A</v>
      </c>
      <c r="F37" s="15" t="e">
        <f t="shared" si="5"/>
        <v>#REF!</v>
      </c>
      <c r="G37" s="15" t="e">
        <f t="shared" si="6"/>
        <v>#REF!</v>
      </c>
      <c r="H37" s="15" t="e">
        <f t="shared" si="7"/>
        <v>#REF!</v>
      </c>
      <c r="I37" s="15">
        <v>0</v>
      </c>
      <c r="J37" s="15" t="e">
        <f t="shared" si="8"/>
        <v>#REF!</v>
      </c>
      <c r="K37" s="42" t="e">
        <f t="shared" si="9"/>
        <v>#REF!</v>
      </c>
    </row>
    <row r="38" spans="1:11" ht="12.75" hidden="1" customHeight="1" x14ac:dyDescent="0.3">
      <c r="A38" s="15">
        <v>36</v>
      </c>
      <c r="B38" s="15" t="e">
        <f>IF(ISBLANK(VLOOKUP(C38,Rangliste!$B$10:$T$117,3,FALSE))=TRUE,"",VLOOKUP(C38,Rangliste!$B$10:$T$117,3,FALSE))</f>
        <v>#N/A</v>
      </c>
      <c r="C38" s="54" t="s">
        <v>480</v>
      </c>
      <c r="D38" s="21" t="e">
        <f>IF(ISBLANK(VLOOKUP(C38,Rangliste!$B$10:$T$117,2,FALSE))=TRUE,"",VLOOKUP(C38,Rangliste!$B$10:$T$117,2,FALSE))</f>
        <v>#N/A</v>
      </c>
      <c r="E38" s="41" t="e">
        <f>IF(ISBLANK(VLOOKUP(C38,Rangliste!$B$10:$T$117,4,FALSE))=TRUE,"",VLOOKUP(C38,Rangliste!$B$10:$T$117,4,FALSE))</f>
        <v>#N/A</v>
      </c>
      <c r="F38" s="15" t="e">
        <f t="shared" si="5"/>
        <v>#REF!</v>
      </c>
      <c r="G38" s="15" t="e">
        <f t="shared" si="6"/>
        <v>#REF!</v>
      </c>
      <c r="H38" s="15" t="e">
        <f t="shared" si="7"/>
        <v>#REF!</v>
      </c>
      <c r="I38" s="15">
        <v>0</v>
      </c>
      <c r="J38" s="15" t="e">
        <f t="shared" si="8"/>
        <v>#REF!</v>
      </c>
      <c r="K38" s="42" t="e">
        <f t="shared" si="9"/>
        <v>#REF!</v>
      </c>
    </row>
    <row r="39" spans="1:11" ht="12.75" hidden="1" customHeight="1" x14ac:dyDescent="0.3">
      <c r="A39" s="15">
        <v>37</v>
      </c>
      <c r="B39" s="15" t="e">
        <f>IF(ISBLANK(VLOOKUP(C39,Rangliste!$B$10:$T$117,3,FALSE))=TRUE,"",VLOOKUP(C39,Rangliste!$B$10:$T$117,3,FALSE))</f>
        <v>#N/A</v>
      </c>
      <c r="C39" s="54" t="s">
        <v>481</v>
      </c>
      <c r="D39" s="21" t="e">
        <f>IF(ISBLANK(VLOOKUP(C39,Rangliste!$B$10:$T$117,2,FALSE))=TRUE,"",VLOOKUP(C39,Rangliste!$B$10:$T$117,2,FALSE))</f>
        <v>#N/A</v>
      </c>
      <c r="E39" s="41" t="e">
        <f>IF(ISBLANK(VLOOKUP(C39,Rangliste!$B$10:$T$117,4,FALSE))=TRUE,"",VLOOKUP(C39,Rangliste!$B$10:$T$117,4,FALSE))</f>
        <v>#N/A</v>
      </c>
      <c r="F39" s="15" t="e">
        <f t="shared" si="5"/>
        <v>#REF!</v>
      </c>
      <c r="G39" s="15" t="e">
        <f t="shared" si="6"/>
        <v>#REF!</v>
      </c>
      <c r="H39" s="15" t="e">
        <f t="shared" si="7"/>
        <v>#REF!</v>
      </c>
      <c r="I39" s="15">
        <v>0</v>
      </c>
      <c r="J39" s="15" t="e">
        <f t="shared" si="8"/>
        <v>#REF!</v>
      </c>
      <c r="K39" s="42" t="e">
        <f t="shared" si="9"/>
        <v>#REF!</v>
      </c>
    </row>
    <row r="40" spans="1:11" ht="12.75" hidden="1" customHeight="1" x14ac:dyDescent="0.3">
      <c r="A40" s="15">
        <v>38</v>
      </c>
      <c r="B40" s="15" t="e">
        <f>IF(ISBLANK(VLOOKUP(C40,Rangliste!$B$10:$T$117,3,FALSE))=TRUE,"",VLOOKUP(C40,Rangliste!$B$10:$T$117,3,FALSE))</f>
        <v>#N/A</v>
      </c>
      <c r="C40" s="16" t="s">
        <v>482</v>
      </c>
      <c r="D40" s="21" t="e">
        <f>IF(ISBLANK(VLOOKUP(C40,Rangliste!$B$10:$T$117,2,FALSE))=TRUE,"",VLOOKUP(C40,Rangliste!$B$10:$T$117,2,FALSE))</f>
        <v>#N/A</v>
      </c>
      <c r="E40" s="41" t="e">
        <f>IF(ISBLANK(VLOOKUP(C40,Rangliste!$B$10:$T$117,4,FALSE))=TRUE,"",VLOOKUP(C40,Rangliste!$B$10:$T$117,4,FALSE))</f>
        <v>#N/A</v>
      </c>
      <c r="F40" s="15" t="e">
        <f t="shared" si="5"/>
        <v>#REF!</v>
      </c>
      <c r="G40" s="15" t="e">
        <f t="shared" si="6"/>
        <v>#REF!</v>
      </c>
      <c r="H40" s="15" t="e">
        <f t="shared" si="7"/>
        <v>#REF!</v>
      </c>
      <c r="I40" s="15">
        <v>0</v>
      </c>
      <c r="J40" s="15" t="e">
        <f t="shared" si="8"/>
        <v>#REF!</v>
      </c>
      <c r="K40" s="42" t="e">
        <f t="shared" si="9"/>
        <v>#REF!</v>
      </c>
    </row>
    <row r="41" spans="1:11" ht="12.75" hidden="1" customHeight="1" x14ac:dyDescent="0.3">
      <c r="A41" s="15">
        <v>39</v>
      </c>
      <c r="B41" s="15" t="e">
        <f>IF(ISBLANK(VLOOKUP(C41,Rangliste!$B$10:$T$117,3,FALSE))=TRUE,"",VLOOKUP(C41,Rangliste!$B$10:$T$117,3,FALSE))</f>
        <v>#N/A</v>
      </c>
      <c r="C41" s="54" t="s">
        <v>483</v>
      </c>
      <c r="D41" s="21" t="e">
        <f>IF(ISBLANK(VLOOKUP(C41,Rangliste!$B$10:$T$117,2,FALSE))=TRUE,"",VLOOKUP(C41,Rangliste!$B$10:$T$117,2,FALSE))</f>
        <v>#N/A</v>
      </c>
      <c r="E41" s="41" t="e">
        <f>IF(ISBLANK(VLOOKUP(C41,Rangliste!$B$10:$T$117,4,FALSE))=TRUE,"",VLOOKUP(C41,Rangliste!$B$10:$T$117,4,FALSE))</f>
        <v>#N/A</v>
      </c>
      <c r="F41" s="15" t="e">
        <f t="shared" si="5"/>
        <v>#REF!</v>
      </c>
      <c r="G41" s="15" t="e">
        <f t="shared" si="6"/>
        <v>#REF!</v>
      </c>
      <c r="H41" s="15" t="e">
        <f t="shared" si="7"/>
        <v>#REF!</v>
      </c>
      <c r="I41" s="15">
        <v>0</v>
      </c>
      <c r="J41" s="15" t="e">
        <f t="shared" si="8"/>
        <v>#REF!</v>
      </c>
      <c r="K41" s="42" t="e">
        <f t="shared" si="9"/>
        <v>#REF!</v>
      </c>
    </row>
    <row r="42" spans="1:11" ht="12.75" customHeight="1" x14ac:dyDescent="0.3"/>
    <row r="43" spans="1:11" ht="12.75" customHeight="1" x14ac:dyDescent="0.3"/>
    <row r="44" spans="1:11" ht="12.75" customHeight="1" x14ac:dyDescent="0.3">
      <c r="C44" s="55" t="str">
        <f>IF(COUNTA(A4:A31) = COUNT(B4:B31),"","Spieler muss beim nächsten Einzel-RLT ÖBV-Mitglied sein")</f>
        <v>Spieler muss beim nächsten Einzel-RLT ÖBV-Mitglied sein</v>
      </c>
    </row>
    <row r="45" spans="1:11" ht="12.75" customHeight="1" x14ac:dyDescent="0.3"/>
    <row r="46" spans="1:11" ht="12.75" customHeight="1" x14ac:dyDescent="0.3"/>
    <row r="47" spans="1:11" ht="12.75" customHeight="1" x14ac:dyDescent="0.3"/>
    <row r="48" spans="1:11"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pageMargins left="0.39370078740157483" right="0.39370078740157483" top="0.78740157480314965" bottom="0.78740157480314965" header="0" footer="0"/>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3.59765625" customWidth="1"/>
    <col min="6" max="8" width="6.3984375" customWidth="1"/>
    <col min="9" max="10" width="4.8984375" customWidth="1"/>
    <col min="11" max="11" width="5.59765625" customWidth="1"/>
  </cols>
  <sheetData>
    <row r="1" spans="1:11" ht="31.5" customHeight="1" x14ac:dyDescent="0.3">
      <c r="A1" s="114" t="s">
        <v>484</v>
      </c>
      <c r="B1" s="115"/>
      <c r="C1" s="115"/>
      <c r="D1" s="115"/>
      <c r="E1" s="115"/>
      <c r="F1" s="115"/>
      <c r="G1" s="115"/>
      <c r="H1" s="116"/>
      <c r="I1" s="120" t="s">
        <v>470</v>
      </c>
      <c r="J1" s="145"/>
      <c r="K1" s="121"/>
    </row>
    <row r="2" spans="1:11" ht="19.5" customHeight="1" x14ac:dyDescent="0.3">
      <c r="A2" s="117"/>
      <c r="B2" s="118"/>
      <c r="C2" s="118"/>
      <c r="D2" s="118"/>
      <c r="E2" s="118"/>
      <c r="F2" s="118"/>
      <c r="G2" s="118"/>
      <c r="H2" s="119"/>
      <c r="I2" s="122">
        <f ca="1">TODAY()</f>
        <v>46250</v>
      </c>
      <c r="J2" s="145"/>
      <c r="K2" s="121"/>
    </row>
    <row r="3" spans="1:1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11" ht="12.75" customHeight="1" x14ac:dyDescent="0.3">
      <c r="A4" s="15">
        <v>1</v>
      </c>
      <c r="B4" s="15" t="e">
        <f>IF(ISBLANK(VLOOKUP(C4,Rangliste!$B$10:$T$117,3,FALSE))=TRUE,"",VLOOKUP(C4,Rangliste!$B$10:$T$117,3,FALSE))</f>
        <v>#N/A</v>
      </c>
      <c r="C4" s="16"/>
      <c r="D4" s="21" t="e">
        <f>IF(ISBLANK(VLOOKUP(C4,Rangliste!$B$10:$T$117,2,FALSE))=TRUE,"",VLOOKUP(C4,Rangliste!$B$10:$T$117,2,FALSE))</f>
        <v>#N/A</v>
      </c>
      <c r="E4" s="41" t="e">
        <f>IF(ISBLANK(VLOOKUP(C4,Rangliste!$B$10:$T$117,4,FALSE))=TRUE,"",VLOOKUP(C4,Rangliste!$B$10:$T$117,4,FALSE))</f>
        <v>#N/A</v>
      </c>
      <c r="F4" s="15" t="e">
        <f t="shared" ref="F4:F4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4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47" si="2">MAX(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47" si="3">MIN(F4:I4)</f>
        <v>#REF!</v>
      </c>
      <c r="K4" s="42" t="e">
        <f t="shared" ref="K4:K47" si="4">SUM(F4:I4)-J4</f>
        <v>#REF!</v>
      </c>
    </row>
    <row r="5" spans="1:11" ht="12.75" customHeight="1" x14ac:dyDescent="0.3">
      <c r="A5" s="15">
        <v>2</v>
      </c>
      <c r="B5" s="15" t="e">
        <f>IF(ISBLANK(VLOOKUP(C5,Rangliste!$B$10:$T$117,3,FALSE))=TRUE,"",VLOOKUP(C5,Rangliste!$B$10:$T$117,3,FALSE))</f>
        <v>#N/A</v>
      </c>
      <c r="C5" s="16"/>
      <c r="D5" s="21" t="e">
        <f>IF(ISBLANK(VLOOKUP(C5,Rangliste!$B$10:$T$117,2,FALSE))=TRUE,"",VLOOKUP(C5,Rangliste!$B$10:$T$117,2,FALSE))</f>
        <v>#N/A</v>
      </c>
      <c r="E5" s="41" t="e">
        <f>IF(ISBLANK(VLOOKUP(C5,Rangliste!$B$10:$T$117,4,FALSE))=TRUE,"",VLOOKUP(C5,Rangliste!$B$10:$T$117,4,FALSE))</f>
        <v>#N/A</v>
      </c>
      <c r="F5" s="15" t="e">
        <f t="shared" si="0"/>
        <v>#REF!</v>
      </c>
      <c r="G5" s="15" t="e">
        <f t="shared" si="1"/>
        <v>#REF!</v>
      </c>
      <c r="H5" s="15" t="e">
        <f t="shared" si="2"/>
        <v>#REF!</v>
      </c>
      <c r="I5" s="15" t="s">
        <v>388</v>
      </c>
      <c r="J5" s="15" t="e">
        <f t="shared" si="3"/>
        <v>#REF!</v>
      </c>
      <c r="K5" s="42" t="e">
        <f t="shared" si="4"/>
        <v>#REF!</v>
      </c>
    </row>
    <row r="6" spans="1:11" ht="12.75" customHeight="1" x14ac:dyDescent="0.3">
      <c r="A6" s="15">
        <v>3</v>
      </c>
      <c r="B6" s="15" t="e">
        <f>IF(ISBLANK(VLOOKUP(C6,Rangliste!$B$10:$T$117,3,FALSE))=TRUE,"",VLOOKUP(C6,Rangliste!$B$10:$T$117,3,FALSE))</f>
        <v>#N/A</v>
      </c>
      <c r="D6" s="21" t="e">
        <f>IF(ISBLANK(VLOOKUP(C6,Rangliste!$B$10:$T$117,2,FALSE))=TRUE,"",VLOOKUP(C6,Rangliste!$B$10:$T$117,2,FALSE))</f>
        <v>#N/A</v>
      </c>
      <c r="E6" s="41" t="e">
        <f>IF(ISBLANK(VLOOKUP(C6,Rangliste!$B$10:$T$117,4,FALSE))=TRUE,"",VLOOKUP(C6,Rangliste!$B$10:$T$117,4,FALSE))</f>
        <v>#N/A</v>
      </c>
      <c r="F6" s="15" t="e">
        <f t="shared" si="0"/>
        <v>#REF!</v>
      </c>
      <c r="G6" s="15" t="e">
        <f t="shared" si="1"/>
        <v>#REF!</v>
      </c>
      <c r="H6" s="15" t="e">
        <f t="shared" si="2"/>
        <v>#REF!</v>
      </c>
      <c r="I6" s="15" t="s">
        <v>388</v>
      </c>
      <c r="J6" s="15" t="e">
        <f t="shared" si="3"/>
        <v>#REF!</v>
      </c>
      <c r="K6" s="42" t="e">
        <f t="shared" si="4"/>
        <v>#REF!</v>
      </c>
    </row>
    <row r="7" spans="1:11" ht="12.75" customHeight="1" x14ac:dyDescent="0.3">
      <c r="A7" s="15">
        <v>4</v>
      </c>
      <c r="B7" s="15" t="e">
        <f>IF(ISBLANK(VLOOKUP(C7,Rangliste!$B$10:$T$117,3,FALSE))=TRUE,"",VLOOKUP(C7,Rangliste!$B$10:$T$117,3,FALSE))</f>
        <v>#N/A</v>
      </c>
      <c r="C7" s="21"/>
      <c r="D7" s="21" t="e">
        <f>IF(ISBLANK(VLOOKUP(C7,Rangliste!$B$10:$T$117,2,FALSE))=TRUE,"",VLOOKUP(C7,Rangliste!$B$10:$T$117,2,FALSE))</f>
        <v>#N/A</v>
      </c>
      <c r="E7" s="41" t="e">
        <f>IF(ISBLANK(VLOOKUP(C7,Rangliste!$B$10:$T$117,4,FALSE))=TRUE,"",VLOOKUP(C7,Rangliste!$B$10:$T$117,4,FALSE))</f>
        <v>#N/A</v>
      </c>
      <c r="F7" s="15" t="e">
        <f t="shared" si="0"/>
        <v>#REF!</v>
      </c>
      <c r="G7" s="15" t="e">
        <f t="shared" si="1"/>
        <v>#REF!</v>
      </c>
      <c r="H7" s="15" t="e">
        <f t="shared" si="2"/>
        <v>#REF!</v>
      </c>
      <c r="I7" s="15" t="s">
        <v>388</v>
      </c>
      <c r="J7" s="15" t="e">
        <f t="shared" si="3"/>
        <v>#REF!</v>
      </c>
      <c r="K7" s="42" t="e">
        <f t="shared" si="4"/>
        <v>#REF!</v>
      </c>
    </row>
    <row r="8" spans="1:11" ht="12.75" customHeight="1" x14ac:dyDescent="0.3">
      <c r="A8" s="15">
        <v>5</v>
      </c>
      <c r="B8" s="15" t="e">
        <f>IF(ISBLANK(VLOOKUP(C8,Rangliste!$B$10:$T$117,3,FALSE))=TRUE,"",VLOOKUP(C8,Rangliste!$B$10:$T$117,3,FALSE))</f>
        <v>#N/A</v>
      </c>
      <c r="C8" s="16"/>
      <c r="D8" s="21" t="e">
        <f>IF(ISBLANK(VLOOKUP(C8,Rangliste!$B$10:$T$117,2,FALSE))=TRUE,"",VLOOKUP(C8,Rangliste!$B$10:$T$117,2,FALSE))</f>
        <v>#N/A</v>
      </c>
      <c r="E8" s="41" t="e">
        <f>IF(ISBLANK(VLOOKUP(C8,Rangliste!$B$10:$T$117,4,FALSE))=TRUE,"",VLOOKUP(C8,Rangliste!$B$10:$T$117,4,FALSE))</f>
        <v>#N/A</v>
      </c>
      <c r="F8" s="15" t="e">
        <f t="shared" si="0"/>
        <v>#REF!</v>
      </c>
      <c r="G8" s="15" t="e">
        <f t="shared" si="1"/>
        <v>#REF!</v>
      </c>
      <c r="H8" s="15" t="e">
        <f t="shared" si="2"/>
        <v>#REF!</v>
      </c>
      <c r="I8" s="15" t="s">
        <v>388</v>
      </c>
      <c r="J8" s="15" t="e">
        <f t="shared" si="3"/>
        <v>#REF!</v>
      </c>
      <c r="K8" s="42" t="e">
        <f t="shared" si="4"/>
        <v>#REF!</v>
      </c>
    </row>
    <row r="9" spans="1:11" ht="12.75" customHeight="1" x14ac:dyDescent="0.3">
      <c r="A9" s="15">
        <v>6</v>
      </c>
      <c r="B9" s="15" t="e">
        <f>IF(ISBLANK(VLOOKUP(C9,Rangliste!$B$10:$T$117,3,FALSE))=TRUE,"",VLOOKUP(C9,Rangliste!$B$10:$T$117,3,FALSE))</f>
        <v>#N/A</v>
      </c>
      <c r="C9" s="21"/>
      <c r="D9" s="21" t="e">
        <f>IF(ISBLANK(VLOOKUP(C9,Rangliste!$B$10:$T$117,2,FALSE))=TRUE,"",VLOOKUP(C9,Rangliste!$B$10:$T$117,2,FALSE))</f>
        <v>#N/A</v>
      </c>
      <c r="E9" s="41" t="e">
        <f>IF(ISBLANK(VLOOKUP(C9,Rangliste!$B$10:$T$117,4,FALSE))=TRUE,"",VLOOKUP(C9,Rangliste!$B$10:$T$117,4,FALSE))</f>
        <v>#N/A</v>
      </c>
      <c r="F9" s="15" t="e">
        <f t="shared" si="0"/>
        <v>#REF!</v>
      </c>
      <c r="G9" s="15" t="e">
        <f t="shared" si="1"/>
        <v>#REF!</v>
      </c>
      <c r="H9" s="15" t="e">
        <f t="shared" si="2"/>
        <v>#REF!</v>
      </c>
      <c r="I9" s="15" t="s">
        <v>388</v>
      </c>
      <c r="J9" s="15" t="e">
        <f t="shared" si="3"/>
        <v>#REF!</v>
      </c>
      <c r="K9" s="42" t="e">
        <f t="shared" si="4"/>
        <v>#REF!</v>
      </c>
    </row>
    <row r="10" spans="1:11" ht="12.75" customHeight="1" x14ac:dyDescent="0.3">
      <c r="A10" s="15">
        <v>7</v>
      </c>
      <c r="B10" s="15" t="e">
        <f>IF(ISBLANK(VLOOKUP(C10,Rangliste!$B$10:$T$117,3,FALSE))=TRUE,"",VLOOKUP(C10,Rangliste!$B$10:$T$117,3,FALSE))</f>
        <v>#N/A</v>
      </c>
      <c r="C10" s="21"/>
      <c r="D10" s="21" t="e">
        <f>IF(ISBLANK(VLOOKUP(C10,Rangliste!$B$10:$T$117,2,FALSE))=TRUE,"",VLOOKUP(C10,Rangliste!$B$10:$T$117,2,FALSE))</f>
        <v>#N/A</v>
      </c>
      <c r="E10" s="41" t="e">
        <f>IF(ISBLANK(VLOOKUP(C10,Rangliste!$B$10:$T$117,4,FALSE))=TRUE,"",VLOOKUP(C10,Rangliste!$B$10:$T$117,4,FALSE))</f>
        <v>#N/A</v>
      </c>
      <c r="F10" s="15" t="e">
        <f t="shared" si="0"/>
        <v>#REF!</v>
      </c>
      <c r="G10" s="15" t="e">
        <f t="shared" si="1"/>
        <v>#REF!</v>
      </c>
      <c r="H10" s="15" t="e">
        <f t="shared" si="2"/>
        <v>#REF!</v>
      </c>
      <c r="I10" s="15" t="s">
        <v>388</v>
      </c>
      <c r="J10" s="15" t="e">
        <f t="shared" si="3"/>
        <v>#REF!</v>
      </c>
      <c r="K10" s="42" t="e">
        <f t="shared" si="4"/>
        <v>#REF!</v>
      </c>
    </row>
    <row r="11" spans="1:11" ht="12.75" customHeight="1" x14ac:dyDescent="0.3">
      <c r="A11" s="15">
        <v>8</v>
      </c>
      <c r="B11" s="15" t="e">
        <f>IF(ISBLANK(VLOOKUP(C11,Rangliste!$B$10:$T$117,3,FALSE))=TRUE,"",VLOOKUP(C11,Rangliste!$B$10:$T$117,3,FALSE))</f>
        <v>#N/A</v>
      </c>
      <c r="C11" s="16"/>
      <c r="D11" s="21" t="e">
        <f>IF(ISBLANK(VLOOKUP(C11,Rangliste!$B$10:$T$117,2,FALSE))=TRUE,"",VLOOKUP(C11,Rangliste!$B$10:$T$117,2,FALSE))</f>
        <v>#N/A</v>
      </c>
      <c r="E11" s="41" t="e">
        <f>IF(ISBLANK(VLOOKUP(C11,Rangliste!$B$10:$T$117,4,FALSE))=TRUE,"",VLOOKUP(C11,Rangliste!$B$10:$T$117,4,FALSE))</f>
        <v>#N/A</v>
      </c>
      <c r="F11" s="15" t="e">
        <f t="shared" si="0"/>
        <v>#REF!</v>
      </c>
      <c r="G11" s="15" t="e">
        <f t="shared" si="1"/>
        <v>#REF!</v>
      </c>
      <c r="H11" s="15" t="e">
        <f t="shared" si="2"/>
        <v>#REF!</v>
      </c>
      <c r="I11" s="15" t="s">
        <v>388</v>
      </c>
      <c r="J11" s="15" t="e">
        <f t="shared" si="3"/>
        <v>#REF!</v>
      </c>
      <c r="K11" s="42" t="e">
        <f t="shared" si="4"/>
        <v>#REF!</v>
      </c>
    </row>
    <row r="12" spans="1:11" ht="12.75" customHeight="1" x14ac:dyDescent="0.3">
      <c r="A12" s="15">
        <v>9</v>
      </c>
      <c r="B12" s="15" t="e">
        <f>IF(ISBLANK(VLOOKUP(C12,Rangliste!$B$10:$T$117,3,FALSE))=TRUE,"",VLOOKUP(C12,Rangliste!$B$10:$T$117,3,FALSE))</f>
        <v>#N/A</v>
      </c>
      <c r="C12" s="16"/>
      <c r="D12" s="21" t="e">
        <f>IF(ISBLANK(VLOOKUP(C12,Rangliste!$B$10:$T$117,2,FALSE))=TRUE,"",VLOOKUP(C12,Rangliste!$B$10:$T$117,2,FALSE))</f>
        <v>#N/A</v>
      </c>
      <c r="E12" s="41" t="e">
        <f>IF(ISBLANK(VLOOKUP(C12,Rangliste!$B$10:$T$117,4,FALSE))=TRUE,"",VLOOKUP(C12,Rangliste!$B$10:$T$117,4,FALSE))</f>
        <v>#N/A</v>
      </c>
      <c r="F12" s="15" t="e">
        <f t="shared" si="0"/>
        <v>#REF!</v>
      </c>
      <c r="G12" s="15" t="e">
        <f t="shared" si="1"/>
        <v>#REF!</v>
      </c>
      <c r="H12" s="15" t="e">
        <f t="shared" si="2"/>
        <v>#REF!</v>
      </c>
      <c r="I12" s="15" t="s">
        <v>388</v>
      </c>
      <c r="J12" s="15" t="e">
        <f t="shared" si="3"/>
        <v>#REF!</v>
      </c>
      <c r="K12" s="42" t="e">
        <f t="shared" si="4"/>
        <v>#REF!</v>
      </c>
    </row>
    <row r="13" spans="1:11" ht="12.75" customHeight="1" x14ac:dyDescent="0.3">
      <c r="A13" s="15">
        <v>10</v>
      </c>
      <c r="B13" s="15" t="e">
        <f>IF(ISBLANK(VLOOKUP(C13,Rangliste!$B$10:$T$117,3,FALSE))=TRUE,"",VLOOKUP(C13,Rangliste!$B$10:$T$117,3,FALSE))</f>
        <v>#N/A</v>
      </c>
      <c r="C13" s="16"/>
      <c r="D13" s="21" t="e">
        <f>IF(ISBLANK(VLOOKUP(C13,Rangliste!$B$10:$T$117,2,FALSE))=TRUE,"",VLOOKUP(C13,Rangliste!$B$10:$T$117,2,FALSE))</f>
        <v>#N/A</v>
      </c>
      <c r="E13" s="41" t="e">
        <f>IF(ISBLANK(VLOOKUP(C13,Rangliste!$B$10:$T$117,4,FALSE))=TRUE,"",VLOOKUP(C13,Rangliste!$B$10:$T$117,4,FALSE))</f>
        <v>#N/A</v>
      </c>
      <c r="F13" s="15" t="e">
        <f t="shared" si="0"/>
        <v>#REF!</v>
      </c>
      <c r="G13" s="15" t="e">
        <f t="shared" si="1"/>
        <v>#REF!</v>
      </c>
      <c r="H13" s="15" t="e">
        <f t="shared" si="2"/>
        <v>#REF!</v>
      </c>
      <c r="I13" s="15" t="s">
        <v>388</v>
      </c>
      <c r="J13" s="15" t="e">
        <f t="shared" si="3"/>
        <v>#REF!</v>
      </c>
      <c r="K13" s="42" t="e">
        <f t="shared" si="4"/>
        <v>#REF!</v>
      </c>
    </row>
    <row r="14" spans="1:11" ht="12.75" customHeight="1" x14ac:dyDescent="0.3">
      <c r="A14" s="15">
        <v>11</v>
      </c>
      <c r="B14" s="15" t="e">
        <f>IF(ISBLANK(VLOOKUP(C14,Rangliste!$B$10:$T$117,3,FALSE))=TRUE,"",VLOOKUP(C14,Rangliste!$B$10:$T$117,3,FALSE))</f>
        <v>#N/A</v>
      </c>
      <c r="C14" s="16"/>
      <c r="D14" s="21" t="e">
        <f>IF(ISBLANK(VLOOKUP(C14,Rangliste!$B$10:$T$117,2,FALSE))=TRUE,"",VLOOKUP(C14,Rangliste!$B$10:$T$117,2,FALSE))</f>
        <v>#N/A</v>
      </c>
      <c r="E14" s="41" t="e">
        <f>IF(ISBLANK(VLOOKUP(C14,Rangliste!$B$10:$T$117,4,FALSE))=TRUE,"",VLOOKUP(C14,Rangliste!$B$10:$T$117,4,FALSE))</f>
        <v>#N/A</v>
      </c>
      <c r="F14" s="15" t="e">
        <f t="shared" si="0"/>
        <v>#REF!</v>
      </c>
      <c r="G14" s="15" t="e">
        <f t="shared" si="1"/>
        <v>#REF!</v>
      </c>
      <c r="H14" s="15" t="e">
        <f t="shared" si="2"/>
        <v>#REF!</v>
      </c>
      <c r="I14" s="15" t="s">
        <v>388</v>
      </c>
      <c r="J14" s="15" t="e">
        <f t="shared" si="3"/>
        <v>#REF!</v>
      </c>
      <c r="K14" s="42" t="e">
        <f t="shared" si="4"/>
        <v>#REF!</v>
      </c>
    </row>
    <row r="15" spans="1:11" ht="12.75" customHeight="1" x14ac:dyDescent="0.3">
      <c r="A15" s="15">
        <v>12</v>
      </c>
      <c r="B15" s="15" t="e">
        <f>IF(ISBLANK(VLOOKUP(C15,Rangliste!$B$10:$T$117,3,FALSE))=TRUE,"",VLOOKUP(C15,Rangliste!$B$10:$T$117,3,FALSE))</f>
        <v>#N/A</v>
      </c>
      <c r="C15" s="16"/>
      <c r="D15" s="21" t="e">
        <f>IF(ISBLANK(VLOOKUP(C15,Rangliste!$B$10:$T$117,2,FALSE))=TRUE,"",VLOOKUP(C15,Rangliste!$B$10:$T$117,2,FALSE))</f>
        <v>#N/A</v>
      </c>
      <c r="E15" s="41" t="e">
        <f>IF(ISBLANK(VLOOKUP(C15,Rangliste!$B$10:$T$117,4,FALSE))=TRUE,"",VLOOKUP(C15,Rangliste!$B$10:$T$117,4,FALSE))</f>
        <v>#N/A</v>
      </c>
      <c r="F15" s="15" t="e">
        <f t="shared" si="0"/>
        <v>#REF!</v>
      </c>
      <c r="G15" s="15" t="e">
        <f t="shared" si="1"/>
        <v>#REF!</v>
      </c>
      <c r="H15" s="15" t="e">
        <f t="shared" si="2"/>
        <v>#REF!</v>
      </c>
      <c r="I15" s="15" t="s">
        <v>388</v>
      </c>
      <c r="J15" s="15" t="e">
        <f t="shared" si="3"/>
        <v>#REF!</v>
      </c>
      <c r="K15" s="42" t="e">
        <f t="shared" si="4"/>
        <v>#REF!</v>
      </c>
    </row>
    <row r="16" spans="1:11" ht="12.75" customHeight="1" x14ac:dyDescent="0.3">
      <c r="A16" s="15">
        <v>13</v>
      </c>
      <c r="B16" s="15" t="e">
        <f>IF(ISBLANK(VLOOKUP(C16,Rangliste!$B$10:$T$117,3,FALSE))=TRUE,"",VLOOKUP(C16,Rangliste!$B$10:$T$117,3,FALSE))</f>
        <v>#N/A</v>
      </c>
      <c r="C16" s="16"/>
      <c r="D16" s="21" t="e">
        <f>IF(ISBLANK(VLOOKUP(C16,Rangliste!$B$10:$T$117,2,FALSE))=TRUE,"",VLOOKUP(C16,Rangliste!$B$10:$T$117,2,FALSE))</f>
        <v>#N/A</v>
      </c>
      <c r="E16" s="41" t="e">
        <f>IF(ISBLANK(VLOOKUP(C16,Rangliste!$B$10:$T$117,4,FALSE))=TRUE,"",VLOOKUP(C16,Rangliste!$B$10:$T$117,4,FALSE))</f>
        <v>#N/A</v>
      </c>
      <c r="F16" s="15" t="e">
        <f t="shared" si="0"/>
        <v>#REF!</v>
      </c>
      <c r="G16" s="15" t="e">
        <f t="shared" si="1"/>
        <v>#REF!</v>
      </c>
      <c r="H16" s="15" t="e">
        <f t="shared" si="2"/>
        <v>#REF!</v>
      </c>
      <c r="I16" s="15" t="s">
        <v>388</v>
      </c>
      <c r="J16" s="15" t="e">
        <f t="shared" si="3"/>
        <v>#REF!</v>
      </c>
      <c r="K16" s="42" t="e">
        <f t="shared" si="4"/>
        <v>#REF!</v>
      </c>
    </row>
    <row r="17" spans="1:11" ht="12.75" customHeight="1" x14ac:dyDescent="0.3">
      <c r="A17" s="15">
        <v>14</v>
      </c>
      <c r="B17" s="15" t="e">
        <f>IF(ISBLANK(VLOOKUP(C17,Rangliste!$B$10:$T$117,3,FALSE))=TRUE,"",VLOOKUP(C17,Rangliste!$B$10:$T$117,3,FALSE))</f>
        <v>#N/A</v>
      </c>
      <c r="C17" s="16"/>
      <c r="D17" s="21" t="e">
        <f>IF(ISBLANK(VLOOKUP(C17,Rangliste!$B$10:$T$117,2,FALSE))=TRUE,"",VLOOKUP(C17,Rangliste!$B$10:$T$117,2,FALSE))</f>
        <v>#N/A</v>
      </c>
      <c r="E17" s="41" t="e">
        <f>IF(ISBLANK(VLOOKUP(C17,Rangliste!$B$10:$T$117,4,FALSE))=TRUE,"",VLOOKUP(C17,Rangliste!$B$10:$T$117,4,FALSE))</f>
        <v>#N/A</v>
      </c>
      <c r="F17" s="15" t="e">
        <f t="shared" si="0"/>
        <v>#REF!</v>
      </c>
      <c r="G17" s="15" t="e">
        <f t="shared" si="1"/>
        <v>#REF!</v>
      </c>
      <c r="H17" s="15" t="e">
        <f t="shared" si="2"/>
        <v>#REF!</v>
      </c>
      <c r="I17" s="15" t="s">
        <v>388</v>
      </c>
      <c r="J17" s="15" t="e">
        <f t="shared" si="3"/>
        <v>#REF!</v>
      </c>
      <c r="K17" s="42" t="e">
        <f t="shared" si="4"/>
        <v>#REF!</v>
      </c>
    </row>
    <row r="18" spans="1:11" ht="12.75" customHeight="1" x14ac:dyDescent="0.3">
      <c r="A18" s="15">
        <v>15</v>
      </c>
      <c r="B18" s="15" t="e">
        <f>IF(ISBLANK(VLOOKUP(C18,Rangliste!$B$10:$T$117,3,FALSE))=TRUE,"",VLOOKUP(C18,Rangliste!$B$10:$T$117,3,FALSE))</f>
        <v>#N/A</v>
      </c>
      <c r="C18" s="16"/>
      <c r="D18" s="21" t="e">
        <f>IF(ISBLANK(VLOOKUP(C18,Rangliste!$B$10:$T$117,2,FALSE))=TRUE,"",VLOOKUP(C18,Rangliste!$B$10:$T$117,2,FALSE))</f>
        <v>#N/A</v>
      </c>
      <c r="E18" s="41" t="e">
        <f>IF(ISBLANK(VLOOKUP(C18,Rangliste!$B$10:$T$117,4,FALSE))=TRUE,"",VLOOKUP(C18,Rangliste!$B$10:$T$117,4,FALSE))</f>
        <v>#N/A</v>
      </c>
      <c r="F18" s="15" t="e">
        <f t="shared" si="0"/>
        <v>#REF!</v>
      </c>
      <c r="G18" s="15" t="e">
        <f t="shared" si="1"/>
        <v>#REF!</v>
      </c>
      <c r="H18" s="15" t="e">
        <f t="shared" si="2"/>
        <v>#REF!</v>
      </c>
      <c r="I18" s="15" t="s">
        <v>388</v>
      </c>
      <c r="J18" s="15" t="e">
        <f t="shared" si="3"/>
        <v>#REF!</v>
      </c>
      <c r="K18" s="42" t="e">
        <f t="shared" si="4"/>
        <v>#REF!</v>
      </c>
    </row>
    <row r="19" spans="1:11" ht="12.75" customHeight="1" x14ac:dyDescent="0.3">
      <c r="A19" s="15">
        <v>16</v>
      </c>
      <c r="B19" s="15" t="e">
        <f>IF(ISBLANK(VLOOKUP(C19,Rangliste!$B$10:$T$117,3,FALSE))=TRUE,"",VLOOKUP(C19,Rangliste!$B$10:$T$117,3,FALSE))</f>
        <v>#N/A</v>
      </c>
      <c r="C19" s="16"/>
      <c r="D19" s="21" t="e">
        <f>IF(ISBLANK(VLOOKUP(C19,Rangliste!$B$10:$T$117,2,FALSE))=TRUE,"",VLOOKUP(C19,Rangliste!$B$10:$T$117,2,FALSE))</f>
        <v>#N/A</v>
      </c>
      <c r="E19" s="41" t="e">
        <f>IF(ISBLANK(VLOOKUP(C19,Rangliste!$B$10:$T$117,4,FALSE))=TRUE,"",VLOOKUP(C19,Rangliste!$B$10:$T$117,4,FALSE))</f>
        <v>#N/A</v>
      </c>
      <c r="F19" s="15" t="e">
        <f t="shared" si="0"/>
        <v>#REF!</v>
      </c>
      <c r="G19" s="15" t="e">
        <f t="shared" si="1"/>
        <v>#REF!</v>
      </c>
      <c r="H19" s="15" t="e">
        <f t="shared" si="2"/>
        <v>#REF!</v>
      </c>
      <c r="I19" s="15" t="s">
        <v>388</v>
      </c>
      <c r="J19" s="15" t="e">
        <f t="shared" si="3"/>
        <v>#REF!</v>
      </c>
      <c r="K19" s="42" t="e">
        <f t="shared" si="4"/>
        <v>#REF!</v>
      </c>
    </row>
    <row r="20" spans="1:11" ht="12.75" customHeight="1" x14ac:dyDescent="0.3">
      <c r="A20" s="15">
        <v>17</v>
      </c>
      <c r="B20" s="15" t="e">
        <f>IF(ISBLANK(VLOOKUP(C20,Rangliste!$B$10:$T$117,3,FALSE))=TRUE,"",VLOOKUP(C20,Rangliste!$B$10:$T$117,3,FALSE))</f>
        <v>#N/A</v>
      </c>
      <c r="C20" s="16"/>
      <c r="D20" s="21" t="e">
        <f>IF(ISBLANK(VLOOKUP(C20,Rangliste!$B$10:$T$117,2,FALSE))=TRUE,"",VLOOKUP(C20,Rangliste!$B$10:$T$117,2,FALSE))</f>
        <v>#N/A</v>
      </c>
      <c r="E20" s="41" t="e">
        <f>IF(ISBLANK(VLOOKUP(C20,Rangliste!$B$10:$T$117,4,FALSE))=TRUE,"",VLOOKUP(C20,Rangliste!$B$10:$T$117,4,FALSE))</f>
        <v>#N/A</v>
      </c>
      <c r="F20" s="15" t="e">
        <f t="shared" si="0"/>
        <v>#REF!</v>
      </c>
      <c r="G20" s="15" t="e">
        <f t="shared" si="1"/>
        <v>#REF!</v>
      </c>
      <c r="H20" s="15" t="e">
        <f t="shared" si="2"/>
        <v>#REF!</v>
      </c>
      <c r="I20" s="15" t="s">
        <v>388</v>
      </c>
      <c r="J20" s="15" t="e">
        <f t="shared" si="3"/>
        <v>#REF!</v>
      </c>
      <c r="K20" s="42" t="e">
        <f t="shared" si="4"/>
        <v>#REF!</v>
      </c>
    </row>
    <row r="21" spans="1:11" ht="12.75" customHeight="1" x14ac:dyDescent="0.3">
      <c r="A21" s="15">
        <v>18</v>
      </c>
      <c r="B21" s="15" t="e">
        <f>IF(ISBLANK(VLOOKUP(C21,Rangliste!$B$10:$T$117,3,FALSE))=TRUE,"",VLOOKUP(C21,Rangliste!$B$10:$T$117,3,FALSE))</f>
        <v>#N/A</v>
      </c>
      <c r="C21" s="16"/>
      <c r="D21" s="21" t="e">
        <f>IF(ISBLANK(VLOOKUP(C21,Rangliste!$B$10:$T$117,2,FALSE))=TRUE,"",VLOOKUP(C21,Rangliste!$B$10:$T$117,2,FALSE))</f>
        <v>#N/A</v>
      </c>
      <c r="E21" s="41" t="e">
        <f>IF(ISBLANK(VLOOKUP(C21,Rangliste!$B$10:$T$117,4,FALSE))=TRUE,"",VLOOKUP(C21,Rangliste!$B$10:$T$117,4,FALSE))</f>
        <v>#N/A</v>
      </c>
      <c r="F21" s="15" t="e">
        <f t="shared" si="0"/>
        <v>#REF!</v>
      </c>
      <c r="G21" s="15" t="e">
        <f t="shared" si="1"/>
        <v>#REF!</v>
      </c>
      <c r="H21" s="15" t="e">
        <f t="shared" si="2"/>
        <v>#REF!</v>
      </c>
      <c r="I21" s="15" t="s">
        <v>388</v>
      </c>
      <c r="J21" s="15" t="e">
        <f t="shared" si="3"/>
        <v>#REF!</v>
      </c>
      <c r="K21" s="42" t="e">
        <f t="shared" si="4"/>
        <v>#REF!</v>
      </c>
    </row>
    <row r="22" spans="1:11" ht="12.75" customHeight="1" x14ac:dyDescent="0.3">
      <c r="A22" s="15">
        <v>19</v>
      </c>
      <c r="B22" s="15" t="e">
        <f>IF(ISBLANK(VLOOKUP(C22,Rangliste!$B$10:$T$117,3,FALSE))=TRUE,"",VLOOKUP(C22,Rangliste!$B$10:$T$117,3,FALSE))</f>
        <v>#N/A</v>
      </c>
      <c r="C22" s="16"/>
      <c r="D22" s="21" t="e">
        <f>IF(ISBLANK(VLOOKUP(C22,Rangliste!$B$10:$T$117,2,FALSE))=TRUE,"",VLOOKUP(C22,Rangliste!$B$10:$T$117,2,FALSE))</f>
        <v>#N/A</v>
      </c>
      <c r="E22" s="41" t="e">
        <f>IF(ISBLANK(VLOOKUP(C22,Rangliste!$B$10:$T$117,4,FALSE))=TRUE,"",VLOOKUP(C22,Rangliste!$B$10:$T$117,4,FALSE))</f>
        <v>#N/A</v>
      </c>
      <c r="F22" s="15" t="e">
        <f t="shared" si="0"/>
        <v>#REF!</v>
      </c>
      <c r="G22" s="15" t="e">
        <f t="shared" si="1"/>
        <v>#REF!</v>
      </c>
      <c r="H22" s="15" t="e">
        <f t="shared" si="2"/>
        <v>#REF!</v>
      </c>
      <c r="I22" s="15" t="s">
        <v>388</v>
      </c>
      <c r="J22" s="15" t="e">
        <f t="shared" si="3"/>
        <v>#REF!</v>
      </c>
      <c r="K22" s="42" t="e">
        <f t="shared" si="4"/>
        <v>#REF!</v>
      </c>
    </row>
    <row r="23" spans="1:11" ht="12.75" customHeight="1" x14ac:dyDescent="0.3">
      <c r="A23" s="15">
        <v>20</v>
      </c>
      <c r="B23" s="15" t="e">
        <f>IF(ISBLANK(VLOOKUP(C23,Rangliste!$B$10:$T$117,3,FALSE))=TRUE,"",VLOOKUP(C23,Rangliste!$B$10:$T$117,3,FALSE))</f>
        <v>#N/A</v>
      </c>
      <c r="C23" s="16"/>
      <c r="D23" s="21" t="e">
        <f>IF(ISBLANK(VLOOKUP(C23,Rangliste!$B$10:$T$117,2,FALSE))=TRUE,"",VLOOKUP(C23,Rangliste!$B$10:$T$117,2,FALSE))</f>
        <v>#N/A</v>
      </c>
      <c r="E23" s="41" t="e">
        <f>IF(ISBLANK(VLOOKUP(C23,Rangliste!$B$10:$T$117,4,FALSE))=TRUE,"",VLOOKUP(C23,Rangliste!$B$10:$T$117,4,FALSE))</f>
        <v>#N/A</v>
      </c>
      <c r="F23" s="15" t="e">
        <f t="shared" si="0"/>
        <v>#REF!</v>
      </c>
      <c r="G23" s="15" t="e">
        <f t="shared" si="1"/>
        <v>#REF!</v>
      </c>
      <c r="H23" s="15" t="e">
        <f t="shared" si="2"/>
        <v>#REF!</v>
      </c>
      <c r="I23" s="15" t="s">
        <v>388</v>
      </c>
      <c r="J23" s="15" t="e">
        <f t="shared" si="3"/>
        <v>#REF!</v>
      </c>
      <c r="K23" s="42" t="e">
        <f t="shared" si="4"/>
        <v>#REF!</v>
      </c>
    </row>
    <row r="24" spans="1:11" ht="12.75" customHeight="1" x14ac:dyDescent="0.3">
      <c r="A24" s="15">
        <v>21</v>
      </c>
      <c r="B24" s="15" t="e">
        <f>IF(ISBLANK(VLOOKUP(C24,Rangliste!$B$10:$T$117,3,FALSE))=TRUE,"",VLOOKUP(C24,Rangliste!$B$10:$T$117,3,FALSE))</f>
        <v>#N/A</v>
      </c>
      <c r="C24" s="16"/>
      <c r="D24" s="21" t="e">
        <f>IF(ISBLANK(VLOOKUP(C24,Rangliste!$B$10:$T$117,2,FALSE))=TRUE,"",VLOOKUP(C24,Rangliste!$B$10:$T$117,2,FALSE))</f>
        <v>#N/A</v>
      </c>
      <c r="E24" s="41" t="e">
        <f>IF(ISBLANK(VLOOKUP(C24,Rangliste!$B$10:$T$117,4,FALSE))=TRUE,"",VLOOKUP(C24,Rangliste!$B$10:$T$117,4,FALSE))</f>
        <v>#N/A</v>
      </c>
      <c r="F24" s="15" t="e">
        <f t="shared" si="0"/>
        <v>#REF!</v>
      </c>
      <c r="G24" s="15" t="e">
        <f t="shared" si="1"/>
        <v>#REF!</v>
      </c>
      <c r="H24" s="15" t="e">
        <f t="shared" si="2"/>
        <v>#REF!</v>
      </c>
      <c r="I24" s="15" t="s">
        <v>388</v>
      </c>
      <c r="J24" s="15" t="e">
        <f t="shared" si="3"/>
        <v>#REF!</v>
      </c>
      <c r="K24" s="42" t="e">
        <f t="shared" si="4"/>
        <v>#REF!</v>
      </c>
    </row>
    <row r="25" spans="1:11" ht="12.75" customHeight="1" x14ac:dyDescent="0.3">
      <c r="A25" s="15">
        <v>22</v>
      </c>
      <c r="B25" s="15" t="e">
        <f>IF(ISBLANK(VLOOKUP(C25,Rangliste!$B$10:$T$117,3,FALSE))=TRUE,"",VLOOKUP(C25,Rangliste!$B$10:$T$117,3,FALSE))</f>
        <v>#N/A</v>
      </c>
      <c r="C25" s="16"/>
      <c r="D25" s="21" t="e">
        <f>IF(ISBLANK(VLOOKUP(C25,Rangliste!$B$10:$T$117,2,FALSE))=TRUE,"",VLOOKUP(C25,Rangliste!$B$10:$T$117,2,FALSE))</f>
        <v>#N/A</v>
      </c>
      <c r="E25" s="41" t="e">
        <f>IF(ISBLANK(VLOOKUP(C25,Rangliste!$B$10:$T$117,4,FALSE))=TRUE,"",VLOOKUP(C25,Rangliste!$B$10:$T$117,4,FALSE))</f>
        <v>#N/A</v>
      </c>
      <c r="F25" s="15" t="e">
        <f t="shared" si="0"/>
        <v>#REF!</v>
      </c>
      <c r="G25" s="15" t="e">
        <f t="shared" si="1"/>
        <v>#REF!</v>
      </c>
      <c r="H25" s="15" t="e">
        <f t="shared" si="2"/>
        <v>#REF!</v>
      </c>
      <c r="I25" s="15" t="s">
        <v>388</v>
      </c>
      <c r="J25" s="15" t="e">
        <f t="shared" si="3"/>
        <v>#REF!</v>
      </c>
      <c r="K25" s="42" t="e">
        <f t="shared" si="4"/>
        <v>#REF!</v>
      </c>
    </row>
    <row r="26" spans="1:11" ht="12.75" customHeight="1" x14ac:dyDescent="0.3">
      <c r="A26" s="15">
        <v>23</v>
      </c>
      <c r="B26" s="15" t="e">
        <f>IF(ISBLANK(VLOOKUP(C26,Rangliste!$B$10:$T$117,3,FALSE))=TRUE,"",VLOOKUP(C26,Rangliste!$B$10:$T$117,3,FALSE))</f>
        <v>#N/A</v>
      </c>
      <c r="C26" s="16"/>
      <c r="D26" s="21" t="e">
        <f>IF(ISBLANK(VLOOKUP(C26,Rangliste!$B$10:$T$117,2,FALSE))=TRUE,"",VLOOKUP(C26,Rangliste!$B$10:$T$117,2,FALSE))</f>
        <v>#N/A</v>
      </c>
      <c r="E26" s="41" t="e">
        <f>IF(ISBLANK(VLOOKUP(C26,Rangliste!$B$10:$T$117,4,FALSE))=TRUE,"",VLOOKUP(C26,Rangliste!$B$10:$T$117,4,FALSE))</f>
        <v>#N/A</v>
      </c>
      <c r="F26" s="15" t="e">
        <f t="shared" si="0"/>
        <v>#REF!</v>
      </c>
      <c r="G26" s="15" t="e">
        <f t="shared" si="1"/>
        <v>#REF!</v>
      </c>
      <c r="H26" s="15" t="e">
        <f t="shared" si="2"/>
        <v>#REF!</v>
      </c>
      <c r="I26" s="15" t="s">
        <v>388</v>
      </c>
      <c r="J26" s="15" t="e">
        <f t="shared" si="3"/>
        <v>#REF!</v>
      </c>
      <c r="K26" s="42" t="e">
        <f t="shared" si="4"/>
        <v>#REF!</v>
      </c>
    </row>
    <row r="27" spans="1:11" ht="12.75" customHeight="1" x14ac:dyDescent="0.3">
      <c r="A27" s="15">
        <v>24</v>
      </c>
      <c r="B27" s="15" t="e">
        <f>IF(ISBLANK(VLOOKUP(C27,Rangliste!$B$10:$T$117,3,FALSE))=TRUE,"",VLOOKUP(C27,Rangliste!$B$10:$T$117,3,FALSE))</f>
        <v>#N/A</v>
      </c>
      <c r="C27" s="16"/>
      <c r="D27" s="21" t="e">
        <f>IF(ISBLANK(VLOOKUP(C27,Rangliste!$B$10:$T$117,2,FALSE))=TRUE,"",VLOOKUP(C27,Rangliste!$B$10:$T$117,2,FALSE))</f>
        <v>#N/A</v>
      </c>
      <c r="E27" s="41" t="e">
        <f>IF(ISBLANK(VLOOKUP(C27,Rangliste!$B$10:$T$117,4,FALSE))=TRUE,"",VLOOKUP(C27,Rangliste!$B$10:$T$117,4,FALSE))</f>
        <v>#N/A</v>
      </c>
      <c r="F27" s="15" t="e">
        <f t="shared" si="0"/>
        <v>#REF!</v>
      </c>
      <c r="G27" s="15" t="e">
        <f t="shared" si="1"/>
        <v>#REF!</v>
      </c>
      <c r="H27" s="15" t="e">
        <f t="shared" si="2"/>
        <v>#REF!</v>
      </c>
      <c r="I27" s="15" t="s">
        <v>388</v>
      </c>
      <c r="J27" s="15" t="e">
        <f t="shared" si="3"/>
        <v>#REF!</v>
      </c>
      <c r="K27" s="42" t="e">
        <f t="shared" si="4"/>
        <v>#REF!</v>
      </c>
    </row>
    <row r="28" spans="1:11" ht="12.75" customHeight="1" x14ac:dyDescent="0.3">
      <c r="A28" s="15">
        <v>25</v>
      </c>
      <c r="B28" s="15" t="e">
        <f>IF(ISBLANK(VLOOKUP(C28,Rangliste!$B$10:$T$117,3,FALSE))=TRUE,"",VLOOKUP(C28,Rangliste!$B$10:$T$117,3,FALSE))</f>
        <v>#N/A</v>
      </c>
      <c r="C28" s="16"/>
      <c r="D28" s="21" t="e">
        <f>IF(ISBLANK(VLOOKUP(C28,Rangliste!$B$10:$T$117,2,FALSE))=TRUE,"",VLOOKUP(C28,Rangliste!$B$10:$T$117,2,FALSE))</f>
        <v>#N/A</v>
      </c>
      <c r="E28" s="41" t="e">
        <f>IF(ISBLANK(VLOOKUP(C28,Rangliste!$B$10:$T$117,4,FALSE))=TRUE,"",VLOOKUP(C28,Rangliste!$B$10:$T$117,4,FALSE))</f>
        <v>#N/A</v>
      </c>
      <c r="F28" s="15" t="e">
        <f t="shared" si="0"/>
        <v>#REF!</v>
      </c>
      <c r="G28" s="15" t="e">
        <f t="shared" si="1"/>
        <v>#REF!</v>
      </c>
      <c r="H28" s="15" t="e">
        <f t="shared" si="2"/>
        <v>#REF!</v>
      </c>
      <c r="I28" s="15" t="s">
        <v>388</v>
      </c>
      <c r="J28" s="15" t="e">
        <f t="shared" si="3"/>
        <v>#REF!</v>
      </c>
      <c r="K28" s="42" t="e">
        <f t="shared" si="4"/>
        <v>#REF!</v>
      </c>
    </row>
    <row r="29" spans="1:11" ht="12.75" customHeight="1" x14ac:dyDescent="0.3">
      <c r="A29" s="15">
        <v>26</v>
      </c>
      <c r="B29" s="15" t="e">
        <f>IF(ISBLANK(VLOOKUP(C29,Rangliste!$B$10:$T$117,3,FALSE))=TRUE,"",VLOOKUP(C29,Rangliste!$B$10:$T$117,3,FALSE))</f>
        <v>#N/A</v>
      </c>
      <c r="C29" s="16"/>
      <c r="D29" s="21" t="e">
        <f>IF(ISBLANK(VLOOKUP(C29,Rangliste!$B$10:$T$117,2,FALSE))=TRUE,"",VLOOKUP(C29,Rangliste!$B$10:$T$117,2,FALSE))</f>
        <v>#N/A</v>
      </c>
      <c r="E29" s="41" t="e">
        <f>IF(ISBLANK(VLOOKUP(C29,Rangliste!$B$10:$T$117,4,FALSE))=TRUE,"",VLOOKUP(C29,Rangliste!$B$10:$T$117,4,FALSE))</f>
        <v>#N/A</v>
      </c>
      <c r="F29" s="15" t="e">
        <f t="shared" si="0"/>
        <v>#REF!</v>
      </c>
      <c r="G29" s="15" t="e">
        <f t="shared" si="1"/>
        <v>#REF!</v>
      </c>
      <c r="H29" s="15" t="e">
        <f t="shared" si="2"/>
        <v>#REF!</v>
      </c>
      <c r="I29" s="15" t="s">
        <v>388</v>
      </c>
      <c r="J29" s="15" t="e">
        <f t="shared" si="3"/>
        <v>#REF!</v>
      </c>
      <c r="K29" s="42" t="e">
        <f t="shared" si="4"/>
        <v>#REF!</v>
      </c>
    </row>
    <row r="30" spans="1:11" ht="12.75" customHeight="1" x14ac:dyDescent="0.3">
      <c r="A30" s="15">
        <v>27</v>
      </c>
      <c r="B30" s="15" t="e">
        <f>IF(ISBLANK(VLOOKUP(C30,Rangliste!$B$10:$T$117,3,FALSE))=TRUE,"",VLOOKUP(C30,Rangliste!$B$10:$T$117,3,FALSE))</f>
        <v>#N/A</v>
      </c>
      <c r="C30" s="16"/>
      <c r="D30" s="21" t="e">
        <f>IF(ISBLANK(VLOOKUP(C30,Rangliste!$B$10:$T$117,2,FALSE))=TRUE,"",VLOOKUP(C30,Rangliste!$B$10:$T$117,2,FALSE))</f>
        <v>#N/A</v>
      </c>
      <c r="E30" s="41" t="e">
        <f>IF(ISBLANK(VLOOKUP(C30,Rangliste!$B$10:$T$117,4,FALSE))=TRUE,"",VLOOKUP(C30,Rangliste!$B$10:$T$117,4,FALSE))</f>
        <v>#N/A</v>
      </c>
      <c r="F30" s="15" t="e">
        <f t="shared" si="0"/>
        <v>#REF!</v>
      </c>
      <c r="G30" s="15" t="e">
        <f t="shared" si="1"/>
        <v>#REF!</v>
      </c>
      <c r="H30" s="15" t="e">
        <f t="shared" si="2"/>
        <v>#REF!</v>
      </c>
      <c r="I30" s="15" t="s">
        <v>388</v>
      </c>
      <c r="J30" s="15" t="e">
        <f t="shared" si="3"/>
        <v>#REF!</v>
      </c>
      <c r="K30" s="42" t="e">
        <f t="shared" si="4"/>
        <v>#REF!</v>
      </c>
    </row>
    <row r="31" spans="1:11" ht="12.75" customHeight="1" x14ac:dyDescent="0.3">
      <c r="A31" s="15">
        <v>28</v>
      </c>
      <c r="B31" s="15" t="e">
        <f>IF(ISBLANK(VLOOKUP(C31,Rangliste!$B$10:$T$117,3,FALSE))=TRUE,"",VLOOKUP(C31,Rangliste!$B$10:$T$117,3,FALSE))</f>
        <v>#N/A</v>
      </c>
      <c r="C31" s="16"/>
      <c r="D31" s="21" t="e">
        <f>IF(ISBLANK(VLOOKUP(C31,Rangliste!$B$10:$T$117,2,FALSE))=TRUE,"",VLOOKUP(C31,Rangliste!$B$10:$T$117,2,FALSE))</f>
        <v>#N/A</v>
      </c>
      <c r="E31" s="41" t="e">
        <f>IF(ISBLANK(VLOOKUP(C31,Rangliste!$B$10:$T$117,4,FALSE))=TRUE,"",VLOOKUP(C31,Rangliste!$B$10:$T$117,4,FALSE))</f>
        <v>#N/A</v>
      </c>
      <c r="F31" s="15" t="e">
        <f t="shared" si="0"/>
        <v>#REF!</v>
      </c>
      <c r="G31" s="15" t="e">
        <f t="shared" si="1"/>
        <v>#REF!</v>
      </c>
      <c r="H31" s="15" t="e">
        <f t="shared" si="2"/>
        <v>#REF!</v>
      </c>
      <c r="I31" s="15" t="s">
        <v>388</v>
      </c>
      <c r="J31" s="15" t="e">
        <f t="shared" si="3"/>
        <v>#REF!</v>
      </c>
      <c r="K31" s="42" t="e">
        <f t="shared" si="4"/>
        <v>#REF!</v>
      </c>
    </row>
    <row r="32" spans="1:11" ht="12.75" customHeight="1" x14ac:dyDescent="0.3">
      <c r="A32" s="15">
        <v>29</v>
      </c>
      <c r="B32" s="15" t="e">
        <f>IF(ISBLANK(VLOOKUP(C32,Rangliste!$B$10:$T$117,3,FALSE))=TRUE,"",VLOOKUP(C32,Rangliste!$B$10:$T$117,3,FALSE))</f>
        <v>#N/A</v>
      </c>
      <c r="C32" s="21"/>
      <c r="D32" s="21" t="e">
        <f>IF(ISBLANK(VLOOKUP(C32,Rangliste!$B$10:$T$117,2,FALSE))=TRUE,"",VLOOKUP(C32,Rangliste!$B$10:$T$117,2,FALSE))</f>
        <v>#N/A</v>
      </c>
      <c r="E32" s="41" t="e">
        <f>IF(ISBLANK(VLOOKUP(C32,Rangliste!$B$10:$T$117,4,FALSE))=TRUE,"",VLOOKUP(C32,Rangliste!$B$10:$T$117,4,FALSE))</f>
        <v>#N/A</v>
      </c>
      <c r="F32" s="15" t="e">
        <f t="shared" si="0"/>
        <v>#REF!</v>
      </c>
      <c r="G32" s="15" t="e">
        <f t="shared" si="1"/>
        <v>#REF!</v>
      </c>
      <c r="H32" s="15" t="e">
        <f t="shared" si="2"/>
        <v>#REF!</v>
      </c>
      <c r="I32" s="15" t="s">
        <v>388</v>
      </c>
      <c r="J32" s="15" t="e">
        <f t="shared" si="3"/>
        <v>#REF!</v>
      </c>
      <c r="K32" s="42" t="e">
        <f t="shared" si="4"/>
        <v>#REF!</v>
      </c>
    </row>
    <row r="33" spans="1:11" ht="12.75" customHeight="1" x14ac:dyDescent="0.3">
      <c r="A33" s="15">
        <v>30</v>
      </c>
      <c r="B33" s="15" t="e">
        <f>IF(ISBLANK(VLOOKUP(C33,Rangliste!$B$10:$T$117,3,FALSE))=TRUE,"",VLOOKUP(C33,Rangliste!$B$10:$T$117,3,FALSE))</f>
        <v>#N/A</v>
      </c>
      <c r="C33" s="16"/>
      <c r="D33" s="21" t="e">
        <f>IF(ISBLANK(VLOOKUP(C33,Rangliste!$B$10:$T$117,2,FALSE))=TRUE,"",VLOOKUP(C33,Rangliste!$B$10:$T$117,2,FALSE))</f>
        <v>#N/A</v>
      </c>
      <c r="E33" s="41" t="e">
        <f>IF(ISBLANK(VLOOKUP(C33,Rangliste!$B$10:$T$117,4,FALSE))=TRUE,"",VLOOKUP(C33,Rangliste!$B$10:$T$117,4,FALSE))</f>
        <v>#N/A</v>
      </c>
      <c r="F33" s="15" t="e">
        <f t="shared" si="0"/>
        <v>#REF!</v>
      </c>
      <c r="G33" s="15" t="e">
        <f t="shared" si="1"/>
        <v>#REF!</v>
      </c>
      <c r="H33" s="15" t="e">
        <f t="shared" si="2"/>
        <v>#REF!</v>
      </c>
      <c r="I33" s="15" t="s">
        <v>388</v>
      </c>
      <c r="J33" s="15" t="e">
        <f t="shared" si="3"/>
        <v>#REF!</v>
      </c>
      <c r="K33" s="42" t="e">
        <f t="shared" si="4"/>
        <v>#REF!</v>
      </c>
    </row>
    <row r="34" spans="1:11" ht="12.75" customHeight="1" x14ac:dyDescent="0.3">
      <c r="A34" s="15">
        <v>31</v>
      </c>
      <c r="B34" s="15" t="e">
        <f>IF(ISBLANK(VLOOKUP(C34,Rangliste!$B$10:$T$117,3,FALSE))=TRUE,"",VLOOKUP(C34,Rangliste!$B$10:$T$117,3,FALSE))</f>
        <v>#N/A</v>
      </c>
      <c r="C34" s="16"/>
      <c r="D34" s="21" t="e">
        <f>IF(ISBLANK(VLOOKUP(C34,Rangliste!$B$10:$T$117,2,FALSE))=TRUE,"",VLOOKUP(C34,Rangliste!$B$10:$T$117,2,FALSE))</f>
        <v>#N/A</v>
      </c>
      <c r="E34" s="41" t="e">
        <f>IF(ISBLANK(VLOOKUP(C34,Rangliste!$B$10:$T$117,4,FALSE))=TRUE,"",VLOOKUP(C34,Rangliste!$B$10:$T$117,4,FALSE))</f>
        <v>#N/A</v>
      </c>
      <c r="F34" s="15" t="e">
        <f t="shared" si="0"/>
        <v>#REF!</v>
      </c>
      <c r="G34" s="15" t="e">
        <f t="shared" si="1"/>
        <v>#REF!</v>
      </c>
      <c r="H34" s="15" t="e">
        <f t="shared" si="2"/>
        <v>#REF!</v>
      </c>
      <c r="I34" s="15" t="s">
        <v>388</v>
      </c>
      <c r="J34" s="15" t="e">
        <f t="shared" si="3"/>
        <v>#REF!</v>
      </c>
      <c r="K34" s="42" t="e">
        <f t="shared" si="4"/>
        <v>#REF!</v>
      </c>
    </row>
    <row r="35" spans="1:11" ht="12.75" customHeight="1" x14ac:dyDescent="0.3">
      <c r="A35" s="15">
        <v>32</v>
      </c>
      <c r="B35" s="15" t="e">
        <f>IF(ISBLANK(VLOOKUP(C35,Rangliste!$B$10:$T$117,3,FALSE))=TRUE,"",VLOOKUP(C35,Rangliste!$B$10:$T$117,3,FALSE))</f>
        <v>#N/A</v>
      </c>
      <c r="C35" s="16"/>
      <c r="D35" s="21" t="e">
        <f>IF(ISBLANK(VLOOKUP(C35,Rangliste!$B$10:$T$117,2,FALSE))=TRUE,"",VLOOKUP(C35,Rangliste!$B$10:$T$117,2,FALSE))</f>
        <v>#N/A</v>
      </c>
      <c r="E35" s="41" t="e">
        <f>IF(ISBLANK(VLOOKUP(C35,Rangliste!$B$10:$T$117,4,FALSE))=TRUE,"",VLOOKUP(C35,Rangliste!$B$10:$T$117,4,FALSE))</f>
        <v>#N/A</v>
      </c>
      <c r="F35" s="15" t="e">
        <f t="shared" si="0"/>
        <v>#REF!</v>
      </c>
      <c r="G35" s="15" t="e">
        <f t="shared" si="1"/>
        <v>#REF!</v>
      </c>
      <c r="H35" s="15" t="e">
        <f t="shared" si="2"/>
        <v>#REF!</v>
      </c>
      <c r="I35" s="15" t="s">
        <v>388</v>
      </c>
      <c r="J35" s="15" t="e">
        <f t="shared" si="3"/>
        <v>#REF!</v>
      </c>
      <c r="K35" s="42" t="e">
        <f t="shared" si="4"/>
        <v>#REF!</v>
      </c>
    </row>
    <row r="36" spans="1:11" ht="12.75" customHeight="1" x14ac:dyDescent="0.3">
      <c r="A36" s="15">
        <v>33</v>
      </c>
      <c r="B36" s="15" t="e">
        <f>IF(ISBLANK(VLOOKUP(C36,Rangliste!$B$10:$T$117,3,FALSE))=TRUE,"",VLOOKUP(C36,Rangliste!$B$10:$T$117,3,FALSE))</f>
        <v>#N/A</v>
      </c>
      <c r="C36" s="16"/>
      <c r="D36" s="21" t="e">
        <f>IF(ISBLANK(VLOOKUP(C36,Rangliste!$B$10:$T$117,2,FALSE))=TRUE,"",VLOOKUP(C36,Rangliste!$B$10:$T$117,2,FALSE))</f>
        <v>#N/A</v>
      </c>
      <c r="E36" s="41" t="e">
        <f>IF(ISBLANK(VLOOKUP(C36,Rangliste!$B$10:$T$117,4,FALSE))=TRUE,"",VLOOKUP(C36,Rangliste!$B$10:$T$117,4,FALSE))</f>
        <v>#N/A</v>
      </c>
      <c r="F36" s="15" t="e">
        <f t="shared" si="0"/>
        <v>#REF!</v>
      </c>
      <c r="G36" s="15" t="e">
        <f t="shared" si="1"/>
        <v>#REF!</v>
      </c>
      <c r="H36" s="15" t="e">
        <f t="shared" si="2"/>
        <v>#REF!</v>
      </c>
      <c r="I36" s="15" t="s">
        <v>388</v>
      </c>
      <c r="J36" s="15" t="e">
        <f t="shared" si="3"/>
        <v>#REF!</v>
      </c>
      <c r="K36" s="42" t="e">
        <f t="shared" si="4"/>
        <v>#REF!</v>
      </c>
    </row>
    <row r="37" spans="1:11" ht="12.75" customHeight="1" x14ac:dyDescent="0.3">
      <c r="A37" s="15">
        <v>34</v>
      </c>
      <c r="B37" s="15" t="e">
        <f>IF(ISBLANK(VLOOKUP(C37,Rangliste!$B$10:$T$117,3,FALSE))=TRUE,"",VLOOKUP(C37,Rangliste!$B$10:$T$117,3,FALSE))</f>
        <v>#N/A</v>
      </c>
      <c r="C37" s="16"/>
      <c r="D37" s="16" t="e">
        <f>IF(ISBLANK(VLOOKUP(C37,Rangliste!$B$10:$T$117,2,FALSE))=TRUE,"",VLOOKUP(C37,Rangliste!$B$10:$T$117,2,FALSE))</f>
        <v>#N/A</v>
      </c>
      <c r="E37" s="41" t="e">
        <f>IF(ISBLANK(VLOOKUP(C37,Rangliste!$B$10:$T$117,4,FALSE))=TRUE,"",VLOOKUP(C37,Rangliste!$B$10:$T$117,4,FALSE))</f>
        <v>#N/A</v>
      </c>
      <c r="F37" s="15" t="e">
        <f t="shared" si="0"/>
        <v>#REF!</v>
      </c>
      <c r="G37" s="15" t="e">
        <f t="shared" si="1"/>
        <v>#REF!</v>
      </c>
      <c r="H37" s="15" t="e">
        <f t="shared" si="2"/>
        <v>#REF!</v>
      </c>
      <c r="I37" s="15" t="s">
        <v>388</v>
      </c>
      <c r="J37" s="15" t="e">
        <f t="shared" si="3"/>
        <v>#REF!</v>
      </c>
      <c r="K37" s="42" t="e">
        <f t="shared" si="4"/>
        <v>#REF!</v>
      </c>
    </row>
    <row r="38" spans="1:11" ht="12.75" customHeight="1" x14ac:dyDescent="0.3">
      <c r="A38" s="15">
        <v>35</v>
      </c>
      <c r="B38" s="15" t="e">
        <f>IF(ISBLANK(VLOOKUP(C38,Rangliste!$B$10:$T$117,3,FALSE))=TRUE,"",VLOOKUP(C38,Rangliste!$B$10:$T$117,3,FALSE))</f>
        <v>#N/A</v>
      </c>
      <c r="C38" s="16"/>
      <c r="D38" s="21" t="e">
        <f>IF(ISBLANK(VLOOKUP(C38,Rangliste!$B$10:$T$117,2,FALSE))=TRUE,"",VLOOKUP(C38,Rangliste!$B$10:$T$117,2,FALSE))</f>
        <v>#N/A</v>
      </c>
      <c r="E38" s="41" t="e">
        <f>IF(ISBLANK(VLOOKUP(C38,Rangliste!$B$10:$T$117,4,FALSE))=TRUE,"",VLOOKUP(C38,Rangliste!$B$10:$T$117,4,FALSE))</f>
        <v>#N/A</v>
      </c>
      <c r="F38" s="15" t="e">
        <f t="shared" si="0"/>
        <v>#REF!</v>
      </c>
      <c r="G38" s="15" t="e">
        <f t="shared" si="1"/>
        <v>#REF!</v>
      </c>
      <c r="H38" s="15" t="e">
        <f t="shared" si="2"/>
        <v>#REF!</v>
      </c>
      <c r="I38" s="15" t="s">
        <v>388</v>
      </c>
      <c r="J38" s="15" t="e">
        <f t="shared" si="3"/>
        <v>#REF!</v>
      </c>
      <c r="K38" s="42" t="e">
        <f t="shared" si="4"/>
        <v>#REF!</v>
      </c>
    </row>
    <row r="39" spans="1:11" ht="12.75" customHeight="1" x14ac:dyDescent="0.3">
      <c r="A39" s="15">
        <v>36</v>
      </c>
      <c r="B39" s="15" t="e">
        <f>IF(ISBLANK(VLOOKUP(C39,Rangliste!$B$10:$T$117,3,FALSE))=TRUE,"",VLOOKUP(C39,Rangliste!$B$10:$T$117,3,FALSE))</f>
        <v>#N/A</v>
      </c>
      <c r="D39" s="21" t="e">
        <f>IF(ISBLANK(VLOOKUP(C39,Rangliste!$B$10:$T$117,2,FALSE))=TRUE,"",VLOOKUP(C39,Rangliste!$B$10:$T$117,2,FALSE))</f>
        <v>#N/A</v>
      </c>
      <c r="E39" s="41" t="e">
        <f>IF(ISBLANK(VLOOKUP(C39,Rangliste!$B$10:$T$117,4,FALSE))=TRUE,"",VLOOKUP(C39,Rangliste!$B$10:$T$117,4,FALSE))</f>
        <v>#N/A</v>
      </c>
      <c r="F39" s="15" t="e">
        <f t="shared" si="0"/>
        <v>#REF!</v>
      </c>
      <c r="G39" s="15" t="e">
        <f t="shared" si="1"/>
        <v>#REF!</v>
      </c>
      <c r="H39" s="15" t="e">
        <f t="shared" si="2"/>
        <v>#REF!</v>
      </c>
      <c r="I39" s="15" t="s">
        <v>388</v>
      </c>
      <c r="J39" s="15" t="e">
        <f t="shared" si="3"/>
        <v>#REF!</v>
      </c>
      <c r="K39" s="42" t="e">
        <f t="shared" si="4"/>
        <v>#REF!</v>
      </c>
    </row>
    <row r="40" spans="1:11" ht="12.75" customHeight="1" x14ac:dyDescent="0.3">
      <c r="A40" s="15">
        <v>37</v>
      </c>
      <c r="B40" s="15" t="e">
        <f>IF(ISBLANK(VLOOKUP(C40,Rangliste!$B$10:$T$117,3,FALSE))=TRUE,"",VLOOKUP(C40,Rangliste!$B$10:$T$117,3,FALSE))</f>
        <v>#N/A</v>
      </c>
      <c r="C40" s="54"/>
      <c r="D40" s="102" t="e">
        <f>IF(ISBLANK(VLOOKUP(C40,Rangliste!$B$10:$T$117,2,FALSE))=TRUE,"",VLOOKUP(C40,Rangliste!$B$10:$T$117,2,FALSE))</f>
        <v>#N/A</v>
      </c>
      <c r="E40" s="41" t="e">
        <f>IF(ISBLANK(VLOOKUP(C40,Rangliste!$B$10:$T$117,4,FALSE))=TRUE,"",VLOOKUP(C40,Rangliste!$B$10:$T$117,4,FALSE))</f>
        <v>#N/A</v>
      </c>
      <c r="F40" s="15" t="e">
        <f t="shared" si="0"/>
        <v>#REF!</v>
      </c>
      <c r="G40" s="15" t="e">
        <f t="shared" si="1"/>
        <v>#REF!</v>
      </c>
      <c r="H40" s="15" t="e">
        <f t="shared" si="2"/>
        <v>#REF!</v>
      </c>
      <c r="I40" s="15" t="s">
        <v>388</v>
      </c>
      <c r="J40" s="15" t="e">
        <f t="shared" si="3"/>
        <v>#REF!</v>
      </c>
      <c r="K40" s="42" t="e">
        <f t="shared" si="4"/>
        <v>#REF!</v>
      </c>
    </row>
    <row r="41" spans="1:11" ht="12.75" customHeight="1" x14ac:dyDescent="0.3">
      <c r="A41" s="15">
        <v>38</v>
      </c>
      <c r="B41" s="15" t="e">
        <f>IF(ISBLANK(VLOOKUP(C41,Rangliste!$B$10:$T$117,3,FALSE))=TRUE,"",VLOOKUP(C41,Rangliste!$B$10:$T$117,3,FALSE))</f>
        <v>#N/A</v>
      </c>
      <c r="C41" s="54"/>
      <c r="D41" s="102" t="e">
        <f>IF(ISBLANK(VLOOKUP(C41,Rangliste!$B$10:$T$117,2,FALSE))=TRUE,"",VLOOKUP(C41,Rangliste!$B$10:$T$117,2,FALSE))</f>
        <v>#N/A</v>
      </c>
      <c r="E41" s="41" t="e">
        <f>IF(ISBLANK(VLOOKUP(C41,Rangliste!$B$10:$T$117,4,FALSE))=TRUE,"",VLOOKUP(C41,Rangliste!$B$10:$T$117,4,FALSE))</f>
        <v>#N/A</v>
      </c>
      <c r="F41" s="15" t="e">
        <f t="shared" si="0"/>
        <v>#REF!</v>
      </c>
      <c r="G41" s="15" t="e">
        <f t="shared" si="1"/>
        <v>#REF!</v>
      </c>
      <c r="H41" s="15" t="e">
        <f t="shared" si="2"/>
        <v>#REF!</v>
      </c>
      <c r="I41" s="15" t="s">
        <v>388</v>
      </c>
      <c r="J41" s="15" t="e">
        <f t="shared" si="3"/>
        <v>#REF!</v>
      </c>
      <c r="K41" s="42" t="e">
        <f t="shared" si="4"/>
        <v>#REF!</v>
      </c>
    </row>
    <row r="42" spans="1:11" ht="12.75" customHeight="1" x14ac:dyDescent="0.3">
      <c r="A42" s="15">
        <v>39</v>
      </c>
      <c r="B42" s="15" t="e">
        <f>IF(ISBLANK(VLOOKUP(C42,Rangliste!$B$10:$T$117,3,FALSE))=TRUE,"",VLOOKUP(C42,Rangliste!$B$10:$T$117,3,FALSE))</f>
        <v>#N/A</v>
      </c>
      <c r="C42" s="54"/>
      <c r="D42" s="102" t="e">
        <f>IF(ISBLANK(VLOOKUP(C42,Rangliste!$B$10:$T$117,2,FALSE))=TRUE,"",VLOOKUP(C42,Rangliste!$B$10:$T$117,2,FALSE))</f>
        <v>#N/A</v>
      </c>
      <c r="E42" s="41" t="e">
        <f>IF(ISBLANK(VLOOKUP(C42,Rangliste!$B$10:$T$117,4,FALSE))=TRUE,"",VLOOKUP(C42,Rangliste!$B$10:$T$117,4,FALSE))</f>
        <v>#N/A</v>
      </c>
      <c r="F42" s="15" t="e">
        <f t="shared" si="0"/>
        <v>#REF!</v>
      </c>
      <c r="G42" s="15" t="e">
        <f t="shared" si="1"/>
        <v>#REF!</v>
      </c>
      <c r="H42" s="15" t="e">
        <f t="shared" si="2"/>
        <v>#REF!</v>
      </c>
      <c r="I42" s="15" t="s">
        <v>388</v>
      </c>
      <c r="J42" s="15" t="e">
        <f t="shared" si="3"/>
        <v>#REF!</v>
      </c>
      <c r="K42" s="42" t="e">
        <f t="shared" si="4"/>
        <v>#REF!</v>
      </c>
    </row>
    <row r="43" spans="1:11" ht="12.75" hidden="1" customHeight="1" x14ac:dyDescent="0.3">
      <c r="A43" s="15">
        <v>40</v>
      </c>
      <c r="B43" s="15" t="e">
        <f>IF(ISBLANK(VLOOKUP(C43,Rangliste!$B$10:$T$117,3,FALSE))=TRUE,"",VLOOKUP(C43,Rangliste!$B$10:$T$117,3,FALSE))</f>
        <v>#N/A</v>
      </c>
      <c r="C43" s="16" t="s">
        <v>485</v>
      </c>
      <c r="D43" s="21" t="e">
        <f>IF(ISBLANK(VLOOKUP(C43,Rangliste!$B$10:$T$117,2,FALSE))=TRUE,"",VLOOKUP(C43,Rangliste!$B$10:$T$117,2,FALSE))</f>
        <v>#N/A</v>
      </c>
      <c r="E43" s="41" t="e">
        <f>IF(ISBLANK(VLOOKUP(C43,Rangliste!$B$10:$T$117,4,FALSE))=TRUE,"",VLOOKUP(C43,Rangliste!$B$10:$T$117,4,FALSE))</f>
        <v>#N/A</v>
      </c>
      <c r="F43" s="15" t="e">
        <f t="shared" si="0"/>
        <v>#REF!</v>
      </c>
      <c r="G43" s="15" t="e">
        <f t="shared" si="1"/>
        <v>#REF!</v>
      </c>
      <c r="H43" s="15" t="e">
        <f t="shared" si="2"/>
        <v>#REF!</v>
      </c>
      <c r="I43" s="15" t="s">
        <v>388</v>
      </c>
      <c r="J43" s="15" t="e">
        <f t="shared" si="3"/>
        <v>#REF!</v>
      </c>
      <c r="K43" s="42" t="e">
        <f t="shared" si="4"/>
        <v>#REF!</v>
      </c>
    </row>
    <row r="44" spans="1:11" ht="12.75" hidden="1" customHeight="1" x14ac:dyDescent="0.3">
      <c r="A44" s="15">
        <v>41</v>
      </c>
      <c r="B44" s="15" t="e">
        <f>IF(ISBLANK(VLOOKUP(C44,Rangliste!$B$10:$T$117,3,FALSE))=TRUE,"",VLOOKUP(C44,Rangliste!$B$10:$T$117,3,FALSE))</f>
        <v>#N/A</v>
      </c>
      <c r="C44" s="16" t="s">
        <v>486</v>
      </c>
      <c r="D44" s="21" t="e">
        <f>IF(ISBLANK(VLOOKUP(C44,Rangliste!$B$10:$T$117,2,FALSE))=TRUE,"",VLOOKUP(C44,Rangliste!$B$10:$T$117,2,FALSE))</f>
        <v>#N/A</v>
      </c>
      <c r="E44" s="41" t="e">
        <f>IF(ISBLANK(VLOOKUP(C44,Rangliste!$B$10:$T$117,4,FALSE))=TRUE,"",VLOOKUP(C44,Rangliste!$B$10:$T$117,4,FALSE))</f>
        <v>#N/A</v>
      </c>
      <c r="F44" s="15" t="e">
        <f t="shared" si="0"/>
        <v>#REF!</v>
      </c>
      <c r="G44" s="15" t="e">
        <f t="shared" si="1"/>
        <v>#REF!</v>
      </c>
      <c r="H44" s="15" t="e">
        <f t="shared" si="2"/>
        <v>#REF!</v>
      </c>
      <c r="I44" s="15" t="s">
        <v>388</v>
      </c>
      <c r="J44" s="15" t="e">
        <f t="shared" si="3"/>
        <v>#REF!</v>
      </c>
      <c r="K44" s="42" t="e">
        <f t="shared" si="4"/>
        <v>#REF!</v>
      </c>
    </row>
    <row r="45" spans="1:11" ht="12.75" hidden="1" customHeight="1" x14ac:dyDescent="0.3">
      <c r="A45" s="15">
        <v>42</v>
      </c>
      <c r="B45" s="15" t="e">
        <f>IF(ISBLANK(VLOOKUP(C45,Rangliste!$B$10:$T$117,3,FALSE))=TRUE,"",VLOOKUP(C45,Rangliste!$B$10:$T$117,3,FALSE))</f>
        <v>#N/A</v>
      </c>
      <c r="C45" s="54" t="s">
        <v>487</v>
      </c>
      <c r="D45" s="102" t="e">
        <f>IF(ISBLANK(VLOOKUP(C45,Rangliste!$B$10:$T$117,2,FALSE))=TRUE,"",VLOOKUP(C45,Rangliste!$B$10:$T$117,2,FALSE))</f>
        <v>#N/A</v>
      </c>
      <c r="E45" s="41" t="e">
        <f>IF(ISBLANK(VLOOKUP(C45,Rangliste!$B$10:$T$117,4,FALSE))=TRUE,"",VLOOKUP(C45,Rangliste!$B$10:$T$117,4,FALSE))</f>
        <v>#N/A</v>
      </c>
      <c r="F45" s="15" t="e">
        <f t="shared" si="0"/>
        <v>#REF!</v>
      </c>
      <c r="G45" s="15" t="e">
        <f t="shared" si="1"/>
        <v>#REF!</v>
      </c>
      <c r="H45" s="15" t="e">
        <f t="shared" si="2"/>
        <v>#REF!</v>
      </c>
      <c r="I45" s="15" t="s">
        <v>388</v>
      </c>
      <c r="J45" s="15" t="e">
        <f t="shared" si="3"/>
        <v>#REF!</v>
      </c>
      <c r="K45" s="42" t="e">
        <f t="shared" si="4"/>
        <v>#REF!</v>
      </c>
    </row>
    <row r="46" spans="1:11" ht="12.75" hidden="1" customHeight="1" x14ac:dyDescent="0.3">
      <c r="A46" s="15">
        <v>43</v>
      </c>
      <c r="B46" s="15" t="e">
        <f>IF(ISBLANK(VLOOKUP(C46,Rangliste!$B$10:$T$117,3,FALSE))=TRUE,"",VLOOKUP(C46,Rangliste!$B$10:$T$117,3,FALSE))</f>
        <v>#N/A</v>
      </c>
      <c r="C46" s="43" t="s">
        <v>488</v>
      </c>
      <c r="D46" s="21" t="e">
        <f>IF(ISBLANK(VLOOKUP(C46,Rangliste!$B$10:$T$117,2,FALSE))=TRUE,"",VLOOKUP(C46,Rangliste!$B$10:$T$117,2,FALSE))</f>
        <v>#N/A</v>
      </c>
      <c r="E46" s="41" t="e">
        <f>IF(ISBLANK(VLOOKUP(C46,Rangliste!$B$10:$T$117,4,FALSE))=TRUE,"",VLOOKUP(C46,Rangliste!$B$10:$T$117,4,FALSE))</f>
        <v>#N/A</v>
      </c>
      <c r="F46" s="15" t="e">
        <f t="shared" si="0"/>
        <v>#REF!</v>
      </c>
      <c r="G46" s="15" t="e">
        <f t="shared" si="1"/>
        <v>#REF!</v>
      </c>
      <c r="H46" s="15" t="e">
        <f t="shared" si="2"/>
        <v>#REF!</v>
      </c>
      <c r="I46" s="15" t="s">
        <v>388</v>
      </c>
      <c r="J46" s="15" t="e">
        <f t="shared" si="3"/>
        <v>#REF!</v>
      </c>
      <c r="K46" s="42" t="e">
        <f t="shared" si="4"/>
        <v>#REF!</v>
      </c>
    </row>
    <row r="47" spans="1:11" ht="12.75" hidden="1" customHeight="1" x14ac:dyDescent="0.3">
      <c r="A47" s="15">
        <v>44</v>
      </c>
      <c r="B47" s="15" t="e">
        <f>IF(ISBLANK(VLOOKUP(C47,Rangliste!$B$10:$T$117,3,FALSE))=TRUE,"",VLOOKUP(C47,Rangliste!$B$10:$T$117,3,FALSE))</f>
        <v>#N/A</v>
      </c>
      <c r="C47" s="54" t="s">
        <v>489</v>
      </c>
      <c r="D47" s="102" t="e">
        <f>IF(ISBLANK(VLOOKUP(C47,Rangliste!$B$10:$T$117,2,FALSE))=TRUE,"",VLOOKUP(C47,Rangliste!$B$10:$T$117,2,FALSE))</f>
        <v>#N/A</v>
      </c>
      <c r="E47" s="41" t="e">
        <f>IF(ISBLANK(VLOOKUP(C47,Rangliste!$B$10:$T$117,4,FALSE))=TRUE,"",VLOOKUP(C47,Rangliste!$B$10:$T$117,4,FALSE))</f>
        <v>#N/A</v>
      </c>
      <c r="F47" s="15" t="e">
        <f t="shared" si="0"/>
        <v>#REF!</v>
      </c>
      <c r="G47" s="15" t="e">
        <f t="shared" si="1"/>
        <v>#REF!</v>
      </c>
      <c r="H47" s="15" t="e">
        <f t="shared" si="2"/>
        <v>#REF!</v>
      </c>
      <c r="I47" s="15" t="s">
        <v>388</v>
      </c>
      <c r="J47" s="15" t="e">
        <f t="shared" si="3"/>
        <v>#REF!</v>
      </c>
      <c r="K47" s="42" t="e">
        <f t="shared" si="4"/>
        <v>#REF!</v>
      </c>
    </row>
    <row r="48" spans="1:11" ht="12.75" customHeight="1" x14ac:dyDescent="0.3"/>
    <row r="49" spans="3:3" ht="12.75" customHeight="1" x14ac:dyDescent="0.3"/>
    <row r="50" spans="3:3" ht="12.75" customHeight="1" x14ac:dyDescent="0.3">
      <c r="C50" s="16"/>
    </row>
    <row r="51" spans="3:3" ht="12.75" customHeight="1" x14ac:dyDescent="0.3">
      <c r="C51" s="48" t="str">
        <f>IF(COUNTA(A4:A47) = COUNT(B4:B47),"","Spieler muss beim nächsten Einzel-RLT ÖBV-Mitglied sein")</f>
        <v>Spieler muss beim nächsten Einzel-RLT ÖBV-Mitglied sein</v>
      </c>
    </row>
    <row r="52" spans="3:3" ht="12.75" customHeight="1" x14ac:dyDescent="0.3">
      <c r="C52" s="21"/>
    </row>
    <row r="53" spans="3:3" ht="12.75" customHeight="1" x14ac:dyDescent="0.3">
      <c r="C53" s="16"/>
    </row>
    <row r="54" spans="3:3" ht="12.75" customHeight="1" x14ac:dyDescent="0.3">
      <c r="C54" s="21"/>
    </row>
    <row r="55" spans="3:3" ht="12.75" customHeight="1" x14ac:dyDescent="0.3">
      <c r="C55" s="21"/>
    </row>
    <row r="56" spans="3:3" ht="12.75" customHeight="1" x14ac:dyDescent="0.3">
      <c r="C56" s="16"/>
    </row>
    <row r="57" spans="3:3" ht="12.75" customHeight="1" x14ac:dyDescent="0.3"/>
    <row r="58" spans="3:3" ht="12.75" customHeight="1" x14ac:dyDescent="0.3"/>
    <row r="59" spans="3:3" ht="12.75" customHeight="1" x14ac:dyDescent="0.3"/>
    <row r="60" spans="3:3" ht="12.75" customHeight="1" x14ac:dyDescent="0.3"/>
    <row r="61" spans="3:3" ht="12.75" customHeight="1" x14ac:dyDescent="0.3"/>
    <row r="62" spans="3:3" ht="12.75" customHeight="1" x14ac:dyDescent="0.3"/>
    <row r="63" spans="3:3" ht="12.75" customHeight="1" x14ac:dyDescent="0.3"/>
    <row r="64" spans="3:3"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conditionalFormatting sqref="D21:D26">
    <cfRule type="expression" dxfId="6" priority="1">
      <formula>IF($B21="",FALSE,#REF!="")</formula>
    </cfRule>
  </conditionalFormatting>
  <conditionalFormatting sqref="D30:D32">
    <cfRule type="expression" dxfId="5" priority="2">
      <formula>IF($B30="",FALSE,#REF!="")</formula>
    </cfRule>
  </conditionalFormatting>
  <conditionalFormatting sqref="D34:D37">
    <cfRule type="expression" dxfId="4" priority="3">
      <formula>IF($B34="",FALSE,#REF!="")</formula>
    </cfRule>
  </conditionalFormatting>
  <pageMargins left="0.39370078740157483" right="0.39370078740157483" top="0.78740157480314965" bottom="0.78740157480314965" header="0" footer="0"/>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3.59765625" customWidth="1"/>
    <col min="6" max="8" width="6.3984375" customWidth="1"/>
    <col min="9" max="10" width="4.8984375" customWidth="1"/>
    <col min="11" max="11" width="5.59765625" customWidth="1"/>
  </cols>
  <sheetData>
    <row r="1" spans="1:11" ht="31.5" customHeight="1" x14ac:dyDescent="0.3">
      <c r="A1" s="114" t="s">
        <v>490</v>
      </c>
      <c r="B1" s="115"/>
      <c r="C1" s="115"/>
      <c r="D1" s="115"/>
      <c r="E1" s="115"/>
      <c r="F1" s="115"/>
      <c r="G1" s="115"/>
      <c r="H1" s="116"/>
      <c r="I1" s="120" t="s">
        <v>470</v>
      </c>
      <c r="J1" s="145"/>
      <c r="K1" s="121"/>
    </row>
    <row r="2" spans="1:11" ht="19.5" customHeight="1" x14ac:dyDescent="0.3">
      <c r="A2" s="117"/>
      <c r="B2" s="118"/>
      <c r="C2" s="118"/>
      <c r="D2" s="118"/>
      <c r="E2" s="118"/>
      <c r="F2" s="118"/>
      <c r="G2" s="118"/>
      <c r="H2" s="119"/>
      <c r="I2" s="122">
        <f ca="1">TODAY()</f>
        <v>46250</v>
      </c>
      <c r="J2" s="145"/>
      <c r="K2" s="121"/>
    </row>
    <row r="3" spans="1:1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11" ht="12.75" customHeight="1" x14ac:dyDescent="0.3">
      <c r="A4" s="18">
        <v>1</v>
      </c>
      <c r="B4" s="15" t="e">
        <f>IF(ISBLANK(VLOOKUP(C4,Rangliste!$B$10:$T$117,3,FALSE))=TRUE,"",VLOOKUP(C4,Rangliste!$B$10:$T$117,3,FALSE))</f>
        <v>#N/A</v>
      </c>
      <c r="C4" s="16"/>
      <c r="D4" s="21" t="e">
        <f>IF(ISBLANK(VLOOKUP(C4,Rangliste!$B$10:$T$117,2,FALSE))=TRUE,"",VLOOKUP(C4,Rangliste!$B$10:$T$117,2,FALSE))</f>
        <v>#N/A</v>
      </c>
      <c r="E4" s="41" t="e">
        <f>IF(ISBLANK(VLOOKUP(C4,Rangliste!$B$10:$T$117,4,FALSE))=TRUE,"",VLOOKUP(C4,Rangliste!$B$10:$T$117,4,FALSE))</f>
        <v>#N/A</v>
      </c>
      <c r="F4" s="15" t="e">
        <f t="shared" ref="F4:F23"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23"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23" si="2">MAX(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23" si="3">MIN(F4:I4)</f>
        <v>#REF!</v>
      </c>
      <c r="K4" s="42" t="e">
        <f t="shared" ref="K4:K23" si="4">SUM(F4:I4)-J4</f>
        <v>#REF!</v>
      </c>
    </row>
    <row r="5" spans="1:11" ht="12.75" customHeight="1" x14ac:dyDescent="0.3">
      <c r="A5" s="18">
        <v>2</v>
      </c>
      <c r="B5" s="15" t="e">
        <f>IF(ISBLANK(VLOOKUP(C5,Rangliste!$B$10:$T$117,3,FALSE))=TRUE,"",VLOOKUP(C5,Rangliste!$B$10:$T$117,3,FALSE))</f>
        <v>#N/A</v>
      </c>
      <c r="C5" s="16"/>
      <c r="D5" s="21" t="e">
        <f>IF(ISBLANK(VLOOKUP(C5,Rangliste!$B$10:$T$117,2,FALSE))=TRUE,"",VLOOKUP(C5,Rangliste!$B$10:$T$117,2,FALSE))</f>
        <v>#N/A</v>
      </c>
      <c r="E5" s="41" t="e">
        <f>IF(ISBLANK(VLOOKUP(C5,Rangliste!$B$10:$T$117,4,FALSE))=TRUE,"",VLOOKUP(C5,Rangliste!$B$10:$T$117,4,FALSE))</f>
        <v>#N/A</v>
      </c>
      <c r="F5" s="15" t="e">
        <f t="shared" si="0"/>
        <v>#REF!</v>
      </c>
      <c r="G5" s="15" t="e">
        <f t="shared" si="1"/>
        <v>#REF!</v>
      </c>
      <c r="H5" s="15" t="e">
        <f t="shared" si="2"/>
        <v>#REF!</v>
      </c>
      <c r="I5" s="15" t="s">
        <v>388</v>
      </c>
      <c r="J5" s="15" t="e">
        <f t="shared" si="3"/>
        <v>#REF!</v>
      </c>
      <c r="K5" s="42" t="e">
        <f t="shared" si="4"/>
        <v>#REF!</v>
      </c>
    </row>
    <row r="6" spans="1:11" ht="12.75" customHeight="1" x14ac:dyDescent="0.3">
      <c r="A6" s="18">
        <v>3</v>
      </c>
      <c r="B6" s="15" t="e">
        <f>IF(ISBLANK(VLOOKUP(C6,Rangliste!$B$10:$T$117,3,FALSE))=TRUE,"",VLOOKUP(C6,Rangliste!$B$10:$T$117,3,FALSE))</f>
        <v>#N/A</v>
      </c>
      <c r="D6" s="21" t="e">
        <f>IF(ISBLANK(VLOOKUP(C6,Rangliste!$B$10:$T$117,2,FALSE))=TRUE,"",VLOOKUP(C6,Rangliste!$B$10:$T$117,2,FALSE))</f>
        <v>#N/A</v>
      </c>
      <c r="E6" s="41" t="e">
        <f>IF(ISBLANK(VLOOKUP(C6,Rangliste!$B$10:$T$117,4,FALSE))=TRUE,"",VLOOKUP(C6,Rangliste!$B$10:$T$117,4,FALSE))</f>
        <v>#N/A</v>
      </c>
      <c r="F6" s="15" t="e">
        <f t="shared" si="0"/>
        <v>#REF!</v>
      </c>
      <c r="G6" s="15" t="e">
        <f t="shared" si="1"/>
        <v>#REF!</v>
      </c>
      <c r="H6" s="15" t="e">
        <f t="shared" si="2"/>
        <v>#REF!</v>
      </c>
      <c r="I6" s="15" t="s">
        <v>388</v>
      </c>
      <c r="J6" s="15" t="e">
        <f t="shared" si="3"/>
        <v>#REF!</v>
      </c>
      <c r="K6" s="42" t="e">
        <f t="shared" si="4"/>
        <v>#REF!</v>
      </c>
    </row>
    <row r="7" spans="1:11" ht="12.75" customHeight="1" x14ac:dyDescent="0.3">
      <c r="A7" s="18">
        <v>4</v>
      </c>
      <c r="B7" s="15" t="e">
        <f>IF(ISBLANK(VLOOKUP(C7,Rangliste!$B$10:$T$117,3,FALSE))=TRUE,"",VLOOKUP(C7,Rangliste!$B$10:$T$117,3,FALSE))</f>
        <v>#N/A</v>
      </c>
      <c r="C7" s="21"/>
      <c r="D7" s="21" t="e">
        <f>IF(ISBLANK(VLOOKUP(C7,Rangliste!$B$10:$T$117,2,FALSE))=TRUE,"",VLOOKUP(C7,Rangliste!$B$10:$T$117,2,FALSE))</f>
        <v>#N/A</v>
      </c>
      <c r="E7" s="41" t="e">
        <f>IF(ISBLANK(VLOOKUP(C7,Rangliste!$B$10:$T$117,4,FALSE))=TRUE,"",VLOOKUP(C7,Rangliste!$B$10:$T$117,4,FALSE))</f>
        <v>#N/A</v>
      </c>
      <c r="F7" s="15" t="e">
        <f t="shared" si="0"/>
        <v>#REF!</v>
      </c>
      <c r="G7" s="15" t="e">
        <f t="shared" si="1"/>
        <v>#REF!</v>
      </c>
      <c r="H7" s="15" t="e">
        <f t="shared" si="2"/>
        <v>#REF!</v>
      </c>
      <c r="I7" s="15" t="s">
        <v>388</v>
      </c>
      <c r="J7" s="15" t="e">
        <f t="shared" si="3"/>
        <v>#REF!</v>
      </c>
      <c r="K7" s="42" t="e">
        <f t="shared" si="4"/>
        <v>#REF!</v>
      </c>
    </row>
    <row r="8" spans="1:11" ht="12.75" customHeight="1" x14ac:dyDescent="0.3">
      <c r="A8" s="18">
        <v>5</v>
      </c>
      <c r="B8" s="15" t="e">
        <f>IF(ISBLANK(VLOOKUP(C8,Rangliste!$B$10:$T$117,3,FALSE))=TRUE,"",VLOOKUP(C8,Rangliste!$B$10:$T$117,3,FALSE))</f>
        <v>#N/A</v>
      </c>
      <c r="C8" s="21"/>
      <c r="D8" s="54" t="e">
        <f>IF(ISBLANK(VLOOKUP(C8,Rangliste!$B$10:$T$117,2,FALSE))=TRUE,"",VLOOKUP(C8,Rangliste!$B$10:$T$117,2,FALSE))</f>
        <v>#N/A</v>
      </c>
      <c r="E8" s="41" t="e">
        <f>IF(ISBLANK(VLOOKUP(C8,Rangliste!$B$10:$T$117,4,FALSE))=TRUE,"",VLOOKUP(C8,Rangliste!$B$10:$T$117,4,FALSE))</f>
        <v>#N/A</v>
      </c>
      <c r="F8" s="15" t="e">
        <f t="shared" si="0"/>
        <v>#REF!</v>
      </c>
      <c r="G8" s="15" t="e">
        <f t="shared" si="1"/>
        <v>#REF!</v>
      </c>
      <c r="H8" s="15" t="e">
        <f t="shared" si="2"/>
        <v>#REF!</v>
      </c>
      <c r="I8" s="15" t="s">
        <v>388</v>
      </c>
      <c r="J8" s="15" t="e">
        <f t="shared" si="3"/>
        <v>#REF!</v>
      </c>
      <c r="K8" s="42" t="e">
        <f t="shared" si="4"/>
        <v>#REF!</v>
      </c>
    </row>
    <row r="9" spans="1:11" ht="12.75" customHeight="1" x14ac:dyDescent="0.3">
      <c r="A9" s="18">
        <v>6</v>
      </c>
      <c r="B9" s="15" t="e">
        <f>IF(ISBLANK(VLOOKUP(C9,Rangliste!$B$10:$T$117,3,FALSE))=TRUE,"",VLOOKUP(C9,Rangliste!$B$10:$T$117,3,FALSE))</f>
        <v>#N/A</v>
      </c>
      <c r="C9" s="21"/>
      <c r="D9" s="21" t="e">
        <f>IF(ISBLANK(VLOOKUP(C9,Rangliste!$B$10:$T$117,2,FALSE))=TRUE,"",VLOOKUP(C9,Rangliste!$B$10:$T$117,2,FALSE))</f>
        <v>#N/A</v>
      </c>
      <c r="E9" s="41" t="e">
        <f>IF(ISBLANK(VLOOKUP(C9,Rangliste!$B$10:$T$117,4,FALSE))=TRUE,"",VLOOKUP(C9,Rangliste!$B$10:$T$117,4,FALSE))</f>
        <v>#N/A</v>
      </c>
      <c r="F9" s="15" t="e">
        <f t="shared" si="0"/>
        <v>#REF!</v>
      </c>
      <c r="G9" s="15" t="e">
        <f t="shared" si="1"/>
        <v>#REF!</v>
      </c>
      <c r="H9" s="15" t="e">
        <f t="shared" si="2"/>
        <v>#REF!</v>
      </c>
      <c r="I9" s="15" t="s">
        <v>388</v>
      </c>
      <c r="J9" s="15" t="e">
        <f t="shared" si="3"/>
        <v>#REF!</v>
      </c>
      <c r="K9" s="42" t="e">
        <f t="shared" si="4"/>
        <v>#REF!</v>
      </c>
    </row>
    <row r="10" spans="1:11" ht="12.75" customHeight="1" x14ac:dyDescent="0.3">
      <c r="A10" s="18">
        <v>7</v>
      </c>
      <c r="B10" s="15" t="e">
        <f>IF(ISBLANK(VLOOKUP(C10,Rangliste!$B$10:$T$117,3,FALSE))=TRUE,"",VLOOKUP(C10,Rangliste!$B$10:$T$117,3,FALSE))</f>
        <v>#N/A</v>
      </c>
      <c r="C10" s="16"/>
      <c r="D10" s="21" t="e">
        <f>IF(ISBLANK(VLOOKUP(C10,Rangliste!$B$10:$T$117,2,FALSE))=TRUE,"",VLOOKUP(C10,Rangliste!$B$10:$T$117,2,FALSE))</f>
        <v>#N/A</v>
      </c>
      <c r="E10" s="41" t="e">
        <f>IF(ISBLANK(VLOOKUP(C10,Rangliste!$B$10:$T$117,4,FALSE))=TRUE,"",VLOOKUP(C10,Rangliste!$B$10:$T$117,4,FALSE))</f>
        <v>#N/A</v>
      </c>
      <c r="F10" s="15" t="e">
        <f t="shared" si="0"/>
        <v>#REF!</v>
      </c>
      <c r="G10" s="15" t="e">
        <f t="shared" si="1"/>
        <v>#REF!</v>
      </c>
      <c r="H10" s="15" t="e">
        <f t="shared" si="2"/>
        <v>#REF!</v>
      </c>
      <c r="I10" s="15" t="s">
        <v>388</v>
      </c>
      <c r="J10" s="15" t="e">
        <f t="shared" si="3"/>
        <v>#REF!</v>
      </c>
      <c r="K10" s="42" t="e">
        <f t="shared" si="4"/>
        <v>#REF!</v>
      </c>
    </row>
    <row r="11" spans="1:11" ht="12.75" customHeight="1" x14ac:dyDescent="0.3">
      <c r="A11" s="18">
        <v>8</v>
      </c>
      <c r="B11" s="15" t="e">
        <f>IF(ISBLANK(VLOOKUP(C11,Rangliste!$B$10:$T$117,3,FALSE))=TRUE,"",VLOOKUP(C11,Rangliste!$B$10:$T$117,3,FALSE))</f>
        <v>#N/A</v>
      </c>
      <c r="C11" s="21"/>
      <c r="D11" s="21" t="e">
        <f>IF(ISBLANK(VLOOKUP(C11,Rangliste!$B$10:$T$117,2,FALSE))=TRUE,"",VLOOKUP(C11,Rangliste!$B$10:$T$117,2,FALSE))</f>
        <v>#N/A</v>
      </c>
      <c r="E11" s="41" t="e">
        <f>IF(ISBLANK(VLOOKUP(C11,Rangliste!$B$10:$T$117,4,FALSE))=TRUE,"",VLOOKUP(C11,Rangliste!$B$10:$T$117,4,FALSE))</f>
        <v>#N/A</v>
      </c>
      <c r="F11" s="15" t="e">
        <f t="shared" si="0"/>
        <v>#REF!</v>
      </c>
      <c r="G11" s="15" t="e">
        <f t="shared" si="1"/>
        <v>#REF!</v>
      </c>
      <c r="H11" s="15" t="e">
        <f t="shared" si="2"/>
        <v>#REF!</v>
      </c>
      <c r="I11" s="15" t="s">
        <v>388</v>
      </c>
      <c r="J11" s="15" t="e">
        <f t="shared" si="3"/>
        <v>#REF!</v>
      </c>
      <c r="K11" s="42" t="e">
        <f t="shared" si="4"/>
        <v>#REF!</v>
      </c>
    </row>
    <row r="12" spans="1:11" ht="12.75" customHeight="1" x14ac:dyDescent="0.3">
      <c r="A12" s="18">
        <v>9</v>
      </c>
      <c r="B12" s="15" t="e">
        <f>IF(ISBLANK(VLOOKUP(C12,Rangliste!$B$10:$T$117,3,FALSE))=TRUE,"",VLOOKUP(C12,Rangliste!$B$10:$T$117,3,FALSE))</f>
        <v>#N/A</v>
      </c>
      <c r="C12" s="21"/>
      <c r="D12" s="21" t="e">
        <f>IF(ISBLANK(VLOOKUP(C12,Rangliste!$B$10:$T$117,2,FALSE))=TRUE,"",VLOOKUP(C12,Rangliste!$B$10:$T$117,2,FALSE))</f>
        <v>#N/A</v>
      </c>
      <c r="E12" s="41" t="e">
        <f>IF(ISBLANK(VLOOKUP(C12,Rangliste!$B$10:$T$117,4,FALSE))=TRUE,"",VLOOKUP(C12,Rangliste!$B$10:$T$117,4,FALSE))</f>
        <v>#N/A</v>
      </c>
      <c r="F12" s="15" t="e">
        <f t="shared" si="0"/>
        <v>#REF!</v>
      </c>
      <c r="G12" s="15" t="e">
        <f t="shared" si="1"/>
        <v>#REF!</v>
      </c>
      <c r="H12" s="15" t="e">
        <f t="shared" si="2"/>
        <v>#REF!</v>
      </c>
      <c r="I12" s="15" t="s">
        <v>388</v>
      </c>
      <c r="J12" s="15" t="e">
        <f t="shared" si="3"/>
        <v>#REF!</v>
      </c>
      <c r="K12" s="42" t="e">
        <f t="shared" si="4"/>
        <v>#REF!</v>
      </c>
    </row>
    <row r="13" spans="1:11" ht="12.75" customHeight="1" x14ac:dyDescent="0.3">
      <c r="A13" s="18">
        <v>10</v>
      </c>
      <c r="B13" s="15" t="e">
        <f>IF(ISBLANK(VLOOKUP(C13,Rangliste!$B$10:$T$117,3,FALSE))=TRUE,"",VLOOKUP(C13,Rangliste!$B$10:$T$117,3,FALSE))</f>
        <v>#N/A</v>
      </c>
      <c r="C13" s="21"/>
      <c r="D13" s="21" t="e">
        <f>IF(ISBLANK(VLOOKUP(C13,Rangliste!$B$10:$T$117,2,FALSE))=TRUE,"",VLOOKUP(C13,Rangliste!$B$10:$T$117,2,FALSE))</f>
        <v>#N/A</v>
      </c>
      <c r="E13" s="41" t="e">
        <f>IF(ISBLANK(VLOOKUP(C13,Rangliste!$B$10:$T$117,4,FALSE))=TRUE,"",VLOOKUP(C13,Rangliste!$B$10:$T$117,4,FALSE))</f>
        <v>#N/A</v>
      </c>
      <c r="F13" s="15" t="e">
        <f t="shared" si="0"/>
        <v>#REF!</v>
      </c>
      <c r="G13" s="15" t="e">
        <f t="shared" si="1"/>
        <v>#REF!</v>
      </c>
      <c r="H13" s="15" t="e">
        <f t="shared" si="2"/>
        <v>#REF!</v>
      </c>
      <c r="I13" s="15" t="s">
        <v>388</v>
      </c>
      <c r="J13" s="15" t="e">
        <f t="shared" si="3"/>
        <v>#REF!</v>
      </c>
      <c r="K13" s="42" t="e">
        <f t="shared" si="4"/>
        <v>#REF!</v>
      </c>
    </row>
    <row r="14" spans="1:11" ht="12.75" customHeight="1" x14ac:dyDescent="0.3">
      <c r="A14" s="18">
        <v>11</v>
      </c>
      <c r="B14" s="15" t="e">
        <f>IF(ISBLANK(VLOOKUP(C14,Rangliste!$B$10:$T$117,3,FALSE))=TRUE,"",VLOOKUP(C14,Rangliste!$B$10:$T$117,3,FALSE))</f>
        <v>#N/A</v>
      </c>
      <c r="C14" s="16"/>
      <c r="D14" s="21" t="e">
        <f>IF(ISBLANK(VLOOKUP(C14,Rangliste!$B$10:$T$117,2,FALSE))=TRUE,"",VLOOKUP(C14,Rangliste!$B$10:$T$117,2,FALSE))</f>
        <v>#N/A</v>
      </c>
      <c r="E14" s="41" t="e">
        <f>IF(ISBLANK(VLOOKUP(C14,Rangliste!$B$10:$T$117,4,FALSE))=TRUE,"",VLOOKUP(C14,Rangliste!$B$10:$T$117,4,FALSE))</f>
        <v>#N/A</v>
      </c>
      <c r="F14" s="15" t="e">
        <f t="shared" si="0"/>
        <v>#REF!</v>
      </c>
      <c r="G14" s="15" t="e">
        <f t="shared" si="1"/>
        <v>#REF!</v>
      </c>
      <c r="H14" s="15" t="e">
        <f t="shared" si="2"/>
        <v>#REF!</v>
      </c>
      <c r="I14" s="15" t="s">
        <v>388</v>
      </c>
      <c r="J14" s="15" t="e">
        <f t="shared" si="3"/>
        <v>#REF!</v>
      </c>
      <c r="K14" s="42" t="e">
        <f t="shared" si="4"/>
        <v>#REF!</v>
      </c>
    </row>
    <row r="15" spans="1:11" ht="12.75" customHeight="1" x14ac:dyDescent="0.3">
      <c r="A15" s="18">
        <v>12</v>
      </c>
      <c r="B15" s="15" t="e">
        <f>IF(ISBLANK(VLOOKUP(C15,Rangliste!$B$10:$T$117,3,FALSE))=TRUE,"",VLOOKUP(C15,Rangliste!$B$10:$T$117,3,FALSE))</f>
        <v>#N/A</v>
      </c>
      <c r="C15" s="35"/>
      <c r="D15" s="21" t="e">
        <f>IF(ISBLANK(VLOOKUP(C15,Rangliste!$B$10:$T$117,2,FALSE))=TRUE,"",VLOOKUP(C15,Rangliste!$B$10:$T$117,2,FALSE))</f>
        <v>#N/A</v>
      </c>
      <c r="E15" s="41" t="e">
        <f>IF(ISBLANK(VLOOKUP(C15,Rangliste!$B$10:$T$117,4,FALSE))=TRUE,"",VLOOKUP(C15,Rangliste!$B$10:$T$117,4,FALSE))</f>
        <v>#N/A</v>
      </c>
      <c r="F15" s="15" t="e">
        <f t="shared" si="0"/>
        <v>#REF!</v>
      </c>
      <c r="G15" s="15" t="e">
        <f t="shared" si="1"/>
        <v>#REF!</v>
      </c>
      <c r="H15" s="15" t="e">
        <f t="shared" si="2"/>
        <v>#REF!</v>
      </c>
      <c r="I15" s="15" t="s">
        <v>388</v>
      </c>
      <c r="J15" s="15" t="e">
        <f t="shared" si="3"/>
        <v>#REF!</v>
      </c>
      <c r="K15" s="42" t="e">
        <f t="shared" si="4"/>
        <v>#REF!</v>
      </c>
    </row>
    <row r="16" spans="1:11" ht="12.75" customHeight="1" x14ac:dyDescent="0.3">
      <c r="A16" s="18">
        <v>13</v>
      </c>
      <c r="B16" s="15" t="e">
        <f>IF(ISBLANK(VLOOKUP(C16,Rangliste!$B$10:$T$117,3,FALSE))=TRUE,"",VLOOKUP(C16,Rangliste!$B$10:$T$117,3,FALSE))</f>
        <v>#N/A</v>
      </c>
      <c r="C16" s="54"/>
      <c r="D16" s="21" t="e">
        <f>IF(ISBLANK(VLOOKUP(C16,Rangliste!$B$10:$T$117,2,FALSE))=TRUE,"",VLOOKUP(C16,Rangliste!$B$10:$T$117,2,FALSE))</f>
        <v>#N/A</v>
      </c>
      <c r="E16" s="41" t="e">
        <f>IF(ISBLANK(VLOOKUP(C16,Rangliste!$B$10:$T$117,4,FALSE))=TRUE,"",VLOOKUP(C16,Rangliste!$B$10:$T$117,4,FALSE))</f>
        <v>#N/A</v>
      </c>
      <c r="F16" s="15" t="e">
        <f t="shared" si="0"/>
        <v>#REF!</v>
      </c>
      <c r="G16" s="15" t="e">
        <f t="shared" si="1"/>
        <v>#REF!</v>
      </c>
      <c r="H16" s="15" t="e">
        <f t="shared" si="2"/>
        <v>#REF!</v>
      </c>
      <c r="I16" s="15" t="s">
        <v>388</v>
      </c>
      <c r="J16" s="15" t="e">
        <f t="shared" si="3"/>
        <v>#REF!</v>
      </c>
      <c r="K16" s="42" t="e">
        <f t="shared" si="4"/>
        <v>#REF!</v>
      </c>
    </row>
    <row r="17" spans="1:11" ht="12.75" customHeight="1" x14ac:dyDescent="0.3">
      <c r="A17" s="18">
        <v>14</v>
      </c>
      <c r="B17" s="15" t="e">
        <f>IF(ISBLANK(VLOOKUP(C17,Rangliste!$B$10:$T$117,3,FALSE))=TRUE,"",VLOOKUP(C17,Rangliste!$B$10:$T$117,3,FALSE))</f>
        <v>#N/A</v>
      </c>
      <c r="C17" s="16"/>
      <c r="D17" s="21" t="e">
        <f>IF(ISBLANK(VLOOKUP(C17,Rangliste!$B$10:$T$117,2,FALSE))=TRUE,"",VLOOKUP(C17,Rangliste!$B$10:$T$117,2,FALSE))</f>
        <v>#N/A</v>
      </c>
      <c r="E17" s="41" t="e">
        <f>IF(ISBLANK(VLOOKUP(C17,Rangliste!$B$10:$T$117,4,FALSE))=TRUE,"",VLOOKUP(C17,Rangliste!$B$10:$T$117,4,FALSE))</f>
        <v>#N/A</v>
      </c>
      <c r="F17" s="15" t="e">
        <f t="shared" si="0"/>
        <v>#REF!</v>
      </c>
      <c r="G17" s="15" t="e">
        <f t="shared" si="1"/>
        <v>#REF!</v>
      </c>
      <c r="H17" s="15" t="e">
        <f t="shared" si="2"/>
        <v>#REF!</v>
      </c>
      <c r="I17" s="15" t="s">
        <v>388</v>
      </c>
      <c r="J17" s="15" t="e">
        <f t="shared" si="3"/>
        <v>#REF!</v>
      </c>
      <c r="K17" s="42" t="e">
        <f t="shared" si="4"/>
        <v>#REF!</v>
      </c>
    </row>
    <row r="18" spans="1:11" ht="12.75" customHeight="1" x14ac:dyDescent="0.3">
      <c r="A18" s="18">
        <v>15</v>
      </c>
      <c r="B18" s="15" t="e">
        <f>IF(ISBLANK(VLOOKUP(C18,Rangliste!$B$10:$T$117,3,FALSE))=TRUE,"",VLOOKUP(C18,Rangliste!$B$10:$T$117,3,FALSE))</f>
        <v>#N/A</v>
      </c>
      <c r="C18" s="21"/>
      <c r="D18" s="21" t="e">
        <f>IF(ISBLANK(VLOOKUP(C18,Rangliste!$B$10:$T$117,2,FALSE))=TRUE,"",VLOOKUP(C18,Rangliste!$B$10:$T$117,2,FALSE))</f>
        <v>#N/A</v>
      </c>
      <c r="E18" s="41" t="e">
        <f>IF(ISBLANK(VLOOKUP(C18,Rangliste!$B$10:$T$117,4,FALSE))=TRUE,"",VLOOKUP(C18,Rangliste!$B$10:$T$117,4,FALSE))</f>
        <v>#N/A</v>
      </c>
      <c r="F18" s="15" t="e">
        <f t="shared" si="0"/>
        <v>#REF!</v>
      </c>
      <c r="G18" s="15" t="e">
        <f t="shared" si="1"/>
        <v>#REF!</v>
      </c>
      <c r="H18" s="15" t="e">
        <f t="shared" si="2"/>
        <v>#REF!</v>
      </c>
      <c r="I18" s="15" t="s">
        <v>388</v>
      </c>
      <c r="J18" s="15" t="e">
        <f t="shared" si="3"/>
        <v>#REF!</v>
      </c>
      <c r="K18" s="42" t="e">
        <f t="shared" si="4"/>
        <v>#REF!</v>
      </c>
    </row>
    <row r="19" spans="1:11" ht="12.75" customHeight="1" x14ac:dyDescent="0.3">
      <c r="A19" s="18">
        <v>16</v>
      </c>
      <c r="B19" s="15" t="e">
        <f>IF(ISBLANK(VLOOKUP(C19,Rangliste!$B$10:$T$117,3,FALSE))=TRUE,"",VLOOKUP(C19,Rangliste!$B$10:$T$117,3,FALSE))</f>
        <v>#N/A</v>
      </c>
      <c r="C19" s="21"/>
      <c r="D19" s="21" t="e">
        <f>IF(ISBLANK(VLOOKUP(C19,Rangliste!$B$10:$T$117,2,FALSE))=TRUE,"",VLOOKUP(C19,Rangliste!$B$10:$T$117,2,FALSE))</f>
        <v>#N/A</v>
      </c>
      <c r="E19" s="41" t="e">
        <f>IF(ISBLANK(VLOOKUP(C19,Rangliste!$B$10:$T$117,4,FALSE))=TRUE,"",VLOOKUP(C19,Rangliste!$B$10:$T$117,4,FALSE))</f>
        <v>#N/A</v>
      </c>
      <c r="F19" s="15" t="e">
        <f t="shared" si="0"/>
        <v>#REF!</v>
      </c>
      <c r="G19" s="15" t="e">
        <f t="shared" si="1"/>
        <v>#REF!</v>
      </c>
      <c r="H19" s="15" t="e">
        <f t="shared" si="2"/>
        <v>#REF!</v>
      </c>
      <c r="I19" s="15" t="s">
        <v>388</v>
      </c>
      <c r="J19" s="15" t="e">
        <f t="shared" si="3"/>
        <v>#REF!</v>
      </c>
      <c r="K19" s="42" t="e">
        <f t="shared" si="4"/>
        <v>#REF!</v>
      </c>
    </row>
    <row r="20" spans="1:11" ht="12.75" customHeight="1" x14ac:dyDescent="0.3">
      <c r="A20" s="18">
        <v>17</v>
      </c>
      <c r="B20" s="15" t="e">
        <f>IF(ISBLANK(VLOOKUP(C20,Rangliste!$B$10:$T$117,3,FALSE))=TRUE,"",VLOOKUP(C20,Rangliste!$B$10:$T$117,3,FALSE))</f>
        <v>#N/A</v>
      </c>
      <c r="C20" s="21"/>
      <c r="D20" s="21" t="e">
        <f>IF(ISBLANK(VLOOKUP(C20,Rangliste!$B$10:$T$117,2,FALSE))=TRUE,"",VLOOKUP(C20,Rangliste!$B$10:$T$117,2,FALSE))</f>
        <v>#N/A</v>
      </c>
      <c r="E20" s="41" t="e">
        <f>IF(ISBLANK(VLOOKUP(C20,Rangliste!$B$10:$T$117,4,FALSE))=TRUE,"",VLOOKUP(C20,Rangliste!$B$10:$T$117,4,FALSE))</f>
        <v>#N/A</v>
      </c>
      <c r="F20" s="15" t="e">
        <f t="shared" si="0"/>
        <v>#REF!</v>
      </c>
      <c r="G20" s="15" t="e">
        <f t="shared" si="1"/>
        <v>#REF!</v>
      </c>
      <c r="H20" s="15" t="e">
        <f t="shared" si="2"/>
        <v>#REF!</v>
      </c>
      <c r="I20" s="15" t="s">
        <v>388</v>
      </c>
      <c r="J20" s="15" t="e">
        <f t="shared" si="3"/>
        <v>#REF!</v>
      </c>
      <c r="K20" s="42" t="e">
        <f t="shared" si="4"/>
        <v>#REF!</v>
      </c>
    </row>
    <row r="21" spans="1:11" ht="12.75" customHeight="1" x14ac:dyDescent="0.3">
      <c r="A21" s="18">
        <v>18</v>
      </c>
      <c r="B21" s="15" t="e">
        <f>IF(ISBLANK(VLOOKUP(C21,Rangliste!$B$10:$T$117,3,FALSE))=TRUE,"",VLOOKUP(C21,Rangliste!$B$10:$T$117,3,FALSE))</f>
        <v>#N/A</v>
      </c>
      <c r="C21" s="16"/>
      <c r="D21" s="21" t="e">
        <f>IF(ISBLANK(VLOOKUP(C21,Rangliste!$B$10:$T$117,2,FALSE))=TRUE,"",VLOOKUP(C21,Rangliste!$B$10:$T$117,2,FALSE))</f>
        <v>#N/A</v>
      </c>
      <c r="E21" s="41" t="e">
        <f>IF(ISBLANK(VLOOKUP(C21,Rangliste!$B$10:$T$117,4,FALSE))=TRUE,"",VLOOKUP(C21,Rangliste!$B$10:$T$117,4,FALSE))</f>
        <v>#N/A</v>
      </c>
      <c r="F21" s="15" t="e">
        <f t="shared" si="0"/>
        <v>#REF!</v>
      </c>
      <c r="G21" s="15" t="e">
        <f t="shared" si="1"/>
        <v>#REF!</v>
      </c>
      <c r="H21" s="15" t="e">
        <f t="shared" si="2"/>
        <v>#REF!</v>
      </c>
      <c r="I21" s="15" t="s">
        <v>388</v>
      </c>
      <c r="J21" s="15" t="e">
        <f t="shared" si="3"/>
        <v>#REF!</v>
      </c>
      <c r="K21" s="42" t="e">
        <f t="shared" si="4"/>
        <v>#REF!</v>
      </c>
    </row>
    <row r="22" spans="1:11" ht="12.75" customHeight="1" x14ac:dyDescent="0.3">
      <c r="A22" s="18">
        <v>19</v>
      </c>
      <c r="B22" s="15" t="e">
        <f>IF(ISBLANK(VLOOKUP(C22,Rangliste!$B$10:$T$117,3,FALSE))=TRUE,"",VLOOKUP(C22,Rangliste!$B$10:$T$117,3,FALSE))</f>
        <v>#N/A</v>
      </c>
      <c r="C22" s="16"/>
      <c r="D22" s="21" t="e">
        <f>IF(ISBLANK(VLOOKUP(C22,Rangliste!$B$10:$T$117,2,FALSE))=TRUE,"",VLOOKUP(C22,Rangliste!$B$10:$T$117,2,FALSE))</f>
        <v>#N/A</v>
      </c>
      <c r="E22" s="41" t="e">
        <f>IF(ISBLANK(VLOOKUP(C22,Rangliste!$B$10:$T$117,4,FALSE))=TRUE,"",VLOOKUP(C22,Rangliste!$B$10:$T$117,4,FALSE))</f>
        <v>#N/A</v>
      </c>
      <c r="F22" s="15" t="e">
        <f t="shared" si="0"/>
        <v>#REF!</v>
      </c>
      <c r="G22" s="15" t="e">
        <f t="shared" si="1"/>
        <v>#REF!</v>
      </c>
      <c r="H22" s="15" t="e">
        <f t="shared" si="2"/>
        <v>#REF!</v>
      </c>
      <c r="I22" s="15" t="s">
        <v>388</v>
      </c>
      <c r="J22" s="15" t="e">
        <f t="shared" si="3"/>
        <v>#REF!</v>
      </c>
      <c r="K22" s="42" t="e">
        <f t="shared" si="4"/>
        <v>#REF!</v>
      </c>
    </row>
    <row r="23" spans="1:11" ht="12.75" customHeight="1" x14ac:dyDescent="0.3">
      <c r="A23" s="18">
        <v>20</v>
      </c>
      <c r="B23" s="15" t="e">
        <f>IF(ISBLANK(VLOOKUP(C23,Rangliste!$B$10:$T$117,3,FALSE))=TRUE,"",VLOOKUP(C23,Rangliste!$B$10:$T$117,3,FALSE))</f>
        <v>#N/A</v>
      </c>
      <c r="C23" s="21"/>
      <c r="D23" s="21" t="e">
        <f>IF(ISBLANK(VLOOKUP(C23,Rangliste!$B$10:$T$117,2,FALSE))=TRUE,"",VLOOKUP(C23,Rangliste!$B$10:$T$117,2,FALSE))</f>
        <v>#N/A</v>
      </c>
      <c r="E23" s="41" t="e">
        <f>IF(ISBLANK(VLOOKUP(C23,Rangliste!$B$10:$T$117,4,FALSE))=TRUE,"",VLOOKUP(C23,Rangliste!$B$10:$T$117,4,FALSE))</f>
        <v>#N/A</v>
      </c>
      <c r="F23" s="15" t="e">
        <f t="shared" si="0"/>
        <v>#REF!</v>
      </c>
      <c r="G23" s="15" t="e">
        <f t="shared" si="1"/>
        <v>#REF!</v>
      </c>
      <c r="H23" s="15" t="e">
        <f t="shared" si="2"/>
        <v>#REF!</v>
      </c>
      <c r="I23" s="15" t="s">
        <v>388</v>
      </c>
      <c r="J23" s="15" t="e">
        <f t="shared" si="3"/>
        <v>#REF!</v>
      </c>
      <c r="K23" s="42" t="e">
        <f t="shared" si="4"/>
        <v>#REF!</v>
      </c>
    </row>
    <row r="24" spans="1:11" ht="12.75" customHeight="1" x14ac:dyDescent="0.3">
      <c r="A24" s="18"/>
      <c r="B24" s="15"/>
      <c r="D24" s="21"/>
      <c r="E24" s="41"/>
      <c r="F24" s="15"/>
      <c r="G24" s="15"/>
      <c r="H24" s="15"/>
      <c r="I24" s="15"/>
      <c r="J24" s="15"/>
      <c r="K24" s="42"/>
    </row>
    <row r="25" spans="1:11" ht="12.75" customHeight="1" x14ac:dyDescent="0.3">
      <c r="A25" s="18"/>
      <c r="B25" s="15"/>
      <c r="C25" s="48"/>
      <c r="D25" s="21"/>
      <c r="E25" s="41"/>
      <c r="F25" s="15"/>
      <c r="G25" s="15"/>
      <c r="H25" s="15"/>
      <c r="I25" s="15"/>
      <c r="J25" s="15"/>
      <c r="K25" s="42"/>
    </row>
    <row r="26" spans="1:11" ht="12.75" customHeight="1" x14ac:dyDescent="0.3">
      <c r="A26" s="18"/>
      <c r="B26" s="15"/>
      <c r="C26" s="21"/>
      <c r="D26" s="21"/>
      <c r="E26" s="41"/>
      <c r="F26" s="15"/>
      <c r="G26" s="15"/>
      <c r="H26" s="15"/>
      <c r="I26" s="15"/>
      <c r="J26" s="15"/>
      <c r="K26" s="42"/>
    </row>
    <row r="27" spans="1:11" ht="12.75" customHeight="1" x14ac:dyDescent="0.3">
      <c r="A27" s="18"/>
      <c r="B27" s="15"/>
      <c r="C27" s="21"/>
      <c r="D27" s="21"/>
      <c r="E27" s="41"/>
      <c r="F27" s="15"/>
      <c r="G27" s="15"/>
      <c r="H27" s="15"/>
      <c r="I27" s="15"/>
      <c r="J27" s="15"/>
      <c r="K27" s="42"/>
    </row>
    <row r="28" spans="1:11" ht="12.75" customHeight="1" x14ac:dyDescent="0.3">
      <c r="A28" s="18"/>
      <c r="B28" s="15"/>
      <c r="C28" s="16"/>
      <c r="D28" s="21"/>
      <c r="E28" s="41"/>
      <c r="F28" s="15"/>
      <c r="G28" s="15"/>
      <c r="H28" s="15"/>
      <c r="I28" s="15"/>
      <c r="J28" s="15"/>
      <c r="K28" s="42"/>
    </row>
    <row r="29" spans="1:11" ht="12.75" customHeight="1" x14ac:dyDescent="0.3">
      <c r="A29" s="18"/>
      <c r="B29" s="15"/>
      <c r="C29" s="54" t="str">
        <f>IF(COUNT(B4:B18) = COUNTA(A4:A18),"","Spieler muss beim nächsten Einzel-RLT ÖBV-Mitglied sein")</f>
        <v>Spieler muss beim nächsten Einzel-RLT ÖBV-Mitglied sein</v>
      </c>
      <c r="D29" s="54"/>
      <c r="E29" s="41"/>
      <c r="F29" s="15"/>
      <c r="G29" s="15"/>
      <c r="H29" s="15"/>
      <c r="I29" s="15"/>
      <c r="J29" s="15"/>
      <c r="K29" s="42"/>
    </row>
    <row r="30" spans="1:11" ht="12.75" customHeight="1" x14ac:dyDescent="0.3">
      <c r="A30" s="18"/>
      <c r="B30" s="15"/>
      <c r="C30" s="16"/>
      <c r="D30" s="54"/>
      <c r="E30" s="41"/>
      <c r="F30" s="15"/>
      <c r="G30" s="15"/>
      <c r="H30" s="15"/>
      <c r="I30" s="15"/>
      <c r="J30" s="15"/>
      <c r="K30" s="42"/>
    </row>
    <row r="31" spans="1:11" ht="12.75" customHeight="1" x14ac:dyDescent="0.3">
      <c r="A31" s="18"/>
      <c r="B31" s="15"/>
      <c r="C31" s="54"/>
      <c r="D31" s="21"/>
      <c r="E31" s="41"/>
      <c r="F31" s="15"/>
      <c r="G31" s="15"/>
      <c r="H31" s="15"/>
      <c r="I31" s="15"/>
      <c r="J31" s="15"/>
      <c r="K31" s="42"/>
    </row>
    <row r="32" spans="1:11" ht="12.75" customHeight="1" x14ac:dyDescent="0.3">
      <c r="A32" s="18"/>
      <c r="B32" s="15"/>
      <c r="C32" s="54"/>
      <c r="D32" s="21"/>
      <c r="E32" s="41"/>
      <c r="F32" s="15"/>
      <c r="G32" s="15"/>
      <c r="H32" s="15"/>
      <c r="I32" s="15"/>
      <c r="J32" s="15"/>
      <c r="K32" s="42"/>
    </row>
    <row r="33" spans="1:11" ht="12.75" customHeight="1" x14ac:dyDescent="0.3">
      <c r="A33" s="18"/>
      <c r="B33" s="15"/>
      <c r="C33" s="16"/>
      <c r="D33" s="21"/>
      <c r="E33" s="41"/>
      <c r="F33" s="15"/>
      <c r="G33" s="15"/>
      <c r="H33" s="15"/>
      <c r="I33" s="15"/>
      <c r="J33" s="15"/>
      <c r="K33" s="42"/>
    </row>
    <row r="34" spans="1:11" ht="12.75" customHeight="1" x14ac:dyDescent="0.3"/>
    <row r="35" spans="1:11" ht="12.75" customHeight="1" x14ac:dyDescent="0.3"/>
    <row r="36" spans="1:11" ht="12.75" customHeight="1" x14ac:dyDescent="0.3"/>
    <row r="37" spans="1:11" ht="12.75" customHeight="1" x14ac:dyDescent="0.3"/>
    <row r="38" spans="1:11" ht="12.75" customHeight="1" x14ac:dyDescent="0.3"/>
    <row r="39" spans="1:11" ht="12.75" customHeight="1" x14ac:dyDescent="0.3"/>
    <row r="40" spans="1:11" ht="12.75" customHeight="1" x14ac:dyDescent="0.3"/>
    <row r="41" spans="1:11" ht="12.75" customHeight="1" x14ac:dyDescent="0.3"/>
    <row r="42" spans="1:11" ht="12.75" customHeight="1" x14ac:dyDescent="0.3"/>
    <row r="43" spans="1:11" ht="12.75" customHeight="1" x14ac:dyDescent="0.3"/>
    <row r="44" spans="1:11" ht="12.75" customHeight="1" x14ac:dyDescent="0.3"/>
    <row r="45" spans="1:11" ht="12.75" customHeight="1" x14ac:dyDescent="0.3"/>
    <row r="46" spans="1:11" ht="12.75" hidden="1" customHeight="1" x14ac:dyDescent="0.3">
      <c r="C46" s="48" t="str">
        <f>IF(COUNT(B4:B19) = COUNTA(A4:A31),"","Spieler muss beim nächsten Einzel-RLT OÖBV-Mitglied sein")</f>
        <v>Spieler muss beim nächsten Einzel-RLT OÖBV-Mitglied sein</v>
      </c>
    </row>
    <row r="47" spans="1:11" ht="12.75" customHeight="1" x14ac:dyDescent="0.3"/>
    <row r="48" spans="1:11"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conditionalFormatting sqref="D9:D10">
    <cfRule type="expression" dxfId="3" priority="1">
      <formula>IF($B9="",FALSE,#REF!="")</formula>
    </cfRule>
  </conditionalFormatting>
  <conditionalFormatting sqref="D18:D23">
    <cfRule type="expression" dxfId="2" priority="2">
      <formula>IF($B18="",FALSE,#REF!="")</formula>
    </cfRule>
  </conditionalFormatting>
  <pageMargins left="0.39370078740157483" right="0.39370078740157483" top="0.78740157480314965" bottom="0.78740157480314965" header="0" footer="0"/>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000"/>
  <sheetViews>
    <sheetView workbookViewId="0"/>
  </sheetViews>
  <sheetFormatPr defaultColWidth="14.3984375" defaultRowHeight="15" customHeight="1" x14ac:dyDescent="0.3"/>
  <cols>
    <col min="1" max="1" width="4.69921875" customWidth="1"/>
    <col min="2" max="2" width="8.3984375" customWidth="1"/>
    <col min="3" max="4" width="22.59765625" customWidth="1"/>
    <col min="5" max="5" width="3.59765625" customWidth="1"/>
    <col min="6" max="8" width="6.3984375" customWidth="1"/>
    <col min="9" max="10" width="4.8984375" customWidth="1"/>
    <col min="11" max="11" width="5.59765625" customWidth="1"/>
  </cols>
  <sheetData>
    <row r="1" spans="1:11" ht="31.5" customHeight="1" x14ac:dyDescent="0.3">
      <c r="A1" s="114" t="s">
        <v>491</v>
      </c>
      <c r="B1" s="115"/>
      <c r="C1" s="115"/>
      <c r="D1" s="115"/>
      <c r="E1" s="115"/>
      <c r="F1" s="115"/>
      <c r="G1" s="115"/>
      <c r="H1" s="116"/>
      <c r="I1" s="120" t="s">
        <v>470</v>
      </c>
      <c r="J1" s="145"/>
      <c r="K1" s="121"/>
    </row>
    <row r="2" spans="1:11" ht="19.5" customHeight="1" x14ac:dyDescent="0.3">
      <c r="A2" s="117"/>
      <c r="B2" s="118"/>
      <c r="C2" s="118"/>
      <c r="D2" s="118"/>
      <c r="E2" s="118"/>
      <c r="F2" s="118"/>
      <c r="G2" s="118"/>
      <c r="H2" s="119"/>
      <c r="I2" s="122">
        <f ca="1">TODAY()</f>
        <v>46250</v>
      </c>
      <c r="J2" s="145"/>
      <c r="K2" s="121"/>
    </row>
    <row r="3" spans="1:11" ht="25.5" customHeight="1" x14ac:dyDescent="0.3">
      <c r="A3" s="37" t="s">
        <v>353</v>
      </c>
      <c r="B3" s="37" t="s">
        <v>354</v>
      </c>
      <c r="C3" s="38" t="s">
        <v>1</v>
      </c>
      <c r="D3" s="38" t="s">
        <v>2</v>
      </c>
      <c r="E3" s="37" t="s">
        <v>6</v>
      </c>
      <c r="F3" s="39" t="str">
        <f>Rangliste!H1</f>
        <v>WBV 1</v>
      </c>
      <c r="G3" s="39" t="str">
        <f>Rangliste!I1</f>
        <v>WBV 2</v>
      </c>
      <c r="H3" s="39" t="str">
        <f>Rangliste!J1</f>
        <v>WBV 3</v>
      </c>
      <c r="I3" s="100" t="s">
        <v>471</v>
      </c>
      <c r="J3" s="37" t="s">
        <v>355</v>
      </c>
      <c r="K3" s="37" t="s">
        <v>356</v>
      </c>
    </row>
    <row r="4" spans="1:11" ht="12.75" customHeight="1" x14ac:dyDescent="0.3">
      <c r="A4" s="15">
        <v>1</v>
      </c>
      <c r="B4" s="15" t="e">
        <f>IF(ISBLANK(VLOOKUP(C4,Rangliste!$B$10:$T$117,3,FALSE))=TRUE,"",VLOOKUP(C4,Rangliste!$B$10:$T$117,3,FALSE))</f>
        <v>#N/A</v>
      </c>
      <c r="C4" s="16"/>
      <c r="D4" s="43" t="e">
        <f>IF(ISBLANK(VLOOKUP(C4,Rangliste!$B$10:$T$117,2,FALSE))=TRUE,"",VLOOKUP(C4,Rangliste!$B$10:$T$117,2,FALSE))</f>
        <v>#N/A</v>
      </c>
      <c r="E4" s="22" t="e">
        <f>IF(ISBLANK(VLOOKUP(C4,Rangliste!$B$10:$T$117,4,FALSE))=TRUE,"",VLOOKUP(C4,Rangliste!$B$10:$T$117,4,FALSE))</f>
        <v>#N/A</v>
      </c>
      <c r="F4" s="15" t="e">
        <f t="shared" ref="F4:F7" si="0">MAX(IF(ISNA(VLOOKUP(C4,#REF!,2,FALSE))=TRUE,0,VLOOKUP(C4,#REF!,2,FALSE)),IF(ISNA(VLOOKUP(C4,#REF!,2,FALSE))=TRUE,0,VLOOKUP(C4,#REF!,2,FALSE)),IF(ISNA(VLOOKUP(C4,#REF!,2,FALSE))=TRUE,0,VLOOKUP(C4,#REF!,2,FALSE)),IF(ISNA(VLOOKUP(C4,#REF!,2,FALSE))=TRUE,0,VLOOKUP(C4,#REF!,2,FALSE)),IF(ISNA(VLOOKUP(C4,#REF!,2,FALSE))=TRUE,0,VLOOKUP(C4,#REF!,2,FALSE)))</f>
        <v>#REF!</v>
      </c>
      <c r="G4" s="15" t="e">
        <f t="shared" ref="G4:G7" si="1">MAX(IF(ISNA(VLOOKUP(C4,#REF!,2,FALSE))=TRUE,0,VLOOKUP(C4,#REF!,2,FALSE)),IF(ISNA(VLOOKUP(C4,#REF!,2,FALSE))=TRUE,0,VLOOKUP(C4,#REF!,2,FALSE)),IF(ISNA(VLOOKUP(C4,#REF!,2,FALSE))=TRUE,0,VLOOKUP(C4,#REF!,2,FALSE)),IF(ISNA(VLOOKUP(C4,#REF!,2,FALSE))=TRUE,0,VLOOKUP(C4,#REF!,2,FALSE)),IF(ISNA(VLOOKUP(C4,#REF!,2,FALSE))=TRUE,0,VLOOKUP(C4,#REF!,2,FALSE)))</f>
        <v>#REF!</v>
      </c>
      <c r="H4" s="15" t="e">
        <f t="shared" ref="H4:H7" si="2">MAX(IF(ISNA(VLOOKUP(C4,#REF!,2,FALSE))=TRUE,0,VLOOKUP(C4,#REF!,2,FALSE)),IF(ISNA(VLOOKUP(C4,#REF!,2,FALSE))=TRUE,0,VLOOKUP(C4,#REF!,2,FALSE)),IF(ISNA(VLOOKUP(C4,#REF!,2,FALSE))=TRUE,0,VLOOKUP(C4,#REF!,2,FALSE)),IF(ISNA(VLOOKUP(C4,#REF!,2,FALSE))=TRUE,0,VLOOKUP(C4,#REF!,2,FALSE)),IF(ISNA(VLOOKUP(C4,#REF!,2,FALSE))=TRUE,0,VLOOKUP(C4,#REF!,2,FALSE)))</f>
        <v>#REF!</v>
      </c>
      <c r="I4" s="15" t="s">
        <v>388</v>
      </c>
      <c r="J4" s="15" t="e">
        <f t="shared" ref="J4:J7" si="3">MIN(F4:H4)</f>
        <v>#REF!</v>
      </c>
      <c r="K4" s="42" t="e">
        <f t="shared" ref="K4:K7" si="4">SUM(F4:I4)-J4</f>
        <v>#REF!</v>
      </c>
    </row>
    <row r="5" spans="1:11" ht="12.75" customHeight="1" x14ac:dyDescent="0.3">
      <c r="A5" s="15">
        <v>2</v>
      </c>
      <c r="B5" s="15" t="e">
        <f>IF(ISBLANK(VLOOKUP(C5,Rangliste!$B$10:$T$117,3,FALSE))=TRUE,"",VLOOKUP(C5,Rangliste!$B$10:$T$117,3,FALSE))</f>
        <v>#N/A</v>
      </c>
      <c r="C5" s="16"/>
      <c r="D5" s="43" t="e">
        <f>IF(ISBLANK(VLOOKUP(C5,Rangliste!$B$10:$T$117,2,FALSE))=TRUE,"",VLOOKUP(C5,Rangliste!$B$10:$T$117,2,FALSE))</f>
        <v>#N/A</v>
      </c>
      <c r="E5" s="22" t="e">
        <f>IF(ISBLANK(VLOOKUP(C5,Rangliste!$B$10:$T$117,4,FALSE))=TRUE,"",VLOOKUP(C5,Rangliste!$B$10:$T$117,4,FALSE))</f>
        <v>#N/A</v>
      </c>
      <c r="F5" s="15" t="e">
        <f t="shared" si="0"/>
        <v>#REF!</v>
      </c>
      <c r="G5" s="15" t="e">
        <f t="shared" si="1"/>
        <v>#REF!</v>
      </c>
      <c r="H5" s="15" t="e">
        <f t="shared" si="2"/>
        <v>#REF!</v>
      </c>
      <c r="I5" s="15" t="s">
        <v>388</v>
      </c>
      <c r="J5" s="15" t="e">
        <f t="shared" si="3"/>
        <v>#REF!</v>
      </c>
      <c r="K5" s="42" t="e">
        <f t="shared" si="4"/>
        <v>#REF!</v>
      </c>
    </row>
    <row r="6" spans="1:11" ht="12.75" hidden="1" customHeight="1" x14ac:dyDescent="0.3">
      <c r="A6" s="15">
        <v>3</v>
      </c>
      <c r="B6" s="15" t="e">
        <f>IF(ISBLANK(VLOOKUP(C6,Rangliste!$B$10:$T$117,3,FALSE))=TRUE,"",VLOOKUP(C6,Rangliste!$B$10:$T$117,3,FALSE))</f>
        <v>#N/A</v>
      </c>
      <c r="C6" s="16" t="s">
        <v>492</v>
      </c>
      <c r="D6" s="43" t="e">
        <f>IF(ISBLANK(VLOOKUP(C6,Rangliste!$B$10:$T$117,2,FALSE))=TRUE,"",VLOOKUP(C6,Rangliste!$B$10:$T$117,2,FALSE))</f>
        <v>#N/A</v>
      </c>
      <c r="E6" s="22" t="e">
        <f>IF(ISBLANK(VLOOKUP(C6,Rangliste!$B$10:$T$117,4,FALSE))=TRUE,"",VLOOKUP(C6,Rangliste!$B$10:$T$117,4,FALSE))</f>
        <v>#N/A</v>
      </c>
      <c r="F6" s="15" t="e">
        <f t="shared" si="0"/>
        <v>#REF!</v>
      </c>
      <c r="G6" s="15" t="e">
        <f t="shared" si="1"/>
        <v>#REF!</v>
      </c>
      <c r="H6" s="15" t="e">
        <f t="shared" si="2"/>
        <v>#REF!</v>
      </c>
      <c r="I6" s="15" t="s">
        <v>388</v>
      </c>
      <c r="J6" s="15" t="e">
        <f t="shared" si="3"/>
        <v>#REF!</v>
      </c>
      <c r="K6" s="42" t="e">
        <f t="shared" si="4"/>
        <v>#REF!</v>
      </c>
    </row>
    <row r="7" spans="1:11" ht="12.75" hidden="1" customHeight="1" x14ac:dyDescent="0.3">
      <c r="A7" s="15">
        <v>4</v>
      </c>
      <c r="B7" s="15" t="e">
        <f>IF(ISBLANK(VLOOKUP(C7,Rangliste!$B$10:$T$117,3,FALSE))=TRUE,"",VLOOKUP(C7,Rangliste!$B$10:$T$117,3,FALSE))</f>
        <v>#N/A</v>
      </c>
      <c r="C7" s="16" t="s">
        <v>493</v>
      </c>
      <c r="D7" s="43" t="e">
        <f>IF(ISBLANK(VLOOKUP(C7,Rangliste!$B$10:$T$117,2,FALSE))=TRUE,"",VLOOKUP(C7,Rangliste!$B$10:$T$117,2,FALSE))</f>
        <v>#N/A</v>
      </c>
      <c r="E7" s="22" t="e">
        <f>IF(ISBLANK(VLOOKUP(C7,Rangliste!$B$10:$T$117,4,FALSE))=TRUE,"",VLOOKUP(C7,Rangliste!$B$10:$T$117,4,FALSE))</f>
        <v>#N/A</v>
      </c>
      <c r="F7" s="15" t="e">
        <f t="shared" si="0"/>
        <v>#REF!</v>
      </c>
      <c r="G7" s="15" t="e">
        <f t="shared" si="1"/>
        <v>#REF!</v>
      </c>
      <c r="H7" s="15" t="e">
        <f t="shared" si="2"/>
        <v>#REF!</v>
      </c>
      <c r="I7" s="15" t="s">
        <v>388</v>
      </c>
      <c r="J7" s="15" t="e">
        <f t="shared" si="3"/>
        <v>#REF!</v>
      </c>
      <c r="K7" s="42" t="e">
        <f t="shared" si="4"/>
        <v>#REF!</v>
      </c>
    </row>
    <row r="8" spans="1:11" ht="12.75" customHeight="1" x14ac:dyDescent="0.3">
      <c r="A8" s="15"/>
      <c r="B8" s="15"/>
      <c r="E8" s="22"/>
      <c r="F8" s="15"/>
      <c r="G8" s="15"/>
      <c r="H8" s="15"/>
      <c r="I8" s="15"/>
      <c r="J8" s="15"/>
      <c r="K8" s="42"/>
    </row>
    <row r="9" spans="1:11" ht="12.75" customHeight="1" x14ac:dyDescent="0.3">
      <c r="A9" s="15"/>
      <c r="B9" s="15"/>
      <c r="C9" s="54"/>
      <c r="E9" s="22"/>
      <c r="F9" s="15"/>
      <c r="G9" s="15"/>
      <c r="H9" s="15"/>
      <c r="I9" s="15"/>
      <c r="J9" s="15"/>
      <c r="K9" s="42"/>
    </row>
    <row r="10" spans="1:11" ht="12.75" customHeight="1" x14ac:dyDescent="0.3">
      <c r="A10" s="15"/>
      <c r="B10" s="15"/>
      <c r="C10" s="16"/>
      <c r="E10" s="22"/>
      <c r="F10" s="15"/>
      <c r="G10" s="15"/>
      <c r="H10" s="15"/>
      <c r="I10" s="15"/>
      <c r="J10" s="15"/>
      <c r="K10" s="42"/>
    </row>
    <row r="11" spans="1:11" ht="12.75" customHeight="1" x14ac:dyDescent="0.3">
      <c r="A11" s="15"/>
      <c r="B11" s="15"/>
      <c r="C11" s="16"/>
      <c r="E11" s="22"/>
      <c r="F11" s="15"/>
      <c r="G11" s="15"/>
      <c r="H11" s="15"/>
      <c r="I11" s="15"/>
      <c r="J11" s="15"/>
      <c r="K11" s="42"/>
    </row>
    <row r="12" spans="1:11" ht="12.75" customHeight="1" x14ac:dyDescent="0.3">
      <c r="A12" s="15"/>
      <c r="B12" s="15"/>
      <c r="C12" s="16"/>
      <c r="E12" s="22"/>
      <c r="F12" s="15"/>
      <c r="G12" s="15"/>
      <c r="H12" s="15"/>
      <c r="I12" s="15"/>
      <c r="J12" s="15"/>
      <c r="K12" s="42"/>
    </row>
    <row r="13" spans="1:11" ht="12.75" customHeight="1" x14ac:dyDescent="0.3">
      <c r="A13" s="15"/>
      <c r="B13" s="15"/>
      <c r="C13" s="16"/>
      <c r="E13" s="22"/>
      <c r="F13" s="15"/>
      <c r="G13" s="15"/>
      <c r="H13" s="15"/>
      <c r="I13" s="15"/>
      <c r="J13" s="15"/>
      <c r="K13" s="42"/>
    </row>
    <row r="14" spans="1:11" ht="12.75" customHeight="1" x14ac:dyDescent="0.3">
      <c r="A14" s="15"/>
      <c r="B14" s="15"/>
      <c r="C14" s="16"/>
      <c r="E14" s="22"/>
      <c r="F14" s="15"/>
      <c r="G14" s="15"/>
      <c r="H14" s="15"/>
      <c r="I14" s="15"/>
      <c r="J14" s="15"/>
      <c r="K14" s="42"/>
    </row>
    <row r="15" spans="1:11" ht="12.75" customHeight="1" x14ac:dyDescent="0.3">
      <c r="A15" s="15"/>
    </row>
    <row r="16" spans="1:11" ht="12.75" customHeight="1" x14ac:dyDescent="0.3">
      <c r="A16" s="15"/>
      <c r="B16" s="21"/>
      <c r="C16" s="21"/>
      <c r="D16" s="21"/>
      <c r="E16" s="22"/>
      <c r="F16" s="15"/>
      <c r="G16" s="15"/>
      <c r="H16" s="15"/>
      <c r="I16" s="15"/>
      <c r="J16" s="15"/>
      <c r="K16" s="42"/>
    </row>
    <row r="17" spans="1:11" ht="12.75" customHeight="1" x14ac:dyDescent="0.3">
      <c r="A17" s="15"/>
    </row>
    <row r="18" spans="1:11" ht="12.75" customHeight="1" x14ac:dyDescent="0.3">
      <c r="A18" s="15"/>
      <c r="B18" s="21"/>
      <c r="E18" s="21"/>
      <c r="F18" s="15"/>
      <c r="G18" s="15"/>
      <c r="H18" s="15"/>
      <c r="I18" s="15"/>
      <c r="J18" s="15"/>
      <c r="K18" s="42"/>
    </row>
    <row r="19" spans="1:11" ht="12.75" customHeight="1" x14ac:dyDescent="0.3">
      <c r="A19" s="15"/>
      <c r="B19" s="21"/>
      <c r="C19" s="49" t="str">
        <f>IF(COUNTA(A4:A17)=COUNTA(E4:E17),"","Jahrgang bekannt geben")</f>
        <v/>
      </c>
      <c r="D19" s="21"/>
      <c r="E19" s="21"/>
      <c r="F19" s="15"/>
      <c r="G19" s="15"/>
      <c r="H19" s="15"/>
      <c r="I19" s="15"/>
      <c r="J19" s="15"/>
      <c r="K19" s="21"/>
    </row>
    <row r="20" spans="1:11" ht="12.75" hidden="1" customHeight="1" x14ac:dyDescent="0.3">
      <c r="A20" s="21"/>
      <c r="B20" s="21"/>
      <c r="C20" s="48" t="str">
        <f>IF(COUNT(B4:B6) = COUNTA(A4:A7),"","Spieler muss beim nächsten Einzel-RLT OÖBV-Mitglied sein")</f>
        <v>Spieler muss beim nächsten Einzel-RLT OÖBV-Mitglied sein</v>
      </c>
      <c r="D20" s="21"/>
      <c r="E20" s="21"/>
      <c r="F20" s="21"/>
      <c r="G20" s="21"/>
      <c r="H20" s="21"/>
      <c r="I20" s="21"/>
      <c r="J20" s="21"/>
      <c r="K20" s="21"/>
    </row>
    <row r="21" spans="1:11" ht="12.75" customHeight="1" x14ac:dyDescent="0.3">
      <c r="A21" s="21"/>
      <c r="B21" s="21"/>
      <c r="C21" s="21"/>
      <c r="D21" s="21"/>
      <c r="E21" s="21"/>
      <c r="F21" s="21"/>
      <c r="G21" s="21"/>
      <c r="H21" s="21"/>
      <c r="I21" s="21"/>
      <c r="J21" s="21"/>
      <c r="K21" s="21"/>
    </row>
    <row r="22" spans="1:11" ht="12.75" customHeight="1" x14ac:dyDescent="0.3">
      <c r="A22" s="21"/>
      <c r="B22" s="21"/>
      <c r="C22" s="21"/>
      <c r="D22" s="21"/>
      <c r="E22" s="21"/>
      <c r="F22" s="21"/>
      <c r="G22" s="21"/>
      <c r="H22" s="21"/>
      <c r="I22" s="21"/>
      <c r="J22" s="21"/>
      <c r="K22" s="21"/>
    </row>
    <row r="23" spans="1:11" ht="12.75" customHeight="1" x14ac:dyDescent="0.3">
      <c r="A23" s="21"/>
      <c r="B23" s="21"/>
      <c r="C23" s="21"/>
      <c r="D23" s="21"/>
      <c r="E23" s="21"/>
      <c r="F23" s="21"/>
      <c r="G23" s="21"/>
      <c r="H23" s="21"/>
      <c r="I23" s="21"/>
      <c r="J23" s="21"/>
      <c r="K23" s="21"/>
    </row>
    <row r="24" spans="1:11" ht="12.75" customHeight="1" x14ac:dyDescent="0.3">
      <c r="A24" s="21"/>
      <c r="B24" s="21"/>
      <c r="C24" s="21"/>
      <c r="D24" s="21"/>
      <c r="E24" s="21"/>
      <c r="F24" s="21"/>
      <c r="G24" s="21"/>
      <c r="H24" s="21"/>
      <c r="I24" s="21"/>
      <c r="J24" s="21"/>
      <c r="K24" s="21"/>
    </row>
    <row r="25" spans="1:11" ht="12.75" customHeight="1" x14ac:dyDescent="0.3">
      <c r="A25" s="21"/>
      <c r="B25" s="21"/>
      <c r="C25" s="21"/>
      <c r="D25" s="21"/>
      <c r="E25" s="21"/>
      <c r="F25" s="21"/>
      <c r="G25" s="21"/>
      <c r="H25" s="21"/>
      <c r="I25" s="21"/>
      <c r="J25" s="21"/>
    </row>
    <row r="26" spans="1:11" ht="12.75" customHeight="1" x14ac:dyDescent="0.3"/>
    <row r="27" spans="1:11" ht="12.75" customHeight="1" x14ac:dyDescent="0.3"/>
    <row r="28" spans="1:11" ht="12.75" customHeight="1" x14ac:dyDescent="0.3"/>
    <row r="29" spans="1:11" ht="12.75" customHeight="1" x14ac:dyDescent="0.3"/>
    <row r="30" spans="1:11" ht="12.75" customHeight="1" x14ac:dyDescent="0.3"/>
    <row r="31" spans="1:11" ht="12.75" customHeight="1" x14ac:dyDescent="0.3"/>
    <row r="32" spans="1:11" ht="12.75" customHeight="1" x14ac:dyDescent="0.3"/>
    <row r="33" spans="3:3" ht="12.75" customHeight="1" x14ac:dyDescent="0.3">
      <c r="C33" s="101"/>
    </row>
    <row r="34" spans="3:3" ht="12.75" customHeight="1" x14ac:dyDescent="0.3"/>
    <row r="35" spans="3:3" ht="12.75" customHeight="1" x14ac:dyDescent="0.3"/>
    <row r="36" spans="3:3" ht="12.75" customHeight="1" x14ac:dyDescent="0.3"/>
    <row r="37" spans="3:3" ht="12.75" customHeight="1" x14ac:dyDescent="0.3"/>
    <row r="38" spans="3:3" ht="12.75" customHeight="1" x14ac:dyDescent="0.3"/>
    <row r="39" spans="3:3" ht="12.75" customHeight="1" x14ac:dyDescent="0.3"/>
    <row r="40" spans="3:3" ht="12.75" customHeight="1" x14ac:dyDescent="0.3"/>
    <row r="41" spans="3:3" ht="12.75" customHeight="1" x14ac:dyDescent="0.3"/>
    <row r="42" spans="3:3" ht="12.75" customHeight="1" x14ac:dyDescent="0.3"/>
    <row r="43" spans="3:3" ht="12.75" customHeight="1" x14ac:dyDescent="0.3"/>
    <row r="44" spans="3:3" ht="12.75" customHeight="1" x14ac:dyDescent="0.3"/>
    <row r="45" spans="3:3" ht="12.75" customHeight="1" x14ac:dyDescent="0.3"/>
    <row r="46" spans="3:3" ht="12.75" customHeight="1" x14ac:dyDescent="0.3"/>
    <row r="47" spans="3:3" ht="12.75" customHeight="1" x14ac:dyDescent="0.3"/>
    <row r="48" spans="3:3"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H2"/>
    <mergeCell ref="I1:K1"/>
    <mergeCell ref="I2:K2"/>
  </mergeCells>
  <conditionalFormatting sqref="D4:D14 C16:D16">
    <cfRule type="expression" dxfId="1" priority="1">
      <formula>IF($C4="",FALSE,$B4="")</formula>
    </cfRule>
  </conditionalFormatting>
  <conditionalFormatting sqref="D4:E14 D16">
    <cfRule type="expression" dxfId="0" priority="2">
      <formula>IF($D4="",FALSE,$E4="")</formula>
    </cfRule>
  </conditionalFormatting>
  <pageMargins left="0.39370078740157483" right="0.39370078740157483" top="0.78740157480314965" bottom="0.7874015748031496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Rangliste</vt:lpstr>
      <vt:lpstr>TS_Formattierte_Rangliste</vt:lpstr>
      <vt:lpstr>Sheet2</vt:lpstr>
      <vt:lpstr>Sheet3</vt:lpstr>
      <vt:lpstr>WBV 1</vt:lpstr>
      <vt:lpstr>A Rangliste</vt:lpstr>
      <vt:lpstr>B Rangliste</vt:lpstr>
      <vt:lpstr>C Rangliste</vt:lpstr>
      <vt:lpstr>D Rangliste</vt:lpstr>
      <vt:lpstr>WBV 2</vt:lpstr>
      <vt:lpstr>WBV 3</vt:lpstr>
      <vt:lpstr>WBV 4</vt:lpstr>
      <vt:lpstr>NÖBV 1</vt:lpstr>
      <vt:lpstr>NÖBV 2</vt:lpstr>
      <vt:lpstr>NÖBV 3</vt:lpstr>
      <vt:lpstr>Regioturnier 1</vt:lpstr>
      <vt:lpstr>Regioturnier 2</vt:lpstr>
      <vt:lpstr>Regioturnier 3</vt:lpstr>
      <vt:lpstr>Agenda</vt:lpstr>
      <vt:lpstr>NeueNamen</vt:lpstr>
      <vt:lpstr>Punkte</vt:lpstr>
      <vt:lpstr>U9</vt:lpstr>
      <vt:lpstr>U11</vt:lpstr>
      <vt:lpstr>U13</vt:lpstr>
      <vt:lpstr>U15</vt:lpstr>
      <vt:lpstr>U17</vt:lpstr>
      <vt:lpstr>U19</vt:lpstr>
      <vt:lpstr>Offset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Eckersberger</dc:creator>
  <cp:lastModifiedBy>Jordan McMahon</cp:lastModifiedBy>
  <dcterms:created xsi:type="dcterms:W3CDTF">2009-07-30T14:29:58Z</dcterms:created>
  <dcterms:modified xsi:type="dcterms:W3CDTF">2026-08-16T20:50:27Z</dcterms:modified>
</cp:coreProperties>
</file>